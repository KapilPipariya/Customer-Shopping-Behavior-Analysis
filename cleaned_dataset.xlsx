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sumer behavier\"/>
    </mc:Choice>
  </mc:AlternateContent>
  <xr:revisionPtr revIDLastSave="0" documentId="13_ncr:9_{1D823FD6-AE79-4EE1-867B-94679D81D4A4}" xr6:coauthVersionLast="47" xr6:coauthVersionMax="47" xr10:uidLastSave="{00000000-0000-0000-0000-000000000000}"/>
  <bookViews>
    <workbookView xWindow="-110" yWindow="-110" windowWidth="19420" windowHeight="10420" xr2:uid="{C858E25D-B981-4916-A2B7-0FB0DD59E056}"/>
  </bookViews>
  <sheets>
    <sheet name="customer_shopping_behavior" sheetId="1" r:id="rId1"/>
  </sheets>
  <calcPr calcId="0"/>
</workbook>
</file>

<file path=xl/calcChain.xml><?xml version="1.0" encoding="utf-8"?>
<calcChain xmlns="http://schemas.openxmlformats.org/spreadsheetml/2006/main">
  <c r="S3" i="1" l="1" a="1"/>
  <c r="S3" i="1" s="1"/>
  <c r="S4" i="1" a="1"/>
  <c r="S4" i="1" s="1"/>
  <c r="S5" i="1" a="1"/>
  <c r="S5" i="1" s="1"/>
  <c r="S6" i="1" a="1"/>
  <c r="S6" i="1"/>
  <c r="S7" i="1" a="1"/>
  <c r="S7" i="1" s="1"/>
  <c r="S8" i="1" a="1"/>
  <c r="S8" i="1" s="1"/>
  <c r="S9" i="1" a="1"/>
  <c r="S9" i="1" s="1"/>
  <c r="S10" i="1" a="1"/>
  <c r="S10" i="1"/>
  <c r="S11" i="1" a="1"/>
  <c r="S11" i="1"/>
  <c r="S12" i="1" a="1"/>
  <c r="S12" i="1" s="1"/>
  <c r="S13" i="1" a="1"/>
  <c r="S13" i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/>
  <c r="S30" i="1" a="1"/>
  <c r="S30" i="1" s="1"/>
  <c r="S31" i="1" a="1"/>
  <c r="S31" i="1"/>
  <c r="S32" i="1" a="1"/>
  <c r="S32" i="1" s="1"/>
  <c r="S33" i="1" a="1"/>
  <c r="S33" i="1" s="1"/>
  <c r="S34" i="1" a="1"/>
  <c r="S34" i="1"/>
  <c r="S35" i="1" a="1"/>
  <c r="S35" i="1" s="1"/>
  <c r="S36" i="1" a="1"/>
  <c r="S36" i="1" s="1"/>
  <c r="S37" i="1" a="1"/>
  <c r="S37" i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/>
  <c r="S55" i="1" a="1"/>
  <c r="S55" i="1" s="1"/>
  <c r="S56" i="1" a="1"/>
  <c r="S56" i="1" s="1"/>
  <c r="S57" i="1" a="1"/>
  <c r="S57" i="1" s="1"/>
  <c r="S58" i="1" a="1"/>
  <c r="S58" i="1" s="1"/>
  <c r="S59" i="1" a="1"/>
  <c r="S59" i="1"/>
  <c r="S60" i="1" a="1"/>
  <c r="S60" i="1" s="1"/>
  <c r="S61" i="1" a="1"/>
  <c r="S61" i="1" s="1"/>
  <c r="S62" i="1" a="1"/>
  <c r="S62" i="1" s="1"/>
  <c r="S63" i="1" a="1"/>
  <c r="S63" i="1"/>
  <c r="S64" i="1" a="1"/>
  <c r="S64" i="1" s="1"/>
  <c r="S65" i="1" a="1"/>
  <c r="S65" i="1"/>
  <c r="S66" i="1" a="1"/>
  <c r="S66" i="1" s="1"/>
  <c r="S67" i="1" a="1"/>
  <c r="S67" i="1" s="1"/>
  <c r="S68" i="1" a="1"/>
  <c r="S68" i="1" s="1"/>
  <c r="S69" i="1" a="1"/>
  <c r="S69" i="1" s="1"/>
  <c r="S70" i="1" a="1"/>
  <c r="S70" i="1"/>
  <c r="S71" i="1" a="1"/>
  <c r="S71" i="1" s="1"/>
  <c r="S72" i="1" a="1"/>
  <c r="S72" i="1" s="1"/>
  <c r="S73" i="1" a="1"/>
  <c r="S73" i="1"/>
  <c r="S74" i="1" a="1"/>
  <c r="S74" i="1" s="1"/>
  <c r="S75" i="1" a="1"/>
  <c r="S75" i="1"/>
  <c r="S76" i="1" a="1"/>
  <c r="S76" i="1" s="1"/>
  <c r="S77" i="1" a="1"/>
  <c r="S77" i="1" s="1"/>
  <c r="S78" i="1" a="1"/>
  <c r="S78" i="1" s="1"/>
  <c r="S79" i="1" a="1"/>
  <c r="S79" i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/>
  <c r="S87" i="1" a="1"/>
  <c r="S87" i="1" s="1"/>
  <c r="S88" i="1" a="1"/>
  <c r="S88" i="1" s="1"/>
  <c r="S89" i="1" a="1"/>
  <c r="S89" i="1" s="1"/>
  <c r="S90" i="1" a="1"/>
  <c r="S90" i="1" s="1"/>
  <c r="S91" i="1" a="1"/>
  <c r="S91" i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/>
  <c r="S102" i="1" a="1"/>
  <c r="S102" i="1" s="1"/>
  <c r="S103" i="1" a="1"/>
  <c r="S103" i="1" s="1"/>
  <c r="S104" i="1" a="1"/>
  <c r="S104" i="1" s="1"/>
  <c r="S105" i="1" a="1"/>
  <c r="S105" i="1"/>
  <c r="S106" i="1" a="1"/>
  <c r="S106" i="1" s="1"/>
  <c r="S107" i="1" a="1"/>
  <c r="S107" i="1" s="1"/>
  <c r="S108" i="1" a="1"/>
  <c r="S108" i="1" s="1"/>
  <c r="S109" i="1" a="1"/>
  <c r="S109" i="1" s="1"/>
  <c r="S110" i="1" a="1"/>
  <c r="S110" i="1"/>
  <c r="S111" i="1" a="1"/>
  <c r="S111" i="1" s="1"/>
  <c r="S112" i="1" a="1"/>
  <c r="S112" i="1" s="1"/>
  <c r="S113" i="1" a="1"/>
  <c r="S113" i="1" s="1"/>
  <c r="S114" i="1" a="1"/>
  <c r="S114" i="1" s="1"/>
  <c r="S115" i="1" a="1"/>
  <c r="S115" i="1"/>
  <c r="S116" i="1" a="1"/>
  <c r="S116" i="1" s="1"/>
  <c r="S117" i="1" a="1"/>
  <c r="S117" i="1" s="1"/>
  <c r="S118" i="1" a="1"/>
  <c r="S118" i="1"/>
  <c r="S119" i="1" a="1"/>
  <c r="S119" i="1" s="1"/>
  <c r="S120" i="1" a="1"/>
  <c r="S120" i="1" s="1"/>
  <c r="S121" i="1" a="1"/>
  <c r="S121" i="1" s="1"/>
  <c r="S122" i="1" a="1"/>
  <c r="S122" i="1" s="1"/>
  <c r="S123" i="1" a="1"/>
  <c r="S123" i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/>
  <c r="S130" i="1" a="1"/>
  <c r="S130" i="1" s="1"/>
  <c r="S131" i="1" a="1"/>
  <c r="S131" i="1" s="1"/>
  <c r="S132" i="1" a="1"/>
  <c r="S132" i="1" s="1"/>
  <c r="S133" i="1" a="1"/>
  <c r="S133" i="1" s="1"/>
  <c r="S134" i="1" a="1"/>
  <c r="S134" i="1"/>
  <c r="S135" i="1" a="1"/>
  <c r="S135" i="1" s="1"/>
  <c r="S136" i="1" a="1"/>
  <c r="S136" i="1" s="1"/>
  <c r="S137" i="1" a="1"/>
  <c r="S137" i="1" s="1"/>
  <c r="S138" i="1" a="1"/>
  <c r="S138" i="1" s="1"/>
  <c r="S139" i="1" a="1"/>
  <c r="S139" i="1"/>
  <c r="S140" i="1" a="1"/>
  <c r="S140" i="1" s="1"/>
  <c r="S141" i="1" a="1"/>
  <c r="S141" i="1" s="1"/>
  <c r="S142" i="1" a="1"/>
  <c r="S142" i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/>
  <c r="S156" i="1" a="1"/>
  <c r="S156" i="1" s="1"/>
  <c r="S157" i="1" a="1"/>
  <c r="S157" i="1" s="1"/>
  <c r="S158" i="1" a="1"/>
  <c r="S158" i="1" s="1"/>
  <c r="S159" i="1" a="1"/>
  <c r="S159" i="1"/>
  <c r="S160" i="1" a="1"/>
  <c r="S160" i="1" s="1"/>
  <c r="S161" i="1" a="1"/>
  <c r="S161" i="1" s="1"/>
  <c r="S162" i="1" a="1"/>
  <c r="S162" i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/>
  <c r="S171" i="1" a="1"/>
  <c r="S171" i="1" s="1"/>
  <c r="S172" i="1" a="1"/>
  <c r="S172" i="1" s="1"/>
  <c r="S173" i="1" a="1"/>
  <c r="S173" i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/>
  <c r="S183" i="1" a="1"/>
  <c r="S183" i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/>
  <c r="S247" i="1" a="1"/>
  <c r="S247" i="1" s="1"/>
  <c r="S248" i="1" a="1"/>
  <c r="S248" i="1" s="1"/>
  <c r="S249" i="1" a="1"/>
  <c r="S249" i="1"/>
  <c r="S250" i="1" a="1"/>
  <c r="S250" i="1" s="1"/>
  <c r="S251" i="1" a="1"/>
  <c r="S251" i="1"/>
  <c r="S252" i="1" a="1"/>
  <c r="S252" i="1" s="1"/>
  <c r="S253" i="1" a="1"/>
  <c r="S253" i="1" s="1"/>
  <c r="S254" i="1" a="1"/>
  <c r="S254" i="1" s="1"/>
  <c r="S255" i="1" a="1"/>
  <c r="S255" i="1"/>
  <c r="S256" i="1" a="1"/>
  <c r="S256" i="1" s="1"/>
  <c r="S257" i="1" a="1"/>
  <c r="S257" i="1"/>
  <c r="S258" i="1" a="1"/>
  <c r="S258" i="1" s="1"/>
  <c r="S259" i="1" a="1"/>
  <c r="S259" i="1" s="1"/>
  <c r="S260" i="1" a="1"/>
  <c r="S260" i="1" s="1"/>
  <c r="S261" i="1" a="1"/>
  <c r="S261" i="1"/>
  <c r="S262" i="1" a="1"/>
  <c r="S262" i="1" s="1"/>
  <c r="S263" i="1" a="1"/>
  <c r="S263" i="1" s="1"/>
  <c r="S264" i="1" a="1"/>
  <c r="S264" i="1" s="1"/>
  <c r="S265" i="1" a="1"/>
  <c r="S265" i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/>
  <c r="S275" i="1" a="1"/>
  <c r="S275" i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/>
  <c r="S299" i="1" a="1"/>
  <c r="S299" i="1" s="1"/>
  <c r="S300" i="1" a="1"/>
  <c r="S300" i="1" s="1"/>
  <c r="S301" i="1" a="1"/>
  <c r="S301" i="1" s="1"/>
  <c r="S302" i="1" a="1"/>
  <c r="S302" i="1"/>
  <c r="S303" i="1" a="1"/>
  <c r="S303" i="1" s="1"/>
  <c r="S304" i="1" a="1"/>
  <c r="S304" i="1" s="1"/>
  <c r="S305" i="1" a="1"/>
  <c r="S305" i="1" s="1"/>
  <c r="S306" i="1" a="1"/>
  <c r="S306" i="1"/>
  <c r="S307" i="1" a="1"/>
  <c r="S307" i="1" s="1"/>
  <c r="S308" i="1" a="1"/>
  <c r="S308" i="1" s="1"/>
  <c r="S309" i="1" a="1"/>
  <c r="S309" i="1" s="1"/>
  <c r="S310" i="1" a="1"/>
  <c r="S310" i="1"/>
  <c r="S311" i="1" a="1"/>
  <c r="S311" i="1"/>
  <c r="S312" i="1" a="1"/>
  <c r="S312" i="1" s="1"/>
  <c r="S313" i="1" a="1"/>
  <c r="S313" i="1"/>
  <c r="S314" i="1" a="1"/>
  <c r="S314" i="1" s="1"/>
  <c r="S315" i="1" a="1"/>
  <c r="S315" i="1" s="1"/>
  <c r="S316" i="1" a="1"/>
  <c r="S316" i="1" s="1"/>
  <c r="S317" i="1" a="1"/>
  <c r="S317" i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/>
  <c r="S343" i="1" a="1"/>
  <c r="S343" i="1" s="1"/>
  <c r="S344" i="1" a="1"/>
  <c r="S344" i="1" s="1"/>
  <c r="S345" i="1" a="1"/>
  <c r="S345" i="1" s="1"/>
  <c r="S346" i="1" a="1"/>
  <c r="S346" i="1"/>
  <c r="S347" i="1" a="1"/>
  <c r="S347" i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/>
  <c r="S363" i="1" a="1"/>
  <c r="S363" i="1" s="1"/>
  <c r="S364" i="1" a="1"/>
  <c r="S364" i="1" s="1"/>
  <c r="S365" i="1" a="1"/>
  <c r="S365" i="1" s="1"/>
  <c r="S366" i="1" a="1"/>
  <c r="S366" i="1" s="1"/>
  <c r="S367" i="1" a="1"/>
  <c r="S367" i="1"/>
  <c r="S368" i="1" a="1"/>
  <c r="S368" i="1" s="1"/>
  <c r="S369" i="1" a="1"/>
  <c r="S369" i="1" s="1"/>
  <c r="S370" i="1" a="1"/>
  <c r="S370" i="1" s="1"/>
  <c r="S371" i="1" a="1"/>
  <c r="S371" i="1" s="1"/>
  <c r="S372" i="1" a="1"/>
  <c r="S372" i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/>
  <c r="S384" i="1" a="1"/>
  <c r="S384" i="1" s="1"/>
  <c r="S385" i="1" a="1"/>
  <c r="S385" i="1" s="1"/>
  <c r="S386" i="1" a="1"/>
  <c r="S386" i="1" s="1"/>
  <c r="S387" i="1" a="1"/>
  <c r="S387" i="1" s="1"/>
  <c r="S388" i="1" a="1"/>
  <c r="S388" i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/>
  <c r="S432" i="1" a="1"/>
  <c r="S432" i="1" s="1"/>
  <c r="S433" i="1" a="1"/>
  <c r="S433" i="1" s="1"/>
  <c r="S434" i="1" a="1"/>
  <c r="S434" i="1" s="1"/>
  <c r="S435" i="1" a="1"/>
  <c r="S435" i="1" s="1"/>
  <c r="S436" i="1" a="1"/>
  <c r="S436" i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/>
  <c r="S448" i="1" a="1"/>
  <c r="S448" i="1" s="1"/>
  <c r="S449" i="1" a="1"/>
  <c r="S449" i="1" s="1"/>
  <c r="S450" i="1" a="1"/>
  <c r="S450" i="1" s="1"/>
  <c r="S451" i="1" a="1"/>
  <c r="S451" i="1" s="1"/>
  <c r="S452" i="1" a="1"/>
  <c r="S452" i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 s="1"/>
  <c r="S503" i="1" a="1"/>
  <c r="S503" i="1" s="1"/>
  <c r="S504" i="1" a="1"/>
  <c r="S504" i="1" s="1"/>
  <c r="S505" i="1" a="1"/>
  <c r="S505" i="1" s="1"/>
  <c r="S506" i="1" a="1"/>
  <c r="S506" i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/>
  <c r="S525" i="1" a="1"/>
  <c r="S525" i="1" s="1"/>
  <c r="S526" i="1" a="1"/>
  <c r="S526" i="1" s="1"/>
  <c r="S527" i="1" a="1"/>
  <c r="S527" i="1" s="1"/>
  <c r="S528" i="1" a="1"/>
  <c r="S528" i="1" s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 s="1"/>
  <c r="S535" i="1" a="1"/>
  <c r="S535" i="1"/>
  <c r="S536" i="1" a="1"/>
  <c r="S536" i="1" s="1"/>
  <c r="S537" i="1" a="1"/>
  <c r="S537" i="1" s="1"/>
  <c r="S538" i="1" a="1"/>
  <c r="S538" i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/>
  <c r="S545" i="1" a="1"/>
  <c r="S545" i="1" s="1"/>
  <c r="S546" i="1" a="1"/>
  <c r="S546" i="1" s="1"/>
  <c r="S547" i="1" a="1"/>
  <c r="S547" i="1"/>
  <c r="S548" i="1" a="1"/>
  <c r="S548" i="1" s="1"/>
  <c r="S549" i="1" a="1"/>
  <c r="S549" i="1" s="1"/>
  <c r="S550" i="1" a="1"/>
  <c r="S550" i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/>
  <c r="S557" i="1" a="1"/>
  <c r="S557" i="1" s="1"/>
  <c r="S558" i="1" a="1"/>
  <c r="S558" i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/>
  <c r="S566" i="1" a="1"/>
  <c r="S566" i="1" s="1"/>
  <c r="S567" i="1" a="1"/>
  <c r="S567" i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 s="1"/>
  <c r="S585" i="1" a="1"/>
  <c r="S585" i="1"/>
  <c r="S586" i="1" a="1"/>
  <c r="S586" i="1" s="1"/>
  <c r="S587" i="1" a="1"/>
  <c r="S587" i="1"/>
  <c r="S588" i="1" a="1"/>
  <c r="S588" i="1" s="1"/>
  <c r="S589" i="1" a="1"/>
  <c r="S589" i="1" s="1"/>
  <c r="S590" i="1" a="1"/>
  <c r="S590" i="1"/>
  <c r="S591" i="1" a="1"/>
  <c r="S591" i="1" s="1"/>
  <c r="S592" i="1" a="1"/>
  <c r="S592" i="1" s="1"/>
  <c r="S593" i="1" a="1"/>
  <c r="S593" i="1" s="1"/>
  <c r="S594" i="1" a="1"/>
  <c r="S594" i="1"/>
  <c r="S595" i="1" a="1"/>
  <c r="S595" i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/>
  <c r="S603" i="1" a="1"/>
  <c r="S603" i="1"/>
  <c r="S604" i="1" a="1"/>
  <c r="S604" i="1" s="1"/>
  <c r="S605" i="1" a="1"/>
  <c r="S605" i="1" s="1"/>
  <c r="S606" i="1" a="1"/>
  <c r="S606" i="1" s="1"/>
  <c r="S607" i="1" a="1"/>
  <c r="S607" i="1"/>
  <c r="S608" i="1" a="1"/>
  <c r="S608" i="1" s="1"/>
  <c r="S609" i="1" a="1"/>
  <c r="S609" i="1" s="1"/>
  <c r="S610" i="1" a="1"/>
  <c r="S610" i="1"/>
  <c r="S611" i="1" a="1"/>
  <c r="S611" i="1" s="1"/>
  <c r="S612" i="1" a="1"/>
  <c r="S612" i="1" s="1"/>
  <c r="S613" i="1" a="1"/>
  <c r="S613" i="1" s="1"/>
  <c r="S614" i="1" a="1"/>
  <c r="S614" i="1" s="1"/>
  <c r="S615" i="1" a="1"/>
  <c r="S615" i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/>
  <c r="S626" i="1" a="1"/>
  <c r="S626" i="1" s="1"/>
  <c r="S627" i="1" a="1"/>
  <c r="S627" i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/>
  <c r="S634" i="1" a="1"/>
  <c r="S634" i="1"/>
  <c r="S635" i="1" a="1"/>
  <c r="S635" i="1" s="1"/>
  <c r="S636" i="1" a="1"/>
  <c r="S636" i="1" s="1"/>
  <c r="S637" i="1" a="1"/>
  <c r="S637" i="1" s="1"/>
  <c r="S638" i="1" a="1"/>
  <c r="S638" i="1" s="1"/>
  <c r="S639" i="1" a="1"/>
  <c r="S639" i="1"/>
  <c r="S640" i="1" a="1"/>
  <c r="S640" i="1" s="1"/>
  <c r="S641" i="1" a="1"/>
  <c r="S641" i="1" s="1"/>
  <c r="S642" i="1" a="1"/>
  <c r="S642" i="1"/>
  <c r="S643" i="1" a="1"/>
  <c r="S643" i="1" s="1"/>
  <c r="S644" i="1" a="1"/>
  <c r="S644" i="1" s="1"/>
  <c r="S645" i="1" a="1"/>
  <c r="S645" i="1" s="1"/>
  <c r="S646" i="1" a="1"/>
  <c r="S646" i="1" s="1"/>
  <c r="S647" i="1" a="1"/>
  <c r="S647" i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S680" i="1" a="1"/>
  <c r="S680" i="1" s="1"/>
  <c r="S681" i="1" a="1"/>
  <c r="S681" i="1" s="1"/>
  <c r="S682" i="1" a="1"/>
  <c r="S682" i="1" s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 s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/>
  <c r="S716" i="1" a="1"/>
  <c r="S716" i="1" s="1"/>
  <c r="S717" i="1" a="1"/>
  <c r="S717" i="1" s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/>
  <c r="S748" i="1" a="1"/>
  <c r="S748" i="1" s="1"/>
  <c r="S749" i="1" a="1"/>
  <c r="S749" i="1" s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/>
  <c r="S780" i="1" a="1"/>
  <c r="S780" i="1" s="1"/>
  <c r="S781" i="1" a="1"/>
  <c r="S781" i="1" s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/>
  <c r="S812" i="1" a="1"/>
  <c r="S812" i="1" s="1"/>
  <c r="S813" i="1" a="1"/>
  <c r="S813" i="1" s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/>
  <c r="S853" i="1" a="1"/>
  <c r="S853" i="1"/>
  <c r="S854" i="1" a="1"/>
  <c r="S854" i="1" s="1"/>
  <c r="S855" i="1" a="1"/>
  <c r="S855" i="1" s="1"/>
  <c r="S856" i="1" a="1"/>
  <c r="S856" i="1" s="1"/>
  <c r="S857" i="1" a="1"/>
  <c r="S857" i="1" s="1"/>
  <c r="S858" i="1" a="1"/>
  <c r="S858" i="1" s="1"/>
  <c r="S859" i="1" a="1"/>
  <c r="S859" i="1" s="1"/>
  <c r="S860" i="1" a="1"/>
  <c r="S860" i="1" s="1"/>
  <c r="S861" i="1" a="1"/>
  <c r="S861" i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/>
  <c r="S869" i="1" a="1"/>
  <c r="S869" i="1" s="1"/>
  <c r="S870" i="1" a="1"/>
  <c r="S870" i="1" s="1"/>
  <c r="S871" i="1" a="1"/>
  <c r="S871" i="1"/>
  <c r="S872" i="1" a="1"/>
  <c r="S872" i="1" s="1"/>
  <c r="S873" i="1" a="1"/>
  <c r="S873" i="1" s="1"/>
  <c r="S874" i="1" a="1"/>
  <c r="S874" i="1" s="1"/>
  <c r="S875" i="1" a="1"/>
  <c r="S875" i="1" s="1"/>
  <c r="S876" i="1" a="1"/>
  <c r="S876" i="1"/>
  <c r="S877" i="1" a="1"/>
  <c r="S877" i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/>
  <c r="S890" i="1" a="1"/>
  <c r="S890" i="1" s="1"/>
  <c r="S891" i="1" a="1"/>
  <c r="S891" i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/>
  <c r="S901" i="1" a="1"/>
  <c r="S901" i="1" s="1"/>
  <c r="S902" i="1" a="1"/>
  <c r="S902" i="1" s="1"/>
  <c r="S903" i="1" a="1"/>
  <c r="S903" i="1"/>
  <c r="S904" i="1" a="1"/>
  <c r="S904" i="1" s="1"/>
  <c r="S905" i="1" a="1"/>
  <c r="S905" i="1" s="1"/>
  <c r="S906" i="1" a="1"/>
  <c r="S906" i="1" s="1"/>
  <c r="S907" i="1" a="1"/>
  <c r="S907" i="1"/>
  <c r="S908" i="1" a="1"/>
  <c r="S908" i="1" s="1"/>
  <c r="S909" i="1" a="1"/>
  <c r="S909" i="1"/>
  <c r="S910" i="1" a="1"/>
  <c r="S910" i="1" s="1"/>
  <c r="S911" i="1" a="1"/>
  <c r="S911" i="1" s="1"/>
  <c r="S912" i="1" a="1"/>
  <c r="S912" i="1"/>
  <c r="S913" i="1" a="1"/>
  <c r="S913" i="1" s="1"/>
  <c r="S914" i="1" a="1"/>
  <c r="S914" i="1" s="1"/>
  <c r="S915" i="1" a="1"/>
  <c r="S915" i="1" s="1"/>
  <c r="S916" i="1" a="1"/>
  <c r="S916" i="1" s="1"/>
  <c r="S917" i="1" a="1"/>
  <c r="S917" i="1" s="1"/>
  <c r="S918" i="1" a="1"/>
  <c r="S918" i="1" s="1"/>
  <c r="S919" i="1" a="1"/>
  <c r="S919" i="1" s="1"/>
  <c r="S920" i="1" a="1"/>
  <c r="S920" i="1" s="1"/>
  <c r="S921" i="1" a="1"/>
  <c r="S921" i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 s="1"/>
  <c r="S932" i="1" a="1"/>
  <c r="S932" i="1" s="1"/>
  <c r="S933" i="1" a="1"/>
  <c r="S933" i="1" s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/>
  <c r="S940" i="1" a="1"/>
  <c r="S940" i="1" s="1"/>
  <c r="S941" i="1" a="1"/>
  <c r="S941" i="1" s="1"/>
  <c r="S942" i="1" a="1"/>
  <c r="S942" i="1" s="1"/>
  <c r="S943" i="1" a="1"/>
  <c r="S943" i="1" s="1"/>
  <c r="S944" i="1" a="1"/>
  <c r="S944" i="1"/>
  <c r="S945" i="1" a="1"/>
  <c r="S945" i="1" s="1"/>
  <c r="S946" i="1" a="1"/>
  <c r="S946" i="1" s="1"/>
  <c r="S947" i="1" a="1"/>
  <c r="S947" i="1" s="1"/>
  <c r="S948" i="1" a="1"/>
  <c r="S948" i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/>
  <c r="S956" i="1" a="1"/>
  <c r="S956" i="1" s="1"/>
  <c r="S957" i="1" a="1"/>
  <c r="S957" i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/>
  <c r="S964" i="1" a="1"/>
  <c r="S964" i="1" s="1"/>
  <c r="S965" i="1" a="1"/>
  <c r="S965" i="1" s="1"/>
  <c r="S966" i="1" a="1"/>
  <c r="S966" i="1" s="1"/>
  <c r="S967" i="1" a="1"/>
  <c r="S967" i="1" s="1"/>
  <c r="S968" i="1" a="1"/>
  <c r="S968" i="1" s="1"/>
  <c r="S969" i="1" a="1"/>
  <c r="S969" i="1" s="1"/>
  <c r="S970" i="1" a="1"/>
  <c r="S970" i="1" s="1"/>
  <c r="S971" i="1" a="1"/>
  <c r="S971" i="1" s="1"/>
  <c r="S972" i="1" a="1"/>
  <c r="S972" i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/>
  <c r="S981" i="1" a="1"/>
  <c r="S981" i="1" s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/>
  <c r="S990" i="1" a="1"/>
  <c r="S990" i="1" s="1"/>
  <c r="S991" i="1" a="1"/>
  <c r="S991" i="1"/>
  <c r="S992" i="1" a="1"/>
  <c r="S992" i="1" s="1"/>
  <c r="S993" i="1" a="1"/>
  <c r="S993" i="1" s="1"/>
  <c r="S994" i="1" a="1"/>
  <c r="S994" i="1" s="1"/>
  <c r="S995" i="1" a="1"/>
  <c r="S995" i="1"/>
  <c r="S996" i="1" a="1"/>
  <c r="S996" i="1" s="1"/>
  <c r="S997" i="1" a="1"/>
  <c r="S997" i="1" s="1"/>
  <c r="S998" i="1" a="1"/>
  <c r="S998" i="1" s="1"/>
  <c r="S999" i="1" a="1"/>
  <c r="S999" i="1" s="1"/>
  <c r="S1000" i="1" a="1"/>
  <c r="S1000" i="1" s="1"/>
  <c r="S1001" i="1" a="1"/>
  <c r="S1001" i="1" s="1"/>
  <c r="S1002" i="1" a="1"/>
  <c r="S1002" i="1"/>
  <c r="S1003" i="1" a="1"/>
  <c r="S1003" i="1"/>
  <c r="S1004" i="1" a="1"/>
  <c r="S1004" i="1" s="1"/>
  <c r="S1005" i="1" a="1"/>
  <c r="S1005" i="1" s="1"/>
  <c r="S1006" i="1" a="1"/>
  <c r="S1006" i="1" s="1"/>
  <c r="S1007" i="1" a="1"/>
  <c r="S1007" i="1"/>
  <c r="S1008" i="1" a="1"/>
  <c r="S1008" i="1" s="1"/>
  <c r="S1009" i="1" a="1"/>
  <c r="S1009" i="1" s="1"/>
  <c r="S1010" i="1" a="1"/>
  <c r="S1010" i="1" s="1"/>
  <c r="S1011" i="1" a="1"/>
  <c r="S1011" i="1" s="1"/>
  <c r="S1012" i="1" a="1"/>
  <c r="S1012" i="1" s="1"/>
  <c r="S1013" i="1" a="1"/>
  <c r="S1013" i="1" s="1"/>
  <c r="S1014" i="1" a="1"/>
  <c r="S1014" i="1" s="1"/>
  <c r="S1015" i="1" a="1"/>
  <c r="S1015" i="1" s="1"/>
  <c r="S1016" i="1" a="1"/>
  <c r="S1016" i="1" s="1"/>
  <c r="S1017" i="1" a="1"/>
  <c r="S1017" i="1" s="1"/>
  <c r="S1018" i="1" a="1"/>
  <c r="S1018" i="1" s="1"/>
  <c r="S1019" i="1" a="1"/>
  <c r="S1019" i="1"/>
  <c r="S1020" i="1" a="1"/>
  <c r="S1020" i="1" s="1"/>
  <c r="S1021" i="1" a="1"/>
  <c r="S1021" i="1" s="1"/>
  <c r="S1022" i="1" a="1"/>
  <c r="S1022" i="1" s="1"/>
  <c r="S1023" i="1" a="1"/>
  <c r="S1023" i="1" s="1"/>
  <c r="S1024" i="1" a="1"/>
  <c r="S1024" i="1" s="1"/>
  <c r="S1025" i="1" a="1"/>
  <c r="S1025" i="1" s="1"/>
  <c r="S1026" i="1" a="1"/>
  <c r="S1026" i="1" s="1"/>
  <c r="S1027" i="1" a="1"/>
  <c r="S1027" i="1" s="1"/>
  <c r="S1028" i="1" a="1"/>
  <c r="S1028" i="1" s="1"/>
  <c r="S1029" i="1" a="1"/>
  <c r="S1029" i="1" s="1"/>
  <c r="S1030" i="1" a="1"/>
  <c r="S1030" i="1" s="1"/>
  <c r="S1031" i="1" a="1"/>
  <c r="S1031" i="1" s="1"/>
  <c r="S1032" i="1" a="1"/>
  <c r="S1032" i="1" s="1"/>
  <c r="S1033" i="1" a="1"/>
  <c r="S1033" i="1" s="1"/>
  <c r="S1034" i="1" a="1"/>
  <c r="S1034" i="1" s="1"/>
  <c r="S1035" i="1" a="1"/>
  <c r="S1035" i="1"/>
  <c r="S1036" i="1" a="1"/>
  <c r="S1036" i="1" s="1"/>
  <c r="S1037" i="1" a="1"/>
  <c r="S1037" i="1" s="1"/>
  <c r="S1038" i="1" a="1"/>
  <c r="S1038" i="1" s="1"/>
  <c r="S1039" i="1" a="1"/>
  <c r="S1039" i="1"/>
  <c r="S1040" i="1" a="1"/>
  <c r="S1040" i="1" s="1"/>
  <c r="S1041" i="1" a="1"/>
  <c r="S1041" i="1" s="1"/>
  <c r="S1042" i="1" a="1"/>
  <c r="S1042" i="1" s="1"/>
  <c r="S1043" i="1" a="1"/>
  <c r="S1043" i="1" s="1"/>
  <c r="S1044" i="1" a="1"/>
  <c r="S1044" i="1" s="1"/>
  <c r="S1045" i="1" a="1"/>
  <c r="S1045" i="1" s="1"/>
  <c r="S1046" i="1" a="1"/>
  <c r="S1046" i="1"/>
  <c r="S1047" i="1" a="1"/>
  <c r="S1047" i="1" s="1"/>
  <c r="S1048" i="1" a="1"/>
  <c r="S1048" i="1" s="1"/>
  <c r="S1049" i="1" a="1"/>
  <c r="S1049" i="1" s="1"/>
  <c r="S1050" i="1" a="1"/>
  <c r="S1050" i="1" s="1"/>
  <c r="S1051" i="1" a="1"/>
  <c r="S1051" i="1" s="1"/>
  <c r="S1052" i="1" a="1"/>
  <c r="S1052" i="1"/>
  <c r="S1053" i="1" a="1"/>
  <c r="S1053" i="1" s="1"/>
  <c r="S1054" i="1" a="1"/>
  <c r="S1054" i="1"/>
  <c r="S1055" i="1" a="1"/>
  <c r="S1055" i="1" s="1"/>
  <c r="S1056" i="1" a="1"/>
  <c r="S1056" i="1" s="1"/>
  <c r="S1057" i="1" a="1"/>
  <c r="S1057" i="1" s="1"/>
  <c r="S1058" i="1" a="1"/>
  <c r="S1058" i="1"/>
  <c r="S1059" i="1" a="1"/>
  <c r="S1059" i="1" s="1"/>
  <c r="S1060" i="1" a="1"/>
  <c r="S1060" i="1" s="1"/>
  <c r="S1061" i="1" a="1"/>
  <c r="S1061" i="1" s="1"/>
  <c r="S1062" i="1" a="1"/>
  <c r="S1062" i="1" s="1"/>
  <c r="S1063" i="1" a="1"/>
  <c r="S1063" i="1" s="1"/>
  <c r="S1064" i="1" a="1"/>
  <c r="S1064" i="1" s="1"/>
  <c r="S1065" i="1" a="1"/>
  <c r="S1065" i="1" s="1"/>
  <c r="S1066" i="1" a="1"/>
  <c r="S1066" i="1"/>
  <c r="S1067" i="1" a="1"/>
  <c r="S1067" i="1" s="1"/>
  <c r="S1068" i="1" a="1"/>
  <c r="S1068" i="1" s="1"/>
  <c r="S1069" i="1" a="1"/>
  <c r="S1069" i="1" s="1"/>
  <c r="S1070" i="1" a="1"/>
  <c r="S1070" i="1" s="1"/>
  <c r="S1071" i="1" a="1"/>
  <c r="S1071" i="1" s="1"/>
  <c r="S1072" i="1" a="1"/>
  <c r="S1072" i="1"/>
  <c r="S1073" i="1" a="1"/>
  <c r="S1073" i="1" s="1"/>
  <c r="S1074" i="1" a="1"/>
  <c r="S1074" i="1" s="1"/>
  <c r="S1075" i="1" a="1"/>
  <c r="S1075" i="1"/>
  <c r="S1076" i="1" a="1"/>
  <c r="S1076" i="1" s="1"/>
  <c r="S1077" i="1" a="1"/>
  <c r="S1077" i="1" s="1"/>
  <c r="S1078" i="1" a="1"/>
  <c r="S1078" i="1" s="1"/>
  <c r="S1079" i="1" a="1"/>
  <c r="S1079" i="1" s="1"/>
  <c r="S1080" i="1" a="1"/>
  <c r="S1080" i="1" s="1"/>
  <c r="S1081" i="1" a="1"/>
  <c r="S1081" i="1" s="1"/>
  <c r="S1082" i="1" a="1"/>
  <c r="S1082" i="1"/>
  <c r="S1083" i="1" a="1"/>
  <c r="S1083" i="1" s="1"/>
  <c r="S1084" i="1" a="1"/>
  <c r="S1084" i="1"/>
  <c r="S1085" i="1" a="1"/>
  <c r="S1085" i="1" s="1"/>
  <c r="S1086" i="1" a="1"/>
  <c r="S1086" i="1" s="1"/>
  <c r="S1087" i="1" a="1"/>
  <c r="S1087" i="1" s="1"/>
  <c r="S1088" i="1" a="1"/>
  <c r="S1088" i="1" s="1"/>
  <c r="S1089" i="1" a="1"/>
  <c r="S1089" i="1" s="1"/>
  <c r="S1090" i="1" a="1"/>
  <c r="S1090" i="1"/>
  <c r="S1091" i="1" a="1"/>
  <c r="S1091" i="1" s="1"/>
  <c r="S1092" i="1" a="1"/>
  <c r="S1092" i="1" s="1"/>
  <c r="S1093" i="1" a="1"/>
  <c r="S1093" i="1" s="1"/>
  <c r="S1094" i="1" a="1"/>
  <c r="S1094" i="1" s="1"/>
  <c r="S1095" i="1" a="1"/>
  <c r="S1095" i="1"/>
  <c r="S1096" i="1" a="1"/>
  <c r="S1096" i="1" s="1"/>
  <c r="S1097" i="1" a="1"/>
  <c r="S1097" i="1" s="1"/>
  <c r="S1098" i="1" a="1"/>
  <c r="S1098" i="1" s="1"/>
  <c r="S1099" i="1" a="1"/>
  <c r="S1099" i="1" s="1"/>
  <c r="S1100" i="1" a="1"/>
  <c r="S1100" i="1"/>
  <c r="S1101" i="1" a="1"/>
  <c r="S1101" i="1" s="1"/>
  <c r="S1102" i="1" a="1"/>
  <c r="S1102" i="1" s="1"/>
  <c r="S1103" i="1" a="1"/>
  <c r="S1103" i="1" s="1"/>
  <c r="S1104" i="1" a="1"/>
  <c r="S1104" i="1"/>
  <c r="S1105" i="1" a="1"/>
  <c r="S1105" i="1" s="1"/>
  <c r="S1106" i="1" a="1"/>
  <c r="S1106" i="1" s="1"/>
  <c r="S1107" i="1" a="1"/>
  <c r="S1107" i="1"/>
  <c r="S1108" i="1" a="1"/>
  <c r="S1108" i="1" s="1"/>
  <c r="S1109" i="1" a="1"/>
  <c r="S1109" i="1" s="1"/>
  <c r="S1110" i="1" a="1"/>
  <c r="S1110" i="1" s="1"/>
  <c r="S1111" i="1" a="1"/>
  <c r="S1111" i="1" s="1"/>
  <c r="S1112" i="1" a="1"/>
  <c r="S1112" i="1" s="1"/>
  <c r="S1113" i="1" a="1"/>
  <c r="S1113" i="1" s="1"/>
  <c r="S1114" i="1" a="1"/>
  <c r="S1114" i="1" s="1"/>
  <c r="S1115" i="1" a="1"/>
  <c r="S1115" i="1" s="1"/>
  <c r="S1116" i="1" a="1"/>
  <c r="S1116" i="1"/>
  <c r="S1117" i="1" a="1"/>
  <c r="S1117" i="1" s="1"/>
  <c r="S1118" i="1" a="1"/>
  <c r="S1118" i="1"/>
  <c r="S1119" i="1" a="1"/>
  <c r="S1119" i="1" s="1"/>
  <c r="S1120" i="1" a="1"/>
  <c r="S1120" i="1" s="1"/>
  <c r="S1121" i="1" a="1"/>
  <c r="S1121" i="1" s="1"/>
  <c r="S1122" i="1" a="1"/>
  <c r="S1122" i="1" s="1"/>
  <c r="S1123" i="1" a="1"/>
  <c r="S1123" i="1"/>
  <c r="S1124" i="1" a="1"/>
  <c r="S1124" i="1" s="1"/>
  <c r="S1125" i="1" a="1"/>
  <c r="S1125" i="1" s="1"/>
  <c r="S1126" i="1" a="1"/>
  <c r="S1126" i="1" s="1"/>
  <c r="S1127" i="1" a="1"/>
  <c r="S1127" i="1" s="1"/>
  <c r="S1128" i="1" a="1"/>
  <c r="S1128" i="1"/>
  <c r="S1129" i="1" a="1"/>
  <c r="S1129" i="1" s="1"/>
  <c r="S1130" i="1" a="1"/>
  <c r="S1130" i="1" s="1"/>
  <c r="S1131" i="1" a="1"/>
  <c r="S1131" i="1"/>
  <c r="S1132" i="1" a="1"/>
  <c r="S1132" i="1" s="1"/>
  <c r="S1133" i="1" a="1"/>
  <c r="S1133" i="1" s="1"/>
  <c r="S1134" i="1" a="1"/>
  <c r="S1134" i="1" s="1"/>
  <c r="S1135" i="1" a="1"/>
  <c r="S1135" i="1" s="1"/>
  <c r="S1136" i="1" a="1"/>
  <c r="S1136" i="1"/>
  <c r="S1137" i="1" a="1"/>
  <c r="S1137" i="1" s="1"/>
  <c r="S1138" i="1" a="1"/>
  <c r="S1138" i="1" s="1"/>
  <c r="S1139" i="1" a="1"/>
  <c r="S1139" i="1"/>
  <c r="S1140" i="1" a="1"/>
  <c r="S1140" i="1" s="1"/>
  <c r="S1141" i="1" a="1"/>
  <c r="S1141" i="1" s="1"/>
  <c r="S1142" i="1" a="1"/>
  <c r="S1142" i="1" s="1"/>
  <c r="S1143" i="1" a="1"/>
  <c r="S1143" i="1" s="1"/>
  <c r="S1144" i="1" a="1"/>
  <c r="S1144" i="1" s="1"/>
  <c r="S1145" i="1" a="1"/>
  <c r="S1145" i="1" s="1"/>
  <c r="S1146" i="1" a="1"/>
  <c r="S1146" i="1"/>
  <c r="S1147" i="1" a="1"/>
  <c r="S1147" i="1" s="1"/>
  <c r="S1148" i="1" a="1"/>
  <c r="S1148" i="1" s="1"/>
  <c r="S1149" i="1" a="1"/>
  <c r="S1149" i="1" s="1"/>
  <c r="S1150" i="1" a="1"/>
  <c r="S1150" i="1" s="1"/>
  <c r="S1151" i="1" a="1"/>
  <c r="S1151" i="1" s="1"/>
  <c r="S1152" i="1" a="1"/>
  <c r="S1152" i="1" s="1"/>
  <c r="S1153" i="1" a="1"/>
  <c r="S1153" i="1" s="1"/>
  <c r="S1154" i="1" a="1"/>
  <c r="S1154" i="1" s="1"/>
  <c r="S1155" i="1" a="1"/>
  <c r="S1155" i="1" s="1"/>
  <c r="S1156" i="1" a="1"/>
  <c r="S1156" i="1" s="1"/>
  <c r="S1157" i="1" a="1"/>
  <c r="S1157" i="1" s="1"/>
  <c r="S1158" i="1" a="1"/>
  <c r="S1158" i="1" s="1"/>
  <c r="S1159" i="1" a="1"/>
  <c r="S1159" i="1" s="1"/>
  <c r="S1160" i="1" a="1"/>
  <c r="S1160" i="1" s="1"/>
  <c r="S1161" i="1" a="1"/>
  <c r="S1161" i="1" s="1"/>
  <c r="S1162" i="1" a="1"/>
  <c r="S1162" i="1" s="1"/>
  <c r="S1163" i="1" a="1"/>
  <c r="S1163" i="1"/>
  <c r="S1164" i="1" a="1"/>
  <c r="S1164" i="1" s="1"/>
  <c r="S1165" i="1" a="1"/>
  <c r="S1165" i="1" s="1"/>
  <c r="S1166" i="1" a="1"/>
  <c r="S1166" i="1" s="1"/>
  <c r="S1167" i="1" a="1"/>
  <c r="S1167" i="1" s="1"/>
  <c r="S1168" i="1" a="1"/>
  <c r="S1168" i="1"/>
  <c r="S1169" i="1" a="1"/>
  <c r="S1169" i="1" s="1"/>
  <c r="S1170" i="1" a="1"/>
  <c r="S1170" i="1" s="1"/>
  <c r="S1171" i="1" a="1"/>
  <c r="S1171" i="1" s="1"/>
  <c r="S1172" i="1" a="1"/>
  <c r="S1172" i="1" s="1"/>
  <c r="S1173" i="1" a="1"/>
  <c r="S1173" i="1" s="1"/>
  <c r="S1174" i="1" a="1"/>
  <c r="S1174" i="1"/>
  <c r="S1175" i="1" a="1"/>
  <c r="S1175" i="1" s="1"/>
  <c r="S1176" i="1" a="1"/>
  <c r="S1176" i="1" s="1"/>
  <c r="S1177" i="1" a="1"/>
  <c r="S1177" i="1" s="1"/>
  <c r="S1178" i="1" a="1"/>
  <c r="S1178" i="1" s="1"/>
  <c r="S1179" i="1" a="1"/>
  <c r="S1179" i="1" s="1"/>
  <c r="S1180" i="1" a="1"/>
  <c r="S1180" i="1"/>
  <c r="S1181" i="1" a="1"/>
  <c r="S1181" i="1" s="1"/>
  <c r="S1182" i="1" a="1"/>
  <c r="S1182" i="1" s="1"/>
  <c r="S1183" i="1" a="1"/>
  <c r="S1183" i="1" s="1"/>
  <c r="S1184" i="1" a="1"/>
  <c r="S1184" i="1" s="1"/>
  <c r="S1185" i="1" a="1"/>
  <c r="S1185" i="1" s="1"/>
  <c r="S1186" i="1" a="1"/>
  <c r="S1186" i="1"/>
  <c r="S1187" i="1" a="1"/>
  <c r="S1187" i="1" s="1"/>
  <c r="S1188" i="1" a="1"/>
  <c r="S1188" i="1" s="1"/>
  <c r="S1189" i="1" a="1"/>
  <c r="S1189" i="1" s="1"/>
  <c r="S1190" i="1" a="1"/>
  <c r="S1190" i="1" s="1"/>
  <c r="S1191" i="1" a="1"/>
  <c r="S1191" i="1" s="1"/>
  <c r="S1192" i="1" a="1"/>
  <c r="S1192" i="1"/>
  <c r="S1193" i="1" a="1"/>
  <c r="S1193" i="1" s="1"/>
  <c r="S1194" i="1" a="1"/>
  <c r="S1194" i="1" s="1"/>
  <c r="S1195" i="1" a="1"/>
  <c r="S1195" i="1"/>
  <c r="S1196" i="1" a="1"/>
  <c r="S1196" i="1" s="1"/>
  <c r="S1197" i="1" a="1"/>
  <c r="S1197" i="1" s="1"/>
  <c r="S1198" i="1" a="1"/>
  <c r="S1198" i="1" s="1"/>
  <c r="S1199" i="1" a="1"/>
  <c r="S1199" i="1" s="1"/>
  <c r="S1200" i="1" a="1"/>
  <c r="S1200" i="1" s="1"/>
  <c r="S1201" i="1" a="1"/>
  <c r="S1201" i="1" s="1"/>
  <c r="S1202" i="1" a="1"/>
  <c r="S1202" i="1" s="1"/>
  <c r="S1203" i="1" a="1"/>
  <c r="S1203" i="1" s="1"/>
  <c r="S1204" i="1" a="1"/>
  <c r="S1204" i="1"/>
  <c r="S1205" i="1" a="1"/>
  <c r="S1205" i="1" s="1"/>
  <c r="S1206" i="1" a="1"/>
  <c r="S1206" i="1"/>
  <c r="S1207" i="1" a="1"/>
  <c r="S1207" i="1" s="1"/>
  <c r="S1208" i="1" a="1"/>
  <c r="S1208" i="1" s="1"/>
  <c r="S1209" i="1" a="1"/>
  <c r="S1209" i="1" s="1"/>
  <c r="S1210" i="1" a="1"/>
  <c r="S1210" i="1"/>
  <c r="S1211" i="1" a="1"/>
  <c r="S1211" i="1" s="1"/>
  <c r="S1212" i="1" a="1"/>
  <c r="S1212" i="1" s="1"/>
  <c r="S1213" i="1" a="1"/>
  <c r="S1213" i="1" s="1"/>
  <c r="S1214" i="1" a="1"/>
  <c r="S1214" i="1" s="1"/>
  <c r="S1215" i="1" a="1"/>
  <c r="S1215" i="1"/>
  <c r="S1216" i="1" a="1"/>
  <c r="S1216" i="1" s="1"/>
  <c r="S1217" i="1" a="1"/>
  <c r="S1217" i="1" s="1"/>
  <c r="S1218" i="1" a="1"/>
  <c r="S1218" i="1"/>
  <c r="S1219" i="1" a="1"/>
  <c r="S1219" i="1" s="1"/>
  <c r="S1220" i="1" a="1"/>
  <c r="S1220" i="1" s="1"/>
  <c r="S1221" i="1" a="1"/>
  <c r="S1221" i="1" s="1"/>
  <c r="S1222" i="1" a="1"/>
  <c r="S1222" i="1" s="1"/>
  <c r="S1223" i="1" a="1"/>
  <c r="S1223" i="1" s="1"/>
  <c r="S1224" i="1" a="1"/>
  <c r="S1224" i="1" s="1"/>
  <c r="S1225" i="1" a="1"/>
  <c r="S1225" i="1" s="1"/>
  <c r="S1226" i="1" a="1"/>
  <c r="S1226" i="1"/>
  <c r="S1227" i="1" a="1"/>
  <c r="S1227" i="1" s="1"/>
  <c r="S1228" i="1" a="1"/>
  <c r="S1228" i="1" s="1"/>
  <c r="S1229" i="1" a="1"/>
  <c r="S1229" i="1" s="1"/>
  <c r="S1230" i="1" a="1"/>
  <c r="S1230" i="1" s="1"/>
  <c r="S1231" i="1" a="1"/>
  <c r="S1231" i="1" s="1"/>
  <c r="S1232" i="1" a="1"/>
  <c r="S1232" i="1"/>
  <c r="S1233" i="1" a="1"/>
  <c r="S1233" i="1" s="1"/>
  <c r="S1234" i="1" a="1"/>
  <c r="S1234" i="1" s="1"/>
  <c r="S1235" i="1" a="1"/>
  <c r="S1235" i="1"/>
  <c r="S1236" i="1" a="1"/>
  <c r="S1236" i="1" s="1"/>
  <c r="S1237" i="1" a="1"/>
  <c r="S1237" i="1" s="1"/>
  <c r="S1238" i="1" a="1"/>
  <c r="S1238" i="1" s="1"/>
  <c r="S1239" i="1" a="1"/>
  <c r="S1239" i="1" s="1"/>
  <c r="S1240" i="1" a="1"/>
  <c r="S1240" i="1" s="1"/>
  <c r="S1241" i="1" a="1"/>
  <c r="S1241" i="1" s="1"/>
  <c r="S1242" i="1" a="1"/>
  <c r="S1242" i="1" s="1"/>
  <c r="S1243" i="1" a="1"/>
  <c r="S1243" i="1" s="1"/>
  <c r="S1244" i="1" a="1"/>
  <c r="S1244" i="1"/>
  <c r="S1245" i="1" a="1"/>
  <c r="S1245" i="1" s="1"/>
  <c r="S1246" i="1" a="1"/>
  <c r="S1246" i="1" s="1"/>
  <c r="S1247" i="1" a="1"/>
  <c r="S1247" i="1" s="1"/>
  <c r="S1248" i="1" a="1"/>
  <c r="S1248" i="1" s="1"/>
  <c r="S1249" i="1" a="1"/>
  <c r="S1249" i="1" s="1"/>
  <c r="S1250" i="1" a="1"/>
  <c r="S1250" i="1"/>
  <c r="S1251" i="1" a="1"/>
  <c r="S1251" i="1" s="1"/>
  <c r="S1252" i="1" a="1"/>
  <c r="S1252" i="1" s="1"/>
  <c r="S1253" i="1" a="1"/>
  <c r="S1253" i="1" s="1"/>
  <c r="S1254" i="1" a="1"/>
  <c r="S1254" i="1" s="1"/>
  <c r="S1255" i="1" a="1"/>
  <c r="S1255" i="1"/>
  <c r="S1256" i="1" a="1"/>
  <c r="S1256" i="1" s="1"/>
  <c r="S1257" i="1" a="1"/>
  <c r="S1257" i="1" s="1"/>
  <c r="S1258" i="1" a="1"/>
  <c r="S1258" i="1" s="1"/>
  <c r="S1259" i="1" a="1"/>
  <c r="S1259" i="1" s="1"/>
  <c r="S1260" i="1" a="1"/>
  <c r="S1260" i="1" s="1"/>
  <c r="S1261" i="1" a="1"/>
  <c r="S1261" i="1" s="1"/>
  <c r="S1262" i="1" a="1"/>
  <c r="S1262" i="1" s="1"/>
  <c r="S1263" i="1" a="1"/>
  <c r="S1263" i="1" s="1"/>
  <c r="S1264" i="1" a="1"/>
  <c r="S1264" i="1" s="1"/>
  <c r="S1265" i="1" a="1"/>
  <c r="S1265" i="1" s="1"/>
  <c r="S1266" i="1" a="1"/>
  <c r="S1266" i="1" s="1"/>
  <c r="S1267" i="1" a="1"/>
  <c r="S1267" i="1" s="1"/>
  <c r="S1268" i="1" a="1"/>
  <c r="S1268" i="1"/>
  <c r="S1269" i="1" a="1"/>
  <c r="S1269" i="1" s="1"/>
  <c r="S1270" i="1" a="1"/>
  <c r="S1270" i="1" s="1"/>
  <c r="S1271" i="1" a="1"/>
  <c r="S1271" i="1" s="1"/>
  <c r="S1272" i="1" a="1"/>
  <c r="S1272" i="1" s="1"/>
  <c r="S1273" i="1" a="1"/>
  <c r="S1273" i="1" s="1"/>
  <c r="S1274" i="1" a="1"/>
  <c r="S1274" i="1"/>
  <c r="S1275" i="1" a="1"/>
  <c r="S1275" i="1" s="1"/>
  <c r="S1276" i="1" a="1"/>
  <c r="S1276" i="1" s="1"/>
  <c r="S1277" i="1" a="1"/>
  <c r="S1277" i="1" s="1"/>
  <c r="S1278" i="1" a="1"/>
  <c r="S1278" i="1" s="1"/>
  <c r="S1279" i="1" a="1"/>
  <c r="S1279" i="1"/>
  <c r="S1280" i="1" a="1"/>
  <c r="S1280" i="1" s="1"/>
  <c r="S1281" i="1" a="1"/>
  <c r="S1281" i="1" s="1"/>
  <c r="S1282" i="1" a="1"/>
  <c r="S1282" i="1" s="1"/>
  <c r="S1283" i="1" a="1"/>
  <c r="S1283" i="1" s="1"/>
  <c r="S1284" i="1" a="1"/>
  <c r="S1284" i="1" s="1"/>
  <c r="S1285" i="1" a="1"/>
  <c r="S1285" i="1" s="1"/>
  <c r="S1286" i="1" a="1"/>
  <c r="S1286" i="1" s="1"/>
  <c r="S1287" i="1" a="1"/>
  <c r="S1287" i="1" s="1"/>
  <c r="S1288" i="1" a="1"/>
  <c r="S1288" i="1"/>
  <c r="S1289" i="1" a="1"/>
  <c r="S1289" i="1" s="1"/>
  <c r="S1290" i="1" a="1"/>
  <c r="S1290" i="1"/>
  <c r="S1291" i="1" a="1"/>
  <c r="S1291" i="1" s="1"/>
  <c r="S1292" i="1" a="1"/>
  <c r="S1292" i="1" s="1"/>
  <c r="S1293" i="1" a="1"/>
  <c r="S1293" i="1" s="1"/>
  <c r="S1294" i="1" a="1"/>
  <c r="S1294" i="1" s="1"/>
  <c r="S1295" i="1" a="1"/>
  <c r="S1295" i="1" s="1"/>
  <c r="S1296" i="1" a="1"/>
  <c r="S1296" i="1"/>
  <c r="S1297" i="1" a="1"/>
  <c r="S1297" i="1" s="1"/>
  <c r="S1298" i="1" a="1"/>
  <c r="S1298" i="1" s="1"/>
  <c r="S1299" i="1" a="1"/>
  <c r="S1299" i="1" s="1"/>
  <c r="S1300" i="1" a="1"/>
  <c r="S1300" i="1"/>
  <c r="S1301" i="1" a="1"/>
  <c r="S1301" i="1" s="1"/>
  <c r="S1302" i="1" a="1"/>
  <c r="S1302" i="1"/>
  <c r="S1303" i="1" a="1"/>
  <c r="S1303" i="1" s="1"/>
  <c r="S1304" i="1" a="1"/>
  <c r="S1304" i="1" s="1"/>
  <c r="S1305" i="1" a="1"/>
  <c r="S1305" i="1" s="1"/>
  <c r="S1306" i="1" a="1"/>
  <c r="S1306" i="1" s="1"/>
  <c r="S1307" i="1" a="1"/>
  <c r="S1307" i="1" s="1"/>
  <c r="S1308" i="1" a="1"/>
  <c r="S1308" i="1" s="1"/>
  <c r="S1309" i="1" a="1"/>
  <c r="S1309" i="1" s="1"/>
  <c r="S1310" i="1" a="1"/>
  <c r="S1310" i="1" s="1"/>
  <c r="S1311" i="1" a="1"/>
  <c r="S1311" i="1" s="1"/>
  <c r="S1312" i="1" a="1"/>
  <c r="S1312" i="1" s="1"/>
  <c r="S1313" i="1" a="1"/>
  <c r="S1313" i="1" s="1"/>
  <c r="S1314" i="1" a="1"/>
  <c r="S1314" i="1" s="1"/>
  <c r="S1315" i="1" a="1"/>
  <c r="S1315" i="1" s="1"/>
  <c r="S1316" i="1" a="1"/>
  <c r="S1316" i="1" s="1"/>
  <c r="S1317" i="1" a="1"/>
  <c r="S1317" i="1" s="1"/>
  <c r="S1318" i="1" a="1"/>
  <c r="S1318" i="1" s="1"/>
  <c r="S1319" i="1" a="1"/>
  <c r="S1319" i="1" s="1"/>
  <c r="S1320" i="1" a="1"/>
  <c r="S1320" i="1" s="1"/>
  <c r="S1321" i="1" a="1"/>
  <c r="S1321" i="1" s="1"/>
  <c r="S1322" i="1" a="1"/>
  <c r="S1322" i="1" s="1"/>
  <c r="S1323" i="1" a="1"/>
  <c r="S1323" i="1"/>
  <c r="S1324" i="1" a="1"/>
  <c r="S1324" i="1" s="1"/>
  <c r="S1325" i="1" a="1"/>
  <c r="S1325" i="1" s="1"/>
  <c r="S1326" i="1" a="1"/>
  <c r="S1326" i="1" s="1"/>
  <c r="S1327" i="1" a="1"/>
  <c r="S1327" i="1" s="1"/>
  <c r="S1328" i="1" a="1"/>
  <c r="S1328" i="1" s="1"/>
  <c r="S1329" i="1" a="1"/>
  <c r="S1329" i="1" s="1"/>
  <c r="S1330" i="1" a="1"/>
  <c r="S1330" i="1" s="1"/>
  <c r="S1331" i="1" a="1"/>
  <c r="S1331" i="1" s="1"/>
  <c r="S1332" i="1" a="1"/>
  <c r="S1332" i="1"/>
  <c r="S1333" i="1" a="1"/>
  <c r="S1333" i="1" s="1"/>
  <c r="S1334" i="1" a="1"/>
  <c r="S1334" i="1" s="1"/>
  <c r="S1335" i="1" a="1"/>
  <c r="S1335" i="1" s="1"/>
  <c r="S1336" i="1" a="1"/>
  <c r="S1336" i="1" s="1"/>
  <c r="S1337" i="1" a="1"/>
  <c r="S1337" i="1" s="1"/>
  <c r="S1338" i="1" a="1"/>
  <c r="S1338" i="1" s="1"/>
  <c r="S1339" i="1" a="1"/>
  <c r="S1339" i="1" s="1"/>
  <c r="S1340" i="1" a="1"/>
  <c r="S1340" i="1" s="1"/>
  <c r="S1341" i="1" a="1"/>
  <c r="S1341" i="1" s="1"/>
  <c r="S1342" i="1" a="1"/>
  <c r="S1342" i="1"/>
  <c r="S1343" i="1" a="1"/>
  <c r="S1343" i="1" s="1"/>
  <c r="S1344" i="1" a="1"/>
  <c r="S1344" i="1" s="1"/>
  <c r="S1345" i="1" a="1"/>
  <c r="S1345" i="1" s="1"/>
  <c r="S1346" i="1" a="1"/>
  <c r="S1346" i="1"/>
  <c r="S1347" i="1" a="1"/>
  <c r="S1347" i="1" s="1"/>
  <c r="S1348" i="1" a="1"/>
  <c r="S1348" i="1" s="1"/>
  <c r="S1349" i="1" a="1"/>
  <c r="S1349" i="1" s="1"/>
  <c r="S1350" i="1" a="1"/>
  <c r="S1350" i="1" s="1"/>
  <c r="S1351" i="1" a="1"/>
  <c r="S1351" i="1" s="1"/>
  <c r="S1352" i="1" a="1"/>
  <c r="S1352" i="1" s="1"/>
  <c r="S1353" i="1" a="1"/>
  <c r="S1353" i="1" s="1"/>
  <c r="S1354" i="1" a="1"/>
  <c r="S1354" i="1" s="1"/>
  <c r="S1355" i="1" a="1"/>
  <c r="S1355" i="1" s="1"/>
  <c r="S1356" i="1" a="1"/>
  <c r="S1356" i="1" s="1"/>
  <c r="S1357" i="1" a="1"/>
  <c r="S1357" i="1" s="1"/>
  <c r="S1358" i="1" a="1"/>
  <c r="S1358" i="1" s="1"/>
  <c r="S1359" i="1" a="1"/>
  <c r="S1359" i="1" s="1"/>
  <c r="S1360" i="1" a="1"/>
  <c r="S1360" i="1" s="1"/>
  <c r="S1361" i="1" a="1"/>
  <c r="S1361" i="1" s="1"/>
  <c r="S1362" i="1" a="1"/>
  <c r="S1362" i="1" s="1"/>
  <c r="S1363" i="1" a="1"/>
  <c r="S1363" i="1" s="1"/>
  <c r="S1364" i="1" a="1"/>
  <c r="S1364" i="1"/>
  <c r="S1365" i="1" a="1"/>
  <c r="S1365" i="1" s="1"/>
  <c r="S1366" i="1" a="1"/>
  <c r="S1366" i="1" s="1"/>
  <c r="S1367" i="1" a="1"/>
  <c r="S1367" i="1" s="1"/>
  <c r="S1368" i="1" a="1"/>
  <c r="S1368" i="1" s="1"/>
  <c r="S1369" i="1" a="1"/>
  <c r="S1369" i="1" s="1"/>
  <c r="S1370" i="1" a="1"/>
  <c r="S1370" i="1"/>
  <c r="S1371" i="1" a="1"/>
  <c r="S1371" i="1" s="1"/>
  <c r="S1372" i="1" a="1"/>
  <c r="S1372" i="1" s="1"/>
  <c r="S1373" i="1" a="1"/>
  <c r="S1373" i="1" s="1"/>
  <c r="S1374" i="1" a="1"/>
  <c r="S1374" i="1" s="1"/>
  <c r="S1375" i="1" a="1"/>
  <c r="S1375" i="1"/>
  <c r="S1376" i="1" a="1"/>
  <c r="S1376" i="1" s="1"/>
  <c r="S1377" i="1" a="1"/>
  <c r="S1377" i="1" s="1"/>
  <c r="S1378" i="1" a="1"/>
  <c r="S1378" i="1"/>
  <c r="S1379" i="1" a="1"/>
  <c r="S1379" i="1" s="1"/>
  <c r="S1380" i="1" a="1"/>
  <c r="S1380" i="1" s="1"/>
  <c r="S1381" i="1" a="1"/>
  <c r="S1381" i="1" s="1"/>
  <c r="S1382" i="1" a="1"/>
  <c r="S1382" i="1" s="1"/>
  <c r="S1383" i="1" a="1"/>
  <c r="S1383" i="1" s="1"/>
  <c r="S1384" i="1" a="1"/>
  <c r="S1384" i="1"/>
  <c r="S1385" i="1" a="1"/>
  <c r="S1385" i="1" s="1"/>
  <c r="S1386" i="1" a="1"/>
  <c r="S1386" i="1"/>
  <c r="S1387" i="1" a="1"/>
  <c r="S1387" i="1" s="1"/>
  <c r="S1388" i="1" a="1"/>
  <c r="S1388" i="1" s="1"/>
  <c r="S1389" i="1" a="1"/>
  <c r="S1389" i="1" s="1"/>
  <c r="S1390" i="1" a="1"/>
  <c r="S1390" i="1" s="1"/>
  <c r="S1391" i="1" a="1"/>
  <c r="S1391" i="1" s="1"/>
  <c r="S1392" i="1" a="1"/>
  <c r="S1392" i="1"/>
  <c r="S1393" i="1" a="1"/>
  <c r="S1393" i="1" s="1"/>
  <c r="S1394" i="1" a="1"/>
  <c r="S1394" i="1" s="1"/>
  <c r="S1395" i="1" a="1"/>
  <c r="S1395" i="1" s="1"/>
  <c r="S1396" i="1" a="1"/>
  <c r="S1396" i="1" s="1"/>
  <c r="S1397" i="1" a="1"/>
  <c r="S1397" i="1" s="1"/>
  <c r="S1398" i="1" a="1"/>
  <c r="S1398" i="1" s="1"/>
  <c r="S1399" i="1" a="1"/>
  <c r="S1399" i="1" s="1"/>
  <c r="S1400" i="1" a="1"/>
  <c r="S1400" i="1" s="1"/>
  <c r="S1401" i="1" a="1"/>
  <c r="S1401" i="1" s="1"/>
  <c r="S1402" i="1" a="1"/>
  <c r="S1402" i="1" s="1"/>
  <c r="S1403" i="1" a="1"/>
  <c r="S1403" i="1" s="1"/>
  <c r="S1404" i="1" a="1"/>
  <c r="S1404" i="1" s="1"/>
  <c r="S1405" i="1" a="1"/>
  <c r="S1405" i="1" s="1"/>
  <c r="S1406" i="1" a="1"/>
  <c r="S1406" i="1"/>
  <c r="S1407" i="1" a="1"/>
  <c r="S1407" i="1" s="1"/>
  <c r="S1408" i="1" a="1"/>
  <c r="S1408" i="1" s="1"/>
  <c r="S1409" i="1" a="1"/>
  <c r="S1409" i="1" s="1"/>
  <c r="S1410" i="1" a="1"/>
  <c r="S1410" i="1" s="1"/>
  <c r="S1411" i="1" a="1"/>
  <c r="S1411" i="1"/>
  <c r="S1412" i="1" a="1"/>
  <c r="S1412" i="1" s="1"/>
  <c r="S1413" i="1" a="1"/>
  <c r="S1413" i="1" s="1"/>
  <c r="S1414" i="1" a="1"/>
  <c r="S1414" i="1" s="1"/>
  <c r="S1415" i="1" a="1"/>
  <c r="S1415" i="1" s="1"/>
  <c r="S1416" i="1" a="1"/>
  <c r="S1416" i="1" s="1"/>
  <c r="S1417" i="1" a="1"/>
  <c r="S1417" i="1" s="1"/>
  <c r="S1418" i="1" a="1"/>
  <c r="S1418" i="1"/>
  <c r="S1419" i="1" a="1"/>
  <c r="S1419" i="1" s="1"/>
  <c r="S1420" i="1" a="1"/>
  <c r="S1420" i="1" s="1"/>
  <c r="S1421" i="1" a="1"/>
  <c r="S1421" i="1" s="1"/>
  <c r="S1422" i="1" a="1"/>
  <c r="S1422" i="1" s="1"/>
  <c r="S1423" i="1" a="1"/>
  <c r="S1423" i="1" s="1"/>
  <c r="S1424" i="1" a="1"/>
  <c r="S1424" i="1" s="1"/>
  <c r="S1425" i="1" a="1"/>
  <c r="S1425" i="1" s="1"/>
  <c r="S1426" i="1" a="1"/>
  <c r="S1426" i="1" s="1"/>
  <c r="S1427" i="1" a="1"/>
  <c r="S1427" i="1" s="1"/>
  <c r="S1428" i="1" a="1"/>
  <c r="S1428" i="1"/>
  <c r="S1429" i="1" a="1"/>
  <c r="S1429" i="1" s="1"/>
  <c r="S1430" i="1" a="1"/>
  <c r="S1430" i="1" s="1"/>
  <c r="S1431" i="1" a="1"/>
  <c r="S1431" i="1" s="1"/>
  <c r="S1432" i="1" a="1"/>
  <c r="S1432" i="1" s="1"/>
  <c r="S1433" i="1" a="1"/>
  <c r="S1433" i="1" s="1"/>
  <c r="S1434" i="1" a="1"/>
  <c r="S1434" i="1" s="1"/>
  <c r="S1435" i="1" a="1"/>
  <c r="S1435" i="1" s="1"/>
  <c r="S1436" i="1" a="1"/>
  <c r="S1436" i="1" s="1"/>
  <c r="S1437" i="1" a="1"/>
  <c r="S1437" i="1" s="1"/>
  <c r="S1438" i="1" a="1"/>
  <c r="S1438" i="1" s="1"/>
  <c r="S1439" i="1" a="1"/>
  <c r="S1439" i="1" s="1"/>
  <c r="S1440" i="1" a="1"/>
  <c r="S1440" i="1" s="1"/>
  <c r="S1441" i="1" a="1"/>
  <c r="S1441" i="1" s="1"/>
  <c r="S1442" i="1" a="1"/>
  <c r="S1442" i="1" s="1"/>
  <c r="S1443" i="1" a="1"/>
  <c r="S1443" i="1" s="1"/>
  <c r="S1444" i="1" a="1"/>
  <c r="S1444" i="1" s="1"/>
  <c r="S1445" i="1" a="1"/>
  <c r="S1445" i="1" s="1"/>
  <c r="S1446" i="1" a="1"/>
  <c r="S1446" i="1" s="1"/>
  <c r="S1447" i="1" a="1"/>
  <c r="S1447" i="1"/>
  <c r="S1448" i="1" a="1"/>
  <c r="S1448" i="1" s="1"/>
  <c r="S1449" i="1" a="1"/>
  <c r="S1449" i="1" s="1"/>
  <c r="S1450" i="1" a="1"/>
  <c r="S1450" i="1" s="1"/>
  <c r="S1451" i="1" a="1"/>
  <c r="S1451" i="1"/>
  <c r="S1452" i="1" a="1"/>
  <c r="S1452" i="1" s="1"/>
  <c r="S1453" i="1" a="1"/>
  <c r="S1453" i="1" s="1"/>
  <c r="S1454" i="1" a="1"/>
  <c r="S1454" i="1" s="1"/>
  <c r="S1455" i="1" a="1"/>
  <c r="S1455" i="1" s="1"/>
  <c r="S1456" i="1" a="1"/>
  <c r="S1456" i="1" s="1"/>
  <c r="S1457" i="1" a="1"/>
  <c r="S1457" i="1" s="1"/>
  <c r="S1458" i="1" a="1"/>
  <c r="S1458" i="1" s="1"/>
  <c r="S1459" i="1" a="1"/>
  <c r="S1459" i="1" s="1"/>
  <c r="S1460" i="1" a="1"/>
  <c r="S1460" i="1"/>
  <c r="S1461" i="1" a="1"/>
  <c r="S1461" i="1" s="1"/>
  <c r="S1462" i="1" a="1"/>
  <c r="S1462" i="1" s="1"/>
  <c r="S1463" i="1" a="1"/>
  <c r="S1463" i="1" s="1"/>
  <c r="S1464" i="1" a="1"/>
  <c r="S1464" i="1" s="1"/>
  <c r="S1465" i="1" a="1"/>
  <c r="S1465" i="1" s="1"/>
  <c r="S1466" i="1" a="1"/>
  <c r="S1466" i="1" s="1"/>
  <c r="S1467" i="1" a="1"/>
  <c r="S1467" i="1" s="1"/>
  <c r="S1468" i="1" a="1"/>
  <c r="S1468" i="1" s="1"/>
  <c r="S1469" i="1" a="1"/>
  <c r="S1469" i="1" s="1"/>
  <c r="S1470" i="1" a="1"/>
  <c r="S1470" i="1" s="1"/>
  <c r="S1471" i="1" a="1"/>
  <c r="S1471" i="1" s="1"/>
  <c r="S1472" i="1" a="1"/>
  <c r="S1472" i="1" s="1"/>
  <c r="S1473" i="1" a="1"/>
  <c r="S1473" i="1" s="1"/>
  <c r="S1474" i="1" a="1"/>
  <c r="S1474" i="1"/>
  <c r="S1475" i="1" a="1"/>
  <c r="S1475" i="1"/>
  <c r="S1476" i="1" a="1"/>
  <c r="S1476" i="1" s="1"/>
  <c r="S1477" i="1" a="1"/>
  <c r="S1477" i="1" s="1"/>
  <c r="S1478" i="1" a="1"/>
  <c r="S1478" i="1" s="1"/>
  <c r="S1479" i="1" a="1"/>
  <c r="S1479" i="1" s="1"/>
  <c r="S1480" i="1" a="1"/>
  <c r="S1480" i="1" s="1"/>
  <c r="S1481" i="1" a="1"/>
  <c r="S1481" i="1" s="1"/>
  <c r="S1482" i="1" a="1"/>
  <c r="S1482" i="1" s="1"/>
  <c r="S1483" i="1" a="1"/>
  <c r="S1483" i="1"/>
  <c r="S1484" i="1" a="1"/>
  <c r="S1484" i="1" s="1"/>
  <c r="S1485" i="1" a="1"/>
  <c r="S1485" i="1" s="1"/>
  <c r="S1486" i="1" a="1"/>
  <c r="S1486" i="1" s="1"/>
  <c r="S1487" i="1" a="1"/>
  <c r="S1487" i="1" s="1"/>
  <c r="S1488" i="1" a="1"/>
  <c r="S1488" i="1" s="1"/>
  <c r="S1489" i="1" a="1"/>
  <c r="S1489" i="1" s="1"/>
  <c r="S1490" i="1" a="1"/>
  <c r="S1490" i="1" s="1"/>
  <c r="S1491" i="1" a="1"/>
  <c r="S1491" i="1"/>
  <c r="S1492" i="1" a="1"/>
  <c r="S1492" i="1" s="1"/>
  <c r="S1493" i="1" a="1"/>
  <c r="S1493" i="1" s="1"/>
  <c r="S1494" i="1" a="1"/>
  <c r="S1494" i="1" s="1"/>
  <c r="S1495" i="1" a="1"/>
  <c r="S1495" i="1" s="1"/>
  <c r="S1496" i="1" a="1"/>
  <c r="S1496" i="1" s="1"/>
  <c r="S1497" i="1" a="1"/>
  <c r="S1497" i="1" s="1"/>
  <c r="S1498" i="1" a="1"/>
  <c r="S1498" i="1" s="1"/>
  <c r="S1499" i="1" a="1"/>
  <c r="S1499" i="1" s="1"/>
  <c r="S1500" i="1" a="1"/>
  <c r="S1500" i="1" s="1"/>
  <c r="S1501" i="1" a="1"/>
  <c r="S1501" i="1" s="1"/>
  <c r="S1502" i="1" a="1"/>
  <c r="S1502" i="1" s="1"/>
  <c r="S1503" i="1" a="1"/>
  <c r="S1503" i="1" s="1"/>
  <c r="S1504" i="1" a="1"/>
  <c r="S1504" i="1" s="1"/>
  <c r="S1505" i="1" a="1"/>
  <c r="S1505" i="1" s="1"/>
  <c r="S1506" i="1" a="1"/>
  <c r="S1506" i="1" s="1"/>
  <c r="S1507" i="1" a="1"/>
  <c r="S1507" i="1" s="1"/>
  <c r="S1508" i="1" a="1"/>
  <c r="S1508" i="1" s="1"/>
  <c r="S1509" i="1" a="1"/>
  <c r="S1509" i="1" s="1"/>
  <c r="S1510" i="1" a="1"/>
  <c r="S1510" i="1" s="1"/>
  <c r="S1511" i="1" a="1"/>
  <c r="S1511" i="1"/>
  <c r="S1512" i="1" a="1"/>
  <c r="S1512" i="1" s="1"/>
  <c r="S1513" i="1" a="1"/>
  <c r="S1513" i="1" s="1"/>
  <c r="S1514" i="1" a="1"/>
  <c r="S1514" i="1"/>
  <c r="S1515" i="1" a="1"/>
  <c r="S1515" i="1" s="1"/>
  <c r="S1516" i="1" a="1"/>
  <c r="S1516" i="1"/>
  <c r="S1517" i="1" a="1"/>
  <c r="S1517" i="1" s="1"/>
  <c r="S1518" i="1" a="1"/>
  <c r="S1518" i="1" s="1"/>
  <c r="S1519" i="1" a="1"/>
  <c r="S1519" i="1" s="1"/>
  <c r="S1520" i="1" a="1"/>
  <c r="S1520" i="1" s="1"/>
  <c r="S1521" i="1" a="1"/>
  <c r="S1521" i="1" s="1"/>
  <c r="S1522" i="1" a="1"/>
  <c r="S1522" i="1" s="1"/>
  <c r="S1523" i="1" a="1"/>
  <c r="S1523" i="1"/>
  <c r="S1524" i="1" a="1"/>
  <c r="S1524" i="1"/>
  <c r="S1525" i="1" a="1"/>
  <c r="S1525" i="1" s="1"/>
  <c r="S1526" i="1" a="1"/>
  <c r="S1526" i="1" s="1"/>
  <c r="S1527" i="1" a="1"/>
  <c r="S1527" i="1" s="1"/>
  <c r="S1528" i="1" a="1"/>
  <c r="S1528" i="1" s="1"/>
  <c r="S1529" i="1" a="1"/>
  <c r="S1529" i="1" s="1"/>
  <c r="S1530" i="1" a="1"/>
  <c r="S1530" i="1" s="1"/>
  <c r="S1531" i="1" a="1"/>
  <c r="S1531" i="1" s="1"/>
  <c r="S1532" i="1" a="1"/>
  <c r="S1532" i="1" s="1"/>
  <c r="S1533" i="1" a="1"/>
  <c r="S1533" i="1" s="1"/>
  <c r="S1534" i="1" a="1"/>
  <c r="S1534" i="1"/>
  <c r="S1535" i="1" a="1"/>
  <c r="S1535" i="1" s="1"/>
  <c r="S1536" i="1" a="1"/>
  <c r="S1536" i="1" s="1"/>
  <c r="S1537" i="1" a="1"/>
  <c r="S1537" i="1" s="1"/>
  <c r="S1538" i="1" a="1"/>
  <c r="S1538" i="1" s="1"/>
  <c r="S1539" i="1" a="1"/>
  <c r="S1539" i="1"/>
  <c r="S1540" i="1" a="1"/>
  <c r="S1540" i="1" s="1"/>
  <c r="S1541" i="1" a="1"/>
  <c r="S1541" i="1" s="1"/>
  <c r="S1542" i="1" a="1"/>
  <c r="S1542" i="1" s="1"/>
  <c r="S1543" i="1" a="1"/>
  <c r="S1543" i="1" s="1"/>
  <c r="S1544" i="1" a="1"/>
  <c r="S1544" i="1" s="1"/>
  <c r="S1545" i="1" a="1"/>
  <c r="S1545" i="1" s="1"/>
  <c r="S1546" i="1" a="1"/>
  <c r="S1546" i="1" s="1"/>
  <c r="S1547" i="1" a="1"/>
  <c r="S1547" i="1"/>
  <c r="S1548" i="1" a="1"/>
  <c r="S1548" i="1" s="1"/>
  <c r="S1549" i="1" a="1"/>
  <c r="S1549" i="1" s="1"/>
  <c r="S1550" i="1" a="1"/>
  <c r="S1550" i="1" s="1"/>
  <c r="S1551" i="1" a="1"/>
  <c r="S1551" i="1" s="1"/>
  <c r="S1552" i="1" a="1"/>
  <c r="S1552" i="1" s="1"/>
  <c r="S1553" i="1" a="1"/>
  <c r="S1553" i="1" s="1"/>
  <c r="S1554" i="1" a="1"/>
  <c r="S1554" i="1" s="1"/>
  <c r="S1555" i="1" a="1"/>
  <c r="S1555" i="1" s="1"/>
  <c r="S1556" i="1" a="1"/>
  <c r="S1556" i="1" s="1"/>
  <c r="S1557" i="1" a="1"/>
  <c r="S1557" i="1" s="1"/>
  <c r="S1558" i="1" a="1"/>
  <c r="S1558" i="1" s="1"/>
  <c r="S1559" i="1" a="1"/>
  <c r="S1559" i="1" s="1"/>
  <c r="S1560" i="1" a="1"/>
  <c r="S1560" i="1" s="1"/>
  <c r="S1561" i="1" a="1"/>
  <c r="S1561" i="1" s="1"/>
  <c r="S1562" i="1" a="1"/>
  <c r="S1562" i="1"/>
  <c r="S1563" i="1" a="1"/>
  <c r="S1563" i="1" s="1"/>
  <c r="S1564" i="1" a="1"/>
  <c r="S1564" i="1"/>
  <c r="S1565" i="1" a="1"/>
  <c r="S1565" i="1" s="1"/>
  <c r="S1566" i="1" a="1"/>
  <c r="S1566" i="1" s="1"/>
  <c r="S1567" i="1" a="1"/>
  <c r="S1567" i="1" s="1"/>
  <c r="S1568" i="1" a="1"/>
  <c r="S1568" i="1" s="1"/>
  <c r="S1569" i="1" a="1"/>
  <c r="S1569" i="1" s="1"/>
  <c r="S1570" i="1" a="1"/>
  <c r="S1570" i="1" s="1"/>
  <c r="S1571" i="1" a="1"/>
  <c r="S1571" i="1" s="1"/>
  <c r="S1572" i="1" a="1"/>
  <c r="S1572" i="1" s="1"/>
  <c r="S1573" i="1" a="1"/>
  <c r="S1573" i="1" s="1"/>
  <c r="S1574" i="1" a="1"/>
  <c r="S1574" i="1" s="1"/>
  <c r="S1575" i="1" a="1"/>
  <c r="S1575" i="1" s="1"/>
  <c r="S1576" i="1" a="1"/>
  <c r="S1576" i="1" s="1"/>
  <c r="S1577" i="1" a="1"/>
  <c r="S1577" i="1" s="1"/>
  <c r="S1578" i="1" a="1"/>
  <c r="S1578" i="1" s="1"/>
  <c r="S1579" i="1" a="1"/>
  <c r="S1579" i="1"/>
  <c r="S1580" i="1" a="1"/>
  <c r="S1580" i="1" s="1"/>
  <c r="S1581" i="1" a="1"/>
  <c r="S1581" i="1" s="1"/>
  <c r="S1582" i="1" a="1"/>
  <c r="S1582" i="1" s="1"/>
  <c r="S1583" i="1" a="1"/>
  <c r="S1583" i="1" s="1"/>
  <c r="S1584" i="1" a="1"/>
  <c r="S1584" i="1" s="1"/>
  <c r="S1585" i="1" a="1"/>
  <c r="S1585" i="1" s="1"/>
  <c r="S1586" i="1" a="1"/>
  <c r="S1586" i="1" s="1"/>
  <c r="S1587" i="1" a="1"/>
  <c r="S1587" i="1" s="1"/>
  <c r="S1588" i="1" a="1"/>
  <c r="S1588" i="1" s="1"/>
  <c r="S1589" i="1" a="1"/>
  <c r="S1589" i="1" s="1"/>
  <c r="S1590" i="1" a="1"/>
  <c r="S1590" i="1" s="1"/>
  <c r="S1591" i="1" a="1"/>
  <c r="S1591" i="1" s="1"/>
  <c r="S1592" i="1" a="1"/>
  <c r="S1592" i="1" s="1"/>
  <c r="S1593" i="1" a="1"/>
  <c r="S1593" i="1" s="1"/>
  <c r="S1594" i="1" a="1"/>
  <c r="S1594" i="1" s="1"/>
  <c r="S1595" i="1" a="1"/>
  <c r="S1595" i="1" s="1"/>
  <c r="S1596" i="1" a="1"/>
  <c r="S1596" i="1" s="1"/>
  <c r="S1597" i="1" a="1"/>
  <c r="S1597" i="1" s="1"/>
  <c r="S1598" i="1" a="1"/>
  <c r="S1598" i="1" s="1"/>
  <c r="S1599" i="1" a="1"/>
  <c r="S1599" i="1"/>
  <c r="S1600" i="1" a="1"/>
  <c r="S1600" i="1" s="1"/>
  <c r="S1601" i="1" a="1"/>
  <c r="S1601" i="1" s="1"/>
  <c r="S1602" i="1" a="1"/>
  <c r="S1602" i="1"/>
  <c r="S1603" i="1" a="1"/>
  <c r="S1603" i="1" s="1"/>
  <c r="S1604" i="1" a="1"/>
  <c r="S1604" i="1" s="1"/>
  <c r="S1605" i="1" a="1"/>
  <c r="S1605" i="1" s="1"/>
  <c r="S1606" i="1" a="1"/>
  <c r="S1606" i="1" s="1"/>
  <c r="S1607" i="1" a="1"/>
  <c r="S1607" i="1"/>
  <c r="S1608" i="1" a="1"/>
  <c r="S1608" i="1" s="1"/>
  <c r="S1609" i="1" a="1"/>
  <c r="S1609" i="1" s="1"/>
  <c r="S1610" i="1" a="1"/>
  <c r="S1610" i="1" s="1"/>
  <c r="S1611" i="1" a="1"/>
  <c r="S1611" i="1" s="1"/>
  <c r="S1612" i="1" a="1"/>
  <c r="S1612" i="1"/>
  <c r="S1613" i="1" a="1"/>
  <c r="S1613" i="1" s="1"/>
  <c r="S1614" i="1" a="1"/>
  <c r="S1614" i="1" s="1"/>
  <c r="S1615" i="1" a="1"/>
  <c r="S1615" i="1" s="1"/>
  <c r="S1616" i="1" a="1"/>
  <c r="S1616" i="1" s="1"/>
  <c r="S1617" i="1" a="1"/>
  <c r="S1617" i="1" s="1"/>
  <c r="S1618" i="1" a="1"/>
  <c r="S1618" i="1" s="1"/>
  <c r="S1619" i="1" a="1"/>
  <c r="S1619" i="1" s="1"/>
  <c r="S1620" i="1" a="1"/>
  <c r="S1620" i="1" s="1"/>
  <c r="S1621" i="1" a="1"/>
  <c r="S1621" i="1" s="1"/>
  <c r="S1622" i="1" a="1"/>
  <c r="S1622" i="1" s="1"/>
  <c r="S1623" i="1" a="1"/>
  <c r="S1623" i="1" s="1"/>
  <c r="S1624" i="1" a="1"/>
  <c r="S1624" i="1" s="1"/>
  <c r="S1625" i="1" a="1"/>
  <c r="S1625" i="1" s="1"/>
  <c r="S1626" i="1" a="1"/>
  <c r="S1626" i="1" s="1"/>
  <c r="S1627" i="1" a="1"/>
  <c r="S1627" i="1" s="1"/>
  <c r="S1628" i="1" a="1"/>
  <c r="S1628" i="1" s="1"/>
  <c r="S1629" i="1" a="1"/>
  <c r="S1629" i="1" s="1"/>
  <c r="S1630" i="1" a="1"/>
  <c r="S1630" i="1" s="1"/>
  <c r="S1631" i="1" a="1"/>
  <c r="S1631" i="1" s="1"/>
  <c r="S1632" i="1" a="1"/>
  <c r="S1632" i="1" s="1"/>
  <c r="S1633" i="1" a="1"/>
  <c r="S1633" i="1" s="1"/>
  <c r="S1634" i="1" a="1"/>
  <c r="S1634" i="1" s="1"/>
  <c r="S1635" i="1" a="1"/>
  <c r="S1635" i="1" s="1"/>
  <c r="S1636" i="1" a="1"/>
  <c r="S1636" i="1" s="1"/>
  <c r="S1637" i="1" a="1"/>
  <c r="S1637" i="1" s="1"/>
  <c r="S1638" i="1" a="1"/>
  <c r="S1638" i="1" s="1"/>
  <c r="S1639" i="1" a="1"/>
  <c r="S1639" i="1" s="1"/>
  <c r="S1640" i="1" a="1"/>
  <c r="S1640" i="1" s="1"/>
  <c r="S1641" i="1" a="1"/>
  <c r="S1641" i="1" s="1"/>
  <c r="S1642" i="1" a="1"/>
  <c r="S1642" i="1" s="1"/>
  <c r="S1643" i="1" a="1"/>
  <c r="S1643" i="1"/>
  <c r="S1644" i="1" a="1"/>
  <c r="S1644" i="1" s="1"/>
  <c r="S1645" i="1" a="1"/>
  <c r="S1645" i="1" s="1"/>
  <c r="S1646" i="1" a="1"/>
  <c r="S1646" i="1" s="1"/>
  <c r="S1647" i="1" a="1"/>
  <c r="S1647" i="1" s="1"/>
  <c r="S1648" i="1" a="1"/>
  <c r="S1648" i="1" s="1"/>
  <c r="S1649" i="1" a="1"/>
  <c r="S1649" i="1" s="1"/>
  <c r="S1650" i="1" a="1"/>
  <c r="S1650" i="1" s="1"/>
  <c r="S1651" i="1" a="1"/>
  <c r="S1651" i="1" s="1"/>
  <c r="S1652" i="1" a="1"/>
  <c r="S1652" i="1" s="1"/>
  <c r="S1653" i="1" a="1"/>
  <c r="S1653" i="1" s="1"/>
  <c r="S1654" i="1" a="1"/>
  <c r="S1654" i="1" s="1"/>
  <c r="S1655" i="1" a="1"/>
  <c r="S1655" i="1" s="1"/>
  <c r="S1656" i="1" a="1"/>
  <c r="S1656" i="1" s="1"/>
  <c r="S1657" i="1" a="1"/>
  <c r="S1657" i="1" s="1"/>
  <c r="S1658" i="1" a="1"/>
  <c r="S1658" i="1" s="1"/>
  <c r="S1659" i="1" a="1"/>
  <c r="S1659" i="1" s="1"/>
  <c r="S1660" i="1" a="1"/>
  <c r="S1660" i="1" s="1"/>
  <c r="S1661" i="1" a="1"/>
  <c r="S1661" i="1" s="1"/>
  <c r="S1662" i="1" a="1"/>
  <c r="S1662" i="1"/>
  <c r="S1663" i="1" a="1"/>
  <c r="S1663" i="1" s="1"/>
  <c r="S1664" i="1" a="1"/>
  <c r="S1664" i="1"/>
  <c r="S1665" i="1" a="1"/>
  <c r="S1665" i="1" s="1"/>
  <c r="S1666" i="1" a="1"/>
  <c r="S1666" i="1"/>
  <c r="S1667" i="1" a="1"/>
  <c r="S1667" i="1" s="1"/>
  <c r="S1668" i="1" a="1"/>
  <c r="S1668" i="1" s="1"/>
  <c r="S1669" i="1" a="1"/>
  <c r="S1669" i="1" s="1"/>
  <c r="S1670" i="1" a="1"/>
  <c r="S1670" i="1" s="1"/>
  <c r="S1671" i="1" a="1"/>
  <c r="S1671" i="1" s="1"/>
  <c r="S1672" i="1" a="1"/>
  <c r="S1672" i="1" s="1"/>
  <c r="S1673" i="1" a="1"/>
  <c r="S1673" i="1"/>
  <c r="S1674" i="1" a="1"/>
  <c r="S1674" i="1" s="1"/>
  <c r="S1675" i="1" a="1"/>
  <c r="S1675" i="1"/>
  <c r="S1676" i="1" a="1"/>
  <c r="S1676" i="1" s="1"/>
  <c r="S1677" i="1" a="1"/>
  <c r="S1677" i="1" s="1"/>
  <c r="S1678" i="1" a="1"/>
  <c r="S1678" i="1" s="1"/>
  <c r="S1679" i="1" a="1"/>
  <c r="S1679" i="1" s="1"/>
  <c r="S1680" i="1" a="1"/>
  <c r="S1680" i="1" s="1"/>
  <c r="S1681" i="1" a="1"/>
  <c r="S1681" i="1" s="1"/>
  <c r="S1682" i="1" a="1"/>
  <c r="S1682" i="1" s="1"/>
  <c r="S1683" i="1" a="1"/>
  <c r="S1683" i="1" s="1"/>
  <c r="S1684" i="1" a="1"/>
  <c r="S1684" i="1" s="1"/>
  <c r="S1685" i="1" a="1"/>
  <c r="S1685" i="1" s="1"/>
  <c r="S1686" i="1" a="1"/>
  <c r="S1686" i="1" s="1"/>
  <c r="S1687" i="1" a="1"/>
  <c r="S1687" i="1"/>
  <c r="S1688" i="1" a="1"/>
  <c r="S1688" i="1" s="1"/>
  <c r="S1689" i="1" a="1"/>
  <c r="S1689" i="1" s="1"/>
  <c r="S1690" i="1" a="1"/>
  <c r="S1690" i="1" s="1"/>
  <c r="S1691" i="1" a="1"/>
  <c r="S1691" i="1" s="1"/>
  <c r="S1692" i="1" a="1"/>
  <c r="S1692" i="1" s="1"/>
  <c r="S1693" i="1" a="1"/>
  <c r="S1693" i="1" s="1"/>
  <c r="S1694" i="1" a="1"/>
  <c r="S1694" i="1" s="1"/>
  <c r="S1695" i="1" a="1"/>
  <c r="S1695" i="1" s="1"/>
  <c r="S1696" i="1" a="1"/>
  <c r="S1696" i="1" s="1"/>
  <c r="S1697" i="1" a="1"/>
  <c r="S1697" i="1" s="1"/>
  <c r="S1698" i="1" a="1"/>
  <c r="S1698" i="1" s="1"/>
  <c r="S1699" i="1" a="1"/>
  <c r="S1699" i="1" s="1"/>
  <c r="S1700" i="1" a="1"/>
  <c r="S1700" i="1" s="1"/>
  <c r="S1701" i="1" a="1"/>
  <c r="S1701" i="1"/>
  <c r="S1702" i="1" a="1"/>
  <c r="S1702" i="1" s="1"/>
  <c r="S1703" i="1" a="1"/>
  <c r="S1703" i="1" s="1"/>
  <c r="S1704" i="1" a="1"/>
  <c r="S1704" i="1" s="1"/>
  <c r="S1705" i="1" a="1"/>
  <c r="S1705" i="1" s="1"/>
  <c r="S1706" i="1" a="1"/>
  <c r="S1706" i="1" s="1"/>
  <c r="S1707" i="1" a="1"/>
  <c r="S1707" i="1" s="1"/>
  <c r="S1708" i="1" a="1"/>
  <c r="S1708" i="1"/>
  <c r="S1709" i="1" a="1"/>
  <c r="S1709" i="1" s="1"/>
  <c r="S1710" i="1" a="1"/>
  <c r="S1710" i="1" s="1"/>
  <c r="S1711" i="1" a="1"/>
  <c r="S1711" i="1" s="1"/>
  <c r="S1712" i="1" a="1"/>
  <c r="S1712" i="1" s="1"/>
  <c r="S1713" i="1" a="1"/>
  <c r="S1713" i="1" s="1"/>
  <c r="S1714" i="1" a="1"/>
  <c r="S1714" i="1" s="1"/>
  <c r="S1715" i="1" a="1"/>
  <c r="S1715" i="1"/>
  <c r="S1716" i="1" a="1"/>
  <c r="S1716" i="1"/>
  <c r="S1717" i="1" a="1"/>
  <c r="S1717" i="1"/>
  <c r="S1718" i="1" a="1"/>
  <c r="S1718" i="1" s="1"/>
  <c r="S1719" i="1" a="1"/>
  <c r="S1719" i="1" s="1"/>
  <c r="S1720" i="1" a="1"/>
  <c r="S1720" i="1" s="1"/>
  <c r="S1721" i="1" a="1"/>
  <c r="S1721" i="1" s="1"/>
  <c r="S1722" i="1" a="1"/>
  <c r="S1722" i="1" s="1"/>
  <c r="S1723" i="1" a="1"/>
  <c r="S1723" i="1" s="1"/>
  <c r="S1724" i="1" a="1"/>
  <c r="S1724" i="1"/>
  <c r="S1725" i="1" a="1"/>
  <c r="S1725" i="1" s="1"/>
  <c r="S1726" i="1" a="1"/>
  <c r="S1726" i="1" s="1"/>
  <c r="S1727" i="1" a="1"/>
  <c r="S1727" i="1" s="1"/>
  <c r="S1728" i="1" a="1"/>
  <c r="S1728" i="1" s="1"/>
  <c r="S1729" i="1" a="1"/>
  <c r="S1729" i="1" s="1"/>
  <c r="S1730" i="1" a="1"/>
  <c r="S1730" i="1" s="1"/>
  <c r="S1731" i="1" a="1"/>
  <c r="S1731" i="1" s="1"/>
  <c r="S1732" i="1" a="1"/>
  <c r="S1732" i="1" s="1"/>
  <c r="S1733" i="1" a="1"/>
  <c r="S1733" i="1" s="1"/>
  <c r="S1734" i="1" a="1"/>
  <c r="S1734" i="1" s="1"/>
  <c r="S1735" i="1" a="1"/>
  <c r="S1735" i="1" s="1"/>
  <c r="S1736" i="1" a="1"/>
  <c r="S1736" i="1" s="1"/>
  <c r="S1737" i="1" a="1"/>
  <c r="S1737" i="1" s="1"/>
  <c r="S1738" i="1" a="1"/>
  <c r="S1738" i="1" s="1"/>
  <c r="S1739" i="1" a="1"/>
  <c r="S1739" i="1" s="1"/>
  <c r="S1740" i="1" a="1"/>
  <c r="S1740" i="1"/>
  <c r="S1741" i="1" a="1"/>
  <c r="S1741" i="1" s="1"/>
  <c r="S1742" i="1" a="1"/>
  <c r="S1742" i="1" s="1"/>
  <c r="S1743" i="1" a="1"/>
  <c r="S1743" i="1" s="1"/>
  <c r="S1744" i="1" a="1"/>
  <c r="S1744" i="1" s="1"/>
  <c r="S1745" i="1" a="1"/>
  <c r="S1745" i="1" s="1"/>
  <c r="S1746" i="1" a="1"/>
  <c r="S1746" i="1" s="1"/>
  <c r="S1747" i="1" a="1"/>
  <c r="S1747" i="1" s="1"/>
  <c r="S1748" i="1" a="1"/>
  <c r="S1748" i="1"/>
  <c r="S1749" i="1" a="1"/>
  <c r="S1749" i="1" s="1"/>
  <c r="S1750" i="1" a="1"/>
  <c r="S1750" i="1" s="1"/>
  <c r="S1751" i="1" a="1"/>
  <c r="S1751" i="1" s="1"/>
  <c r="S1752" i="1" a="1"/>
  <c r="S1752" i="1" s="1"/>
  <c r="S1753" i="1" a="1"/>
  <c r="S1753" i="1" s="1"/>
  <c r="S1754" i="1" a="1"/>
  <c r="S1754" i="1" s="1"/>
  <c r="S1755" i="1" a="1"/>
  <c r="S1755" i="1" s="1"/>
  <c r="S1756" i="1" a="1"/>
  <c r="S1756" i="1" s="1"/>
  <c r="S1757" i="1" a="1"/>
  <c r="S1757" i="1" s="1"/>
  <c r="S1758" i="1" a="1"/>
  <c r="S1758" i="1" s="1"/>
  <c r="S1759" i="1" a="1"/>
  <c r="S1759" i="1" s="1"/>
  <c r="S1760" i="1" a="1"/>
  <c r="S1760" i="1"/>
  <c r="S1761" i="1" a="1"/>
  <c r="S1761" i="1" s="1"/>
  <c r="S1762" i="1" a="1"/>
  <c r="S1762" i="1" s="1"/>
  <c r="S1763" i="1" a="1"/>
  <c r="S1763" i="1" s="1"/>
  <c r="S1764" i="1" a="1"/>
  <c r="S1764" i="1" s="1"/>
  <c r="S1765" i="1" a="1"/>
  <c r="S1765" i="1" s="1"/>
  <c r="S1766" i="1" a="1"/>
  <c r="S1766" i="1" s="1"/>
  <c r="S1767" i="1" a="1"/>
  <c r="S1767" i="1" s="1"/>
  <c r="S1768" i="1" a="1"/>
  <c r="S1768" i="1" s="1"/>
  <c r="S1769" i="1" a="1"/>
  <c r="S1769" i="1"/>
  <c r="S1770" i="1" a="1"/>
  <c r="S1770" i="1" s="1"/>
  <c r="S1771" i="1" a="1"/>
  <c r="S1771" i="1" s="1"/>
  <c r="S1772" i="1" a="1"/>
  <c r="S1772" i="1"/>
  <c r="S1773" i="1" a="1"/>
  <c r="S1773" i="1" s="1"/>
  <c r="S1774" i="1" a="1"/>
  <c r="S1774" i="1" s="1"/>
  <c r="S1775" i="1" a="1"/>
  <c r="S1775" i="1" s="1"/>
  <c r="S1776" i="1" a="1"/>
  <c r="S1776" i="1" s="1"/>
  <c r="S1777" i="1" a="1"/>
  <c r="S1777" i="1" s="1"/>
  <c r="S1778" i="1" a="1"/>
  <c r="S1778" i="1" s="1"/>
  <c r="S1779" i="1" a="1"/>
  <c r="S1779" i="1"/>
  <c r="S1780" i="1" a="1"/>
  <c r="S1780" i="1"/>
  <c r="S1781" i="1" a="1"/>
  <c r="S1781" i="1"/>
  <c r="S1782" i="1" a="1"/>
  <c r="S1782" i="1" s="1"/>
  <c r="S1783" i="1" a="1"/>
  <c r="S1783" i="1" s="1"/>
  <c r="S1784" i="1" a="1"/>
  <c r="S1784" i="1" s="1"/>
  <c r="S1785" i="1" a="1"/>
  <c r="S1785" i="1" s="1"/>
  <c r="S1786" i="1" a="1"/>
  <c r="S1786" i="1" s="1"/>
  <c r="S1787" i="1" a="1"/>
  <c r="S1787" i="1" s="1"/>
  <c r="S1788" i="1" a="1"/>
  <c r="S1788" i="1"/>
  <c r="S1789" i="1" a="1"/>
  <c r="S1789" i="1" s="1"/>
  <c r="S1790" i="1" a="1"/>
  <c r="S1790" i="1" s="1"/>
  <c r="S1791" i="1" a="1"/>
  <c r="S1791" i="1" s="1"/>
  <c r="S1792" i="1" a="1"/>
  <c r="S1792" i="1"/>
  <c r="S1793" i="1" a="1"/>
  <c r="S1793" i="1" s="1"/>
  <c r="S1794" i="1" a="1"/>
  <c r="S1794" i="1" s="1"/>
  <c r="S1795" i="1" a="1"/>
  <c r="S1795" i="1" s="1"/>
  <c r="S1796" i="1" a="1"/>
  <c r="S1796" i="1" s="1"/>
  <c r="S1797" i="1" a="1"/>
  <c r="S1797" i="1"/>
  <c r="S1798" i="1" a="1"/>
  <c r="S1798" i="1" s="1"/>
  <c r="S1799" i="1" a="1"/>
  <c r="S1799" i="1" s="1"/>
  <c r="S1800" i="1" a="1"/>
  <c r="S1800" i="1" s="1"/>
  <c r="S1801" i="1" a="1"/>
  <c r="S1801" i="1" s="1"/>
  <c r="S1802" i="1" a="1"/>
  <c r="S1802" i="1" s="1"/>
  <c r="S1803" i="1" a="1"/>
  <c r="S1803" i="1"/>
  <c r="S1804" i="1" a="1"/>
  <c r="S1804" i="1"/>
  <c r="S1805" i="1" a="1"/>
  <c r="S1805" i="1" s="1"/>
  <c r="S1806" i="1" a="1"/>
  <c r="S1806" i="1" s="1"/>
  <c r="S1807" i="1" a="1"/>
  <c r="S1807" i="1" s="1"/>
  <c r="S1808" i="1" a="1"/>
  <c r="S1808" i="1" s="1"/>
  <c r="S1809" i="1" a="1"/>
  <c r="S1809" i="1" s="1"/>
  <c r="S1810" i="1" a="1"/>
  <c r="S1810" i="1" s="1"/>
  <c r="S1811" i="1" a="1"/>
  <c r="S1811" i="1" s="1"/>
  <c r="S1812" i="1" a="1"/>
  <c r="S1812" i="1"/>
  <c r="S1813" i="1" a="1"/>
  <c r="S1813" i="1" s="1"/>
  <c r="S1814" i="1" a="1"/>
  <c r="S1814" i="1" s="1"/>
  <c r="S1815" i="1" a="1"/>
  <c r="S1815" i="1"/>
  <c r="S1816" i="1" a="1"/>
  <c r="S1816" i="1" s="1"/>
  <c r="S1817" i="1" a="1"/>
  <c r="S1817" i="1" s="1"/>
  <c r="S1818" i="1" a="1"/>
  <c r="S1818" i="1" s="1"/>
  <c r="S1819" i="1" a="1"/>
  <c r="S1819" i="1" s="1"/>
  <c r="S1820" i="1" a="1"/>
  <c r="S1820" i="1" s="1"/>
  <c r="S1821" i="1" a="1"/>
  <c r="S1821" i="1" s="1"/>
  <c r="S1822" i="1" a="1"/>
  <c r="S1822" i="1" s="1"/>
  <c r="S1823" i="1" a="1"/>
  <c r="S1823" i="1" s="1"/>
  <c r="S1824" i="1" a="1"/>
  <c r="S1824" i="1"/>
  <c r="S1825" i="1" a="1"/>
  <c r="S1825" i="1" s="1"/>
  <c r="S1826" i="1" a="1"/>
  <c r="S1826" i="1" s="1"/>
  <c r="S1827" i="1" a="1"/>
  <c r="S1827" i="1" s="1"/>
  <c r="S1828" i="1" a="1"/>
  <c r="S1828" i="1" s="1"/>
  <c r="S1829" i="1" a="1"/>
  <c r="S1829" i="1" s="1"/>
  <c r="S1830" i="1" a="1"/>
  <c r="S1830" i="1" s="1"/>
  <c r="S1831" i="1" a="1"/>
  <c r="S1831" i="1" s="1"/>
  <c r="S1832" i="1" a="1"/>
  <c r="S1832" i="1" s="1"/>
  <c r="S1833" i="1" a="1"/>
  <c r="S1833" i="1" s="1"/>
  <c r="S1834" i="1" a="1"/>
  <c r="S1834" i="1" s="1"/>
  <c r="S1835" i="1" a="1"/>
  <c r="S1835" i="1" s="1"/>
  <c r="S1836" i="1" a="1"/>
  <c r="S1836" i="1" s="1"/>
  <c r="S1837" i="1" a="1"/>
  <c r="S1837" i="1" s="1"/>
  <c r="S1838" i="1" a="1"/>
  <c r="S1838" i="1" s="1"/>
  <c r="S1839" i="1" a="1"/>
  <c r="S1839" i="1" s="1"/>
  <c r="S1840" i="1" a="1"/>
  <c r="S1840" i="1" s="1"/>
  <c r="S1841" i="1" a="1"/>
  <c r="S1841" i="1" s="1"/>
  <c r="S1842" i="1" a="1"/>
  <c r="S1842" i="1" s="1"/>
  <c r="S1843" i="1" a="1"/>
  <c r="S1843" i="1" s="1"/>
  <c r="S1844" i="1" a="1"/>
  <c r="S1844" i="1"/>
  <c r="S1845" i="1" a="1"/>
  <c r="S1845" i="1"/>
  <c r="S1846" i="1" a="1"/>
  <c r="S1846" i="1" s="1"/>
  <c r="S1847" i="1" a="1"/>
  <c r="S1847" i="1" s="1"/>
  <c r="S1848" i="1" a="1"/>
  <c r="S1848" i="1" s="1"/>
  <c r="S1849" i="1" a="1"/>
  <c r="S1849" i="1" s="1"/>
  <c r="S1850" i="1" a="1"/>
  <c r="S1850" i="1" s="1"/>
  <c r="S1851" i="1" a="1"/>
  <c r="S1851" i="1" s="1"/>
  <c r="S1852" i="1" a="1"/>
  <c r="S1852" i="1"/>
  <c r="S1853" i="1" a="1"/>
  <c r="S1853" i="1" s="1"/>
  <c r="S1854" i="1" a="1"/>
  <c r="S1854" i="1" s="1"/>
  <c r="S1855" i="1" a="1"/>
  <c r="S1855" i="1" s="1"/>
  <c r="S1856" i="1" a="1"/>
  <c r="S1856" i="1" s="1"/>
  <c r="S1857" i="1" a="1"/>
  <c r="S1857" i="1" s="1"/>
  <c r="S1858" i="1" a="1"/>
  <c r="S1858" i="1" s="1"/>
  <c r="S1859" i="1" a="1"/>
  <c r="S1859" i="1" s="1"/>
  <c r="S1860" i="1" a="1"/>
  <c r="S1860" i="1" s="1"/>
  <c r="S1861" i="1" a="1"/>
  <c r="S1861" i="1"/>
  <c r="S1862" i="1" a="1"/>
  <c r="S1862" i="1" s="1"/>
  <c r="S1863" i="1" a="1"/>
  <c r="S1863" i="1" s="1"/>
  <c r="S1864" i="1" a="1"/>
  <c r="S1864" i="1" s="1"/>
  <c r="S1865" i="1" a="1"/>
  <c r="S1865" i="1" s="1"/>
  <c r="S1866" i="1" a="1"/>
  <c r="S1866" i="1" s="1"/>
  <c r="S1867" i="1" a="1"/>
  <c r="S1867" i="1"/>
  <c r="S1868" i="1" a="1"/>
  <c r="S1868" i="1"/>
  <c r="S1869" i="1" a="1"/>
  <c r="S1869" i="1" s="1"/>
  <c r="S1870" i="1" a="1"/>
  <c r="S1870" i="1" s="1"/>
  <c r="S1871" i="1" a="1"/>
  <c r="S1871" i="1" s="1"/>
  <c r="S1872" i="1" a="1"/>
  <c r="S1872" i="1" s="1"/>
  <c r="S1873" i="1" a="1"/>
  <c r="S1873" i="1" s="1"/>
  <c r="S1874" i="1" a="1"/>
  <c r="S1874" i="1" s="1"/>
  <c r="S1875" i="1" a="1"/>
  <c r="S1875" i="1"/>
  <c r="S1876" i="1" a="1"/>
  <c r="S1876" i="1"/>
  <c r="S1877" i="1" a="1"/>
  <c r="S1877" i="1" s="1"/>
  <c r="S1878" i="1" a="1"/>
  <c r="S1878" i="1" s="1"/>
  <c r="S1879" i="1" a="1"/>
  <c r="S1879" i="1" s="1"/>
  <c r="S1880" i="1" a="1"/>
  <c r="S1880" i="1" s="1"/>
  <c r="S1881" i="1" a="1"/>
  <c r="S1881" i="1" s="1"/>
  <c r="S1882" i="1" a="1"/>
  <c r="S1882" i="1" s="1"/>
  <c r="S1883" i="1" a="1"/>
  <c r="S1883" i="1" s="1"/>
  <c r="S1884" i="1" a="1"/>
  <c r="S1884" i="1" s="1"/>
  <c r="S1885" i="1" a="1"/>
  <c r="S1885" i="1"/>
  <c r="S1886" i="1" a="1"/>
  <c r="S1886" i="1" s="1"/>
  <c r="S1887" i="1" a="1"/>
  <c r="S1887" i="1" s="1"/>
  <c r="S1888" i="1" a="1"/>
  <c r="S1888" i="1"/>
  <c r="S1889" i="1" a="1"/>
  <c r="S1889" i="1" s="1"/>
  <c r="S1890" i="1" a="1"/>
  <c r="S1890" i="1" s="1"/>
  <c r="S1891" i="1" a="1"/>
  <c r="S1891" i="1"/>
  <c r="S1892" i="1" a="1"/>
  <c r="S1892" i="1" s="1"/>
  <c r="S1893" i="1" a="1"/>
  <c r="S1893" i="1" s="1"/>
  <c r="S1894" i="1" a="1"/>
  <c r="S1894" i="1" s="1"/>
  <c r="S1895" i="1" a="1"/>
  <c r="S1895" i="1" s="1"/>
  <c r="S1896" i="1" a="1"/>
  <c r="S1896" i="1" s="1"/>
  <c r="S1897" i="1" a="1"/>
  <c r="S1897" i="1" s="1"/>
  <c r="S1898" i="1" a="1"/>
  <c r="S1898" i="1" s="1"/>
  <c r="S1899" i="1" a="1"/>
  <c r="S1899" i="1"/>
  <c r="S1900" i="1" a="1"/>
  <c r="S1900" i="1"/>
  <c r="S1901" i="1" a="1"/>
  <c r="S1901" i="1" s="1"/>
  <c r="S1902" i="1" a="1"/>
  <c r="S1902" i="1" s="1"/>
  <c r="S1903" i="1" a="1"/>
  <c r="S1903" i="1" s="1"/>
  <c r="S1904" i="1" a="1"/>
  <c r="S1904" i="1" s="1"/>
  <c r="S1905" i="1" a="1"/>
  <c r="S1905" i="1" s="1"/>
  <c r="S1906" i="1" a="1"/>
  <c r="S1906" i="1" s="1"/>
  <c r="S1907" i="1" a="1"/>
  <c r="S1907" i="1"/>
  <c r="S1908" i="1" a="1"/>
  <c r="S1908" i="1" s="1"/>
  <c r="S1909" i="1" a="1"/>
  <c r="S1909" i="1"/>
  <c r="S1910" i="1" a="1"/>
  <c r="S1910" i="1" s="1"/>
  <c r="S1911" i="1" a="1"/>
  <c r="S1911" i="1"/>
  <c r="S1912" i="1" a="1"/>
  <c r="S1912" i="1" s="1"/>
  <c r="S1913" i="1" a="1"/>
  <c r="S1913" i="1" s="1"/>
  <c r="S1914" i="1" a="1"/>
  <c r="S1914" i="1" s="1"/>
  <c r="S1915" i="1" a="1"/>
  <c r="S1915" i="1" s="1"/>
  <c r="S1916" i="1" a="1"/>
  <c r="S1916" i="1" s="1"/>
  <c r="S1917" i="1" a="1"/>
  <c r="S1917" i="1"/>
  <c r="S1918" i="1" a="1"/>
  <c r="S1918" i="1" s="1"/>
  <c r="S1919" i="1" a="1"/>
  <c r="S1919" i="1" s="1"/>
  <c r="S1920" i="1" a="1"/>
  <c r="S1920" i="1" s="1"/>
  <c r="S1921" i="1" a="1"/>
  <c r="S1921" i="1" s="1"/>
  <c r="S1922" i="1" a="1"/>
  <c r="S1922" i="1" s="1"/>
  <c r="S1923" i="1" a="1"/>
  <c r="S1923" i="1"/>
  <c r="S1924" i="1" a="1"/>
  <c r="S1924" i="1" s="1"/>
  <c r="S1925" i="1" a="1"/>
  <c r="S1925" i="1" s="1"/>
  <c r="S1926" i="1" a="1"/>
  <c r="S1926" i="1" s="1"/>
  <c r="S1927" i="1" a="1"/>
  <c r="S1927" i="1" s="1"/>
  <c r="S1928" i="1" a="1"/>
  <c r="S1928" i="1" s="1"/>
  <c r="S1929" i="1" a="1"/>
  <c r="S1929" i="1"/>
  <c r="S1930" i="1" a="1"/>
  <c r="S1930" i="1" s="1"/>
  <c r="S1931" i="1" a="1"/>
  <c r="S1931" i="1" s="1"/>
  <c r="S1932" i="1" a="1"/>
  <c r="S1932" i="1"/>
  <c r="S1933" i="1" a="1"/>
  <c r="S1933" i="1" s="1"/>
  <c r="S1934" i="1" a="1"/>
  <c r="S1934" i="1" s="1"/>
  <c r="S1935" i="1" a="1"/>
  <c r="S1935" i="1" s="1"/>
  <c r="S1936" i="1" a="1"/>
  <c r="S1936" i="1" s="1"/>
  <c r="S1937" i="1" a="1"/>
  <c r="S1937" i="1" s="1"/>
  <c r="S1938" i="1" a="1"/>
  <c r="S1938" i="1" s="1"/>
  <c r="S1939" i="1" a="1"/>
  <c r="S1939" i="1"/>
  <c r="S1940" i="1" a="1"/>
  <c r="S1940" i="1"/>
  <c r="S1941" i="1" a="1"/>
  <c r="S1941" i="1" s="1"/>
  <c r="S1942" i="1" a="1"/>
  <c r="S1942" i="1" s="1"/>
  <c r="S1943" i="1" a="1"/>
  <c r="S1943" i="1" s="1"/>
  <c r="S1944" i="1" a="1"/>
  <c r="S1944" i="1" s="1"/>
  <c r="S1945" i="1" a="1"/>
  <c r="S1945" i="1" s="1"/>
  <c r="S1946" i="1" a="1"/>
  <c r="S1946" i="1" s="1"/>
  <c r="S1947" i="1" a="1"/>
  <c r="S1947" i="1" s="1"/>
  <c r="S1948" i="1" a="1"/>
  <c r="S1948" i="1" s="1"/>
  <c r="S1949" i="1" a="1"/>
  <c r="S1949" i="1" s="1"/>
  <c r="S1950" i="1" a="1"/>
  <c r="S1950" i="1" s="1"/>
  <c r="S1951" i="1" a="1"/>
  <c r="S1951" i="1" s="1"/>
  <c r="S1952" i="1" a="1"/>
  <c r="S1952" i="1"/>
  <c r="S1953" i="1" a="1"/>
  <c r="S1953" i="1" s="1"/>
  <c r="S1954" i="1" a="1"/>
  <c r="S1954" i="1" s="1"/>
  <c r="S1955" i="1" a="1"/>
  <c r="S1955" i="1" s="1"/>
  <c r="S1956" i="1" a="1"/>
  <c r="S1956" i="1" s="1"/>
  <c r="S1957" i="1" a="1"/>
  <c r="S1957" i="1" s="1"/>
  <c r="S1958" i="1" a="1"/>
  <c r="S1958" i="1" s="1"/>
  <c r="S1959" i="1" a="1"/>
  <c r="S1959" i="1" s="1"/>
  <c r="S1960" i="1" a="1"/>
  <c r="S1960" i="1" s="1"/>
  <c r="S1961" i="1" a="1"/>
  <c r="S1961" i="1" s="1"/>
  <c r="S1962" i="1" a="1"/>
  <c r="S1962" i="1" s="1"/>
  <c r="S1963" i="1" a="1"/>
  <c r="S1963" i="1" s="1"/>
  <c r="S1964" i="1" a="1"/>
  <c r="S1964" i="1"/>
  <c r="S1965" i="1" a="1"/>
  <c r="S1965" i="1" s="1"/>
  <c r="S1966" i="1" a="1"/>
  <c r="S1966" i="1" s="1"/>
  <c r="S1967" i="1" a="1"/>
  <c r="S1967" i="1" s="1"/>
  <c r="S1968" i="1" a="1"/>
  <c r="S1968" i="1" s="1"/>
  <c r="S1969" i="1" a="1"/>
  <c r="S1969" i="1" s="1"/>
  <c r="S1970" i="1" a="1"/>
  <c r="S1970" i="1" s="1"/>
  <c r="S1971" i="1" a="1"/>
  <c r="S1971" i="1"/>
  <c r="S1972" i="1" a="1"/>
  <c r="S1972" i="1" s="1"/>
  <c r="S1973" i="1" a="1"/>
  <c r="S1973" i="1" s="1"/>
  <c r="S1974" i="1" a="1"/>
  <c r="S1974" i="1" s="1"/>
  <c r="S1975" i="1" a="1"/>
  <c r="S1975" i="1"/>
  <c r="S1976" i="1" a="1"/>
  <c r="S1976" i="1" s="1"/>
  <c r="S1977" i="1" a="1"/>
  <c r="S1977" i="1" s="1"/>
  <c r="S1978" i="1" a="1"/>
  <c r="S1978" i="1" s="1"/>
  <c r="S1979" i="1" a="1"/>
  <c r="S1979" i="1" s="1"/>
  <c r="S1980" i="1" a="1"/>
  <c r="S1980" i="1"/>
  <c r="S1981" i="1" a="1"/>
  <c r="S1981" i="1"/>
  <c r="S1982" i="1" a="1"/>
  <c r="S1982" i="1" s="1"/>
  <c r="S1983" i="1" a="1"/>
  <c r="S1983" i="1" s="1"/>
  <c r="S1984" i="1" a="1"/>
  <c r="S1984" i="1" s="1"/>
  <c r="S1985" i="1" a="1"/>
  <c r="S1985" i="1" s="1"/>
  <c r="S1986" i="1" a="1"/>
  <c r="S1986" i="1" s="1"/>
  <c r="S1987" i="1" a="1"/>
  <c r="S1987" i="1"/>
  <c r="S1988" i="1" a="1"/>
  <c r="S1988" i="1" s="1"/>
  <c r="S1989" i="1" a="1"/>
  <c r="S1989" i="1" s="1"/>
  <c r="S1990" i="1" a="1"/>
  <c r="S1990" i="1" s="1"/>
  <c r="S1991" i="1" a="1"/>
  <c r="S1991" i="1" s="1"/>
  <c r="S1992" i="1" a="1"/>
  <c r="S1992" i="1" s="1"/>
  <c r="S1993" i="1" a="1"/>
  <c r="S1993" i="1" s="1"/>
  <c r="S1994" i="1" a="1"/>
  <c r="S1994" i="1" s="1"/>
  <c r="S1995" i="1" a="1"/>
  <c r="S1995" i="1"/>
  <c r="S1996" i="1" a="1"/>
  <c r="S1996" i="1" s="1"/>
  <c r="S1997" i="1" a="1"/>
  <c r="S1997" i="1" s="1"/>
  <c r="S1998" i="1" a="1"/>
  <c r="S1998" i="1" s="1"/>
  <c r="S1999" i="1" a="1"/>
  <c r="S1999" i="1" s="1"/>
  <c r="S2000" i="1" a="1"/>
  <c r="S2000" i="1" s="1"/>
  <c r="S2001" i="1" a="1"/>
  <c r="S2001" i="1" s="1"/>
  <c r="S2002" i="1" a="1"/>
  <c r="S2002" i="1" s="1"/>
  <c r="S2003" i="1" a="1"/>
  <c r="S2003" i="1" s="1"/>
  <c r="S2004" i="1" a="1"/>
  <c r="S2004" i="1" s="1"/>
  <c r="S2005" i="1" a="1"/>
  <c r="S2005" i="1"/>
  <c r="S2006" i="1" a="1"/>
  <c r="S2006" i="1" s="1"/>
  <c r="S2007" i="1" a="1"/>
  <c r="S2007" i="1" s="1"/>
  <c r="S2008" i="1" a="1"/>
  <c r="S2008" i="1" s="1"/>
  <c r="S2009" i="1" a="1"/>
  <c r="S2009" i="1" s="1"/>
  <c r="S2010" i="1" a="1"/>
  <c r="S2010" i="1" s="1"/>
  <c r="S2011" i="1" a="1"/>
  <c r="S2011" i="1" s="1"/>
  <c r="S2012" i="1" a="1"/>
  <c r="S2012" i="1" s="1"/>
  <c r="S2013" i="1" a="1"/>
  <c r="S2013" i="1" s="1"/>
  <c r="S2014" i="1" a="1"/>
  <c r="S2014" i="1" s="1"/>
  <c r="S2015" i="1" a="1"/>
  <c r="S2015" i="1" s="1"/>
  <c r="S2016" i="1" a="1"/>
  <c r="S2016" i="1" s="1"/>
  <c r="S2017" i="1" a="1"/>
  <c r="S2017" i="1" s="1"/>
  <c r="S2018" i="1" a="1"/>
  <c r="S2018" i="1" s="1"/>
  <c r="S2019" i="1" a="1"/>
  <c r="S2019" i="1" s="1"/>
  <c r="S2020" i="1" a="1"/>
  <c r="S2020" i="1" s="1"/>
  <c r="S2021" i="1" a="1"/>
  <c r="S2021" i="1" s="1"/>
  <c r="S2022" i="1" a="1"/>
  <c r="S2022" i="1" s="1"/>
  <c r="S2023" i="1" a="1"/>
  <c r="S2023" i="1" s="1"/>
  <c r="S2024" i="1" a="1"/>
  <c r="S2024" i="1" s="1"/>
  <c r="S2025" i="1" a="1"/>
  <c r="S2025" i="1" s="1"/>
  <c r="S2026" i="1" a="1"/>
  <c r="S2026" i="1" s="1"/>
  <c r="S2027" i="1" a="1"/>
  <c r="S2027" i="1" s="1"/>
  <c r="S2028" i="1" a="1"/>
  <c r="S2028" i="1" s="1"/>
  <c r="S2029" i="1" a="1"/>
  <c r="S2029" i="1" s="1"/>
  <c r="S2030" i="1" a="1"/>
  <c r="S2030" i="1" s="1"/>
  <c r="S2031" i="1" a="1"/>
  <c r="S2031" i="1" s="1"/>
  <c r="S2032" i="1" a="1"/>
  <c r="S2032" i="1" s="1"/>
  <c r="S2033" i="1" a="1"/>
  <c r="S2033" i="1" s="1"/>
  <c r="S2034" i="1" a="1"/>
  <c r="S2034" i="1" s="1"/>
  <c r="S2035" i="1" a="1"/>
  <c r="S2035" i="1" s="1"/>
  <c r="S2036" i="1" a="1"/>
  <c r="S2036" i="1"/>
  <c r="S2037" i="1" a="1"/>
  <c r="S2037" i="1"/>
  <c r="S2038" i="1" a="1"/>
  <c r="S2038" i="1" s="1"/>
  <c r="S2039" i="1" a="1"/>
  <c r="S2039" i="1"/>
  <c r="S2040" i="1" a="1"/>
  <c r="S2040" i="1" s="1"/>
  <c r="S2041" i="1" a="1"/>
  <c r="S2041" i="1" s="1"/>
  <c r="S2042" i="1" a="1"/>
  <c r="S2042" i="1" s="1"/>
  <c r="S2043" i="1" a="1"/>
  <c r="S2043" i="1" s="1"/>
  <c r="S2044" i="1" a="1"/>
  <c r="S2044" i="1" s="1"/>
  <c r="S2045" i="1" a="1"/>
  <c r="S2045" i="1"/>
  <c r="S2046" i="1" a="1"/>
  <c r="S2046" i="1" s="1"/>
  <c r="S2047" i="1" a="1"/>
  <c r="S2047" i="1" s="1"/>
  <c r="S2048" i="1" a="1"/>
  <c r="S2048" i="1"/>
  <c r="S2049" i="1" a="1"/>
  <c r="S2049" i="1" s="1"/>
  <c r="S2050" i="1" a="1"/>
  <c r="S2050" i="1" s="1"/>
  <c r="S2051" i="1" a="1"/>
  <c r="S2051" i="1"/>
  <c r="S2052" i="1" a="1"/>
  <c r="S2052" i="1" s="1"/>
  <c r="S2053" i="1" a="1"/>
  <c r="S2053" i="1"/>
  <c r="S2054" i="1" a="1"/>
  <c r="S2054" i="1" s="1"/>
  <c r="S2055" i="1" a="1"/>
  <c r="S2055" i="1" s="1"/>
  <c r="S2056" i="1" a="1"/>
  <c r="S2056" i="1" s="1"/>
  <c r="S2057" i="1" a="1"/>
  <c r="S2057" i="1" s="1"/>
  <c r="S2058" i="1" a="1"/>
  <c r="S2058" i="1" s="1"/>
  <c r="S2059" i="1" a="1"/>
  <c r="S2059" i="1"/>
  <c r="S2060" i="1" a="1"/>
  <c r="S2060" i="1"/>
  <c r="S2061" i="1" a="1"/>
  <c r="S2061" i="1" s="1"/>
  <c r="S2062" i="1" a="1"/>
  <c r="S2062" i="1" s="1"/>
  <c r="S2063" i="1" a="1"/>
  <c r="S2063" i="1" s="1"/>
  <c r="S2064" i="1" a="1"/>
  <c r="S2064" i="1" s="1"/>
  <c r="S2065" i="1" a="1"/>
  <c r="S2065" i="1" s="1"/>
  <c r="S2066" i="1" a="1"/>
  <c r="S2066" i="1" s="1"/>
  <c r="S2067" i="1" a="1"/>
  <c r="S2067" i="1"/>
  <c r="S2068" i="1" a="1"/>
  <c r="S2068" i="1" s="1"/>
  <c r="S2069" i="1" a="1"/>
  <c r="S2069" i="1"/>
  <c r="S2070" i="1" a="1"/>
  <c r="S2070" i="1" s="1"/>
  <c r="S2071" i="1" a="1"/>
  <c r="S2071" i="1" s="1"/>
  <c r="S2072" i="1" a="1"/>
  <c r="S2072" i="1" s="1"/>
  <c r="S2073" i="1" a="1"/>
  <c r="S2073" i="1" s="1"/>
  <c r="S2074" i="1" a="1"/>
  <c r="S2074" i="1" s="1"/>
  <c r="S2075" i="1" a="1"/>
  <c r="S2075" i="1" s="1"/>
  <c r="S2076" i="1" a="1"/>
  <c r="S2076" i="1" s="1"/>
  <c r="S2077" i="1" a="1"/>
  <c r="S2077" i="1"/>
  <c r="S2078" i="1" a="1"/>
  <c r="S2078" i="1" s="1"/>
  <c r="S2079" i="1" a="1"/>
  <c r="S2079" i="1" s="1"/>
  <c r="S2080" i="1" a="1"/>
  <c r="S2080" i="1" s="1"/>
  <c r="S2081" i="1" a="1"/>
  <c r="S2081" i="1" s="1"/>
  <c r="S2082" i="1" a="1"/>
  <c r="S2082" i="1" s="1"/>
  <c r="S2083" i="1" a="1"/>
  <c r="S2083" i="1"/>
  <c r="S2084" i="1" a="1"/>
  <c r="S2084" i="1" s="1"/>
  <c r="S2085" i="1" a="1"/>
  <c r="S2085" i="1" s="1"/>
  <c r="S2086" i="1" a="1"/>
  <c r="S2086" i="1" s="1"/>
  <c r="S2087" i="1" a="1"/>
  <c r="S2087" i="1" s="1"/>
  <c r="S2088" i="1" a="1"/>
  <c r="S2088" i="1" s="1"/>
  <c r="S2089" i="1" a="1"/>
  <c r="S2089" i="1"/>
  <c r="S2090" i="1" a="1"/>
  <c r="S2090" i="1" s="1"/>
  <c r="S2091" i="1" a="1"/>
  <c r="S2091" i="1" s="1"/>
  <c r="S2092" i="1" a="1"/>
  <c r="S2092" i="1"/>
  <c r="S2093" i="1" a="1"/>
  <c r="S2093" i="1" s="1"/>
  <c r="S2094" i="1" a="1"/>
  <c r="S2094" i="1" s="1"/>
  <c r="S2095" i="1" a="1"/>
  <c r="S2095" i="1" s="1"/>
  <c r="S2096" i="1" a="1"/>
  <c r="S2096" i="1" s="1"/>
  <c r="S2097" i="1" a="1"/>
  <c r="S2097" i="1" s="1"/>
  <c r="S2098" i="1" a="1"/>
  <c r="S2098" i="1" s="1"/>
  <c r="S2099" i="1" a="1"/>
  <c r="S2099" i="1" s="1"/>
  <c r="S2100" i="1" a="1"/>
  <c r="S2100" i="1"/>
  <c r="S2101" i="1" a="1"/>
  <c r="S2101" i="1"/>
  <c r="S2102" i="1" a="1"/>
  <c r="S2102" i="1" s="1"/>
  <c r="S2103" i="1" a="1"/>
  <c r="S2103" i="1" s="1"/>
  <c r="S2104" i="1" a="1"/>
  <c r="S2104" i="1" s="1"/>
  <c r="S2105" i="1" a="1"/>
  <c r="S2105" i="1" s="1"/>
  <c r="S2106" i="1" a="1"/>
  <c r="S2106" i="1" s="1"/>
  <c r="S2107" i="1" a="1"/>
  <c r="S2107" i="1" s="1"/>
  <c r="S2108" i="1" a="1"/>
  <c r="S2108" i="1"/>
  <c r="S2109" i="1" a="1"/>
  <c r="S2109" i="1" s="1"/>
  <c r="S2110" i="1" a="1"/>
  <c r="S2110" i="1" s="1"/>
  <c r="S2111" i="1" a="1"/>
  <c r="S2111" i="1" s="1"/>
  <c r="S2112" i="1" a="1"/>
  <c r="S2112" i="1"/>
  <c r="S2113" i="1" a="1"/>
  <c r="S2113" i="1" s="1"/>
  <c r="S2114" i="1" a="1"/>
  <c r="S2114" i="1" s="1"/>
  <c r="S2115" i="1" a="1"/>
  <c r="S2115" i="1" s="1"/>
  <c r="S2116" i="1" a="1"/>
  <c r="S2116" i="1" s="1"/>
  <c r="S2117" i="1" a="1"/>
  <c r="S2117" i="1"/>
  <c r="S2118" i="1" a="1"/>
  <c r="S2118" i="1" s="1"/>
  <c r="S2119" i="1" a="1"/>
  <c r="S2119" i="1" s="1"/>
  <c r="S2120" i="1" a="1"/>
  <c r="S2120" i="1" s="1"/>
  <c r="S2121" i="1" a="1"/>
  <c r="S2121" i="1" s="1"/>
  <c r="S2122" i="1" a="1"/>
  <c r="S2122" i="1" s="1"/>
  <c r="S2123" i="1" a="1"/>
  <c r="S2123" i="1"/>
  <c r="S2124" i="1" a="1"/>
  <c r="S2124" i="1" s="1"/>
  <c r="S2125" i="1" a="1"/>
  <c r="S2125" i="1" s="1"/>
  <c r="S2126" i="1" a="1"/>
  <c r="S2126" i="1" s="1"/>
  <c r="S2127" i="1" a="1"/>
  <c r="S2127" i="1" s="1"/>
  <c r="S2128" i="1" a="1"/>
  <c r="S2128" i="1" s="1"/>
  <c r="S2129" i="1" a="1"/>
  <c r="S2129" i="1" s="1"/>
  <c r="S2130" i="1" a="1"/>
  <c r="S2130" i="1" s="1"/>
  <c r="S2131" i="1" a="1"/>
  <c r="S2131" i="1" s="1"/>
  <c r="S2132" i="1" a="1"/>
  <c r="S2132" i="1" s="1"/>
  <c r="S2133" i="1" a="1"/>
  <c r="S2133" i="1"/>
  <c r="S2134" i="1" a="1"/>
  <c r="S2134" i="1" s="1"/>
  <c r="S2135" i="1" a="1"/>
  <c r="S2135" i="1"/>
  <c r="S2136" i="1" a="1"/>
  <c r="S2136" i="1" s="1"/>
  <c r="S2137" i="1" a="1"/>
  <c r="S2137" i="1" s="1"/>
  <c r="S2138" i="1" a="1"/>
  <c r="S2138" i="1" s="1"/>
  <c r="S2139" i="1" a="1"/>
  <c r="S2139" i="1" s="1"/>
  <c r="S2140" i="1" a="1"/>
  <c r="S2140" i="1" s="1"/>
  <c r="S2141" i="1" a="1"/>
  <c r="S2141" i="1" s="1"/>
  <c r="S2142" i="1" a="1"/>
  <c r="S2142" i="1" s="1"/>
  <c r="S2143" i="1" a="1"/>
  <c r="S2143" i="1" s="1"/>
  <c r="S2144" i="1" a="1"/>
  <c r="S2144" i="1" s="1"/>
  <c r="S2145" i="1" a="1"/>
  <c r="S2145" i="1" s="1"/>
  <c r="S2146" i="1" a="1"/>
  <c r="S2146" i="1" s="1"/>
  <c r="S2147" i="1" a="1"/>
  <c r="S2147" i="1" s="1"/>
  <c r="S2148" i="1" a="1"/>
  <c r="S2148" i="1" s="1"/>
  <c r="S2149" i="1" a="1"/>
  <c r="S2149" i="1" s="1"/>
  <c r="S2150" i="1" a="1"/>
  <c r="S2150" i="1" s="1"/>
  <c r="S2151" i="1" a="1"/>
  <c r="S2151" i="1" s="1"/>
  <c r="S2152" i="1" a="1"/>
  <c r="S2152" i="1" s="1"/>
  <c r="S2153" i="1" a="1"/>
  <c r="S2153" i="1"/>
  <c r="S2154" i="1" a="1"/>
  <c r="S2154" i="1" s="1"/>
  <c r="S2155" i="1" a="1"/>
  <c r="S2155" i="1" s="1"/>
  <c r="S2156" i="1" a="1"/>
  <c r="S2156" i="1" s="1"/>
  <c r="S2157" i="1" a="1"/>
  <c r="S2157" i="1" s="1"/>
  <c r="S2158" i="1" a="1"/>
  <c r="S2158" i="1" s="1"/>
  <c r="S2159" i="1" a="1"/>
  <c r="S2159" i="1" s="1"/>
  <c r="S2160" i="1" a="1"/>
  <c r="S2160" i="1" s="1"/>
  <c r="S2161" i="1" a="1"/>
  <c r="S2161" i="1" s="1"/>
  <c r="S2162" i="1" a="1"/>
  <c r="S2162" i="1" s="1"/>
  <c r="S2163" i="1" a="1"/>
  <c r="S2163" i="1" s="1"/>
  <c r="S2164" i="1" a="1"/>
  <c r="S2164" i="1"/>
  <c r="S2165" i="1" a="1"/>
  <c r="S2165" i="1" s="1"/>
  <c r="S2166" i="1" a="1"/>
  <c r="S2166" i="1" s="1"/>
  <c r="S2167" i="1" a="1"/>
  <c r="S2167" i="1" s="1"/>
  <c r="S2168" i="1" a="1"/>
  <c r="S2168" i="1" s="1"/>
  <c r="S2169" i="1" a="1"/>
  <c r="S2169" i="1" s="1"/>
  <c r="S2170" i="1" a="1"/>
  <c r="S2170" i="1" s="1"/>
  <c r="S2171" i="1" a="1"/>
  <c r="S2171" i="1" s="1"/>
  <c r="S2172" i="1" a="1"/>
  <c r="S2172" i="1"/>
  <c r="S2173" i="1" a="1"/>
  <c r="S2173" i="1" s="1"/>
  <c r="S2174" i="1" a="1"/>
  <c r="S2174" i="1" s="1"/>
  <c r="S2175" i="1" a="1"/>
  <c r="S2175" i="1" s="1"/>
  <c r="S2176" i="1" a="1"/>
  <c r="S2176" i="1"/>
  <c r="S2177" i="1" a="1"/>
  <c r="S2177" i="1" s="1"/>
  <c r="S2178" i="1" a="1"/>
  <c r="S2178" i="1" s="1"/>
  <c r="S2179" i="1" a="1"/>
  <c r="S2179" i="1" s="1"/>
  <c r="S2180" i="1" a="1"/>
  <c r="S2180" i="1" s="1"/>
  <c r="S2181" i="1" a="1"/>
  <c r="S2181" i="1"/>
  <c r="S2182" i="1" a="1"/>
  <c r="S2182" i="1" s="1"/>
  <c r="S2183" i="1" a="1"/>
  <c r="S2183" i="1" s="1"/>
  <c r="S2184" i="1" a="1"/>
  <c r="S2184" i="1" s="1"/>
  <c r="S2185" i="1" a="1"/>
  <c r="S2185" i="1" s="1"/>
  <c r="S2186" i="1" a="1"/>
  <c r="S2186" i="1" s="1"/>
  <c r="S2187" i="1" a="1"/>
  <c r="S2187" i="1" s="1"/>
  <c r="S2188" i="1" a="1"/>
  <c r="S2188" i="1" s="1"/>
  <c r="S2189" i="1" a="1"/>
  <c r="S2189" i="1" s="1"/>
  <c r="S2190" i="1" a="1"/>
  <c r="S2190" i="1" s="1"/>
  <c r="S2191" i="1" a="1"/>
  <c r="S2191" i="1" s="1"/>
  <c r="S2192" i="1" a="1"/>
  <c r="S2192" i="1" s="1"/>
  <c r="S2193" i="1" a="1"/>
  <c r="S2193" i="1" s="1"/>
  <c r="S2194" i="1" a="1"/>
  <c r="S2194" i="1" s="1"/>
  <c r="S2195" i="1" a="1"/>
  <c r="S2195" i="1" s="1"/>
  <c r="S2196" i="1" a="1"/>
  <c r="S2196" i="1" s="1"/>
  <c r="S2197" i="1" a="1"/>
  <c r="S2197" i="1" s="1"/>
  <c r="S2198" i="1" a="1"/>
  <c r="S2198" i="1" s="1"/>
  <c r="S2199" i="1" a="1"/>
  <c r="S2199" i="1"/>
  <c r="S2200" i="1" a="1"/>
  <c r="S2200" i="1" s="1"/>
  <c r="S2201" i="1" a="1"/>
  <c r="S2201" i="1" s="1"/>
  <c r="S2202" i="1" a="1"/>
  <c r="S2202" i="1" s="1"/>
  <c r="S2203" i="1" a="1"/>
  <c r="S2203" i="1" s="1"/>
  <c r="S2204" i="1" a="1"/>
  <c r="S2204" i="1" s="1"/>
  <c r="S2205" i="1" a="1"/>
  <c r="S2205" i="1" s="1"/>
  <c r="S2206" i="1" a="1"/>
  <c r="S2206" i="1" s="1"/>
  <c r="S2207" i="1" a="1"/>
  <c r="S2207" i="1"/>
  <c r="S2208" i="1" a="1"/>
  <c r="S2208" i="1" s="1"/>
  <c r="S2209" i="1" a="1"/>
  <c r="S2209" i="1" s="1"/>
  <c r="S2210" i="1" a="1"/>
  <c r="S2210" i="1" s="1"/>
  <c r="S2211" i="1" a="1"/>
  <c r="S2211" i="1"/>
  <c r="S2212" i="1" a="1"/>
  <c r="S2212" i="1" s="1"/>
  <c r="S2213" i="1" a="1"/>
  <c r="S2213" i="1" s="1"/>
  <c r="S2214" i="1" a="1"/>
  <c r="S2214" i="1" s="1"/>
  <c r="S2215" i="1" a="1"/>
  <c r="S2215" i="1" s="1"/>
  <c r="S2216" i="1" a="1"/>
  <c r="S2216" i="1" s="1"/>
  <c r="S2217" i="1" a="1"/>
  <c r="S2217" i="1"/>
  <c r="S2218" i="1" a="1"/>
  <c r="S2218" i="1" s="1"/>
  <c r="S2219" i="1" a="1"/>
  <c r="S2219" i="1"/>
  <c r="S2220" i="1" a="1"/>
  <c r="S2220" i="1" s="1"/>
  <c r="S2221" i="1" a="1"/>
  <c r="S2221" i="1" s="1"/>
  <c r="S2222" i="1" a="1"/>
  <c r="S2222" i="1" s="1"/>
  <c r="S2223" i="1" a="1"/>
  <c r="S2223" i="1" s="1"/>
  <c r="S2224" i="1" a="1"/>
  <c r="S2224" i="1" s="1"/>
  <c r="S2225" i="1" a="1"/>
  <c r="S2225" i="1" s="1"/>
  <c r="S2226" i="1" a="1"/>
  <c r="S2226" i="1" s="1"/>
  <c r="S2227" i="1" a="1"/>
  <c r="S2227" i="1" s="1"/>
  <c r="S2228" i="1" a="1"/>
  <c r="S2228" i="1" s="1"/>
  <c r="S2229" i="1" a="1"/>
  <c r="S2229" i="1"/>
  <c r="S2230" i="1" a="1"/>
  <c r="S2230" i="1" s="1"/>
  <c r="S2231" i="1" a="1"/>
  <c r="S2231" i="1"/>
  <c r="S2232" i="1" a="1"/>
  <c r="S2232" i="1" s="1"/>
  <c r="S2233" i="1" a="1"/>
  <c r="S2233" i="1" s="1"/>
  <c r="S2234" i="1" a="1"/>
  <c r="S2234" i="1" s="1"/>
  <c r="S2235" i="1" a="1"/>
  <c r="S2235" i="1" s="1"/>
  <c r="S2236" i="1" a="1"/>
  <c r="S2236" i="1" s="1"/>
  <c r="S2237" i="1" a="1"/>
  <c r="S2237" i="1"/>
  <c r="S2238" i="1" a="1"/>
  <c r="S2238" i="1" s="1"/>
  <c r="S2239" i="1" a="1"/>
  <c r="S2239" i="1" s="1"/>
  <c r="S2240" i="1" a="1"/>
  <c r="S2240" i="1" s="1"/>
  <c r="S2241" i="1" a="1"/>
  <c r="S2241" i="1" s="1"/>
  <c r="S2242" i="1" a="1"/>
  <c r="S2242" i="1" s="1"/>
  <c r="S2243" i="1" a="1"/>
  <c r="S2243" i="1"/>
  <c r="S2244" i="1" a="1"/>
  <c r="S2244" i="1" s="1"/>
  <c r="S2245" i="1" a="1"/>
  <c r="S2245" i="1" s="1"/>
  <c r="S2246" i="1" a="1"/>
  <c r="S2246" i="1" s="1"/>
  <c r="S2247" i="1" a="1"/>
  <c r="S2247" i="1" s="1"/>
  <c r="S2248" i="1" a="1"/>
  <c r="S2248" i="1" s="1"/>
  <c r="S2249" i="1" a="1"/>
  <c r="S2249" i="1" s="1"/>
  <c r="S2250" i="1" a="1"/>
  <c r="S2250" i="1" s="1"/>
  <c r="S2251" i="1" a="1"/>
  <c r="S2251" i="1" s="1"/>
  <c r="S2252" i="1" a="1"/>
  <c r="S2252" i="1"/>
  <c r="S2253" i="1" a="1"/>
  <c r="S2253" i="1" s="1"/>
  <c r="S2254" i="1" a="1"/>
  <c r="S2254" i="1" s="1"/>
  <c r="S2255" i="1" a="1"/>
  <c r="S2255" i="1" s="1"/>
  <c r="S2256" i="1" a="1"/>
  <c r="S2256" i="1" s="1"/>
  <c r="S2257" i="1" a="1"/>
  <c r="S2257" i="1" s="1"/>
  <c r="S2258" i="1" a="1"/>
  <c r="S2258" i="1" s="1"/>
  <c r="S2259" i="1" a="1"/>
  <c r="S2259" i="1"/>
  <c r="S2260" i="1" a="1"/>
  <c r="S2260" i="1" s="1"/>
  <c r="S2261" i="1" a="1"/>
  <c r="S2261" i="1" s="1"/>
  <c r="S2262" i="1" a="1"/>
  <c r="S2262" i="1" s="1"/>
  <c r="S2263" i="1" a="1"/>
  <c r="S2263" i="1"/>
  <c r="S2264" i="1" a="1"/>
  <c r="S2264" i="1" s="1"/>
  <c r="S2265" i="1" a="1"/>
  <c r="S2265" i="1" s="1"/>
  <c r="S2266" i="1" a="1"/>
  <c r="S2266" i="1" s="1"/>
  <c r="S2267" i="1" a="1"/>
  <c r="S2267" i="1" s="1"/>
  <c r="S2268" i="1" a="1"/>
  <c r="S2268" i="1" s="1"/>
  <c r="S2269" i="1" a="1"/>
  <c r="S2269" i="1"/>
  <c r="S2270" i="1" a="1"/>
  <c r="S2270" i="1" s="1"/>
  <c r="S2271" i="1" a="1"/>
  <c r="S2271" i="1" s="1"/>
  <c r="S2272" i="1" a="1"/>
  <c r="S2272" i="1"/>
  <c r="S2273" i="1" a="1"/>
  <c r="S2273" i="1" s="1"/>
  <c r="S2274" i="1" a="1"/>
  <c r="S2274" i="1" s="1"/>
  <c r="S2275" i="1" a="1"/>
  <c r="S2275" i="1"/>
  <c r="S2276" i="1" a="1"/>
  <c r="S2276" i="1" s="1"/>
  <c r="S2277" i="1" a="1"/>
  <c r="S2277" i="1" s="1"/>
  <c r="S2278" i="1" a="1"/>
  <c r="S2278" i="1" s="1"/>
  <c r="S2279" i="1" a="1"/>
  <c r="S2279" i="1" s="1"/>
  <c r="S2280" i="1" a="1"/>
  <c r="S2280" i="1" s="1"/>
  <c r="S2281" i="1" a="1"/>
  <c r="S2281" i="1" s="1"/>
  <c r="S2282" i="1" a="1"/>
  <c r="S2282" i="1" s="1"/>
  <c r="S2283" i="1" a="1"/>
  <c r="S2283" i="1"/>
  <c r="S2284" i="1" a="1"/>
  <c r="S2284" i="1" s="1"/>
  <c r="S2285" i="1" a="1"/>
  <c r="S2285" i="1" s="1"/>
  <c r="S2286" i="1" a="1"/>
  <c r="S2286" i="1" s="1"/>
  <c r="S2287" i="1" a="1"/>
  <c r="S2287" i="1" s="1"/>
  <c r="S2288" i="1" a="1"/>
  <c r="S2288" i="1" s="1"/>
  <c r="S2289" i="1" a="1"/>
  <c r="S2289" i="1" s="1"/>
  <c r="S2290" i="1" a="1"/>
  <c r="S2290" i="1" s="1"/>
  <c r="S2291" i="1" a="1"/>
  <c r="S2291" i="1" s="1"/>
  <c r="S2292" i="1" a="1"/>
  <c r="S2292" i="1" s="1"/>
  <c r="S2293" i="1" a="1"/>
  <c r="S2293" i="1"/>
  <c r="S2294" i="1" a="1"/>
  <c r="S2294" i="1" s="1"/>
  <c r="S2295" i="1" a="1"/>
  <c r="S2295" i="1" s="1"/>
  <c r="S2296" i="1" a="1"/>
  <c r="S2296" i="1" s="1"/>
  <c r="S2297" i="1" a="1"/>
  <c r="S2297" i="1" s="1"/>
  <c r="S2298" i="1" a="1"/>
  <c r="S2298" i="1" s="1"/>
  <c r="S2299" i="1" a="1"/>
  <c r="S2299" i="1" s="1"/>
  <c r="S2300" i="1" a="1"/>
  <c r="S2300" i="1"/>
  <c r="S2301" i="1" a="1"/>
  <c r="S2301" i="1" s="1"/>
  <c r="S2302" i="1" a="1"/>
  <c r="S2302" i="1" s="1"/>
  <c r="S2303" i="1" a="1"/>
  <c r="S2303" i="1" s="1"/>
  <c r="S2304" i="1" a="1"/>
  <c r="S2304" i="1"/>
  <c r="S2305" i="1" a="1"/>
  <c r="S2305" i="1"/>
  <c r="S2306" i="1" a="1"/>
  <c r="S2306" i="1" s="1"/>
  <c r="S2307" i="1" a="1"/>
  <c r="S2307" i="1" s="1"/>
  <c r="S2308" i="1" a="1"/>
  <c r="S2308" i="1" s="1"/>
  <c r="S2309" i="1" a="1"/>
  <c r="S2309" i="1" s="1"/>
  <c r="S2310" i="1" a="1"/>
  <c r="S2310" i="1" s="1"/>
  <c r="S2311" i="1" a="1"/>
  <c r="S2311" i="1" s="1"/>
  <c r="S2312" i="1" a="1"/>
  <c r="S2312" i="1" s="1"/>
  <c r="S2313" i="1" a="1"/>
  <c r="S2313" i="1" s="1"/>
  <c r="S2314" i="1" a="1"/>
  <c r="S2314" i="1" s="1"/>
  <c r="S2315" i="1" a="1"/>
  <c r="S2315" i="1" s="1"/>
  <c r="S2316" i="1" a="1"/>
  <c r="S2316" i="1"/>
  <c r="S2317" i="1" a="1"/>
  <c r="S2317" i="1" s="1"/>
  <c r="S2318" i="1" a="1"/>
  <c r="S2318" i="1" s="1"/>
  <c r="S2319" i="1" a="1"/>
  <c r="S2319" i="1" s="1"/>
  <c r="S2320" i="1" a="1"/>
  <c r="S2320" i="1" s="1"/>
  <c r="S2321" i="1" a="1"/>
  <c r="S2321" i="1" s="1"/>
  <c r="S2322" i="1" a="1"/>
  <c r="S2322" i="1" s="1"/>
  <c r="S2323" i="1" a="1"/>
  <c r="S2323" i="1" s="1"/>
  <c r="S2324" i="1" a="1"/>
  <c r="S2324" i="1" s="1"/>
  <c r="S2325" i="1" a="1"/>
  <c r="S2325" i="1" s="1"/>
  <c r="S2326" i="1" a="1"/>
  <c r="S2326" i="1" s="1"/>
  <c r="S2327" i="1" a="1"/>
  <c r="S2327" i="1"/>
  <c r="S2328" i="1" a="1"/>
  <c r="S2328" i="1" s="1"/>
  <c r="S2329" i="1" a="1"/>
  <c r="S2329" i="1" s="1"/>
  <c r="S2330" i="1" a="1"/>
  <c r="S2330" i="1" s="1"/>
  <c r="S2331" i="1" a="1"/>
  <c r="S2331" i="1" s="1"/>
  <c r="S2332" i="1" a="1"/>
  <c r="S2332" i="1" s="1"/>
  <c r="S2333" i="1" a="1"/>
  <c r="S2333" i="1" s="1"/>
  <c r="S2334" i="1" a="1"/>
  <c r="S2334" i="1" s="1"/>
  <c r="S2335" i="1" a="1"/>
  <c r="S2335" i="1" s="1"/>
  <c r="S2336" i="1" a="1"/>
  <c r="S2336" i="1" s="1"/>
  <c r="S2337" i="1" a="1"/>
  <c r="S2337" i="1" s="1"/>
  <c r="S2338" i="1" a="1"/>
  <c r="S2338" i="1" s="1"/>
  <c r="S2339" i="1" a="1"/>
  <c r="S2339" i="1"/>
  <c r="S2340" i="1" a="1"/>
  <c r="S2340" i="1" s="1"/>
  <c r="S2341" i="1" a="1"/>
  <c r="S2341" i="1" s="1"/>
  <c r="S2342" i="1" a="1"/>
  <c r="S2342" i="1" s="1"/>
  <c r="S2343" i="1" a="1"/>
  <c r="S2343" i="1" s="1"/>
  <c r="S2344" i="1" a="1"/>
  <c r="S2344" i="1" s="1"/>
  <c r="S2345" i="1" a="1"/>
  <c r="S2345" i="1"/>
  <c r="S2346" i="1" a="1"/>
  <c r="S2346" i="1" s="1"/>
  <c r="S2347" i="1" a="1"/>
  <c r="S2347" i="1" s="1"/>
  <c r="S2348" i="1" a="1"/>
  <c r="S2348" i="1" s="1"/>
  <c r="S2349" i="1" a="1"/>
  <c r="S2349" i="1" s="1"/>
  <c r="S2350" i="1" a="1"/>
  <c r="S2350" i="1" s="1"/>
  <c r="S2351" i="1" a="1"/>
  <c r="S2351" i="1"/>
  <c r="S2352" i="1" a="1"/>
  <c r="S2352" i="1" s="1"/>
  <c r="S2353" i="1" a="1"/>
  <c r="S2353" i="1" s="1"/>
  <c r="S2354" i="1" a="1"/>
  <c r="S2354" i="1" s="1"/>
  <c r="S2355" i="1" a="1"/>
  <c r="S2355" i="1" s="1"/>
  <c r="S2356" i="1" a="1"/>
  <c r="S2356" i="1" s="1"/>
  <c r="S2357" i="1" a="1"/>
  <c r="S2357" i="1"/>
  <c r="S2358" i="1" a="1"/>
  <c r="S2358" i="1" s="1"/>
  <c r="S2359" i="1" a="1"/>
  <c r="S2359" i="1" s="1"/>
  <c r="S2360" i="1" a="1"/>
  <c r="S2360" i="1" s="1"/>
  <c r="S2361" i="1" a="1"/>
  <c r="S2361" i="1" s="1"/>
  <c r="S2362" i="1" a="1"/>
  <c r="S2362" i="1" s="1"/>
  <c r="S2363" i="1" a="1"/>
  <c r="S2363" i="1" s="1"/>
  <c r="S2364" i="1" a="1"/>
  <c r="S2364" i="1" s="1"/>
  <c r="S2365" i="1" a="1"/>
  <c r="S2365" i="1" s="1"/>
  <c r="S2366" i="1" a="1"/>
  <c r="S2366" i="1" s="1"/>
  <c r="S2367" i="1" a="1"/>
  <c r="S2367" i="1" s="1"/>
  <c r="S2368" i="1" a="1"/>
  <c r="S2368" i="1"/>
  <c r="S2369" i="1" a="1"/>
  <c r="S2369" i="1" s="1"/>
  <c r="S2370" i="1" a="1"/>
  <c r="S2370" i="1" s="1"/>
  <c r="S2371" i="1" a="1"/>
  <c r="S2371" i="1" s="1"/>
  <c r="S2372" i="1" a="1"/>
  <c r="S2372" i="1" s="1"/>
  <c r="S2373" i="1" a="1"/>
  <c r="S2373" i="1"/>
  <c r="S2374" i="1" a="1"/>
  <c r="S2374" i="1" s="1"/>
  <c r="S2375" i="1" a="1"/>
  <c r="S2375" i="1" s="1"/>
  <c r="S2376" i="1" a="1"/>
  <c r="S2376" i="1" s="1"/>
  <c r="S2377" i="1" a="1"/>
  <c r="S2377" i="1" s="1"/>
  <c r="S2378" i="1" a="1"/>
  <c r="S2378" i="1" s="1"/>
  <c r="S2379" i="1" a="1"/>
  <c r="S2379" i="1" s="1"/>
  <c r="S2380" i="1" a="1"/>
  <c r="S2380" i="1" s="1"/>
  <c r="S2381" i="1" a="1"/>
  <c r="S2381" i="1" s="1"/>
  <c r="S2382" i="1" a="1"/>
  <c r="S2382" i="1" s="1"/>
  <c r="S2383" i="1" a="1"/>
  <c r="S2383" i="1" s="1"/>
  <c r="S2384" i="1" a="1"/>
  <c r="S2384" i="1" s="1"/>
  <c r="S2385" i="1" a="1"/>
  <c r="S2385" i="1"/>
  <c r="S2386" i="1" a="1"/>
  <c r="S2386" i="1" s="1"/>
  <c r="S2387" i="1" a="1"/>
  <c r="S2387" i="1" s="1"/>
  <c r="S2388" i="1" a="1"/>
  <c r="S2388" i="1" s="1"/>
  <c r="S2389" i="1" a="1"/>
  <c r="S2389" i="1" s="1"/>
  <c r="S2390" i="1" a="1"/>
  <c r="S2390" i="1" s="1"/>
  <c r="S2391" i="1" a="1"/>
  <c r="S2391" i="1" s="1"/>
  <c r="S2392" i="1" a="1"/>
  <c r="S2392" i="1" s="1"/>
  <c r="S2393" i="1" a="1"/>
  <c r="S2393" i="1" s="1"/>
  <c r="S2394" i="1" a="1"/>
  <c r="S2394" i="1" s="1"/>
  <c r="S2395" i="1" a="1"/>
  <c r="S2395" i="1" s="1"/>
  <c r="S2396" i="1" a="1"/>
  <c r="S2396" i="1"/>
  <c r="S2397" i="1" a="1"/>
  <c r="S2397" i="1" s="1"/>
  <c r="S2398" i="1" a="1"/>
  <c r="S2398" i="1" s="1"/>
  <c r="S2399" i="1" a="1"/>
  <c r="S2399" i="1" s="1"/>
  <c r="S2400" i="1" a="1"/>
  <c r="S2400" i="1" s="1"/>
  <c r="S2401" i="1" a="1"/>
  <c r="S2401" i="1" s="1"/>
  <c r="S2402" i="1" a="1"/>
  <c r="S2402" i="1" s="1"/>
  <c r="S2403" i="1" a="1"/>
  <c r="S2403" i="1"/>
  <c r="S2404" i="1" a="1"/>
  <c r="S2404" i="1"/>
  <c r="S2405" i="1" a="1"/>
  <c r="S2405" i="1"/>
  <c r="S2406" i="1" a="1"/>
  <c r="S2406" i="1" s="1"/>
  <c r="S2407" i="1" a="1"/>
  <c r="S2407" i="1"/>
  <c r="S2408" i="1" a="1"/>
  <c r="S2408" i="1"/>
  <c r="S2409" i="1" a="1"/>
  <c r="S2409" i="1" s="1"/>
  <c r="S2410" i="1" a="1"/>
  <c r="S2410" i="1" s="1"/>
  <c r="S2411" i="1" a="1"/>
  <c r="S2411" i="1" s="1"/>
  <c r="S2412" i="1" a="1"/>
  <c r="S2412" i="1" s="1"/>
  <c r="S2413" i="1" a="1"/>
  <c r="S2413" i="1"/>
  <c r="S2414" i="1" a="1"/>
  <c r="S2414" i="1" s="1"/>
  <c r="S2415" i="1" a="1"/>
  <c r="S2415" i="1" s="1"/>
  <c r="S2416" i="1" a="1"/>
  <c r="S2416" i="1" s="1"/>
  <c r="S2417" i="1" a="1"/>
  <c r="S2417" i="1" s="1"/>
  <c r="S2418" i="1" a="1"/>
  <c r="S2418" i="1" s="1"/>
  <c r="S2419" i="1" a="1"/>
  <c r="S2419" i="1" s="1"/>
  <c r="S2420" i="1" a="1"/>
  <c r="S2420" i="1" s="1"/>
  <c r="S2421" i="1" a="1"/>
  <c r="S2421" i="1" s="1"/>
  <c r="S2422" i="1" a="1"/>
  <c r="S2422" i="1" s="1"/>
  <c r="S2423" i="1" a="1"/>
  <c r="S2423" i="1" s="1"/>
  <c r="S2424" i="1" a="1"/>
  <c r="S2424" i="1" s="1"/>
  <c r="S2425" i="1" a="1"/>
  <c r="S2425" i="1"/>
  <c r="S2426" i="1" a="1"/>
  <c r="S2426" i="1" s="1"/>
  <c r="S2427" i="1" a="1"/>
  <c r="S2427" i="1" s="1"/>
  <c r="S2428" i="1" a="1"/>
  <c r="S2428" i="1" s="1"/>
  <c r="S2429" i="1" a="1"/>
  <c r="S2429" i="1" s="1"/>
  <c r="S2430" i="1" a="1"/>
  <c r="S2430" i="1" s="1"/>
  <c r="S2431" i="1" a="1"/>
  <c r="S2431" i="1" s="1"/>
  <c r="S2432" i="1" a="1"/>
  <c r="S2432" i="1" s="1"/>
  <c r="S2433" i="1" a="1"/>
  <c r="S2433" i="1" s="1"/>
  <c r="S2434" i="1" a="1"/>
  <c r="S2434" i="1" s="1"/>
  <c r="S2435" i="1" a="1"/>
  <c r="S2435" i="1"/>
  <c r="S2436" i="1" a="1"/>
  <c r="S2436" i="1" s="1"/>
  <c r="S2437" i="1" a="1"/>
  <c r="S2437" i="1" s="1"/>
  <c r="S2438" i="1" a="1"/>
  <c r="S2438" i="1" s="1"/>
  <c r="S2439" i="1" a="1"/>
  <c r="S2439" i="1" s="1"/>
  <c r="S2440" i="1" a="1"/>
  <c r="S2440" i="1"/>
  <c r="S2441" i="1" a="1"/>
  <c r="S2441" i="1" s="1"/>
  <c r="S2442" i="1" a="1"/>
  <c r="S2442" i="1" s="1"/>
  <c r="S2443" i="1" a="1"/>
  <c r="S2443" i="1" s="1"/>
  <c r="S2444" i="1" a="1"/>
  <c r="S2444" i="1" s="1"/>
  <c r="S2445" i="1" a="1"/>
  <c r="S2445" i="1" s="1"/>
  <c r="S2446" i="1" a="1"/>
  <c r="S2446" i="1" s="1"/>
  <c r="S2447" i="1" a="1"/>
  <c r="S2447" i="1" s="1"/>
  <c r="S2448" i="1" a="1"/>
  <c r="S2448" i="1"/>
  <c r="S2449" i="1" a="1"/>
  <c r="S2449" i="1" s="1"/>
  <c r="S2450" i="1" a="1"/>
  <c r="S2450" i="1" s="1"/>
  <c r="S2451" i="1" a="1"/>
  <c r="S2451" i="1"/>
  <c r="S2452" i="1" a="1"/>
  <c r="S2452" i="1" s="1"/>
  <c r="S2453" i="1" a="1"/>
  <c r="S2453" i="1" s="1"/>
  <c r="S2454" i="1" a="1"/>
  <c r="S2454" i="1" s="1"/>
  <c r="S2455" i="1" a="1"/>
  <c r="S2455" i="1" s="1"/>
  <c r="S2456" i="1" a="1"/>
  <c r="S2456" i="1" s="1"/>
  <c r="S2457" i="1" a="1"/>
  <c r="S2457" i="1"/>
  <c r="S2458" i="1" a="1"/>
  <c r="S2458" i="1" s="1"/>
  <c r="S2459" i="1" a="1"/>
  <c r="S2459" i="1" s="1"/>
  <c r="S2460" i="1" a="1"/>
  <c r="S2460" i="1" s="1"/>
  <c r="S2461" i="1" a="1"/>
  <c r="S2461" i="1" s="1"/>
  <c r="S2462" i="1" a="1"/>
  <c r="S2462" i="1" s="1"/>
  <c r="S2463" i="1" a="1"/>
  <c r="S2463" i="1"/>
  <c r="S2464" i="1" a="1"/>
  <c r="S2464" i="1" s="1"/>
  <c r="S2465" i="1" a="1"/>
  <c r="S2465" i="1" s="1"/>
  <c r="S2466" i="1" a="1"/>
  <c r="S2466" i="1" s="1"/>
  <c r="S2467" i="1" a="1"/>
  <c r="S2467" i="1" s="1"/>
  <c r="S2468" i="1" a="1"/>
  <c r="S2468" i="1" s="1"/>
  <c r="S2469" i="1" a="1"/>
  <c r="S2469" i="1"/>
  <c r="S2470" i="1" a="1"/>
  <c r="S2470" i="1" s="1"/>
  <c r="S2471" i="1" a="1"/>
  <c r="S2471" i="1" s="1"/>
  <c r="S2472" i="1" a="1"/>
  <c r="S2472" i="1" s="1"/>
  <c r="S2473" i="1" a="1"/>
  <c r="S2473" i="1" s="1"/>
  <c r="S2474" i="1" a="1"/>
  <c r="S2474" i="1" s="1"/>
  <c r="S2475" i="1" a="1"/>
  <c r="S2475" i="1" s="1"/>
  <c r="S2476" i="1" a="1"/>
  <c r="S2476" i="1" s="1"/>
  <c r="S2477" i="1" a="1"/>
  <c r="S2477" i="1" s="1"/>
  <c r="S2478" i="1" a="1"/>
  <c r="S2478" i="1" s="1"/>
  <c r="S2479" i="1" a="1"/>
  <c r="S2479" i="1" s="1"/>
  <c r="S2480" i="1" a="1"/>
  <c r="S2480" i="1" s="1"/>
  <c r="S2481" i="1" a="1"/>
  <c r="S2481" i="1" s="1"/>
  <c r="S2482" i="1" a="1"/>
  <c r="S2482" i="1" s="1"/>
  <c r="S2483" i="1" a="1"/>
  <c r="S2483" i="1" s="1"/>
  <c r="S2484" i="1" a="1"/>
  <c r="S2484" i="1" s="1"/>
  <c r="S2485" i="1" a="1"/>
  <c r="S2485" i="1" s="1"/>
  <c r="S2486" i="1" a="1"/>
  <c r="S2486" i="1" s="1"/>
  <c r="S2487" i="1" a="1"/>
  <c r="S2487" i="1" s="1"/>
  <c r="S2488" i="1" a="1"/>
  <c r="S2488" i="1" s="1"/>
  <c r="S2489" i="1" a="1"/>
  <c r="S2489" i="1" s="1"/>
  <c r="S2490" i="1" a="1"/>
  <c r="S2490" i="1" s="1"/>
  <c r="S2491" i="1" a="1"/>
  <c r="S2491" i="1" s="1"/>
  <c r="S2492" i="1" a="1"/>
  <c r="S2492" i="1" s="1"/>
  <c r="S2493" i="1" a="1"/>
  <c r="S2493" i="1" s="1"/>
  <c r="S2494" i="1" a="1"/>
  <c r="S2494" i="1" s="1"/>
  <c r="S2495" i="1" a="1"/>
  <c r="S2495" i="1" s="1"/>
  <c r="S2496" i="1" a="1"/>
  <c r="S2496" i="1" s="1"/>
  <c r="S2497" i="1" a="1"/>
  <c r="S2497" i="1" s="1"/>
  <c r="S2498" i="1" a="1"/>
  <c r="S2498" i="1" s="1"/>
  <c r="S2499" i="1" a="1"/>
  <c r="S2499" i="1" s="1"/>
  <c r="S2500" i="1" a="1"/>
  <c r="S2500" i="1" s="1"/>
  <c r="S2501" i="1" a="1"/>
  <c r="S2501" i="1"/>
  <c r="S2502" i="1" a="1"/>
  <c r="S2502" i="1" s="1"/>
  <c r="S2503" i="1" a="1"/>
  <c r="S2503" i="1" s="1"/>
  <c r="S2504" i="1" a="1"/>
  <c r="S2504" i="1" s="1"/>
  <c r="S2505" i="1" a="1"/>
  <c r="S2505" i="1" s="1"/>
  <c r="S2506" i="1" a="1"/>
  <c r="S2506" i="1" s="1"/>
  <c r="S2507" i="1" a="1"/>
  <c r="S2507" i="1"/>
  <c r="S2508" i="1" a="1"/>
  <c r="S2508" i="1"/>
  <c r="S2509" i="1" a="1"/>
  <c r="S2509" i="1" s="1"/>
  <c r="S2510" i="1" a="1"/>
  <c r="S2510" i="1" s="1"/>
  <c r="S2511" i="1" a="1"/>
  <c r="S2511" i="1" s="1"/>
  <c r="S2512" i="1" a="1"/>
  <c r="S2512" i="1"/>
  <c r="S2513" i="1" a="1"/>
  <c r="S2513" i="1"/>
  <c r="S2514" i="1" a="1"/>
  <c r="S2514" i="1" s="1"/>
  <c r="S2515" i="1" a="1"/>
  <c r="S2515" i="1" s="1"/>
  <c r="S2516" i="1" a="1"/>
  <c r="S2516" i="1" s="1"/>
  <c r="S2517" i="1" a="1"/>
  <c r="S2517" i="1"/>
  <c r="S2518" i="1" a="1"/>
  <c r="S2518" i="1" s="1"/>
  <c r="S2519" i="1" a="1"/>
  <c r="S2519" i="1" s="1"/>
  <c r="S2520" i="1" a="1"/>
  <c r="S2520" i="1" s="1"/>
  <c r="S2521" i="1" a="1"/>
  <c r="S2521" i="1" s="1"/>
  <c r="S2522" i="1" a="1"/>
  <c r="S2522" i="1" s="1"/>
  <c r="S2523" i="1" a="1"/>
  <c r="S2523" i="1"/>
  <c r="S2524" i="1" a="1"/>
  <c r="S2524" i="1"/>
  <c r="S2525" i="1" a="1"/>
  <c r="S2525" i="1" s="1"/>
  <c r="S2526" i="1" a="1"/>
  <c r="S2526" i="1" s="1"/>
  <c r="S2527" i="1" a="1"/>
  <c r="S2527" i="1"/>
  <c r="S2528" i="1" a="1"/>
  <c r="S2528" i="1" s="1"/>
  <c r="S2529" i="1" a="1"/>
  <c r="S2529" i="1" s="1"/>
  <c r="S2530" i="1" a="1"/>
  <c r="S2530" i="1" s="1"/>
  <c r="S2531" i="1" a="1"/>
  <c r="S2531" i="1" s="1"/>
  <c r="S2532" i="1" a="1"/>
  <c r="S2532" i="1" s="1"/>
  <c r="S2533" i="1" a="1"/>
  <c r="S2533" i="1"/>
  <c r="S2534" i="1" a="1"/>
  <c r="S2534" i="1" s="1"/>
  <c r="S2535" i="1" a="1"/>
  <c r="S2535" i="1" s="1"/>
  <c r="S2536" i="1" a="1"/>
  <c r="S2536" i="1" s="1"/>
  <c r="S2537" i="1" a="1"/>
  <c r="S2537" i="1" s="1"/>
  <c r="S2538" i="1" a="1"/>
  <c r="S2538" i="1" s="1"/>
  <c r="S2539" i="1" a="1"/>
  <c r="S2539" i="1"/>
  <c r="S2540" i="1" a="1"/>
  <c r="S2540" i="1" s="1"/>
  <c r="S2541" i="1" a="1"/>
  <c r="S2541" i="1" s="1"/>
  <c r="S2542" i="1" a="1"/>
  <c r="S2542" i="1" s="1"/>
  <c r="S2543" i="1" a="1"/>
  <c r="S2543" i="1" s="1"/>
  <c r="S2544" i="1" a="1"/>
  <c r="S2544" i="1"/>
  <c r="S2545" i="1" a="1"/>
  <c r="S2545" i="1"/>
  <c r="S2546" i="1" a="1"/>
  <c r="S2546" i="1" s="1"/>
  <c r="S2547" i="1" a="1"/>
  <c r="S2547" i="1" s="1"/>
  <c r="S2548" i="1" a="1"/>
  <c r="S2548" i="1"/>
  <c r="S2549" i="1" a="1"/>
  <c r="S2549" i="1"/>
  <c r="S2550" i="1" a="1"/>
  <c r="S2550" i="1" s="1"/>
  <c r="S2551" i="1" a="1"/>
  <c r="S2551" i="1" s="1"/>
  <c r="S2552" i="1" a="1"/>
  <c r="S2552" i="1" s="1"/>
  <c r="S2553" i="1" a="1"/>
  <c r="S2553" i="1"/>
  <c r="S2554" i="1" a="1"/>
  <c r="S2554" i="1" s="1"/>
  <c r="S2555" i="1" a="1"/>
  <c r="S2555" i="1"/>
  <c r="S2556" i="1" a="1"/>
  <c r="S2556" i="1" s="1"/>
  <c r="S2557" i="1" a="1"/>
  <c r="S2557" i="1" s="1"/>
  <c r="S2558" i="1" a="1"/>
  <c r="S2558" i="1" s="1"/>
  <c r="S2559" i="1" a="1"/>
  <c r="S2559" i="1"/>
  <c r="S2560" i="1" a="1"/>
  <c r="S2560" i="1" s="1"/>
  <c r="S2561" i="1" a="1"/>
  <c r="S2561" i="1" s="1"/>
  <c r="S2562" i="1" a="1"/>
  <c r="S2562" i="1" s="1"/>
  <c r="S2563" i="1" a="1"/>
  <c r="S2563" i="1" s="1"/>
  <c r="S2564" i="1" a="1"/>
  <c r="S2564" i="1"/>
  <c r="S2565" i="1" a="1"/>
  <c r="S2565" i="1" s="1"/>
  <c r="S2566" i="1" a="1"/>
  <c r="S2566" i="1" s="1"/>
  <c r="S2567" i="1" a="1"/>
  <c r="S2567" i="1" s="1"/>
  <c r="S2568" i="1" a="1"/>
  <c r="S2568" i="1"/>
  <c r="S2569" i="1" a="1"/>
  <c r="S2569" i="1" s="1"/>
  <c r="S2570" i="1" a="1"/>
  <c r="S2570" i="1" s="1"/>
  <c r="S2571" i="1" a="1"/>
  <c r="S2571" i="1" s="1"/>
  <c r="S2572" i="1" a="1"/>
  <c r="S2572" i="1" s="1"/>
  <c r="S2573" i="1" a="1"/>
  <c r="S2573" i="1" s="1"/>
  <c r="S2574" i="1" a="1"/>
  <c r="S2574" i="1" s="1"/>
  <c r="S2575" i="1" a="1"/>
  <c r="S2575" i="1" s="1"/>
  <c r="S2576" i="1" a="1"/>
  <c r="S2576" i="1" s="1"/>
  <c r="S2577" i="1" a="1"/>
  <c r="S2577" i="1" s="1"/>
  <c r="S2578" i="1" a="1"/>
  <c r="S2578" i="1" s="1"/>
  <c r="S2579" i="1" a="1"/>
  <c r="S2579" i="1"/>
  <c r="S2580" i="1" a="1"/>
  <c r="S2580" i="1"/>
  <c r="S2581" i="1" a="1"/>
  <c r="S2581" i="1" s="1"/>
  <c r="S2582" i="1" a="1"/>
  <c r="S2582" i="1" s="1"/>
  <c r="S2583" i="1" a="1"/>
  <c r="S2583" i="1" s="1"/>
  <c r="S2584" i="1" a="1"/>
  <c r="S2584" i="1" s="1"/>
  <c r="S2585" i="1" a="1"/>
  <c r="S2585" i="1"/>
  <c r="S2586" i="1" a="1"/>
  <c r="S2586" i="1" s="1"/>
  <c r="S2587" i="1" a="1"/>
  <c r="S2587" i="1" s="1"/>
  <c r="S2588" i="1" a="1"/>
  <c r="S2588" i="1" s="1"/>
  <c r="S2589" i="1" a="1"/>
  <c r="S2589" i="1"/>
  <c r="S2590" i="1" a="1"/>
  <c r="S2590" i="1" s="1"/>
  <c r="S2591" i="1" a="1"/>
  <c r="S2591" i="1" s="1"/>
  <c r="S2592" i="1" a="1"/>
  <c r="S2592" i="1" s="1"/>
  <c r="S2593" i="1" a="1"/>
  <c r="S2593" i="1" s="1"/>
  <c r="S2594" i="1" a="1"/>
  <c r="S2594" i="1" s="1"/>
  <c r="S2595" i="1" a="1"/>
  <c r="S2595" i="1" s="1"/>
  <c r="S2596" i="1" a="1"/>
  <c r="S2596" i="1"/>
  <c r="S2597" i="1" a="1"/>
  <c r="S2597" i="1" s="1"/>
  <c r="S2598" i="1" a="1"/>
  <c r="S2598" i="1" s="1"/>
  <c r="S2599" i="1" a="1"/>
  <c r="S2599" i="1" s="1"/>
  <c r="S2600" i="1" a="1"/>
  <c r="S2600" i="1"/>
  <c r="S2601" i="1" a="1"/>
  <c r="S2601" i="1" s="1"/>
  <c r="S2602" i="1" a="1"/>
  <c r="S2602" i="1" s="1"/>
  <c r="S2603" i="1" a="1"/>
  <c r="S2603" i="1" s="1"/>
  <c r="S2604" i="1" a="1"/>
  <c r="S2604" i="1" s="1"/>
  <c r="S2605" i="1" a="1"/>
  <c r="S2605" i="1" s="1"/>
  <c r="S2606" i="1" a="1"/>
  <c r="S2606" i="1" s="1"/>
  <c r="S2607" i="1" a="1"/>
  <c r="S2607" i="1" s="1"/>
  <c r="S2608" i="1" a="1"/>
  <c r="S2608" i="1"/>
  <c r="S2609" i="1" a="1"/>
  <c r="S2609" i="1" s="1"/>
  <c r="S2610" i="1" a="1"/>
  <c r="S2610" i="1" s="1"/>
  <c r="S2611" i="1" a="1"/>
  <c r="S2611" i="1"/>
  <c r="S2612" i="1" a="1"/>
  <c r="S2612" i="1" s="1"/>
  <c r="S2613" i="1" a="1"/>
  <c r="S2613" i="1" s="1"/>
  <c r="S2614" i="1" a="1"/>
  <c r="S2614" i="1" s="1"/>
  <c r="S2615" i="1" a="1"/>
  <c r="S2615" i="1" s="1"/>
  <c r="S2616" i="1" a="1"/>
  <c r="S2616" i="1" s="1"/>
  <c r="S2617" i="1" a="1"/>
  <c r="S2617" i="1"/>
  <c r="S2618" i="1" a="1"/>
  <c r="S2618" i="1" s="1"/>
  <c r="S2619" i="1" a="1"/>
  <c r="S2619" i="1" s="1"/>
  <c r="S2620" i="1" a="1"/>
  <c r="S2620" i="1" s="1"/>
  <c r="S2621" i="1" a="1"/>
  <c r="S2621" i="1"/>
  <c r="S2622" i="1" a="1"/>
  <c r="S2622" i="1" s="1"/>
  <c r="S2623" i="1" a="1"/>
  <c r="S2623" i="1"/>
  <c r="S2624" i="1" a="1"/>
  <c r="S2624" i="1" s="1"/>
  <c r="S2625" i="1" a="1"/>
  <c r="S2625" i="1" s="1"/>
  <c r="S2626" i="1" a="1"/>
  <c r="S2626" i="1" s="1"/>
  <c r="S2627" i="1" a="1"/>
  <c r="S2627" i="1"/>
  <c r="S2628" i="1" a="1"/>
  <c r="S2628" i="1" s="1"/>
  <c r="S2629" i="1" a="1"/>
  <c r="S2629" i="1" s="1"/>
  <c r="S2630" i="1" a="1"/>
  <c r="S2630" i="1" s="1"/>
  <c r="S2631" i="1" a="1"/>
  <c r="S2631" i="1"/>
  <c r="S2632" i="1" a="1"/>
  <c r="S2632" i="1"/>
  <c r="S2633" i="1" a="1"/>
  <c r="S2633" i="1" s="1"/>
  <c r="S2634" i="1" a="1"/>
  <c r="S2634" i="1" s="1"/>
  <c r="S2635" i="1" a="1"/>
  <c r="S2635" i="1"/>
  <c r="S2636" i="1" a="1"/>
  <c r="S2636" i="1"/>
  <c r="S2637" i="1" a="1"/>
  <c r="S2637" i="1" s="1"/>
  <c r="S2638" i="1" a="1"/>
  <c r="S2638" i="1" s="1"/>
  <c r="S2639" i="1" a="1"/>
  <c r="S2639" i="1" s="1"/>
  <c r="S2640" i="1" a="1"/>
  <c r="S2640" i="1" s="1"/>
  <c r="S2641" i="1" a="1"/>
  <c r="S2641" i="1" s="1"/>
  <c r="S2642" i="1" a="1"/>
  <c r="S2642" i="1" s="1"/>
  <c r="S2643" i="1" a="1"/>
  <c r="S2643" i="1"/>
  <c r="S2644" i="1" a="1"/>
  <c r="S2644" i="1" s="1"/>
  <c r="S2645" i="1" a="1"/>
  <c r="S2645" i="1"/>
  <c r="S2646" i="1" a="1"/>
  <c r="S2646" i="1" s="1"/>
  <c r="S2647" i="1" a="1"/>
  <c r="S2647" i="1" s="1"/>
  <c r="S2648" i="1" a="1"/>
  <c r="S2648" i="1" s="1"/>
  <c r="S2649" i="1" a="1"/>
  <c r="S2649" i="1"/>
  <c r="S2650" i="1" a="1"/>
  <c r="S2650" i="1" s="1"/>
  <c r="S2651" i="1" a="1"/>
  <c r="S2651" i="1" s="1"/>
  <c r="S2652" i="1" a="1"/>
  <c r="S2652" i="1"/>
  <c r="S2653" i="1" a="1"/>
  <c r="S2653" i="1"/>
  <c r="S2654" i="1" a="1"/>
  <c r="S2654" i="1" s="1"/>
  <c r="S2655" i="1" a="1"/>
  <c r="S2655" i="1" s="1"/>
  <c r="S2656" i="1" a="1"/>
  <c r="S2656" i="1" s="1"/>
  <c r="S2657" i="1" a="1"/>
  <c r="S2657" i="1" s="1"/>
  <c r="S2658" i="1" a="1"/>
  <c r="S2658" i="1" s="1"/>
  <c r="S2659" i="1" a="1"/>
  <c r="S2659" i="1"/>
  <c r="S2660" i="1" a="1"/>
  <c r="S2660" i="1" s="1"/>
  <c r="S2661" i="1" a="1"/>
  <c r="S2661" i="1" s="1"/>
  <c r="S2662" i="1" a="1"/>
  <c r="S2662" i="1" s="1"/>
  <c r="S2663" i="1" a="1"/>
  <c r="S2663" i="1"/>
  <c r="S2664" i="1" a="1"/>
  <c r="S2664" i="1"/>
  <c r="S2665" i="1" a="1"/>
  <c r="S2665" i="1" s="1"/>
  <c r="S2666" i="1" a="1"/>
  <c r="S2666" i="1" s="1"/>
  <c r="S2667" i="1" a="1"/>
  <c r="S2667" i="1" s="1"/>
  <c r="S2668" i="1" a="1"/>
  <c r="S2668" i="1"/>
  <c r="S2669" i="1" a="1"/>
  <c r="S2669" i="1" s="1"/>
  <c r="S2670" i="1" a="1"/>
  <c r="S2670" i="1" s="1"/>
  <c r="S2671" i="1" a="1"/>
  <c r="S2671" i="1" s="1"/>
  <c r="S2672" i="1" a="1"/>
  <c r="S2672" i="1" s="1"/>
  <c r="S2673" i="1" a="1"/>
  <c r="S2673" i="1"/>
  <c r="S2674" i="1" a="1"/>
  <c r="S2674" i="1" s="1"/>
  <c r="S2675" i="1" a="1"/>
  <c r="S2675" i="1" s="1"/>
  <c r="S2676" i="1" a="1"/>
  <c r="S2676" i="1" s="1"/>
  <c r="S2677" i="1" a="1"/>
  <c r="S2677" i="1" s="1"/>
  <c r="S2678" i="1" a="1"/>
  <c r="S2678" i="1" s="1"/>
  <c r="S2679" i="1" a="1"/>
  <c r="S2679" i="1" s="1"/>
  <c r="S2680" i="1" a="1"/>
  <c r="S2680" i="1" s="1"/>
  <c r="S2681" i="1" a="1"/>
  <c r="S2681" i="1"/>
  <c r="S2682" i="1" a="1"/>
  <c r="S2682" i="1" s="1"/>
  <c r="S2683" i="1" a="1"/>
  <c r="S2683" i="1" s="1"/>
  <c r="S2684" i="1" a="1"/>
  <c r="S2684" i="1"/>
  <c r="S2685" i="1" a="1"/>
  <c r="S2685" i="1"/>
  <c r="S2686" i="1" a="1"/>
  <c r="S2686" i="1" s="1"/>
  <c r="S2687" i="1" a="1"/>
  <c r="S2687" i="1" s="1"/>
  <c r="S2688" i="1" a="1"/>
  <c r="S2688" i="1" s="1"/>
  <c r="S2689" i="1" a="1"/>
  <c r="S2689" i="1" s="1"/>
  <c r="S2690" i="1" a="1"/>
  <c r="S2690" i="1" s="1"/>
  <c r="S2691" i="1" a="1"/>
  <c r="S2691" i="1" s="1"/>
  <c r="S2692" i="1" a="1"/>
  <c r="S2692" i="1" s="1"/>
  <c r="S2693" i="1" a="1"/>
  <c r="S2693" i="1" s="1"/>
  <c r="S2694" i="1" a="1"/>
  <c r="S2694" i="1" s="1"/>
  <c r="S2695" i="1" a="1"/>
  <c r="S2695" i="1"/>
  <c r="S2696" i="1" a="1"/>
  <c r="S2696" i="1" s="1"/>
  <c r="S2697" i="1" a="1"/>
  <c r="S2697" i="1" s="1"/>
  <c r="S2698" i="1" a="1"/>
  <c r="S2698" i="1" s="1"/>
  <c r="S2699" i="1" a="1"/>
  <c r="S2699" i="1"/>
  <c r="S2700" i="1" a="1"/>
  <c r="S2700" i="1"/>
  <c r="S2701" i="1" a="1"/>
  <c r="S2701" i="1" s="1"/>
  <c r="S2702" i="1" a="1"/>
  <c r="S2702" i="1" s="1"/>
  <c r="S2703" i="1" a="1"/>
  <c r="S2703" i="1" s="1"/>
  <c r="S2704" i="1" a="1"/>
  <c r="S2704" i="1" s="1"/>
  <c r="S2705" i="1" a="1"/>
  <c r="S2705" i="1"/>
  <c r="S2706" i="1" a="1"/>
  <c r="S2706" i="1" s="1"/>
  <c r="S2707" i="1" a="1"/>
  <c r="S2707" i="1"/>
  <c r="S2708" i="1" a="1"/>
  <c r="S2708" i="1" s="1"/>
  <c r="S2709" i="1" a="1"/>
  <c r="S2709" i="1"/>
  <c r="S2710" i="1" a="1"/>
  <c r="S2710" i="1" s="1"/>
  <c r="S2711" i="1" a="1"/>
  <c r="S2711" i="1" s="1"/>
  <c r="S2712" i="1" a="1"/>
  <c r="S2712" i="1" s="1"/>
  <c r="S2713" i="1" a="1"/>
  <c r="S2713" i="1" s="1"/>
  <c r="S2714" i="1" a="1"/>
  <c r="S2714" i="1" s="1"/>
  <c r="S2715" i="1" a="1"/>
  <c r="S2715" i="1"/>
  <c r="S2716" i="1" a="1"/>
  <c r="S2716" i="1"/>
  <c r="S2717" i="1" a="1"/>
  <c r="S2717" i="1" s="1"/>
  <c r="S2718" i="1" a="1"/>
  <c r="S2718" i="1" s="1"/>
  <c r="S2719" i="1" a="1"/>
  <c r="S2719" i="1" s="1"/>
  <c r="S2720" i="1" a="1"/>
  <c r="S2720" i="1" s="1"/>
  <c r="S2721" i="1" a="1"/>
  <c r="S2721" i="1" s="1"/>
  <c r="S2722" i="1" a="1"/>
  <c r="S2722" i="1" s="1"/>
  <c r="S2723" i="1" a="1"/>
  <c r="S2723" i="1"/>
  <c r="S2724" i="1" a="1"/>
  <c r="S2724" i="1" s="1"/>
  <c r="S2725" i="1" a="1"/>
  <c r="S2725" i="1" s="1"/>
  <c r="S2726" i="1" a="1"/>
  <c r="S2726" i="1" s="1"/>
  <c r="S2727" i="1" a="1"/>
  <c r="S2727" i="1"/>
  <c r="S2728" i="1" a="1"/>
  <c r="S2728" i="1" s="1"/>
  <c r="S2729" i="1" a="1"/>
  <c r="S2729" i="1" s="1"/>
  <c r="S2730" i="1" a="1"/>
  <c r="S2730" i="1" s="1"/>
  <c r="S2731" i="1" a="1"/>
  <c r="S2731" i="1" s="1"/>
  <c r="S2732" i="1" a="1"/>
  <c r="S2732" i="1"/>
  <c r="S2733" i="1" a="1"/>
  <c r="S2733" i="1" s="1"/>
  <c r="S2734" i="1" a="1"/>
  <c r="S2734" i="1" s="1"/>
  <c r="S2735" i="1" a="1"/>
  <c r="S2735" i="1" s="1"/>
  <c r="S2736" i="1" a="1"/>
  <c r="S2736" i="1"/>
  <c r="S2737" i="1" a="1"/>
  <c r="S2737" i="1" s="1"/>
  <c r="S2738" i="1" a="1"/>
  <c r="S2738" i="1" s="1"/>
  <c r="S2739" i="1" a="1"/>
  <c r="S2739" i="1"/>
  <c r="S2740" i="1" a="1"/>
  <c r="S2740" i="1"/>
  <c r="S2741" i="1" a="1"/>
  <c r="S2741" i="1" s="1"/>
  <c r="S2742" i="1" a="1"/>
  <c r="S2742" i="1" s="1"/>
  <c r="S2743" i="1" a="1"/>
  <c r="S2743" i="1" s="1"/>
  <c r="S2744" i="1" a="1"/>
  <c r="S2744" i="1" s="1"/>
  <c r="S2745" i="1" a="1"/>
  <c r="S2745" i="1" s="1"/>
  <c r="S2746" i="1" a="1"/>
  <c r="S2746" i="1" s="1"/>
  <c r="S2747" i="1" a="1"/>
  <c r="S2747" i="1" s="1"/>
  <c r="S2748" i="1" a="1"/>
  <c r="S2748" i="1"/>
  <c r="S2749" i="1" a="1"/>
  <c r="S2749" i="1"/>
  <c r="S2750" i="1" a="1"/>
  <c r="S2750" i="1" s="1"/>
  <c r="S2751" i="1" a="1"/>
  <c r="S2751" i="1" s="1"/>
  <c r="S2752" i="1" a="1"/>
  <c r="S2752" i="1" s="1"/>
  <c r="S2753" i="1" a="1"/>
  <c r="S2753" i="1" s="1"/>
  <c r="S2754" i="1" a="1"/>
  <c r="S2754" i="1" s="1"/>
  <c r="S2755" i="1" a="1"/>
  <c r="S2755" i="1"/>
  <c r="S2756" i="1" a="1"/>
  <c r="S2756" i="1"/>
  <c r="S2757" i="1" a="1"/>
  <c r="S2757" i="1" s="1"/>
  <c r="S2758" i="1" a="1"/>
  <c r="S2758" i="1" s="1"/>
  <c r="S2759" i="1" a="1"/>
  <c r="S2759" i="1"/>
  <c r="S2760" i="1" a="1"/>
  <c r="S2760" i="1" s="1"/>
  <c r="S2761" i="1" a="1"/>
  <c r="S2761" i="1" s="1"/>
  <c r="S2762" i="1" a="1"/>
  <c r="S2762" i="1" s="1"/>
  <c r="S2763" i="1" a="1"/>
  <c r="S2763" i="1" s="1"/>
  <c r="S2764" i="1" a="1"/>
  <c r="S2764" i="1" s="1"/>
  <c r="S2765" i="1" a="1"/>
  <c r="S2765" i="1" s="1"/>
  <c r="S2766" i="1" a="1"/>
  <c r="S2766" i="1" s="1"/>
  <c r="S2767" i="1" a="1"/>
  <c r="S2767" i="1" s="1"/>
  <c r="S2768" i="1" a="1"/>
  <c r="S2768" i="1" s="1"/>
  <c r="S2769" i="1" a="1"/>
  <c r="S2769" i="1" s="1"/>
  <c r="S2770" i="1" a="1"/>
  <c r="S2770" i="1" s="1"/>
  <c r="S2771" i="1" a="1"/>
  <c r="S2771" i="1"/>
  <c r="S2772" i="1" a="1"/>
  <c r="S2772" i="1"/>
  <c r="S2773" i="1" a="1"/>
  <c r="S2773" i="1" s="1"/>
  <c r="S2774" i="1" a="1"/>
  <c r="S2774" i="1" s="1"/>
  <c r="S2775" i="1" a="1"/>
  <c r="S2775" i="1" s="1"/>
  <c r="S2776" i="1" a="1"/>
  <c r="S2776" i="1" s="1"/>
  <c r="S2777" i="1" a="1"/>
  <c r="S2777" i="1"/>
  <c r="S2778" i="1" a="1"/>
  <c r="S2778" i="1" s="1"/>
  <c r="S2779" i="1" a="1"/>
  <c r="S2779" i="1" s="1"/>
  <c r="S2780" i="1" a="1"/>
  <c r="S2780" i="1" s="1"/>
  <c r="S2781" i="1" a="1"/>
  <c r="S2781" i="1" s="1"/>
  <c r="S2782" i="1" a="1"/>
  <c r="S2782" i="1" s="1"/>
  <c r="S2783" i="1" a="1"/>
  <c r="S2783" i="1" s="1"/>
  <c r="S2784" i="1" a="1"/>
  <c r="S2784" i="1" s="1"/>
  <c r="S2785" i="1" a="1"/>
  <c r="S2785" i="1" s="1"/>
  <c r="S2786" i="1" a="1"/>
  <c r="S2786" i="1"/>
  <c r="S2787" i="1" a="1"/>
  <c r="S2787" i="1" s="1"/>
  <c r="S2788" i="1" a="1"/>
  <c r="S2788" i="1" s="1"/>
  <c r="S2789" i="1" a="1"/>
  <c r="S2789" i="1" s="1"/>
  <c r="S2790" i="1" a="1"/>
  <c r="S2790" i="1" s="1"/>
  <c r="S2791" i="1" a="1"/>
  <c r="S2791" i="1" s="1"/>
  <c r="S2792" i="1" a="1"/>
  <c r="S2792" i="1" s="1"/>
  <c r="S2793" i="1" a="1"/>
  <c r="S2793" i="1" s="1"/>
  <c r="S2794" i="1" a="1"/>
  <c r="S2794" i="1" s="1"/>
  <c r="S2795" i="1" a="1"/>
  <c r="S2795" i="1" s="1"/>
  <c r="S2796" i="1" a="1"/>
  <c r="S2796" i="1" s="1"/>
  <c r="S2797" i="1" a="1"/>
  <c r="S2797" i="1" s="1"/>
  <c r="S2798" i="1" a="1"/>
  <c r="S2798" i="1" s="1"/>
  <c r="S2799" i="1" a="1"/>
  <c r="S2799" i="1" s="1"/>
  <c r="S2800" i="1" a="1"/>
  <c r="S2800" i="1" s="1"/>
  <c r="S2801" i="1" a="1"/>
  <c r="S2801" i="1" s="1"/>
  <c r="S2802" i="1" a="1"/>
  <c r="S2802" i="1" s="1"/>
  <c r="S2803" i="1" a="1"/>
  <c r="S2803" i="1" s="1"/>
  <c r="S2804" i="1" a="1"/>
  <c r="S2804" i="1" s="1"/>
  <c r="S2805" i="1" a="1"/>
  <c r="S2805" i="1" s="1"/>
  <c r="S2806" i="1" a="1"/>
  <c r="S2806" i="1" s="1"/>
  <c r="S2807" i="1" a="1"/>
  <c r="S2807" i="1" s="1"/>
  <c r="S2808" i="1" a="1"/>
  <c r="S2808" i="1" s="1"/>
  <c r="S2809" i="1" a="1"/>
  <c r="S2809" i="1" s="1"/>
  <c r="S2810" i="1" a="1"/>
  <c r="S2810" i="1" s="1"/>
  <c r="S2811" i="1" a="1"/>
  <c r="S2811" i="1" s="1"/>
  <c r="S2812" i="1" a="1"/>
  <c r="S2812" i="1" s="1"/>
  <c r="S2813" i="1" a="1"/>
  <c r="S2813" i="1" s="1"/>
  <c r="S2814" i="1" a="1"/>
  <c r="S2814" i="1" s="1"/>
  <c r="S2815" i="1" a="1"/>
  <c r="S2815" i="1" s="1"/>
  <c r="S2816" i="1" a="1"/>
  <c r="S2816" i="1" s="1"/>
  <c r="S2817" i="1" a="1"/>
  <c r="S2817" i="1" s="1"/>
  <c r="S2818" i="1" a="1"/>
  <c r="S2818" i="1"/>
  <c r="S2819" i="1" a="1"/>
  <c r="S2819" i="1" s="1"/>
  <c r="S2820" i="1" a="1"/>
  <c r="S2820" i="1" s="1"/>
  <c r="S2821" i="1" a="1"/>
  <c r="S2821" i="1" s="1"/>
  <c r="S2822" i="1" a="1"/>
  <c r="S2822" i="1" s="1"/>
  <c r="S2823" i="1" a="1"/>
  <c r="S2823" i="1" s="1"/>
  <c r="S2824" i="1" a="1"/>
  <c r="S2824" i="1" s="1"/>
  <c r="S2825" i="1" a="1"/>
  <c r="S2825" i="1" s="1"/>
  <c r="S2826" i="1" a="1"/>
  <c r="S2826" i="1"/>
  <c r="S2827" i="1" a="1"/>
  <c r="S2827" i="1" s="1"/>
  <c r="S2828" i="1" a="1"/>
  <c r="S2828" i="1" s="1"/>
  <c r="S2829" i="1" a="1"/>
  <c r="S2829" i="1" s="1"/>
  <c r="S2830" i="1" a="1"/>
  <c r="S2830" i="1" s="1"/>
  <c r="S2831" i="1" a="1"/>
  <c r="S2831" i="1" s="1"/>
  <c r="S2832" i="1" a="1"/>
  <c r="S2832" i="1" s="1"/>
  <c r="S2833" i="1" a="1"/>
  <c r="S2833" i="1" s="1"/>
  <c r="S2834" i="1" a="1"/>
  <c r="S2834" i="1"/>
  <c r="S2835" i="1" a="1"/>
  <c r="S2835" i="1" s="1"/>
  <c r="S2836" i="1" a="1"/>
  <c r="S2836" i="1" s="1"/>
  <c r="S2837" i="1" a="1"/>
  <c r="S2837" i="1" s="1"/>
  <c r="S2838" i="1" a="1"/>
  <c r="S2838" i="1" s="1"/>
  <c r="S2839" i="1" a="1"/>
  <c r="S2839" i="1" s="1"/>
  <c r="S2840" i="1" a="1"/>
  <c r="S2840" i="1" s="1"/>
  <c r="S2841" i="1" a="1"/>
  <c r="S2841" i="1" s="1"/>
  <c r="S2842" i="1" a="1"/>
  <c r="S2842" i="1" s="1"/>
  <c r="S2843" i="1" a="1"/>
  <c r="S2843" i="1" s="1"/>
  <c r="S2844" i="1" a="1"/>
  <c r="S2844" i="1" s="1"/>
  <c r="S2845" i="1" a="1"/>
  <c r="S2845" i="1" s="1"/>
  <c r="S2846" i="1" a="1"/>
  <c r="S2846" i="1" s="1"/>
  <c r="S2847" i="1" a="1"/>
  <c r="S2847" i="1" s="1"/>
  <c r="S2848" i="1" a="1"/>
  <c r="S2848" i="1" s="1"/>
  <c r="S2849" i="1" a="1"/>
  <c r="S2849" i="1" s="1"/>
  <c r="S2850" i="1" a="1"/>
  <c r="S2850" i="1" s="1"/>
  <c r="S2851" i="1" a="1"/>
  <c r="S2851" i="1" s="1"/>
  <c r="S2852" i="1" a="1"/>
  <c r="S2852" i="1" s="1"/>
  <c r="S2853" i="1" a="1"/>
  <c r="S2853" i="1" s="1"/>
  <c r="S2854" i="1" a="1"/>
  <c r="S2854" i="1" s="1"/>
  <c r="S2855" i="1" a="1"/>
  <c r="S2855" i="1" s="1"/>
  <c r="S2856" i="1" a="1"/>
  <c r="S2856" i="1" s="1"/>
  <c r="S2857" i="1" a="1"/>
  <c r="S2857" i="1" s="1"/>
  <c r="S2858" i="1" a="1"/>
  <c r="S2858" i="1" s="1"/>
  <c r="S2859" i="1" a="1"/>
  <c r="S2859" i="1" s="1"/>
  <c r="S2860" i="1" a="1"/>
  <c r="S2860" i="1" s="1"/>
  <c r="S2861" i="1" a="1"/>
  <c r="S2861" i="1" s="1"/>
  <c r="S2862" i="1" a="1"/>
  <c r="S2862" i="1" s="1"/>
  <c r="S2863" i="1" a="1"/>
  <c r="S2863" i="1" s="1"/>
  <c r="S2864" i="1" a="1"/>
  <c r="S2864" i="1" s="1"/>
  <c r="S2865" i="1" a="1"/>
  <c r="S2865" i="1" s="1"/>
  <c r="S2866" i="1" a="1"/>
  <c r="S2866" i="1" s="1"/>
  <c r="S2867" i="1" a="1"/>
  <c r="S2867" i="1" s="1"/>
  <c r="S2868" i="1" a="1"/>
  <c r="S2868" i="1" s="1"/>
  <c r="S2869" i="1" a="1"/>
  <c r="S2869" i="1" s="1"/>
  <c r="S2870" i="1" a="1"/>
  <c r="S2870" i="1" s="1"/>
  <c r="S2871" i="1" a="1"/>
  <c r="S2871" i="1" s="1"/>
  <c r="S2872" i="1" a="1"/>
  <c r="S2872" i="1" s="1"/>
  <c r="S2873" i="1" a="1"/>
  <c r="S2873" i="1" s="1"/>
  <c r="S2874" i="1" a="1"/>
  <c r="S2874" i="1" s="1"/>
  <c r="S2875" i="1" a="1"/>
  <c r="S2875" i="1" s="1"/>
  <c r="S2876" i="1" a="1"/>
  <c r="S2876" i="1" s="1"/>
  <c r="S2877" i="1" a="1"/>
  <c r="S2877" i="1" s="1"/>
  <c r="S2878" i="1" a="1"/>
  <c r="S2878" i="1" s="1"/>
  <c r="S2879" i="1" a="1"/>
  <c r="S2879" i="1" s="1"/>
  <c r="S2880" i="1" a="1"/>
  <c r="S2880" i="1" s="1"/>
  <c r="S2881" i="1" a="1"/>
  <c r="S2881" i="1" s="1"/>
  <c r="S2882" i="1" a="1"/>
  <c r="S2882" i="1"/>
  <c r="S2883" i="1" a="1"/>
  <c r="S2883" i="1" s="1"/>
  <c r="S2884" i="1" a="1"/>
  <c r="S2884" i="1" s="1"/>
  <c r="S2885" i="1" a="1"/>
  <c r="S2885" i="1" s="1"/>
  <c r="S2886" i="1" a="1"/>
  <c r="S2886" i="1" s="1"/>
  <c r="S2887" i="1" a="1"/>
  <c r="S2887" i="1" s="1"/>
  <c r="S2888" i="1" a="1"/>
  <c r="S2888" i="1" s="1"/>
  <c r="S2889" i="1" a="1"/>
  <c r="S2889" i="1" s="1"/>
  <c r="S2890" i="1" a="1"/>
  <c r="S2890" i="1"/>
  <c r="S2891" i="1" a="1"/>
  <c r="S2891" i="1" s="1"/>
  <c r="S2892" i="1" a="1"/>
  <c r="S2892" i="1" s="1"/>
  <c r="S2893" i="1" a="1"/>
  <c r="S2893" i="1" s="1"/>
  <c r="S2894" i="1" a="1"/>
  <c r="S2894" i="1" s="1"/>
  <c r="S2895" i="1" a="1"/>
  <c r="S2895" i="1" s="1"/>
  <c r="S2896" i="1" a="1"/>
  <c r="S2896" i="1" s="1"/>
  <c r="S2897" i="1" a="1"/>
  <c r="S2897" i="1" s="1"/>
  <c r="S2898" i="1" a="1"/>
  <c r="S2898" i="1"/>
  <c r="S2899" i="1" a="1"/>
  <c r="S2899" i="1" s="1"/>
  <c r="S2900" i="1" a="1"/>
  <c r="S2900" i="1" s="1"/>
  <c r="S2901" i="1" a="1"/>
  <c r="S2901" i="1" s="1"/>
  <c r="S2902" i="1" a="1"/>
  <c r="S2902" i="1" s="1"/>
  <c r="S2903" i="1" a="1"/>
  <c r="S2903" i="1" s="1"/>
  <c r="S2904" i="1" a="1"/>
  <c r="S2904" i="1" s="1"/>
  <c r="S2905" i="1" a="1"/>
  <c r="S2905" i="1" s="1"/>
  <c r="S2906" i="1" a="1"/>
  <c r="S2906" i="1" s="1"/>
  <c r="S2907" i="1" a="1"/>
  <c r="S2907" i="1" s="1"/>
  <c r="S2908" i="1" a="1"/>
  <c r="S2908" i="1" s="1"/>
  <c r="S2909" i="1" a="1"/>
  <c r="S2909" i="1" s="1"/>
  <c r="S2910" i="1" a="1"/>
  <c r="S2910" i="1" s="1"/>
  <c r="S2911" i="1" a="1"/>
  <c r="S2911" i="1" s="1"/>
  <c r="S2912" i="1" a="1"/>
  <c r="S2912" i="1" s="1"/>
  <c r="S2913" i="1" a="1"/>
  <c r="S2913" i="1" s="1"/>
  <c r="S2914" i="1" a="1"/>
  <c r="S2914" i="1"/>
  <c r="S2915" i="1" a="1"/>
  <c r="S2915" i="1" s="1"/>
  <c r="S2916" i="1" a="1"/>
  <c r="S2916" i="1" s="1"/>
  <c r="S2917" i="1" a="1"/>
  <c r="S2917" i="1" s="1"/>
  <c r="S2918" i="1" a="1"/>
  <c r="S2918" i="1" s="1"/>
  <c r="S2919" i="1" a="1"/>
  <c r="S2919" i="1" s="1"/>
  <c r="S2920" i="1" a="1"/>
  <c r="S2920" i="1" s="1"/>
  <c r="S2921" i="1" a="1"/>
  <c r="S2921" i="1" s="1"/>
  <c r="S2922" i="1" a="1"/>
  <c r="S2922" i="1" s="1"/>
  <c r="S2923" i="1" a="1"/>
  <c r="S2923" i="1" s="1"/>
  <c r="S2924" i="1" a="1"/>
  <c r="S2924" i="1" s="1"/>
  <c r="S2925" i="1" a="1"/>
  <c r="S2925" i="1" s="1"/>
  <c r="S2926" i="1" a="1"/>
  <c r="S2926" i="1" s="1"/>
  <c r="S2927" i="1" a="1"/>
  <c r="S2927" i="1" s="1"/>
  <c r="S2928" i="1" a="1"/>
  <c r="S2928" i="1" s="1"/>
  <c r="S2929" i="1" a="1"/>
  <c r="S2929" i="1" s="1"/>
  <c r="S2930" i="1" a="1"/>
  <c r="S2930" i="1" s="1"/>
  <c r="S2931" i="1" a="1"/>
  <c r="S2931" i="1" s="1"/>
  <c r="S2932" i="1" a="1"/>
  <c r="S2932" i="1" s="1"/>
  <c r="S2933" i="1" a="1"/>
  <c r="S2933" i="1" s="1"/>
  <c r="S2934" i="1" a="1"/>
  <c r="S2934" i="1" s="1"/>
  <c r="S2935" i="1" a="1"/>
  <c r="S2935" i="1" s="1"/>
  <c r="S2936" i="1" a="1"/>
  <c r="S2936" i="1" s="1"/>
  <c r="S2937" i="1" a="1"/>
  <c r="S2937" i="1" s="1"/>
  <c r="S2938" i="1" a="1"/>
  <c r="S2938" i="1" s="1"/>
  <c r="S2939" i="1" a="1"/>
  <c r="S2939" i="1" s="1"/>
  <c r="S2940" i="1" a="1"/>
  <c r="S2940" i="1" s="1"/>
  <c r="S2941" i="1" a="1"/>
  <c r="S2941" i="1" s="1"/>
  <c r="S2942" i="1" a="1"/>
  <c r="S2942" i="1" s="1"/>
  <c r="S2943" i="1" a="1"/>
  <c r="S2943" i="1" s="1"/>
  <c r="S2944" i="1" a="1"/>
  <c r="S2944" i="1" s="1"/>
  <c r="S2945" i="1" a="1"/>
  <c r="S2945" i="1" s="1"/>
  <c r="S2946" i="1" a="1"/>
  <c r="S2946" i="1"/>
  <c r="S2947" i="1" a="1"/>
  <c r="S2947" i="1" s="1"/>
  <c r="S2948" i="1" a="1"/>
  <c r="S2948" i="1" s="1"/>
  <c r="S2949" i="1" a="1"/>
  <c r="S2949" i="1" s="1"/>
  <c r="S2950" i="1" a="1"/>
  <c r="S2950" i="1" s="1"/>
  <c r="S2951" i="1" a="1"/>
  <c r="S2951" i="1" s="1"/>
  <c r="S2952" i="1" a="1"/>
  <c r="S2952" i="1" s="1"/>
  <c r="S2953" i="1" a="1"/>
  <c r="S2953" i="1" s="1"/>
  <c r="S2954" i="1" a="1"/>
  <c r="S2954" i="1"/>
  <c r="S2955" i="1" a="1"/>
  <c r="S2955" i="1" s="1"/>
  <c r="S2956" i="1" a="1"/>
  <c r="S2956" i="1" s="1"/>
  <c r="S2957" i="1" a="1"/>
  <c r="S2957" i="1" s="1"/>
  <c r="S2958" i="1" a="1"/>
  <c r="S2958" i="1" s="1"/>
  <c r="S2959" i="1" a="1"/>
  <c r="S2959" i="1" s="1"/>
  <c r="S2960" i="1" a="1"/>
  <c r="S2960" i="1" s="1"/>
  <c r="S2961" i="1" a="1"/>
  <c r="S2961" i="1" s="1"/>
  <c r="S2962" i="1" a="1"/>
  <c r="S2962" i="1" s="1"/>
  <c r="S2963" i="1" a="1"/>
  <c r="S2963" i="1" s="1"/>
  <c r="S2964" i="1" a="1"/>
  <c r="S2964" i="1" s="1"/>
  <c r="S2965" i="1" a="1"/>
  <c r="S2965" i="1" s="1"/>
  <c r="S2966" i="1" a="1"/>
  <c r="S2966" i="1" s="1"/>
  <c r="S2967" i="1" a="1"/>
  <c r="S2967" i="1" s="1"/>
  <c r="S2968" i="1" a="1"/>
  <c r="S2968" i="1" s="1"/>
  <c r="S2969" i="1" a="1"/>
  <c r="S2969" i="1" s="1"/>
  <c r="S2970" i="1" a="1"/>
  <c r="S2970" i="1" s="1"/>
  <c r="S2971" i="1" a="1"/>
  <c r="S2971" i="1" s="1"/>
  <c r="S2972" i="1" a="1"/>
  <c r="S2972" i="1" s="1"/>
  <c r="S2973" i="1" a="1"/>
  <c r="S2973" i="1" s="1"/>
  <c r="S2974" i="1" a="1"/>
  <c r="S2974" i="1" s="1"/>
  <c r="S2975" i="1" a="1"/>
  <c r="S2975" i="1" s="1"/>
  <c r="S2976" i="1" a="1"/>
  <c r="S2976" i="1" s="1"/>
  <c r="S2977" i="1" a="1"/>
  <c r="S2977" i="1" s="1"/>
  <c r="S2978" i="1" a="1"/>
  <c r="S2978" i="1" s="1"/>
  <c r="S2979" i="1" a="1"/>
  <c r="S2979" i="1" s="1"/>
  <c r="S2980" i="1" a="1"/>
  <c r="S2980" i="1" s="1"/>
  <c r="S2981" i="1" a="1"/>
  <c r="S2981" i="1" s="1"/>
  <c r="S2982" i="1" a="1"/>
  <c r="S2982" i="1" s="1"/>
  <c r="S2983" i="1" a="1"/>
  <c r="S2983" i="1" s="1"/>
  <c r="S2984" i="1" a="1"/>
  <c r="S2984" i="1" s="1"/>
  <c r="S2985" i="1" a="1"/>
  <c r="S2985" i="1" s="1"/>
  <c r="S2986" i="1" a="1"/>
  <c r="S2986" i="1" s="1"/>
  <c r="S2987" i="1" a="1"/>
  <c r="S2987" i="1" s="1"/>
  <c r="S2988" i="1" a="1"/>
  <c r="S2988" i="1" s="1"/>
  <c r="S2989" i="1" a="1"/>
  <c r="S2989" i="1" s="1"/>
  <c r="S2990" i="1" a="1"/>
  <c r="S2990" i="1" s="1"/>
  <c r="S2991" i="1" a="1"/>
  <c r="S2991" i="1" s="1"/>
  <c r="S2992" i="1" a="1"/>
  <c r="S2992" i="1" s="1"/>
  <c r="S2993" i="1" a="1"/>
  <c r="S2993" i="1" s="1"/>
  <c r="S2994" i="1" a="1"/>
  <c r="S2994" i="1" s="1"/>
  <c r="S2995" i="1" a="1"/>
  <c r="S2995" i="1" s="1"/>
  <c r="S2996" i="1" a="1"/>
  <c r="S2996" i="1" s="1"/>
  <c r="S2997" i="1" a="1"/>
  <c r="S2997" i="1" s="1"/>
  <c r="S2998" i="1" a="1"/>
  <c r="S2998" i="1" s="1"/>
  <c r="S2999" i="1" a="1"/>
  <c r="S2999" i="1" s="1"/>
  <c r="S3000" i="1" a="1"/>
  <c r="S3000" i="1" s="1"/>
  <c r="S3001" i="1" a="1"/>
  <c r="S3001" i="1" s="1"/>
  <c r="S3002" i="1" a="1"/>
  <c r="S3002" i="1" s="1"/>
  <c r="S3003" i="1" a="1"/>
  <c r="S3003" i="1" s="1"/>
  <c r="S3004" i="1" a="1"/>
  <c r="S3004" i="1" s="1"/>
  <c r="S3005" i="1" a="1"/>
  <c r="S3005" i="1" s="1"/>
  <c r="S3006" i="1" a="1"/>
  <c r="S3006" i="1" s="1"/>
  <c r="S3007" i="1" a="1"/>
  <c r="S3007" i="1" s="1"/>
  <c r="S3008" i="1" a="1"/>
  <c r="S3008" i="1" s="1"/>
  <c r="S3009" i="1" a="1"/>
  <c r="S3009" i="1" s="1"/>
  <c r="S3010" i="1" a="1"/>
  <c r="S3010" i="1" s="1"/>
  <c r="S3011" i="1" a="1"/>
  <c r="S3011" i="1" s="1"/>
  <c r="S3012" i="1" a="1"/>
  <c r="S3012" i="1" s="1"/>
  <c r="S3013" i="1" a="1"/>
  <c r="S3013" i="1" s="1"/>
  <c r="S3014" i="1" a="1"/>
  <c r="S3014" i="1" s="1"/>
  <c r="S3015" i="1" a="1"/>
  <c r="S3015" i="1" s="1"/>
  <c r="S3016" i="1" a="1"/>
  <c r="S3016" i="1" s="1"/>
  <c r="S3017" i="1" a="1"/>
  <c r="S3017" i="1" s="1"/>
  <c r="S3018" i="1" a="1"/>
  <c r="S3018" i="1" s="1"/>
  <c r="S3019" i="1" a="1"/>
  <c r="S3019" i="1" s="1"/>
  <c r="S3020" i="1" a="1"/>
  <c r="S3020" i="1" s="1"/>
  <c r="S3021" i="1" a="1"/>
  <c r="S3021" i="1" s="1"/>
  <c r="S3022" i="1" a="1"/>
  <c r="S3022" i="1" s="1"/>
  <c r="S3023" i="1" a="1"/>
  <c r="S3023" i="1" s="1"/>
  <c r="S3024" i="1" a="1"/>
  <c r="S3024" i="1" s="1"/>
  <c r="S3025" i="1" a="1"/>
  <c r="S3025" i="1" s="1"/>
  <c r="S3026" i="1" a="1"/>
  <c r="S3026" i="1" s="1"/>
  <c r="S3027" i="1" a="1"/>
  <c r="S3027" i="1" s="1"/>
  <c r="S3028" i="1" a="1"/>
  <c r="S3028" i="1" s="1"/>
  <c r="S3029" i="1" a="1"/>
  <c r="S3029" i="1" s="1"/>
  <c r="S3030" i="1" a="1"/>
  <c r="S3030" i="1" s="1"/>
  <c r="S3031" i="1" a="1"/>
  <c r="S3031" i="1" s="1"/>
  <c r="S3032" i="1" a="1"/>
  <c r="S3032" i="1" s="1"/>
  <c r="S3033" i="1" a="1"/>
  <c r="S3033" i="1" s="1"/>
  <c r="S3034" i="1" a="1"/>
  <c r="S3034" i="1" s="1"/>
  <c r="S3035" i="1" a="1"/>
  <c r="S3035" i="1" s="1"/>
  <c r="S3036" i="1" a="1"/>
  <c r="S3036" i="1" s="1"/>
  <c r="S3037" i="1" a="1"/>
  <c r="S3037" i="1" s="1"/>
  <c r="S3038" i="1" a="1"/>
  <c r="S3038" i="1" s="1"/>
  <c r="S3039" i="1" a="1"/>
  <c r="S3039" i="1" s="1"/>
  <c r="S3040" i="1" a="1"/>
  <c r="S3040" i="1" s="1"/>
  <c r="S3041" i="1" a="1"/>
  <c r="S3041" i="1" s="1"/>
  <c r="S3042" i="1" a="1"/>
  <c r="S3042" i="1" s="1"/>
  <c r="S3043" i="1" a="1"/>
  <c r="S3043" i="1" s="1"/>
  <c r="S3044" i="1" a="1"/>
  <c r="S3044" i="1" s="1"/>
  <c r="S3045" i="1" a="1"/>
  <c r="S3045" i="1" s="1"/>
  <c r="S3046" i="1" a="1"/>
  <c r="S3046" i="1" s="1"/>
  <c r="S3047" i="1" a="1"/>
  <c r="S3047" i="1" s="1"/>
  <c r="S3048" i="1" a="1"/>
  <c r="S3048" i="1" s="1"/>
  <c r="S3049" i="1" a="1"/>
  <c r="S3049" i="1" s="1"/>
  <c r="S3050" i="1" a="1"/>
  <c r="S3050" i="1" s="1"/>
  <c r="S3051" i="1" a="1"/>
  <c r="S3051" i="1" s="1"/>
  <c r="S3052" i="1" a="1"/>
  <c r="S3052" i="1" s="1"/>
  <c r="S3053" i="1" a="1"/>
  <c r="S3053" i="1" s="1"/>
  <c r="S3054" i="1" a="1"/>
  <c r="S3054" i="1" s="1"/>
  <c r="S3055" i="1" a="1"/>
  <c r="S3055" i="1" s="1"/>
  <c r="S3056" i="1" a="1"/>
  <c r="S3056" i="1" s="1"/>
  <c r="S3057" i="1" a="1"/>
  <c r="S3057" i="1" s="1"/>
  <c r="S3058" i="1" a="1"/>
  <c r="S3058" i="1" s="1"/>
  <c r="S3059" i="1" a="1"/>
  <c r="S3059" i="1" s="1"/>
  <c r="S3060" i="1" a="1"/>
  <c r="S3060" i="1" s="1"/>
  <c r="S3061" i="1" a="1"/>
  <c r="S3061" i="1" s="1"/>
  <c r="S3062" i="1" a="1"/>
  <c r="S3062" i="1" s="1"/>
  <c r="S3063" i="1" a="1"/>
  <c r="S3063" i="1" s="1"/>
  <c r="S3064" i="1" a="1"/>
  <c r="S3064" i="1" s="1"/>
  <c r="S3065" i="1" a="1"/>
  <c r="S3065" i="1" s="1"/>
  <c r="S3066" i="1" a="1"/>
  <c r="S3066" i="1" s="1"/>
  <c r="S3067" i="1" a="1"/>
  <c r="S3067" i="1" s="1"/>
  <c r="S3068" i="1" a="1"/>
  <c r="S3068" i="1" s="1"/>
  <c r="S3069" i="1" a="1"/>
  <c r="S3069" i="1" s="1"/>
  <c r="S3070" i="1" a="1"/>
  <c r="S3070" i="1" s="1"/>
  <c r="S3071" i="1" a="1"/>
  <c r="S3071" i="1" s="1"/>
  <c r="S3072" i="1" a="1"/>
  <c r="S3072" i="1" s="1"/>
  <c r="S3073" i="1" a="1"/>
  <c r="S3073" i="1" s="1"/>
  <c r="S3074" i="1" a="1"/>
  <c r="S3074" i="1" s="1"/>
  <c r="S3075" i="1" a="1"/>
  <c r="S3075" i="1" s="1"/>
  <c r="S3076" i="1" a="1"/>
  <c r="S3076" i="1" s="1"/>
  <c r="S3077" i="1" a="1"/>
  <c r="S3077" i="1" s="1"/>
  <c r="S3078" i="1" a="1"/>
  <c r="S3078" i="1" s="1"/>
  <c r="S3079" i="1" a="1"/>
  <c r="S3079" i="1" s="1"/>
  <c r="S3080" i="1" a="1"/>
  <c r="S3080" i="1" s="1"/>
  <c r="S3081" i="1" a="1"/>
  <c r="S3081" i="1" s="1"/>
  <c r="S3082" i="1" a="1"/>
  <c r="S3082" i="1" s="1"/>
  <c r="S3083" i="1" a="1"/>
  <c r="S3083" i="1" s="1"/>
  <c r="S3084" i="1" a="1"/>
  <c r="S3084" i="1" s="1"/>
  <c r="S3085" i="1" a="1"/>
  <c r="S3085" i="1" s="1"/>
  <c r="S3086" i="1" a="1"/>
  <c r="S3086" i="1" s="1"/>
  <c r="S3087" i="1" a="1"/>
  <c r="S3087" i="1" s="1"/>
  <c r="S3088" i="1" a="1"/>
  <c r="S3088" i="1" s="1"/>
  <c r="S3089" i="1" a="1"/>
  <c r="S3089" i="1" s="1"/>
  <c r="S3090" i="1" a="1"/>
  <c r="S3090" i="1" s="1"/>
  <c r="S3091" i="1" a="1"/>
  <c r="S3091" i="1" s="1"/>
  <c r="S3092" i="1" a="1"/>
  <c r="S3092" i="1" s="1"/>
  <c r="S3093" i="1" a="1"/>
  <c r="S3093" i="1" s="1"/>
  <c r="S3094" i="1" a="1"/>
  <c r="S3094" i="1" s="1"/>
  <c r="S3095" i="1" a="1"/>
  <c r="S3095" i="1" s="1"/>
  <c r="S3096" i="1" a="1"/>
  <c r="S3096" i="1" s="1"/>
  <c r="S3097" i="1" a="1"/>
  <c r="S3097" i="1" s="1"/>
  <c r="S3098" i="1" a="1"/>
  <c r="S3098" i="1" s="1"/>
  <c r="S3099" i="1" a="1"/>
  <c r="S3099" i="1" s="1"/>
  <c r="S3100" i="1" a="1"/>
  <c r="S3100" i="1" s="1"/>
  <c r="S3101" i="1" a="1"/>
  <c r="S3101" i="1" s="1"/>
  <c r="S3102" i="1" a="1"/>
  <c r="S3102" i="1" s="1"/>
  <c r="S3103" i="1" a="1"/>
  <c r="S3103" i="1" s="1"/>
  <c r="S3104" i="1" a="1"/>
  <c r="S3104" i="1" s="1"/>
  <c r="S3105" i="1" a="1"/>
  <c r="S3105" i="1" s="1"/>
  <c r="S3106" i="1" a="1"/>
  <c r="S3106" i="1" s="1"/>
  <c r="S3107" i="1" a="1"/>
  <c r="S3107" i="1" s="1"/>
  <c r="S3108" i="1" a="1"/>
  <c r="S3108" i="1" s="1"/>
  <c r="S3109" i="1" a="1"/>
  <c r="S3109" i="1" s="1"/>
  <c r="S3110" i="1" a="1"/>
  <c r="S3110" i="1" s="1"/>
  <c r="S3111" i="1" a="1"/>
  <c r="S3111" i="1" s="1"/>
  <c r="S3112" i="1" a="1"/>
  <c r="S3112" i="1" s="1"/>
  <c r="S3113" i="1" a="1"/>
  <c r="S3113" i="1" s="1"/>
  <c r="S3114" i="1" a="1"/>
  <c r="S3114" i="1" s="1"/>
  <c r="S3115" i="1" a="1"/>
  <c r="S3115" i="1" s="1"/>
  <c r="S3116" i="1" a="1"/>
  <c r="S3116" i="1" s="1"/>
  <c r="S3117" i="1" a="1"/>
  <c r="S3117" i="1" s="1"/>
  <c r="S3118" i="1" a="1"/>
  <c r="S3118" i="1" s="1"/>
  <c r="S3119" i="1" a="1"/>
  <c r="S3119" i="1" s="1"/>
  <c r="S3120" i="1" a="1"/>
  <c r="S3120" i="1" s="1"/>
  <c r="S3121" i="1" a="1"/>
  <c r="S3121" i="1" s="1"/>
  <c r="S3122" i="1" a="1"/>
  <c r="S3122" i="1" s="1"/>
  <c r="S3123" i="1" a="1"/>
  <c r="S3123" i="1" s="1"/>
  <c r="S3124" i="1" a="1"/>
  <c r="S3124" i="1" s="1"/>
  <c r="S3125" i="1" a="1"/>
  <c r="S3125" i="1" s="1"/>
  <c r="S3126" i="1" a="1"/>
  <c r="S3126" i="1" s="1"/>
  <c r="S3127" i="1" a="1"/>
  <c r="S3127" i="1" s="1"/>
  <c r="S3128" i="1" a="1"/>
  <c r="S3128" i="1" s="1"/>
  <c r="S3129" i="1" a="1"/>
  <c r="S3129" i="1" s="1"/>
  <c r="S3130" i="1" a="1"/>
  <c r="S3130" i="1" s="1"/>
  <c r="S3131" i="1" a="1"/>
  <c r="S3131" i="1" s="1"/>
  <c r="S3132" i="1" a="1"/>
  <c r="S3132" i="1" s="1"/>
  <c r="S3133" i="1" a="1"/>
  <c r="S3133" i="1" s="1"/>
  <c r="S3134" i="1" a="1"/>
  <c r="S3134" i="1" s="1"/>
  <c r="S3135" i="1" a="1"/>
  <c r="S3135" i="1" s="1"/>
  <c r="S3136" i="1" a="1"/>
  <c r="S3136" i="1" s="1"/>
  <c r="S3137" i="1" a="1"/>
  <c r="S3137" i="1" s="1"/>
  <c r="S3138" i="1" a="1"/>
  <c r="S3138" i="1" s="1"/>
  <c r="S3139" i="1" a="1"/>
  <c r="S3139" i="1" s="1"/>
  <c r="S3140" i="1" a="1"/>
  <c r="S3140" i="1" s="1"/>
  <c r="S3141" i="1" a="1"/>
  <c r="S3141" i="1" s="1"/>
  <c r="S3142" i="1" a="1"/>
  <c r="S3142" i="1" s="1"/>
  <c r="S3143" i="1" a="1"/>
  <c r="S3143" i="1" s="1"/>
  <c r="S3144" i="1" a="1"/>
  <c r="S3144" i="1" s="1"/>
  <c r="S3145" i="1" a="1"/>
  <c r="S3145" i="1" s="1"/>
  <c r="S3146" i="1" a="1"/>
  <c r="S3146" i="1" s="1"/>
  <c r="S3147" i="1" a="1"/>
  <c r="S3147" i="1" s="1"/>
  <c r="S3148" i="1" a="1"/>
  <c r="S3148" i="1" s="1"/>
  <c r="S3149" i="1" a="1"/>
  <c r="S3149" i="1" s="1"/>
  <c r="S3150" i="1" a="1"/>
  <c r="S3150" i="1" s="1"/>
  <c r="S3151" i="1" a="1"/>
  <c r="S3151" i="1" s="1"/>
  <c r="S3152" i="1" a="1"/>
  <c r="S3152" i="1" s="1"/>
  <c r="S3153" i="1" a="1"/>
  <c r="S3153" i="1" s="1"/>
  <c r="S3154" i="1" a="1"/>
  <c r="S3154" i="1" s="1"/>
  <c r="S3155" i="1" a="1"/>
  <c r="S3155" i="1" s="1"/>
  <c r="S3156" i="1" a="1"/>
  <c r="S3156" i="1" s="1"/>
  <c r="S3157" i="1" a="1"/>
  <c r="S3157" i="1" s="1"/>
  <c r="S3158" i="1" a="1"/>
  <c r="S3158" i="1" s="1"/>
  <c r="S3159" i="1" a="1"/>
  <c r="S3159" i="1" s="1"/>
  <c r="S3160" i="1" a="1"/>
  <c r="S3160" i="1" s="1"/>
  <c r="S3161" i="1" a="1"/>
  <c r="S3161" i="1" s="1"/>
  <c r="S3162" i="1" a="1"/>
  <c r="S3162" i="1" s="1"/>
  <c r="S3163" i="1" a="1"/>
  <c r="S3163" i="1" s="1"/>
  <c r="S3164" i="1" a="1"/>
  <c r="S3164" i="1" s="1"/>
  <c r="S3165" i="1" a="1"/>
  <c r="S3165" i="1" s="1"/>
  <c r="S3166" i="1" a="1"/>
  <c r="S3166" i="1" s="1"/>
  <c r="S3167" i="1" a="1"/>
  <c r="S3167" i="1" s="1"/>
  <c r="S3168" i="1" a="1"/>
  <c r="S3168" i="1" s="1"/>
  <c r="S3169" i="1" a="1"/>
  <c r="S3169" i="1" s="1"/>
  <c r="S3170" i="1" a="1"/>
  <c r="S3170" i="1" s="1"/>
  <c r="S3171" i="1" a="1"/>
  <c r="S3171" i="1" s="1"/>
  <c r="S3172" i="1" a="1"/>
  <c r="S3172" i="1" s="1"/>
  <c r="S3173" i="1" a="1"/>
  <c r="S3173" i="1" s="1"/>
  <c r="S3174" i="1" a="1"/>
  <c r="S3174" i="1" s="1"/>
  <c r="S3175" i="1" a="1"/>
  <c r="S3175" i="1" s="1"/>
  <c r="S3176" i="1" a="1"/>
  <c r="S3176" i="1" s="1"/>
  <c r="S3177" i="1" a="1"/>
  <c r="S3177" i="1" s="1"/>
  <c r="S3178" i="1" a="1"/>
  <c r="S3178" i="1" s="1"/>
  <c r="S3179" i="1" a="1"/>
  <c r="S3179" i="1" s="1"/>
  <c r="S3180" i="1" a="1"/>
  <c r="S3180" i="1" s="1"/>
  <c r="S3181" i="1" a="1"/>
  <c r="S3181" i="1" s="1"/>
  <c r="S3182" i="1" a="1"/>
  <c r="S3182" i="1" s="1"/>
  <c r="S3183" i="1" a="1"/>
  <c r="S3183" i="1"/>
  <c r="S3184" i="1" a="1"/>
  <c r="S3184" i="1" s="1"/>
  <c r="S3185" i="1" a="1"/>
  <c r="S3185" i="1" s="1"/>
  <c r="S3186" i="1" a="1"/>
  <c r="S3186" i="1" s="1"/>
  <c r="S3187" i="1" a="1"/>
  <c r="S3187" i="1" s="1"/>
  <c r="S3188" i="1" a="1"/>
  <c r="S3188" i="1" s="1"/>
  <c r="S3189" i="1" a="1"/>
  <c r="S3189" i="1"/>
  <c r="S3190" i="1" a="1"/>
  <c r="S3190" i="1"/>
  <c r="S3191" i="1" a="1"/>
  <c r="S3191" i="1"/>
  <c r="S3192" i="1" a="1"/>
  <c r="S3192" i="1" s="1"/>
  <c r="S3193" i="1" a="1"/>
  <c r="S3193" i="1" s="1"/>
  <c r="S3194" i="1" a="1"/>
  <c r="S3194" i="1" s="1"/>
  <c r="S3195" i="1" a="1"/>
  <c r="S3195" i="1" s="1"/>
  <c r="S3196" i="1" a="1"/>
  <c r="S3196" i="1" s="1"/>
  <c r="S3197" i="1" a="1"/>
  <c r="S3197" i="1" s="1"/>
  <c r="S3198" i="1" a="1"/>
  <c r="S3198" i="1" s="1"/>
  <c r="S3199" i="1" a="1"/>
  <c r="S3199" i="1" s="1"/>
  <c r="S3200" i="1" a="1"/>
  <c r="S3200" i="1" s="1"/>
  <c r="S3201" i="1" a="1"/>
  <c r="S3201" i="1" s="1"/>
  <c r="S3202" i="1" a="1"/>
  <c r="S3202" i="1" s="1"/>
  <c r="S3203" i="1" a="1"/>
  <c r="S3203" i="1" s="1"/>
  <c r="S3204" i="1" a="1"/>
  <c r="S3204" i="1" s="1"/>
  <c r="S3205" i="1" a="1"/>
  <c r="S3205" i="1"/>
  <c r="S3206" i="1" a="1"/>
  <c r="S3206" i="1"/>
  <c r="S3207" i="1" a="1"/>
  <c r="S3207" i="1"/>
  <c r="S3208" i="1" a="1"/>
  <c r="S3208" i="1" s="1"/>
  <c r="S3209" i="1" a="1"/>
  <c r="S3209" i="1" s="1"/>
  <c r="S3210" i="1" a="1"/>
  <c r="S3210" i="1" s="1"/>
  <c r="S3211" i="1" a="1"/>
  <c r="S3211" i="1" s="1"/>
  <c r="S3212" i="1" a="1"/>
  <c r="S3212" i="1" s="1"/>
  <c r="S3213" i="1" a="1"/>
  <c r="S3213" i="1"/>
  <c r="S3214" i="1" a="1"/>
  <c r="S3214" i="1"/>
  <c r="S3215" i="1" a="1"/>
  <c r="S3215" i="1" s="1"/>
  <c r="S3216" i="1" a="1"/>
  <c r="S3216" i="1" s="1"/>
  <c r="S3217" i="1" a="1"/>
  <c r="S3217" i="1" s="1"/>
  <c r="S3218" i="1" a="1"/>
  <c r="S3218" i="1" s="1"/>
  <c r="S3219" i="1" a="1"/>
  <c r="S3219" i="1" s="1"/>
  <c r="S3220" i="1" a="1"/>
  <c r="S3220" i="1" s="1"/>
  <c r="S3221" i="1" a="1"/>
  <c r="S3221" i="1"/>
  <c r="S3222" i="1" a="1"/>
  <c r="S3222" i="1"/>
  <c r="S3223" i="1" a="1"/>
  <c r="S3223" i="1"/>
  <c r="S3224" i="1" a="1"/>
  <c r="S3224" i="1" s="1"/>
  <c r="S3225" i="1" a="1"/>
  <c r="S3225" i="1" s="1"/>
  <c r="S3226" i="1" a="1"/>
  <c r="S3226" i="1" s="1"/>
  <c r="S3227" i="1" a="1"/>
  <c r="S3227" i="1" s="1"/>
  <c r="S3228" i="1" a="1"/>
  <c r="S3228" i="1" s="1"/>
  <c r="S3229" i="1" a="1"/>
  <c r="S3229" i="1" s="1"/>
  <c r="S3230" i="1" a="1"/>
  <c r="S3230" i="1"/>
  <c r="S3231" i="1" a="1"/>
  <c r="S3231" i="1" s="1"/>
  <c r="S3232" i="1" a="1"/>
  <c r="S3232" i="1" s="1"/>
  <c r="S3233" i="1" a="1"/>
  <c r="S3233" i="1" s="1"/>
  <c r="S3234" i="1" a="1"/>
  <c r="S3234" i="1" s="1"/>
  <c r="S3235" i="1" a="1"/>
  <c r="S3235" i="1" s="1"/>
  <c r="S3236" i="1" a="1"/>
  <c r="S3236" i="1" s="1"/>
  <c r="S3237" i="1" a="1"/>
  <c r="S3237" i="1"/>
  <c r="S3238" i="1" a="1"/>
  <c r="S3238" i="1" s="1"/>
  <c r="S3239" i="1" a="1"/>
  <c r="S3239" i="1" s="1"/>
  <c r="S3240" i="1" a="1"/>
  <c r="S3240" i="1" s="1"/>
  <c r="S3241" i="1" a="1"/>
  <c r="S3241" i="1" s="1"/>
  <c r="S3242" i="1" a="1"/>
  <c r="S3242" i="1" s="1"/>
  <c r="S3243" i="1" a="1"/>
  <c r="S3243" i="1" s="1"/>
  <c r="S3244" i="1" a="1"/>
  <c r="S3244" i="1" s="1"/>
  <c r="S3245" i="1" a="1"/>
  <c r="S3245" i="1" s="1"/>
  <c r="S3246" i="1" a="1"/>
  <c r="S3246" i="1" s="1"/>
  <c r="S3247" i="1" a="1"/>
  <c r="S3247" i="1"/>
  <c r="S3248" i="1" a="1"/>
  <c r="S3248" i="1" s="1"/>
  <c r="S3249" i="1" a="1"/>
  <c r="S3249" i="1" s="1"/>
  <c r="S3250" i="1" a="1"/>
  <c r="S3250" i="1" s="1"/>
  <c r="S3251" i="1" a="1"/>
  <c r="S3251" i="1" s="1"/>
  <c r="S3252" i="1" a="1"/>
  <c r="S3252" i="1" s="1"/>
  <c r="S3253" i="1" a="1"/>
  <c r="S3253" i="1"/>
  <c r="S3254" i="1" a="1"/>
  <c r="S3254" i="1"/>
  <c r="S3255" i="1" a="1"/>
  <c r="S3255" i="1"/>
  <c r="S3256" i="1" a="1"/>
  <c r="S3256" i="1" s="1"/>
  <c r="S3257" i="1" a="1"/>
  <c r="S3257" i="1"/>
  <c r="S3258" i="1" a="1"/>
  <c r="S3258" i="1"/>
  <c r="S3259" i="1" a="1"/>
  <c r="S3259" i="1"/>
  <c r="S3260" i="1" a="1"/>
  <c r="S3260" i="1" s="1"/>
  <c r="S3261" i="1" a="1"/>
  <c r="S3261" i="1"/>
  <c r="S3262" i="1" a="1"/>
  <c r="S3262" i="1"/>
  <c r="S3263" i="1" a="1"/>
  <c r="S3263" i="1" s="1"/>
  <c r="S3264" i="1" a="1"/>
  <c r="S3264" i="1" s="1"/>
  <c r="S3265" i="1" a="1"/>
  <c r="S3265" i="1"/>
  <c r="S3266" i="1" a="1"/>
  <c r="S3266" i="1" s="1"/>
  <c r="S3267" i="1" a="1"/>
  <c r="S3267" i="1" s="1"/>
  <c r="S3268" i="1" a="1"/>
  <c r="S3268" i="1" s="1"/>
  <c r="S3269" i="1" a="1"/>
  <c r="S3269" i="1" s="1"/>
  <c r="S3270" i="1" a="1"/>
  <c r="S3270" i="1" s="1"/>
  <c r="S3271" i="1" a="1"/>
  <c r="S3271" i="1" s="1"/>
  <c r="S3272" i="1" a="1"/>
  <c r="S3272" i="1" s="1"/>
  <c r="S3273" i="1" a="1"/>
  <c r="S3273" i="1" s="1"/>
  <c r="S3274" i="1" a="1"/>
  <c r="S3274" i="1"/>
  <c r="S3275" i="1" a="1"/>
  <c r="S3275" i="1" s="1"/>
  <c r="S3276" i="1" a="1"/>
  <c r="S3276" i="1" s="1"/>
  <c r="S3277" i="1" a="1"/>
  <c r="S3277" i="1" s="1"/>
  <c r="S3278" i="1" a="1"/>
  <c r="S3278" i="1" s="1"/>
  <c r="S3279" i="1" a="1"/>
  <c r="S3279" i="1"/>
  <c r="S3280" i="1" a="1"/>
  <c r="S3280" i="1" s="1"/>
  <c r="S3281" i="1" a="1"/>
  <c r="S3281" i="1" s="1"/>
  <c r="S3282" i="1" a="1"/>
  <c r="S3282" i="1" s="1"/>
  <c r="S3283" i="1" a="1"/>
  <c r="S3283" i="1"/>
  <c r="S3284" i="1" a="1"/>
  <c r="S3284" i="1" s="1"/>
  <c r="S3285" i="1" a="1"/>
  <c r="S3285" i="1" s="1"/>
  <c r="S3286" i="1" a="1"/>
  <c r="S3286" i="1" s="1"/>
  <c r="S3287" i="1" a="1"/>
  <c r="S3287" i="1" s="1"/>
  <c r="S3288" i="1" a="1"/>
  <c r="S3288" i="1" s="1"/>
  <c r="S3289" i="1" a="1"/>
  <c r="S3289" i="1" s="1"/>
  <c r="S3290" i="1" a="1"/>
  <c r="S3290" i="1"/>
  <c r="S3291" i="1" a="1"/>
  <c r="S3291" i="1" s="1"/>
  <c r="S3292" i="1" a="1"/>
  <c r="S3292" i="1" s="1"/>
  <c r="S3293" i="1" a="1"/>
  <c r="S3293" i="1" s="1"/>
  <c r="S3294" i="1" a="1"/>
  <c r="S3294" i="1" s="1"/>
  <c r="S3295" i="1" a="1"/>
  <c r="S3295" i="1"/>
  <c r="S3296" i="1" a="1"/>
  <c r="S3296" i="1" s="1"/>
  <c r="S3297" i="1" a="1"/>
  <c r="S3297" i="1" s="1"/>
  <c r="S3298" i="1" a="1"/>
  <c r="S3298" i="1" s="1"/>
  <c r="S3299" i="1" a="1"/>
  <c r="S3299" i="1" s="1"/>
  <c r="S3300" i="1" a="1"/>
  <c r="S3300" i="1" s="1"/>
  <c r="S3301" i="1" a="1"/>
  <c r="S3301" i="1" s="1"/>
  <c r="S3302" i="1" a="1"/>
  <c r="S3302" i="1" s="1"/>
  <c r="S3303" i="1" a="1"/>
  <c r="S3303" i="1" s="1"/>
  <c r="S3304" i="1" a="1"/>
  <c r="S3304" i="1" s="1"/>
  <c r="S3305" i="1" a="1"/>
  <c r="S3305" i="1" s="1"/>
  <c r="S3306" i="1" a="1"/>
  <c r="S3306" i="1"/>
  <c r="S3307" i="1" a="1"/>
  <c r="S3307" i="1" s="1"/>
  <c r="S3308" i="1" a="1"/>
  <c r="S3308" i="1" s="1"/>
  <c r="S3309" i="1" a="1"/>
  <c r="S3309" i="1" s="1"/>
  <c r="S3310" i="1" a="1"/>
  <c r="S3310" i="1" s="1"/>
  <c r="S3311" i="1" a="1"/>
  <c r="S3311" i="1"/>
  <c r="S3312" i="1" a="1"/>
  <c r="S3312" i="1" s="1"/>
  <c r="S3313" i="1" a="1"/>
  <c r="S3313" i="1" s="1"/>
  <c r="S3314" i="1" a="1"/>
  <c r="S3314" i="1" s="1"/>
  <c r="S3315" i="1" a="1"/>
  <c r="S3315" i="1"/>
  <c r="S3316" i="1" a="1"/>
  <c r="S3316" i="1" s="1"/>
  <c r="S3317" i="1" a="1"/>
  <c r="S3317" i="1" s="1"/>
  <c r="S3318" i="1" a="1"/>
  <c r="S3318" i="1" s="1"/>
  <c r="S3319" i="1" a="1"/>
  <c r="S3319" i="1" s="1"/>
  <c r="S3320" i="1" a="1"/>
  <c r="S3320" i="1" s="1"/>
  <c r="S3321" i="1" a="1"/>
  <c r="S3321" i="1" s="1"/>
  <c r="S3322" i="1" a="1"/>
  <c r="S3322" i="1"/>
  <c r="S3323" i="1" a="1"/>
  <c r="S3323" i="1" s="1"/>
  <c r="S3324" i="1" a="1"/>
  <c r="S3324" i="1" s="1"/>
  <c r="S3325" i="1" a="1"/>
  <c r="S3325" i="1" s="1"/>
  <c r="S3326" i="1" a="1"/>
  <c r="S3326" i="1" s="1"/>
  <c r="S3327" i="1" a="1"/>
  <c r="S3327" i="1"/>
  <c r="S3328" i="1" a="1"/>
  <c r="S3328" i="1" s="1"/>
  <c r="S3329" i="1" a="1"/>
  <c r="S3329" i="1" s="1"/>
  <c r="S3330" i="1" a="1"/>
  <c r="S3330" i="1"/>
  <c r="S3331" i="1" a="1"/>
  <c r="S3331" i="1" s="1"/>
  <c r="S3332" i="1" a="1"/>
  <c r="S3332" i="1"/>
  <c r="S3333" i="1" a="1"/>
  <c r="S3333" i="1" s="1"/>
  <c r="S3334" i="1" a="1"/>
  <c r="S3334" i="1" s="1"/>
  <c r="S3335" i="1" a="1"/>
  <c r="S3335" i="1" s="1"/>
  <c r="S3336" i="1" a="1"/>
  <c r="S3336" i="1"/>
  <c r="S3337" i="1" a="1"/>
  <c r="S3337" i="1" s="1"/>
  <c r="S3338" i="1" a="1"/>
  <c r="S3338" i="1" s="1"/>
  <c r="S3339" i="1" a="1"/>
  <c r="S3339" i="1"/>
  <c r="S3340" i="1" a="1"/>
  <c r="S3340" i="1" s="1"/>
  <c r="S3341" i="1" a="1"/>
  <c r="S3341" i="1" s="1"/>
  <c r="S3342" i="1" a="1"/>
  <c r="S3342" i="1" s="1"/>
  <c r="S3343" i="1" a="1"/>
  <c r="S3343" i="1" s="1"/>
  <c r="S3344" i="1" a="1"/>
  <c r="S3344" i="1"/>
  <c r="S3345" i="1" a="1"/>
  <c r="S3345" i="1" s="1"/>
  <c r="S3346" i="1" a="1"/>
  <c r="S3346" i="1"/>
  <c r="S3347" i="1" a="1"/>
  <c r="S3347" i="1" s="1"/>
  <c r="S3348" i="1" a="1"/>
  <c r="S3348" i="1"/>
  <c r="S3349" i="1" a="1"/>
  <c r="S3349" i="1" s="1"/>
  <c r="S3350" i="1" a="1"/>
  <c r="S3350" i="1"/>
  <c r="S3351" i="1" a="1"/>
  <c r="S3351" i="1" s="1"/>
  <c r="S3352" i="1" a="1"/>
  <c r="S3352" i="1" s="1"/>
  <c r="S3353" i="1" a="1"/>
  <c r="S3353" i="1" s="1"/>
  <c r="S3354" i="1" a="1"/>
  <c r="S3354" i="1" s="1"/>
  <c r="S3355" i="1" a="1"/>
  <c r="S3355" i="1"/>
  <c r="S3356" i="1" a="1"/>
  <c r="S3356" i="1" s="1"/>
  <c r="S3357" i="1" a="1"/>
  <c r="S3357" i="1" s="1"/>
  <c r="S3358" i="1" a="1"/>
  <c r="S3358" i="1" s="1"/>
  <c r="S3359" i="1" a="1"/>
  <c r="S3359" i="1"/>
  <c r="S3360" i="1" a="1"/>
  <c r="S3360" i="1" s="1"/>
  <c r="S3361" i="1" a="1"/>
  <c r="S3361" i="1" s="1"/>
  <c r="S3362" i="1" a="1"/>
  <c r="S3362" i="1"/>
  <c r="S3363" i="1" a="1"/>
  <c r="S3363" i="1" s="1"/>
  <c r="S3364" i="1" a="1"/>
  <c r="S3364" i="1"/>
  <c r="S3365" i="1" a="1"/>
  <c r="S3365" i="1" s="1"/>
  <c r="S3366" i="1" a="1"/>
  <c r="S3366" i="1" s="1"/>
  <c r="S3367" i="1" a="1"/>
  <c r="S3367" i="1"/>
  <c r="S3368" i="1" a="1"/>
  <c r="S3368" i="1"/>
  <c r="S3369" i="1" a="1"/>
  <c r="S3369" i="1" s="1"/>
  <c r="S3370" i="1" a="1"/>
  <c r="S3370" i="1" s="1"/>
  <c r="S3371" i="1" a="1"/>
  <c r="S3371" i="1"/>
  <c r="S3372" i="1" a="1"/>
  <c r="S3372" i="1" s="1"/>
  <c r="S3373" i="1" a="1"/>
  <c r="S3373" i="1" s="1"/>
  <c r="S3374" i="1" a="1"/>
  <c r="S3374" i="1" s="1"/>
  <c r="S3375" i="1" a="1"/>
  <c r="S3375" i="1" s="1"/>
  <c r="S3376" i="1" a="1"/>
  <c r="S3376" i="1" s="1"/>
  <c r="S3377" i="1" a="1"/>
  <c r="S3377" i="1" s="1"/>
  <c r="S3378" i="1" a="1"/>
  <c r="S3378" i="1"/>
  <c r="S3379" i="1" a="1"/>
  <c r="S3379" i="1" s="1"/>
  <c r="S3380" i="1" a="1"/>
  <c r="S3380" i="1"/>
  <c r="S3381" i="1" a="1"/>
  <c r="S3381" i="1" s="1"/>
  <c r="S3382" i="1" a="1"/>
  <c r="S3382" i="1"/>
  <c r="S3383" i="1" a="1"/>
  <c r="S3383" i="1" s="1"/>
  <c r="S3384" i="1" a="1"/>
  <c r="S3384" i="1" s="1"/>
  <c r="S3385" i="1" a="1"/>
  <c r="S3385" i="1" s="1"/>
  <c r="S3386" i="1" a="1"/>
  <c r="S3386" i="1" s="1"/>
  <c r="S3387" i="1" a="1"/>
  <c r="S3387" i="1"/>
  <c r="S3388" i="1" a="1"/>
  <c r="S3388" i="1" s="1"/>
  <c r="S3389" i="1" a="1"/>
  <c r="S3389" i="1" s="1"/>
  <c r="S3390" i="1" a="1"/>
  <c r="S3390" i="1" s="1"/>
  <c r="S3391" i="1" a="1"/>
  <c r="S3391" i="1"/>
  <c r="S3392" i="1" a="1"/>
  <c r="S3392" i="1" s="1"/>
  <c r="S3393" i="1" a="1"/>
  <c r="S3393" i="1" s="1"/>
  <c r="S3394" i="1" a="1"/>
  <c r="S3394" i="1"/>
  <c r="S3395" i="1" a="1"/>
  <c r="S3395" i="1" s="1"/>
  <c r="S3396" i="1" a="1"/>
  <c r="S3396" i="1"/>
  <c r="S3397" i="1" a="1"/>
  <c r="S3397" i="1" s="1"/>
  <c r="S3398" i="1" a="1"/>
  <c r="S3398" i="1" s="1"/>
  <c r="S3399" i="1" a="1"/>
  <c r="S3399" i="1" s="1"/>
  <c r="S3400" i="1" a="1"/>
  <c r="S3400" i="1"/>
  <c r="S3401" i="1" a="1"/>
  <c r="S3401" i="1" s="1"/>
  <c r="S3402" i="1" a="1"/>
  <c r="S3402" i="1" s="1"/>
  <c r="S3403" i="1" a="1"/>
  <c r="S3403" i="1"/>
  <c r="S3404" i="1" a="1"/>
  <c r="S3404" i="1" s="1"/>
  <c r="S3405" i="1" a="1"/>
  <c r="S3405" i="1" s="1"/>
  <c r="S3406" i="1" a="1"/>
  <c r="S3406" i="1" s="1"/>
  <c r="S3407" i="1" a="1"/>
  <c r="S3407" i="1" s="1"/>
  <c r="S3408" i="1" a="1"/>
  <c r="S3408" i="1"/>
  <c r="S3409" i="1" a="1"/>
  <c r="S3409" i="1" s="1"/>
  <c r="S3410" i="1" a="1"/>
  <c r="S3410" i="1"/>
  <c r="S3411" i="1" a="1"/>
  <c r="S3411" i="1" s="1"/>
  <c r="S3412" i="1" a="1"/>
  <c r="S3412" i="1" s="1"/>
  <c r="S3413" i="1" a="1"/>
  <c r="S3413" i="1" s="1"/>
  <c r="S3414" i="1" a="1"/>
  <c r="S3414" i="1"/>
  <c r="S3415" i="1" a="1"/>
  <c r="S3415" i="1" s="1"/>
  <c r="S3416" i="1" a="1"/>
  <c r="S3416" i="1" s="1"/>
  <c r="S3417" i="1" a="1"/>
  <c r="S3417" i="1"/>
  <c r="S3418" i="1" a="1"/>
  <c r="S3418" i="1" s="1"/>
  <c r="S3419" i="1" a="1"/>
  <c r="S3419" i="1" s="1"/>
  <c r="S3420" i="1" a="1"/>
  <c r="S3420" i="1"/>
  <c r="S3421" i="1" a="1"/>
  <c r="S3421" i="1" s="1"/>
  <c r="S3422" i="1" a="1"/>
  <c r="S3422" i="1"/>
  <c r="S3423" i="1" a="1"/>
  <c r="S3423" i="1" s="1"/>
  <c r="S3424" i="1" a="1"/>
  <c r="S3424" i="1"/>
  <c r="S3425" i="1" a="1"/>
  <c r="S3425" i="1" s="1"/>
  <c r="S3426" i="1" a="1"/>
  <c r="S3426" i="1" s="1"/>
  <c r="S3427" i="1" a="1"/>
  <c r="S3427" i="1" s="1"/>
  <c r="S3428" i="1" a="1"/>
  <c r="S3428" i="1" s="1"/>
  <c r="S3429" i="1" a="1"/>
  <c r="S3429" i="1"/>
  <c r="S3430" i="1" a="1"/>
  <c r="S3430" i="1" s="1"/>
  <c r="S3431" i="1" a="1"/>
  <c r="S3431" i="1" s="1"/>
  <c r="S3432" i="1" a="1"/>
  <c r="S3432" i="1"/>
  <c r="S3433" i="1" a="1"/>
  <c r="S3433" i="1"/>
  <c r="S3434" i="1" a="1"/>
  <c r="S3434" i="1" s="1"/>
  <c r="S3435" i="1" a="1"/>
  <c r="S3435" i="1" s="1"/>
  <c r="S3436" i="1" a="1"/>
  <c r="S3436" i="1"/>
  <c r="S3437" i="1" a="1"/>
  <c r="S3437" i="1" s="1"/>
  <c r="S3438" i="1" a="1"/>
  <c r="S3438" i="1"/>
  <c r="S3439" i="1" a="1"/>
  <c r="S3439" i="1" s="1"/>
  <c r="S3440" i="1" a="1"/>
  <c r="S3440" i="1" s="1"/>
  <c r="S3441" i="1" a="1"/>
  <c r="S3441" i="1" s="1"/>
  <c r="S3442" i="1" a="1"/>
  <c r="S3442" i="1"/>
  <c r="S3443" i="1" a="1"/>
  <c r="S3443" i="1" s="1"/>
  <c r="S3444" i="1" a="1"/>
  <c r="S3444" i="1" s="1"/>
  <c r="S3445" i="1" a="1"/>
  <c r="S3445" i="1"/>
  <c r="S3446" i="1" a="1"/>
  <c r="S3446" i="1" s="1"/>
  <c r="S3447" i="1" a="1"/>
  <c r="S3447" i="1" s="1"/>
  <c r="S3448" i="1" a="1"/>
  <c r="S3448" i="1" s="1"/>
  <c r="S3449" i="1" a="1"/>
  <c r="S3449" i="1" s="1"/>
  <c r="S3450" i="1" a="1"/>
  <c r="S3450" i="1"/>
  <c r="S3451" i="1" a="1"/>
  <c r="S3451" i="1" s="1"/>
  <c r="S3452" i="1" a="1"/>
  <c r="S3452" i="1"/>
  <c r="S3453" i="1" a="1"/>
  <c r="S3453" i="1" s="1"/>
  <c r="S3454" i="1" a="1"/>
  <c r="S3454" i="1"/>
  <c r="S3455" i="1" a="1"/>
  <c r="S3455" i="1" s="1"/>
  <c r="S3456" i="1" a="1"/>
  <c r="S3456" i="1"/>
  <c r="S3457" i="1" a="1"/>
  <c r="S3457" i="1" s="1"/>
  <c r="S3458" i="1" a="1"/>
  <c r="S3458" i="1" s="1"/>
  <c r="S3459" i="1" a="1"/>
  <c r="S3459" i="1" s="1"/>
  <c r="S3460" i="1" a="1"/>
  <c r="S3460" i="1" s="1"/>
  <c r="S3461" i="1" a="1"/>
  <c r="S3461" i="1"/>
  <c r="S3462" i="1" a="1"/>
  <c r="S3462" i="1" s="1"/>
  <c r="S3463" i="1" a="1"/>
  <c r="S3463" i="1" s="1"/>
  <c r="S3464" i="1" a="1"/>
  <c r="S3464" i="1"/>
  <c r="S3465" i="1" a="1"/>
  <c r="S3465" i="1"/>
  <c r="S3466" i="1" a="1"/>
  <c r="S3466" i="1" s="1"/>
  <c r="S3467" i="1" a="1"/>
  <c r="S3467" i="1" s="1"/>
  <c r="S3468" i="1" a="1"/>
  <c r="S3468" i="1" s="1"/>
  <c r="S3469" i="1" a="1"/>
  <c r="S3469" i="1" s="1"/>
  <c r="S3470" i="1" a="1"/>
  <c r="S3470" i="1"/>
  <c r="S3471" i="1" a="1"/>
  <c r="S3471" i="1" s="1"/>
  <c r="S3472" i="1" a="1"/>
  <c r="S3472" i="1" s="1"/>
  <c r="S3473" i="1" a="1"/>
  <c r="S3473" i="1"/>
  <c r="S3474" i="1" a="1"/>
  <c r="S3474" i="1" s="1"/>
  <c r="S3475" i="1" a="1"/>
  <c r="S3475" i="1" s="1"/>
  <c r="S3476" i="1" a="1"/>
  <c r="S3476" i="1" s="1"/>
  <c r="S3477" i="1" a="1"/>
  <c r="S3477" i="1" s="1"/>
  <c r="S3478" i="1" a="1"/>
  <c r="S3478" i="1"/>
  <c r="S3479" i="1" a="1"/>
  <c r="S3479" i="1" s="1"/>
  <c r="S3480" i="1" a="1"/>
  <c r="S3480" i="1"/>
  <c r="S3481" i="1" a="1"/>
  <c r="S3481" i="1" s="1"/>
  <c r="S3482" i="1" a="1"/>
  <c r="S3482" i="1"/>
  <c r="S3483" i="1" a="1"/>
  <c r="S3483" i="1" s="1"/>
  <c r="S3484" i="1" a="1"/>
  <c r="S3484" i="1"/>
  <c r="S3485" i="1" a="1"/>
  <c r="S3485" i="1" s="1"/>
  <c r="S3486" i="1" a="1"/>
  <c r="S3486" i="1" s="1"/>
  <c r="S3487" i="1" a="1"/>
  <c r="S3487" i="1" s="1"/>
  <c r="S3488" i="1" a="1"/>
  <c r="S3488" i="1" s="1"/>
  <c r="S3489" i="1" a="1"/>
  <c r="S3489" i="1"/>
  <c r="S3490" i="1" a="1"/>
  <c r="S3490" i="1" s="1"/>
  <c r="S3491" i="1" a="1"/>
  <c r="S3491" i="1" s="1"/>
  <c r="S3492" i="1" a="1"/>
  <c r="S3492" i="1" s="1"/>
  <c r="S3493" i="1" a="1"/>
  <c r="S3493" i="1"/>
  <c r="S3494" i="1" a="1"/>
  <c r="S3494" i="1" s="1"/>
  <c r="S3495" i="1" a="1"/>
  <c r="S3495" i="1" s="1"/>
  <c r="S3496" i="1" a="1"/>
  <c r="S3496" i="1"/>
  <c r="S3497" i="1" a="1"/>
  <c r="S3497" i="1" s="1"/>
  <c r="S3498" i="1" a="1"/>
  <c r="S3498" i="1"/>
  <c r="S3499" i="1" a="1"/>
  <c r="S3499" i="1" s="1"/>
  <c r="S3500" i="1" a="1"/>
  <c r="S3500" i="1" s="1"/>
  <c r="S3501" i="1" a="1"/>
  <c r="S3501" i="1" s="1"/>
  <c r="S3502" i="1" a="1"/>
  <c r="S3502" i="1" s="1"/>
  <c r="S3503" i="1" a="1"/>
  <c r="S3503" i="1" s="1"/>
  <c r="S3504" i="1" a="1"/>
  <c r="S3504" i="1" s="1"/>
  <c r="S3505" i="1" a="1"/>
  <c r="S3505" i="1" s="1"/>
  <c r="S3506" i="1" a="1"/>
  <c r="S3506" i="1"/>
  <c r="S3507" i="1" a="1"/>
  <c r="S3507" i="1" s="1"/>
  <c r="S3508" i="1" a="1"/>
  <c r="S3508" i="1" s="1"/>
  <c r="S3509" i="1" a="1"/>
  <c r="S3509" i="1" s="1"/>
  <c r="S3510" i="1" a="1"/>
  <c r="S3510" i="1" s="1"/>
  <c r="S3511" i="1" a="1"/>
  <c r="S3511" i="1" s="1"/>
  <c r="S3512" i="1" a="1"/>
  <c r="S3512" i="1" s="1"/>
  <c r="S3513" i="1" a="1"/>
  <c r="S3513" i="1"/>
  <c r="S3514" i="1" a="1"/>
  <c r="S3514" i="1" s="1"/>
  <c r="S3515" i="1" a="1"/>
  <c r="S3515" i="1" s="1"/>
  <c r="S3516" i="1" a="1"/>
  <c r="S3516" i="1"/>
  <c r="S3517" i="1" a="1"/>
  <c r="S3517" i="1" s="1"/>
  <c r="S3518" i="1" a="1"/>
  <c r="S3518" i="1"/>
  <c r="S3519" i="1" a="1"/>
  <c r="S3519" i="1" s="1"/>
  <c r="S3520" i="1" a="1"/>
  <c r="S3520" i="1" s="1"/>
  <c r="S3521" i="1" a="1"/>
  <c r="S3521" i="1"/>
  <c r="S3522" i="1" a="1"/>
  <c r="S3522" i="1" s="1"/>
  <c r="S3523" i="1" a="1"/>
  <c r="S3523" i="1" s="1"/>
  <c r="S3524" i="1" a="1"/>
  <c r="S3524" i="1" s="1"/>
  <c r="S3525" i="1" a="1"/>
  <c r="S3525" i="1" s="1"/>
  <c r="S3526" i="1" a="1"/>
  <c r="S3526" i="1"/>
  <c r="S3527" i="1" a="1"/>
  <c r="S3527" i="1" s="1"/>
  <c r="S3528" i="1" a="1"/>
  <c r="S3528" i="1"/>
  <c r="S3529" i="1" a="1"/>
  <c r="S3529" i="1" s="1"/>
  <c r="S3530" i="1" a="1"/>
  <c r="S3530" i="1" s="1"/>
  <c r="S3531" i="1" a="1"/>
  <c r="S3531" i="1" s="1"/>
  <c r="S3532" i="1" a="1"/>
  <c r="S3532" i="1" s="1"/>
  <c r="S3533" i="1" a="1"/>
  <c r="S3533" i="1" s="1"/>
  <c r="S3534" i="1" a="1"/>
  <c r="S3534" i="1" s="1"/>
  <c r="S3535" i="1" a="1"/>
  <c r="S3535" i="1" s="1"/>
  <c r="S3536" i="1" a="1"/>
  <c r="S3536" i="1" s="1"/>
  <c r="S3537" i="1" a="1"/>
  <c r="S3537" i="1" s="1"/>
  <c r="S3538" i="1" a="1"/>
  <c r="S3538" i="1" s="1"/>
  <c r="S3539" i="1" a="1"/>
  <c r="S3539" i="1" s="1"/>
  <c r="S3540" i="1" a="1"/>
  <c r="S3540" i="1"/>
  <c r="S3541" i="1" a="1"/>
  <c r="S3541" i="1" s="1"/>
  <c r="S3542" i="1" a="1"/>
  <c r="S3542" i="1" s="1"/>
  <c r="S3543" i="1" a="1"/>
  <c r="S3543" i="1" s="1"/>
  <c r="S3544" i="1" a="1"/>
  <c r="S3544" i="1" s="1"/>
  <c r="S3545" i="1" a="1"/>
  <c r="S3545" i="1"/>
  <c r="S3546" i="1" a="1"/>
  <c r="S3546" i="1" s="1"/>
  <c r="S3547" i="1" a="1"/>
  <c r="S3547" i="1" s="1"/>
  <c r="S3548" i="1" a="1"/>
  <c r="S3548" i="1" s="1"/>
  <c r="S3549" i="1" a="1"/>
  <c r="S3549" i="1"/>
  <c r="S3550" i="1" a="1"/>
  <c r="S3550" i="1" s="1"/>
  <c r="S3551" i="1" a="1"/>
  <c r="S3551" i="1" s="1"/>
  <c r="S3552" i="1" a="1"/>
  <c r="S3552" i="1"/>
  <c r="S3553" i="1" a="1"/>
  <c r="S3553" i="1" s="1"/>
  <c r="S3554" i="1" a="1"/>
  <c r="S3554" i="1" s="1"/>
  <c r="S3555" i="1" a="1"/>
  <c r="S3555" i="1" s="1"/>
  <c r="S3556" i="1" a="1"/>
  <c r="S3556" i="1" s="1"/>
  <c r="S3557" i="1" a="1"/>
  <c r="S3557" i="1"/>
  <c r="S3558" i="1" a="1"/>
  <c r="S3558" i="1" s="1"/>
  <c r="S3559" i="1" a="1"/>
  <c r="S3559" i="1" s="1"/>
  <c r="S3560" i="1" a="1"/>
  <c r="S3560" i="1" s="1"/>
  <c r="S3561" i="1" a="1"/>
  <c r="S3561" i="1" s="1"/>
  <c r="S3562" i="1" a="1"/>
  <c r="S3562" i="1" s="1"/>
  <c r="S3563" i="1" a="1"/>
  <c r="S3563" i="1" s="1"/>
  <c r="S3564" i="1" a="1"/>
  <c r="S3564" i="1" s="1"/>
  <c r="S3565" i="1" a="1"/>
  <c r="S3565" i="1" s="1"/>
  <c r="S3566" i="1" a="1"/>
  <c r="S3566" i="1" s="1"/>
  <c r="S3567" i="1" a="1"/>
  <c r="S3567" i="1" s="1"/>
  <c r="S3568" i="1" a="1"/>
  <c r="S3568" i="1" s="1"/>
  <c r="S3569" i="1" a="1"/>
  <c r="S3569" i="1" s="1"/>
  <c r="S3570" i="1" a="1"/>
  <c r="S3570" i="1" s="1"/>
  <c r="S3571" i="1" a="1"/>
  <c r="S3571" i="1" s="1"/>
  <c r="S3572" i="1" a="1"/>
  <c r="S3572" i="1" s="1"/>
  <c r="S3573" i="1" a="1"/>
  <c r="S3573" i="1" s="1"/>
  <c r="S3574" i="1" a="1"/>
  <c r="S3574" i="1" s="1"/>
  <c r="S3575" i="1" a="1"/>
  <c r="S3575" i="1" s="1"/>
  <c r="S3576" i="1" a="1"/>
  <c r="S3576" i="1" s="1"/>
  <c r="S3577" i="1" a="1"/>
  <c r="S3577" i="1" s="1"/>
  <c r="S3578" i="1" a="1"/>
  <c r="S3578" i="1" s="1"/>
  <c r="S3579" i="1" a="1"/>
  <c r="S3579" i="1" s="1"/>
  <c r="S3580" i="1" a="1"/>
  <c r="S3580" i="1" s="1"/>
  <c r="S3581" i="1" a="1"/>
  <c r="S3581" i="1"/>
  <c r="S3582" i="1" a="1"/>
  <c r="S3582" i="1" s="1"/>
  <c r="S3583" i="1" a="1"/>
  <c r="S3583" i="1" s="1"/>
  <c r="S3584" i="1" a="1"/>
  <c r="S3584" i="1"/>
  <c r="S3585" i="1" a="1"/>
  <c r="S3585" i="1" s="1"/>
  <c r="S3586" i="1" a="1"/>
  <c r="S3586" i="1" s="1"/>
  <c r="S3587" i="1" a="1"/>
  <c r="S3587" i="1" s="1"/>
  <c r="S3588" i="1" a="1"/>
  <c r="S3588" i="1" s="1"/>
  <c r="S3589" i="1" a="1"/>
  <c r="S3589" i="1" s="1"/>
  <c r="S3590" i="1" a="1"/>
  <c r="S3590" i="1" s="1"/>
  <c r="S3591" i="1" a="1"/>
  <c r="S3591" i="1" s="1"/>
  <c r="S3592" i="1" a="1"/>
  <c r="S3592" i="1"/>
  <c r="S3593" i="1" a="1"/>
  <c r="S3593" i="1" s="1"/>
  <c r="S3594" i="1" a="1"/>
  <c r="S3594" i="1" s="1"/>
  <c r="S3595" i="1" a="1"/>
  <c r="S3595" i="1" s="1"/>
  <c r="S3596" i="1" a="1"/>
  <c r="S3596" i="1" s="1"/>
  <c r="S3597" i="1" a="1"/>
  <c r="S3597" i="1" s="1"/>
  <c r="S3598" i="1" a="1"/>
  <c r="S3598" i="1" s="1"/>
  <c r="S3599" i="1" a="1"/>
  <c r="S3599" i="1" s="1"/>
  <c r="S3600" i="1" a="1"/>
  <c r="S3600" i="1" s="1"/>
  <c r="S3601" i="1" a="1"/>
  <c r="S3601" i="1" s="1"/>
  <c r="S3602" i="1" a="1"/>
  <c r="S3602" i="1" s="1"/>
  <c r="S3603" i="1" a="1"/>
  <c r="S3603" i="1" s="1"/>
  <c r="S3604" i="1" a="1"/>
  <c r="S3604" i="1"/>
  <c r="S3605" i="1" a="1"/>
  <c r="S3605" i="1" s="1"/>
  <c r="S3606" i="1" a="1"/>
  <c r="S3606" i="1" s="1"/>
  <c r="S3607" i="1" a="1"/>
  <c r="S3607" i="1" s="1"/>
  <c r="S3608" i="1" a="1"/>
  <c r="S3608" i="1" s="1"/>
  <c r="S3609" i="1" a="1"/>
  <c r="S3609" i="1"/>
  <c r="S3610" i="1" a="1"/>
  <c r="S3610" i="1" s="1"/>
  <c r="S3611" i="1" a="1"/>
  <c r="S3611" i="1" s="1"/>
  <c r="S3612" i="1" a="1"/>
  <c r="S3612" i="1" s="1"/>
  <c r="S3613" i="1" a="1"/>
  <c r="S3613" i="1"/>
  <c r="S3614" i="1" a="1"/>
  <c r="S3614" i="1" s="1"/>
  <c r="S3615" i="1" a="1"/>
  <c r="S3615" i="1" s="1"/>
  <c r="S3616" i="1" a="1"/>
  <c r="S3616" i="1"/>
  <c r="S3617" i="1" a="1"/>
  <c r="S3617" i="1" s="1"/>
  <c r="S3618" i="1" a="1"/>
  <c r="S3618" i="1" s="1"/>
  <c r="S3619" i="1" a="1"/>
  <c r="S3619" i="1" s="1"/>
  <c r="S3620" i="1" a="1"/>
  <c r="S3620" i="1" s="1"/>
  <c r="S3621" i="1" a="1"/>
  <c r="S3621" i="1"/>
  <c r="S3622" i="1" a="1"/>
  <c r="S3622" i="1" s="1"/>
  <c r="S3623" i="1" a="1"/>
  <c r="S3623" i="1" s="1"/>
  <c r="S3624" i="1" a="1"/>
  <c r="S3624" i="1" s="1"/>
  <c r="S3625" i="1" a="1"/>
  <c r="S3625" i="1"/>
  <c r="S3626" i="1" a="1"/>
  <c r="S3626" i="1" s="1"/>
  <c r="S3627" i="1" a="1"/>
  <c r="S3627" i="1" s="1"/>
  <c r="S3628" i="1" a="1"/>
  <c r="S3628" i="1" s="1"/>
  <c r="S3629" i="1" a="1"/>
  <c r="S3629" i="1" s="1"/>
  <c r="S3630" i="1" a="1"/>
  <c r="S3630" i="1" s="1"/>
  <c r="S3631" i="1" a="1"/>
  <c r="S3631" i="1" s="1"/>
  <c r="S3632" i="1" a="1"/>
  <c r="S3632" i="1" s="1"/>
  <c r="S3633" i="1" a="1"/>
  <c r="S3633" i="1" s="1"/>
  <c r="S3634" i="1" a="1"/>
  <c r="S3634" i="1" s="1"/>
  <c r="S3635" i="1" a="1"/>
  <c r="S3635" i="1" s="1"/>
  <c r="S3636" i="1" a="1"/>
  <c r="S3636" i="1" s="1"/>
  <c r="S3637" i="1" a="1"/>
  <c r="S3637" i="1" s="1"/>
  <c r="S3638" i="1" a="1"/>
  <c r="S3638" i="1" s="1"/>
  <c r="S3639" i="1" a="1"/>
  <c r="S3639" i="1" s="1"/>
  <c r="S3640" i="1" a="1"/>
  <c r="S3640" i="1" s="1"/>
  <c r="S3641" i="1" a="1"/>
  <c r="S3641" i="1" s="1"/>
  <c r="S3642" i="1" a="1"/>
  <c r="S3642" i="1" s="1"/>
  <c r="S3643" i="1" a="1"/>
  <c r="S3643" i="1" s="1"/>
  <c r="S3644" i="1" a="1"/>
  <c r="S3644" i="1" s="1"/>
  <c r="S3645" i="1" a="1"/>
  <c r="S3645" i="1"/>
  <c r="S3646" i="1" a="1"/>
  <c r="S3646" i="1" s="1"/>
  <c r="S3647" i="1" a="1"/>
  <c r="S3647" i="1" s="1"/>
  <c r="S3648" i="1" a="1"/>
  <c r="S3648" i="1"/>
  <c r="S3649" i="1" a="1"/>
  <c r="S3649" i="1" s="1"/>
  <c r="S3650" i="1" a="1"/>
  <c r="S3650" i="1" s="1"/>
  <c r="S3651" i="1" a="1"/>
  <c r="S3651" i="1" s="1"/>
  <c r="S3652" i="1" a="1"/>
  <c r="S3652" i="1" s="1"/>
  <c r="S3653" i="1" a="1"/>
  <c r="S3653" i="1" s="1"/>
  <c r="S3654" i="1" a="1"/>
  <c r="S3654" i="1" s="1"/>
  <c r="S3655" i="1" a="1"/>
  <c r="S3655" i="1" s="1"/>
  <c r="S3656" i="1" a="1"/>
  <c r="S3656" i="1" s="1"/>
  <c r="S3657" i="1" a="1"/>
  <c r="S3657" i="1" s="1"/>
  <c r="S3658" i="1" a="1"/>
  <c r="S3658" i="1" s="1"/>
  <c r="S3659" i="1" a="1"/>
  <c r="S3659" i="1" s="1"/>
  <c r="S3660" i="1" a="1"/>
  <c r="S3660" i="1" s="1"/>
  <c r="S3661" i="1" a="1"/>
  <c r="S3661" i="1"/>
  <c r="S3662" i="1" a="1"/>
  <c r="S3662" i="1" s="1"/>
  <c r="S3663" i="1" a="1"/>
  <c r="S3663" i="1" s="1"/>
  <c r="S3664" i="1" a="1"/>
  <c r="S3664" i="1"/>
  <c r="S3665" i="1" a="1"/>
  <c r="S3665" i="1" s="1"/>
  <c r="S3666" i="1" a="1"/>
  <c r="S3666" i="1" s="1"/>
  <c r="S3667" i="1" a="1"/>
  <c r="S3667" i="1" s="1"/>
  <c r="S3668" i="1" a="1"/>
  <c r="S3668" i="1" s="1"/>
  <c r="S3669" i="1" a="1"/>
  <c r="S3669" i="1" s="1"/>
  <c r="S3670" i="1" a="1"/>
  <c r="S3670" i="1" s="1"/>
  <c r="S3671" i="1" a="1"/>
  <c r="S3671" i="1" s="1"/>
  <c r="S3672" i="1" a="1"/>
  <c r="S3672" i="1" s="1"/>
  <c r="S3673" i="1" a="1"/>
  <c r="S3673" i="1" s="1"/>
  <c r="S3674" i="1" a="1"/>
  <c r="S3674" i="1" s="1"/>
  <c r="S3675" i="1" a="1"/>
  <c r="S3675" i="1" s="1"/>
  <c r="S3676" i="1" a="1"/>
  <c r="S3676" i="1" s="1"/>
  <c r="S3677" i="1" a="1"/>
  <c r="S3677" i="1" s="1"/>
  <c r="S3678" i="1" a="1"/>
  <c r="S3678" i="1" s="1"/>
  <c r="S3679" i="1" a="1"/>
  <c r="S3679" i="1" s="1"/>
  <c r="S3680" i="1" a="1"/>
  <c r="S3680" i="1" s="1"/>
  <c r="S3681" i="1" a="1"/>
  <c r="S3681" i="1" s="1"/>
  <c r="S3682" i="1" a="1"/>
  <c r="S3682" i="1" s="1"/>
  <c r="S3683" i="1" a="1"/>
  <c r="S3683" i="1" s="1"/>
  <c r="S3684" i="1" a="1"/>
  <c r="S3684" i="1" s="1"/>
  <c r="S3685" i="1" a="1"/>
  <c r="S3685" i="1"/>
  <c r="S3686" i="1" a="1"/>
  <c r="S3686" i="1" s="1"/>
  <c r="S3687" i="1" a="1"/>
  <c r="S3687" i="1" s="1"/>
  <c r="S3688" i="1" a="1"/>
  <c r="S3688" i="1" s="1"/>
  <c r="S3689" i="1" a="1"/>
  <c r="S3689" i="1" s="1"/>
  <c r="S3690" i="1" a="1"/>
  <c r="S3690" i="1" s="1"/>
  <c r="S3691" i="1" a="1"/>
  <c r="S3691" i="1" s="1"/>
  <c r="S3692" i="1" a="1"/>
  <c r="S3692" i="1" s="1"/>
  <c r="S3693" i="1" a="1"/>
  <c r="S3693" i="1" s="1"/>
  <c r="S3694" i="1" a="1"/>
  <c r="S3694" i="1" s="1"/>
  <c r="S3695" i="1" a="1"/>
  <c r="S3695" i="1" s="1"/>
  <c r="S3696" i="1" a="1"/>
  <c r="S3696" i="1"/>
  <c r="S3697" i="1" a="1"/>
  <c r="S3697" i="1" s="1"/>
  <c r="S3698" i="1" a="1"/>
  <c r="S3698" i="1" s="1"/>
  <c r="S3699" i="1" a="1"/>
  <c r="S3699" i="1" s="1"/>
  <c r="S3700" i="1" a="1"/>
  <c r="S3700" i="1" s="1"/>
  <c r="S3701" i="1" a="1"/>
  <c r="S3701" i="1" s="1"/>
  <c r="S3702" i="1" a="1"/>
  <c r="S3702" i="1" s="1"/>
  <c r="S3703" i="1" a="1"/>
  <c r="S3703" i="1" s="1"/>
  <c r="S3704" i="1" a="1"/>
  <c r="S3704" i="1" s="1"/>
  <c r="S3705" i="1" a="1"/>
  <c r="S3705" i="1" s="1"/>
  <c r="S3706" i="1" a="1"/>
  <c r="S3706" i="1" s="1"/>
  <c r="S3707" i="1" a="1"/>
  <c r="S3707" i="1" s="1"/>
  <c r="S3708" i="1" a="1"/>
  <c r="S3708" i="1" s="1"/>
  <c r="S3709" i="1" a="1"/>
  <c r="S3709" i="1" s="1"/>
  <c r="S3710" i="1" a="1"/>
  <c r="S3710" i="1" s="1"/>
  <c r="S3711" i="1" a="1"/>
  <c r="S3711" i="1" s="1"/>
  <c r="S3712" i="1" a="1"/>
  <c r="S3712" i="1" s="1"/>
  <c r="S3713" i="1" a="1"/>
  <c r="S3713" i="1" s="1"/>
  <c r="S3714" i="1" a="1"/>
  <c r="S3714" i="1" s="1"/>
  <c r="S3715" i="1" a="1"/>
  <c r="S3715" i="1" s="1"/>
  <c r="S3716" i="1" a="1"/>
  <c r="S3716" i="1" s="1"/>
  <c r="S3717" i="1" a="1"/>
  <c r="S3717" i="1"/>
  <c r="S3718" i="1" a="1"/>
  <c r="S3718" i="1" s="1"/>
  <c r="S3719" i="1" a="1"/>
  <c r="S3719" i="1" s="1"/>
  <c r="S3720" i="1" a="1"/>
  <c r="S3720" i="1" s="1"/>
  <c r="S3721" i="1" a="1"/>
  <c r="S3721" i="1" s="1"/>
  <c r="S3722" i="1" a="1"/>
  <c r="S3722" i="1" s="1"/>
  <c r="S3723" i="1" a="1"/>
  <c r="S3723" i="1" s="1"/>
  <c r="S3724" i="1" a="1"/>
  <c r="S3724" i="1" s="1"/>
  <c r="S3725" i="1" a="1"/>
  <c r="S3725" i="1" s="1"/>
  <c r="S3726" i="1" a="1"/>
  <c r="S3726" i="1" s="1"/>
  <c r="S3727" i="1" a="1"/>
  <c r="S3727" i="1" s="1"/>
  <c r="S3728" i="1" a="1"/>
  <c r="S3728" i="1"/>
  <c r="S3729" i="1" a="1"/>
  <c r="S3729" i="1" s="1"/>
  <c r="S3730" i="1" a="1"/>
  <c r="S3730" i="1" s="1"/>
  <c r="S3731" i="1" a="1"/>
  <c r="S3731" i="1" s="1"/>
  <c r="S3732" i="1" a="1"/>
  <c r="S3732" i="1" s="1"/>
  <c r="S3733" i="1" a="1"/>
  <c r="S3733" i="1" s="1"/>
  <c r="S3734" i="1" a="1"/>
  <c r="S3734" i="1" s="1"/>
  <c r="S3735" i="1" a="1"/>
  <c r="S3735" i="1" s="1"/>
  <c r="S3736" i="1" a="1"/>
  <c r="S3736" i="1" s="1"/>
  <c r="S3737" i="1" a="1"/>
  <c r="S3737" i="1" s="1"/>
  <c r="S3738" i="1" a="1"/>
  <c r="S3738" i="1" s="1"/>
  <c r="S3739" i="1" a="1"/>
  <c r="S3739" i="1" s="1"/>
  <c r="S3740" i="1" a="1"/>
  <c r="S3740" i="1" s="1"/>
  <c r="S3741" i="1" a="1"/>
  <c r="S3741" i="1" s="1"/>
  <c r="S3742" i="1" a="1"/>
  <c r="S3742" i="1" s="1"/>
  <c r="S3743" i="1" a="1"/>
  <c r="S3743" i="1" s="1"/>
  <c r="S3744" i="1" a="1"/>
  <c r="S3744" i="1" s="1"/>
  <c r="S3745" i="1" a="1"/>
  <c r="S3745" i="1" s="1"/>
  <c r="S3746" i="1" a="1"/>
  <c r="S3746" i="1" s="1"/>
  <c r="S3747" i="1" a="1"/>
  <c r="S3747" i="1" s="1"/>
  <c r="S3748" i="1" a="1"/>
  <c r="S3748" i="1" s="1"/>
  <c r="S3749" i="1" a="1"/>
  <c r="S3749" i="1"/>
  <c r="S3750" i="1" a="1"/>
  <c r="S3750" i="1" s="1"/>
  <c r="S3751" i="1" a="1"/>
  <c r="S3751" i="1" s="1"/>
  <c r="S3752" i="1" a="1"/>
  <c r="S3752" i="1" s="1"/>
  <c r="S3753" i="1" a="1"/>
  <c r="S3753" i="1" s="1"/>
  <c r="S3754" i="1" a="1"/>
  <c r="S3754" i="1" s="1"/>
  <c r="S3755" i="1" a="1"/>
  <c r="S3755" i="1" s="1"/>
  <c r="S3756" i="1" a="1"/>
  <c r="S3756" i="1" s="1"/>
  <c r="S3757" i="1" a="1"/>
  <c r="S3757" i="1" s="1"/>
  <c r="S3758" i="1" a="1"/>
  <c r="S3758" i="1" s="1"/>
  <c r="S3759" i="1" a="1"/>
  <c r="S3759" i="1" s="1"/>
  <c r="S3760" i="1" a="1"/>
  <c r="S3760" i="1"/>
  <c r="S3761" i="1" a="1"/>
  <c r="S3761" i="1" s="1"/>
  <c r="S3762" i="1" a="1"/>
  <c r="S3762" i="1" s="1"/>
  <c r="S3763" i="1" a="1"/>
  <c r="S3763" i="1" s="1"/>
  <c r="S3764" i="1" a="1"/>
  <c r="S3764" i="1" s="1"/>
  <c r="S3765" i="1" a="1"/>
  <c r="S3765" i="1" s="1"/>
  <c r="S3766" i="1" a="1"/>
  <c r="S3766" i="1" s="1"/>
  <c r="S3767" i="1" a="1"/>
  <c r="S3767" i="1" s="1"/>
  <c r="S3768" i="1" a="1"/>
  <c r="S3768" i="1" s="1"/>
  <c r="S3769" i="1" a="1"/>
  <c r="S3769" i="1" s="1"/>
  <c r="S3770" i="1" a="1"/>
  <c r="S3770" i="1" s="1"/>
  <c r="S3771" i="1" a="1"/>
  <c r="S3771" i="1" s="1"/>
  <c r="S3772" i="1" a="1"/>
  <c r="S3772" i="1" s="1"/>
  <c r="S3773" i="1" a="1"/>
  <c r="S3773" i="1" s="1"/>
  <c r="S3774" i="1" a="1"/>
  <c r="S3774" i="1" s="1"/>
  <c r="S3775" i="1" a="1"/>
  <c r="S3775" i="1" s="1"/>
  <c r="S3776" i="1" a="1"/>
  <c r="S3776" i="1" s="1"/>
  <c r="S3777" i="1" a="1"/>
  <c r="S3777" i="1" s="1"/>
  <c r="S3778" i="1" a="1"/>
  <c r="S3778" i="1" s="1"/>
  <c r="S3779" i="1" a="1"/>
  <c r="S3779" i="1" s="1"/>
  <c r="S3780" i="1" a="1"/>
  <c r="S3780" i="1" s="1"/>
  <c r="S3781" i="1" a="1"/>
  <c r="S3781" i="1"/>
  <c r="S3782" i="1" a="1"/>
  <c r="S3782" i="1" s="1"/>
  <c r="S3783" i="1" a="1"/>
  <c r="S3783" i="1" s="1"/>
  <c r="S3784" i="1" a="1"/>
  <c r="S3784" i="1" s="1"/>
  <c r="S3785" i="1" a="1"/>
  <c r="S3785" i="1" s="1"/>
  <c r="S3786" i="1" a="1"/>
  <c r="S3786" i="1" s="1"/>
  <c r="S3787" i="1" a="1"/>
  <c r="S3787" i="1" s="1"/>
  <c r="S3788" i="1" a="1"/>
  <c r="S3788" i="1" s="1"/>
  <c r="S3789" i="1" a="1"/>
  <c r="S3789" i="1" s="1"/>
  <c r="S3790" i="1" a="1"/>
  <c r="S3790" i="1" s="1"/>
  <c r="S3791" i="1" a="1"/>
  <c r="S3791" i="1" s="1"/>
  <c r="S3792" i="1" a="1"/>
  <c r="S3792" i="1"/>
  <c r="S3793" i="1" a="1"/>
  <c r="S3793" i="1" s="1"/>
  <c r="S3794" i="1" a="1"/>
  <c r="S3794" i="1" s="1"/>
  <c r="S3795" i="1" a="1"/>
  <c r="S3795" i="1" s="1"/>
  <c r="S3796" i="1" a="1"/>
  <c r="S3796" i="1" s="1"/>
  <c r="S3797" i="1" a="1"/>
  <c r="S3797" i="1" s="1"/>
  <c r="S3798" i="1" a="1"/>
  <c r="S3798" i="1" s="1"/>
  <c r="S3799" i="1" a="1"/>
  <c r="S3799" i="1" s="1"/>
  <c r="S3800" i="1" a="1"/>
  <c r="S3800" i="1" s="1"/>
  <c r="S3801" i="1" a="1"/>
  <c r="S3801" i="1" s="1"/>
  <c r="S3802" i="1" a="1"/>
  <c r="S3802" i="1" s="1"/>
  <c r="S3803" i="1" a="1"/>
  <c r="S3803" i="1" s="1"/>
  <c r="S3804" i="1" a="1"/>
  <c r="S3804" i="1" s="1"/>
  <c r="S3805" i="1" a="1"/>
  <c r="S3805" i="1" s="1"/>
  <c r="S3806" i="1" a="1"/>
  <c r="S3806" i="1" s="1"/>
  <c r="S3807" i="1" a="1"/>
  <c r="S3807" i="1" s="1"/>
  <c r="S3808" i="1" a="1"/>
  <c r="S3808" i="1" s="1"/>
  <c r="S3809" i="1" a="1"/>
  <c r="S3809" i="1" s="1"/>
  <c r="S3810" i="1" a="1"/>
  <c r="S3810" i="1" s="1"/>
  <c r="S3811" i="1" a="1"/>
  <c r="S3811" i="1" s="1"/>
  <c r="S3812" i="1" a="1"/>
  <c r="S3812" i="1" s="1"/>
  <c r="S3813" i="1" a="1"/>
  <c r="S3813" i="1"/>
  <c r="S3814" i="1" a="1"/>
  <c r="S3814" i="1" s="1"/>
  <c r="S3815" i="1" a="1"/>
  <c r="S3815" i="1" s="1"/>
  <c r="S3816" i="1" a="1"/>
  <c r="S3816" i="1" s="1"/>
  <c r="S3817" i="1" a="1"/>
  <c r="S3817" i="1" s="1"/>
  <c r="S3818" i="1" a="1"/>
  <c r="S3818" i="1" s="1"/>
  <c r="S3819" i="1" a="1"/>
  <c r="S3819" i="1" s="1"/>
  <c r="S3820" i="1" a="1"/>
  <c r="S3820" i="1" s="1"/>
  <c r="S3821" i="1" a="1"/>
  <c r="S3821" i="1" s="1"/>
  <c r="S3822" i="1" a="1"/>
  <c r="S3822" i="1" s="1"/>
  <c r="S3823" i="1" a="1"/>
  <c r="S3823" i="1" s="1"/>
  <c r="S3824" i="1" a="1"/>
  <c r="S3824" i="1"/>
  <c r="S3825" i="1" a="1"/>
  <c r="S3825" i="1" s="1"/>
  <c r="S3826" i="1" a="1"/>
  <c r="S3826" i="1" s="1"/>
  <c r="S3827" i="1" a="1"/>
  <c r="S3827" i="1" s="1"/>
  <c r="S3828" i="1" a="1"/>
  <c r="S3828" i="1" s="1"/>
  <c r="S3829" i="1" a="1"/>
  <c r="S3829" i="1" s="1"/>
  <c r="S3830" i="1" a="1"/>
  <c r="S3830" i="1" s="1"/>
  <c r="S3831" i="1" a="1"/>
  <c r="S3831" i="1" s="1"/>
  <c r="S3832" i="1" a="1"/>
  <c r="S3832" i="1" s="1"/>
  <c r="S3833" i="1" a="1"/>
  <c r="S3833" i="1" s="1"/>
  <c r="S3834" i="1" a="1"/>
  <c r="S3834" i="1" s="1"/>
  <c r="S3835" i="1" a="1"/>
  <c r="S3835" i="1" s="1"/>
  <c r="S3836" i="1" a="1"/>
  <c r="S3836" i="1" s="1"/>
  <c r="S3837" i="1" a="1"/>
  <c r="S3837" i="1" s="1"/>
  <c r="S3838" i="1" a="1"/>
  <c r="S3838" i="1" s="1"/>
  <c r="S3839" i="1" a="1"/>
  <c r="S3839" i="1" s="1"/>
  <c r="S3840" i="1" a="1"/>
  <c r="S3840" i="1" s="1"/>
  <c r="S3841" i="1" a="1"/>
  <c r="S3841" i="1" s="1"/>
  <c r="S3842" i="1" a="1"/>
  <c r="S3842" i="1" s="1"/>
  <c r="S3843" i="1" a="1"/>
  <c r="S3843" i="1" s="1"/>
  <c r="S3844" i="1" a="1"/>
  <c r="S3844" i="1" s="1"/>
  <c r="S3845" i="1" a="1"/>
  <c r="S3845" i="1"/>
  <c r="S3846" i="1" a="1"/>
  <c r="S3846" i="1" s="1"/>
  <c r="S3847" i="1" a="1"/>
  <c r="S3847" i="1" s="1"/>
  <c r="S3848" i="1" a="1"/>
  <c r="S3848" i="1" s="1"/>
  <c r="S3849" i="1" a="1"/>
  <c r="S3849" i="1" s="1"/>
  <c r="S3850" i="1" a="1"/>
  <c r="S3850" i="1" s="1"/>
  <c r="S3851" i="1" a="1"/>
  <c r="S3851" i="1" s="1"/>
  <c r="S3852" i="1" a="1"/>
  <c r="S3852" i="1" s="1"/>
  <c r="S3853" i="1" a="1"/>
  <c r="S3853" i="1" s="1"/>
  <c r="S3854" i="1" a="1"/>
  <c r="S3854" i="1" s="1"/>
  <c r="S3855" i="1" a="1"/>
  <c r="S3855" i="1" s="1"/>
  <c r="S3856" i="1" a="1"/>
  <c r="S3856" i="1"/>
  <c r="S3857" i="1" a="1"/>
  <c r="S3857" i="1" s="1"/>
  <c r="S3858" i="1" a="1"/>
  <c r="S3858" i="1" s="1"/>
  <c r="S3859" i="1" a="1"/>
  <c r="S3859" i="1" s="1"/>
  <c r="S3860" i="1" a="1"/>
  <c r="S3860" i="1" s="1"/>
  <c r="S3861" i="1" a="1"/>
  <c r="S3861" i="1" s="1"/>
  <c r="S3862" i="1" a="1"/>
  <c r="S3862" i="1" s="1"/>
  <c r="S3863" i="1" a="1"/>
  <c r="S3863" i="1" s="1"/>
  <c r="S3864" i="1" a="1"/>
  <c r="S3864" i="1" s="1"/>
  <c r="S3865" i="1" a="1"/>
  <c r="S3865" i="1" s="1"/>
  <c r="S3866" i="1" a="1"/>
  <c r="S3866" i="1"/>
  <c r="S3867" i="1" a="1"/>
  <c r="S3867" i="1" s="1"/>
  <c r="S3868" i="1" a="1"/>
  <c r="S3868" i="1"/>
  <c r="S3869" i="1" a="1"/>
  <c r="S3869" i="1" s="1"/>
  <c r="S3870" i="1" a="1"/>
  <c r="S3870" i="1" s="1"/>
  <c r="S3871" i="1" a="1"/>
  <c r="S3871" i="1" s="1"/>
  <c r="S3872" i="1" a="1"/>
  <c r="S3872" i="1" s="1"/>
  <c r="S3873" i="1" a="1"/>
  <c r="S3873" i="1" s="1"/>
  <c r="S3874" i="1" a="1"/>
  <c r="S3874" i="1" s="1"/>
  <c r="S3875" i="1" a="1"/>
  <c r="S3875" i="1" s="1"/>
  <c r="S3876" i="1" a="1"/>
  <c r="S3876" i="1" s="1"/>
  <c r="S3877" i="1" a="1"/>
  <c r="S3877" i="1" s="1"/>
  <c r="S3878" i="1" a="1"/>
  <c r="S3878" i="1" s="1"/>
  <c r="S3879" i="1" a="1"/>
  <c r="S3879" i="1" s="1"/>
  <c r="S3880" i="1" a="1"/>
  <c r="S3880" i="1"/>
  <c r="S3881" i="1" a="1"/>
  <c r="S3881" i="1" s="1"/>
  <c r="S3882" i="1" a="1"/>
  <c r="S3882" i="1" s="1"/>
  <c r="S3883" i="1" a="1"/>
  <c r="S3883" i="1" s="1"/>
  <c r="S3884" i="1" a="1"/>
  <c r="S3884" i="1" s="1"/>
  <c r="S3885" i="1" a="1"/>
  <c r="S3885" i="1" s="1"/>
  <c r="S3886" i="1" a="1"/>
  <c r="S3886" i="1"/>
  <c r="S3887" i="1" a="1"/>
  <c r="S3887" i="1" s="1"/>
  <c r="S3888" i="1" a="1"/>
  <c r="S3888" i="1" s="1"/>
  <c r="S3889" i="1" a="1"/>
  <c r="S3889" i="1"/>
  <c r="S3890" i="1" a="1"/>
  <c r="S3890" i="1" s="1"/>
  <c r="S3891" i="1" a="1"/>
  <c r="S3891" i="1" s="1"/>
  <c r="S3892" i="1" a="1"/>
  <c r="S3892" i="1"/>
  <c r="S3893" i="1" a="1"/>
  <c r="S3893" i="1" s="1"/>
  <c r="S3894" i="1" a="1"/>
  <c r="S3894" i="1" s="1"/>
  <c r="S3895" i="1" a="1"/>
  <c r="S3895" i="1" s="1"/>
  <c r="S3896" i="1" a="1"/>
  <c r="S3896" i="1" s="1"/>
  <c r="S3897" i="1" a="1"/>
  <c r="S3897" i="1" s="1"/>
  <c r="S3898" i="1" a="1"/>
  <c r="S3898" i="1"/>
  <c r="S3899" i="1" a="1"/>
  <c r="S3899" i="1" s="1"/>
  <c r="S3900" i="1" a="1"/>
  <c r="S3900" i="1" s="1"/>
  <c r="S3901" i="1" a="1"/>
  <c r="S3901" i="1" s="1"/>
  <c r="S2" i="1" a="1"/>
  <c r="S2" i="1" s="1"/>
  <c r="R3" i="1" a="1"/>
  <c r="R3" i="1"/>
  <c r="R4" i="1" a="1"/>
  <c r="R4" i="1" s="1"/>
  <c r="R5" i="1" a="1"/>
  <c r="R5" i="1"/>
  <c r="R6" i="1" a="1"/>
  <c r="R6" i="1" s="1"/>
  <c r="R7" i="1" a="1"/>
  <c r="R7" i="1"/>
  <c r="R8" i="1" a="1"/>
  <c r="R8" i="1" s="1"/>
  <c r="R9" i="1" a="1"/>
  <c r="R9" i="1"/>
  <c r="R10" i="1" a="1"/>
  <c r="R10" i="1" s="1"/>
  <c r="R11" i="1" a="1"/>
  <c r="R11" i="1"/>
  <c r="R12" i="1" a="1"/>
  <c r="R12" i="1" s="1"/>
  <c r="R13" i="1" a="1"/>
  <c r="R13" i="1"/>
  <c r="R14" i="1" a="1"/>
  <c r="R14" i="1" s="1"/>
  <c r="R15" i="1" a="1"/>
  <c r="R15" i="1" s="1"/>
  <c r="R16" i="1" a="1"/>
  <c r="R16" i="1" s="1"/>
  <c r="R17" i="1" a="1"/>
  <c r="R17" i="1" s="1"/>
  <c r="R18" i="1" a="1"/>
  <c r="R18" i="1"/>
  <c r="R19" i="1" a="1"/>
  <c r="R19" i="1" s="1"/>
  <c r="R20" i="1" a="1"/>
  <c r="R20" i="1" s="1"/>
  <c r="R21" i="1" a="1"/>
  <c r="R21" i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/>
  <c r="R39" i="1" a="1"/>
  <c r="R39" i="1" s="1"/>
  <c r="R40" i="1" a="1"/>
  <c r="R40" i="1" s="1"/>
  <c r="R41" i="1" a="1"/>
  <c r="R41" i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/>
  <c r="R62" i="1" a="1"/>
  <c r="R62" i="1" s="1"/>
  <c r="R63" i="1" a="1"/>
  <c r="R63" i="1" s="1"/>
  <c r="R64" i="1" a="1"/>
  <c r="R64" i="1" s="1"/>
  <c r="R65" i="1" a="1"/>
  <c r="R65" i="1" s="1"/>
  <c r="R66" i="1" a="1"/>
  <c r="R66" i="1"/>
  <c r="R67" i="1" a="1"/>
  <c r="R67" i="1" s="1"/>
  <c r="R68" i="1" a="1"/>
  <c r="R68" i="1" s="1"/>
  <c r="R69" i="1" a="1"/>
  <c r="R69" i="1" s="1"/>
  <c r="R70" i="1" a="1"/>
  <c r="R70" i="1"/>
  <c r="R71" i="1" a="1"/>
  <c r="R71" i="1" s="1"/>
  <c r="R72" i="1" a="1"/>
  <c r="R72" i="1" s="1"/>
  <c r="R73" i="1" a="1"/>
  <c r="R73" i="1"/>
  <c r="R74" i="1" a="1"/>
  <c r="R74" i="1" s="1"/>
  <c r="R75" i="1" a="1"/>
  <c r="R75" i="1" s="1"/>
  <c r="R76" i="1" a="1"/>
  <c r="R76" i="1" s="1"/>
  <c r="R77" i="1" a="1"/>
  <c r="R77" i="1" s="1"/>
  <c r="R78" i="1" a="1"/>
  <c r="R78" i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/>
  <c r="R103" i="1" a="1"/>
  <c r="R103" i="1" s="1"/>
  <c r="R104" i="1" a="1"/>
  <c r="R104" i="1" s="1"/>
  <c r="R105" i="1" a="1"/>
  <c r="R105" i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/>
  <c r="R127" i="1" a="1"/>
  <c r="R127" i="1" s="1"/>
  <c r="R128" i="1" a="1"/>
  <c r="R128" i="1" s="1"/>
  <c r="R129" i="1" a="1"/>
  <c r="R129" i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/>
  <c r="R138" i="1" a="1"/>
  <c r="R138" i="1" s="1"/>
  <c r="R139" i="1" a="1"/>
  <c r="R139" i="1" s="1"/>
  <c r="R140" i="1" a="1"/>
  <c r="R140" i="1" s="1"/>
  <c r="R141" i="1" a="1"/>
  <c r="R141" i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/>
  <c r="R158" i="1" a="1"/>
  <c r="R158" i="1" s="1"/>
  <c r="R159" i="1" a="1"/>
  <c r="R159" i="1" s="1"/>
  <c r="R160" i="1" a="1"/>
  <c r="R160" i="1" s="1"/>
  <c r="R161" i="1" a="1"/>
  <c r="R161" i="1" s="1"/>
  <c r="R162" i="1" a="1"/>
  <c r="R162" i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/>
  <c r="R170" i="1" a="1"/>
  <c r="R170" i="1" s="1"/>
  <c r="R171" i="1" a="1"/>
  <c r="R171" i="1" s="1"/>
  <c r="R172" i="1" a="1"/>
  <c r="R172" i="1" s="1"/>
  <c r="R173" i="1" a="1"/>
  <c r="R173" i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/>
  <c r="R190" i="1" a="1"/>
  <c r="R190" i="1" s="1"/>
  <c r="R191" i="1" a="1"/>
  <c r="R191" i="1" s="1"/>
  <c r="R192" i="1" a="1"/>
  <c r="R192" i="1" s="1"/>
  <c r="R193" i="1" a="1"/>
  <c r="R193" i="1" s="1"/>
  <c r="R194" i="1" a="1"/>
  <c r="R194" i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/>
  <c r="R202" i="1" a="1"/>
  <c r="R202" i="1" s="1"/>
  <c r="R203" i="1" a="1"/>
  <c r="R203" i="1" s="1"/>
  <c r="R204" i="1" a="1"/>
  <c r="R204" i="1" s="1"/>
  <c r="R205" i="1" a="1"/>
  <c r="R205" i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/>
  <c r="R222" i="1" a="1"/>
  <c r="R222" i="1" s="1"/>
  <c r="R223" i="1" a="1"/>
  <c r="R223" i="1" s="1"/>
  <c r="R224" i="1" a="1"/>
  <c r="R224" i="1" s="1"/>
  <c r="R225" i="1" a="1"/>
  <c r="R225" i="1" s="1"/>
  <c r="R226" i="1" a="1"/>
  <c r="R226" i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/>
  <c r="R234" i="1" a="1"/>
  <c r="R234" i="1" s="1"/>
  <c r="R235" i="1" a="1"/>
  <c r="R235" i="1" s="1"/>
  <c r="R236" i="1" a="1"/>
  <c r="R236" i="1" s="1"/>
  <c r="R237" i="1" a="1"/>
  <c r="R237" i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/>
  <c r="R254" i="1" a="1"/>
  <c r="R254" i="1" s="1"/>
  <c r="R255" i="1" a="1"/>
  <c r="R255" i="1" s="1"/>
  <c r="R256" i="1" a="1"/>
  <c r="R256" i="1" s="1"/>
  <c r="R257" i="1" a="1"/>
  <c r="R257" i="1" s="1"/>
  <c r="R258" i="1" a="1"/>
  <c r="R258" i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/>
  <c r="R266" i="1" a="1"/>
  <c r="R266" i="1" s="1"/>
  <c r="R267" i="1" a="1"/>
  <c r="R267" i="1" s="1"/>
  <c r="R268" i="1" a="1"/>
  <c r="R268" i="1" s="1"/>
  <c r="R269" i="1" a="1"/>
  <c r="R269" i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/>
  <c r="R286" i="1" a="1"/>
  <c r="R286" i="1" s="1"/>
  <c r="R287" i="1" a="1"/>
  <c r="R287" i="1" s="1"/>
  <c r="R288" i="1" a="1"/>
  <c r="R288" i="1" s="1"/>
  <c r="R289" i="1" a="1"/>
  <c r="R289" i="1" s="1"/>
  <c r="R290" i="1" a="1"/>
  <c r="R290" i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/>
  <c r="R298" i="1" a="1"/>
  <c r="R298" i="1" s="1"/>
  <c r="R299" i="1" a="1"/>
  <c r="R299" i="1" s="1"/>
  <c r="R300" i="1" a="1"/>
  <c r="R300" i="1" s="1"/>
  <c r="R301" i="1" a="1"/>
  <c r="R301" i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/>
  <c r="R330" i="1" a="1"/>
  <c r="R330" i="1" s="1"/>
  <c r="R331" i="1" a="1"/>
  <c r="R331" i="1" s="1"/>
  <c r="R332" i="1" a="1"/>
  <c r="R332" i="1" s="1"/>
  <c r="R333" i="1" a="1"/>
  <c r="R333" i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/>
  <c r="R346" i="1" a="1"/>
  <c r="R346" i="1"/>
  <c r="R347" i="1" a="1"/>
  <c r="R347" i="1" s="1"/>
  <c r="R348" i="1" a="1"/>
  <c r="R348" i="1" s="1"/>
  <c r="R349" i="1" a="1"/>
  <c r="R349" i="1" s="1"/>
  <c r="R350" i="1" a="1"/>
  <c r="R350" i="1" s="1"/>
  <c r="R351" i="1" a="1"/>
  <c r="R351" i="1"/>
  <c r="R352" i="1" a="1"/>
  <c r="R352" i="1" s="1"/>
  <c r="R353" i="1" a="1"/>
  <c r="R353" i="1" s="1"/>
  <c r="R354" i="1" a="1"/>
  <c r="R354" i="1" s="1"/>
  <c r="R355" i="1" a="1"/>
  <c r="R355" i="1"/>
  <c r="R356" i="1" a="1"/>
  <c r="R356" i="1" s="1"/>
  <c r="R357" i="1" a="1"/>
  <c r="R357" i="1"/>
  <c r="R358" i="1" a="1"/>
  <c r="R358" i="1"/>
  <c r="R359" i="1" a="1"/>
  <c r="R359" i="1" s="1"/>
  <c r="R360" i="1" a="1"/>
  <c r="R360" i="1" s="1"/>
  <c r="R361" i="1" a="1"/>
  <c r="R361" i="1" s="1"/>
  <c r="R362" i="1" a="1"/>
  <c r="R362" i="1"/>
  <c r="R363" i="1" a="1"/>
  <c r="R363" i="1" s="1"/>
  <c r="R364" i="1" a="1"/>
  <c r="R364" i="1" s="1"/>
  <c r="R365" i="1" a="1"/>
  <c r="R365" i="1"/>
  <c r="R366" i="1" a="1"/>
  <c r="R366" i="1"/>
  <c r="R367" i="1" a="1"/>
  <c r="R367" i="1" s="1"/>
  <c r="R368" i="1" a="1"/>
  <c r="R368" i="1" s="1"/>
  <c r="R369" i="1" a="1"/>
  <c r="R369" i="1" s="1"/>
  <c r="R370" i="1" a="1"/>
  <c r="R370" i="1"/>
  <c r="R371" i="1" a="1"/>
  <c r="R371" i="1"/>
  <c r="R372" i="1" a="1"/>
  <c r="R372" i="1" s="1"/>
  <c r="R373" i="1" a="1"/>
  <c r="R373" i="1" s="1"/>
  <c r="R374" i="1" a="1"/>
  <c r="R374" i="1" s="1"/>
  <c r="R375" i="1" a="1"/>
  <c r="R375" i="1" s="1"/>
  <c r="R376" i="1" a="1"/>
  <c r="R376" i="1" s="1"/>
  <c r="R377" i="1" a="1"/>
  <c r="R377" i="1"/>
  <c r="R378" i="1" a="1"/>
  <c r="R378" i="1" s="1"/>
  <c r="R379" i="1" a="1"/>
  <c r="R379" i="1"/>
  <c r="R380" i="1" a="1"/>
  <c r="R380" i="1" s="1"/>
  <c r="R381" i="1" a="1"/>
  <c r="R381" i="1" s="1"/>
  <c r="R382" i="1" a="1"/>
  <c r="R382" i="1"/>
  <c r="R383" i="1" a="1"/>
  <c r="R383" i="1" s="1"/>
  <c r="R384" i="1" a="1"/>
  <c r="R384" i="1" s="1"/>
  <c r="R385" i="1" a="1"/>
  <c r="R385" i="1" s="1"/>
  <c r="R386" i="1" a="1"/>
  <c r="R386" i="1" s="1"/>
  <c r="R387" i="1" a="1"/>
  <c r="R387" i="1" s="1"/>
  <c r="R388" i="1" a="1"/>
  <c r="R388" i="1" s="1"/>
  <c r="R389" i="1" a="1"/>
  <c r="R389" i="1"/>
  <c r="R390" i="1" a="1"/>
  <c r="R390" i="1"/>
  <c r="R391" i="1" a="1"/>
  <c r="R391" i="1"/>
  <c r="R392" i="1" a="1"/>
  <c r="R392" i="1" s="1"/>
  <c r="R393" i="1" a="1"/>
  <c r="R393" i="1" s="1"/>
  <c r="R394" i="1" a="1"/>
  <c r="R394" i="1"/>
  <c r="R395" i="1" a="1"/>
  <c r="R395" i="1"/>
  <c r="R396" i="1" a="1"/>
  <c r="R396" i="1" s="1"/>
  <c r="R397" i="1" a="1"/>
  <c r="R397" i="1" s="1"/>
  <c r="R398" i="1" a="1"/>
  <c r="R398" i="1" s="1"/>
  <c r="R399" i="1" a="1"/>
  <c r="R399" i="1" s="1"/>
  <c r="R400" i="1" a="1"/>
  <c r="R400" i="1" s="1"/>
  <c r="R401" i="1" a="1"/>
  <c r="R401" i="1" s="1"/>
  <c r="R402" i="1" a="1"/>
  <c r="R402" i="1"/>
  <c r="R403" i="1" a="1"/>
  <c r="R403" i="1" s="1"/>
  <c r="R404" i="1" a="1"/>
  <c r="R404" i="1" s="1"/>
  <c r="R405" i="1" a="1"/>
  <c r="R405" i="1" s="1"/>
  <c r="R406" i="1" a="1"/>
  <c r="R406" i="1"/>
  <c r="R407" i="1" a="1"/>
  <c r="R407" i="1"/>
  <c r="R408" i="1" a="1"/>
  <c r="R408" i="1" s="1"/>
  <c r="R409" i="1" a="1"/>
  <c r="R409" i="1"/>
  <c r="R410" i="1" a="1"/>
  <c r="R410" i="1" s="1"/>
  <c r="R411" i="1" a="1"/>
  <c r="R411" i="1"/>
  <c r="R412" i="1" a="1"/>
  <c r="R412" i="1" s="1"/>
  <c r="R413" i="1" a="1"/>
  <c r="R413" i="1" s="1"/>
  <c r="R414" i="1" a="1"/>
  <c r="R414" i="1"/>
  <c r="R415" i="1" a="1"/>
  <c r="R415" i="1" s="1"/>
  <c r="R416" i="1" a="1"/>
  <c r="R416" i="1" s="1"/>
  <c r="R417" i="1" a="1"/>
  <c r="R417" i="1"/>
  <c r="R418" i="1" a="1"/>
  <c r="R418" i="1"/>
  <c r="R419" i="1" a="1"/>
  <c r="R419" i="1" s="1"/>
  <c r="R420" i="1" a="1"/>
  <c r="R420" i="1" s="1"/>
  <c r="R421" i="1" a="1"/>
  <c r="R421" i="1"/>
  <c r="R422" i="1" a="1"/>
  <c r="R422" i="1" s="1"/>
  <c r="R423" i="1" a="1"/>
  <c r="R423" i="1" s="1"/>
  <c r="R424" i="1" a="1"/>
  <c r="R424" i="1" s="1"/>
  <c r="R425" i="1" a="1"/>
  <c r="R425" i="1" s="1"/>
  <c r="R426" i="1" a="1"/>
  <c r="R426" i="1"/>
  <c r="R427" i="1" a="1"/>
  <c r="R427" i="1" s="1"/>
  <c r="R428" i="1" a="1"/>
  <c r="R428" i="1" s="1"/>
  <c r="R429" i="1" a="1"/>
  <c r="R429" i="1" s="1"/>
  <c r="R430" i="1" a="1"/>
  <c r="R430" i="1" s="1"/>
  <c r="R431" i="1" a="1"/>
  <c r="R431" i="1"/>
  <c r="R432" i="1" a="1"/>
  <c r="R432" i="1" s="1"/>
  <c r="R433" i="1" a="1"/>
  <c r="R433" i="1" s="1"/>
  <c r="R434" i="1" a="1"/>
  <c r="R434" i="1" s="1"/>
  <c r="R435" i="1" a="1"/>
  <c r="R435" i="1" s="1"/>
  <c r="R436" i="1" a="1"/>
  <c r="R436" i="1" s="1"/>
  <c r="R437" i="1" a="1"/>
  <c r="R437" i="1" s="1"/>
  <c r="R438" i="1" a="1"/>
  <c r="R438" i="1"/>
  <c r="R439" i="1" a="1"/>
  <c r="R439" i="1" s="1"/>
  <c r="R440" i="1" a="1"/>
  <c r="R440" i="1" s="1"/>
  <c r="R441" i="1" a="1"/>
  <c r="R441" i="1" s="1"/>
  <c r="R442" i="1" a="1"/>
  <c r="R442" i="1"/>
  <c r="R443" i="1" a="1"/>
  <c r="R443" i="1" s="1"/>
  <c r="R444" i="1" a="1"/>
  <c r="R444" i="1" s="1"/>
  <c r="R445" i="1" a="1"/>
  <c r="R445" i="1" s="1"/>
  <c r="R446" i="1" a="1"/>
  <c r="R446" i="1" s="1"/>
  <c r="R447" i="1" a="1"/>
  <c r="R447" i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/>
  <c r="R454" i="1" a="1"/>
  <c r="R454" i="1" s="1"/>
  <c r="R455" i="1" a="1"/>
  <c r="R455" i="1" s="1"/>
  <c r="R456" i="1" a="1"/>
  <c r="R456" i="1" s="1"/>
  <c r="R457" i="1" a="1"/>
  <c r="R457" i="1" s="1"/>
  <c r="R458" i="1" a="1"/>
  <c r="R458" i="1"/>
  <c r="R459" i="1" a="1"/>
  <c r="R459" i="1" s="1"/>
  <c r="R460" i="1" a="1"/>
  <c r="R460" i="1" s="1"/>
  <c r="R461" i="1" a="1"/>
  <c r="R461" i="1" s="1"/>
  <c r="R462" i="1" a="1"/>
  <c r="R462" i="1" s="1"/>
  <c r="R463" i="1" a="1"/>
  <c r="R463" i="1" s="1"/>
  <c r="R464" i="1" a="1"/>
  <c r="R464" i="1" s="1"/>
  <c r="R465" i="1" a="1"/>
  <c r="R465" i="1"/>
  <c r="R466" i="1" a="1"/>
  <c r="R466" i="1" s="1"/>
  <c r="R467" i="1" a="1"/>
  <c r="R467" i="1" s="1"/>
  <c r="R468" i="1" a="1"/>
  <c r="R468" i="1" s="1"/>
  <c r="R469" i="1" a="1"/>
  <c r="R469" i="1"/>
  <c r="R470" i="1" a="1"/>
  <c r="R470" i="1" s="1"/>
  <c r="R471" i="1" a="1"/>
  <c r="R471" i="1" s="1"/>
  <c r="R472" i="1" a="1"/>
  <c r="R472" i="1" s="1"/>
  <c r="R473" i="1" a="1"/>
  <c r="R473" i="1" s="1"/>
  <c r="R474" i="1" a="1"/>
  <c r="R474" i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/>
  <c r="R482" i="1" a="1"/>
  <c r="R482" i="1" s="1"/>
  <c r="R483" i="1" a="1"/>
  <c r="R483" i="1" s="1"/>
  <c r="R484" i="1" a="1"/>
  <c r="R484" i="1" s="1"/>
  <c r="R485" i="1" a="1"/>
  <c r="R485" i="1" s="1"/>
  <c r="R486" i="1" a="1"/>
  <c r="R486" i="1" s="1"/>
  <c r="R487" i="1" a="1"/>
  <c r="R487" i="1" s="1"/>
  <c r="R488" i="1" a="1"/>
  <c r="R488" i="1" s="1"/>
  <c r="R489" i="1" a="1"/>
  <c r="R489" i="1" s="1"/>
  <c r="R490" i="1" a="1"/>
  <c r="R490" i="1" s="1"/>
  <c r="R491" i="1" a="1"/>
  <c r="R491" i="1" s="1"/>
  <c r="R492" i="1" a="1"/>
  <c r="R492" i="1" s="1"/>
  <c r="R493" i="1" a="1"/>
  <c r="R493" i="1" s="1"/>
  <c r="R494" i="1" a="1"/>
  <c r="R494" i="1"/>
  <c r="R495" i="1" a="1"/>
  <c r="R495" i="1" s="1"/>
  <c r="R496" i="1" a="1"/>
  <c r="R496" i="1" s="1"/>
  <c r="R497" i="1" a="1"/>
  <c r="R497" i="1"/>
  <c r="R498" i="1" a="1"/>
  <c r="R498" i="1"/>
  <c r="R499" i="1" a="1"/>
  <c r="R499" i="1" s="1"/>
  <c r="R500" i="1" a="1"/>
  <c r="R500" i="1" s="1"/>
  <c r="R501" i="1" a="1"/>
  <c r="R501" i="1" s="1"/>
  <c r="R502" i="1" a="1"/>
  <c r="R502" i="1" s="1"/>
  <c r="R503" i="1" a="1"/>
  <c r="R503" i="1" s="1"/>
  <c r="R504" i="1" a="1"/>
  <c r="R504" i="1" s="1"/>
  <c r="R505" i="1" a="1"/>
  <c r="R505" i="1" s="1"/>
  <c r="R506" i="1" a="1"/>
  <c r="R506" i="1" s="1"/>
  <c r="R507" i="1" a="1"/>
  <c r="R507" i="1" s="1"/>
  <c r="R508" i="1" a="1"/>
  <c r="R508" i="1" s="1"/>
  <c r="R509" i="1" a="1"/>
  <c r="R509" i="1" s="1"/>
  <c r="R510" i="1" a="1"/>
  <c r="R510" i="1" s="1"/>
  <c r="R511" i="1" a="1"/>
  <c r="R511" i="1"/>
  <c r="R512" i="1" a="1"/>
  <c r="R512" i="1" s="1"/>
  <c r="R513" i="1" a="1"/>
  <c r="R513" i="1" s="1"/>
  <c r="R514" i="1" a="1"/>
  <c r="R514" i="1" s="1"/>
  <c r="R515" i="1" a="1"/>
  <c r="R515" i="1" s="1"/>
  <c r="R516" i="1" a="1"/>
  <c r="R516" i="1" s="1"/>
  <c r="R517" i="1" a="1"/>
  <c r="R517" i="1" s="1"/>
  <c r="R518" i="1" a="1"/>
  <c r="R518" i="1" s="1"/>
  <c r="R519" i="1" a="1"/>
  <c r="R519" i="1" s="1"/>
  <c r="R520" i="1" a="1"/>
  <c r="R520" i="1" s="1"/>
  <c r="R521" i="1" a="1"/>
  <c r="R521" i="1" s="1"/>
  <c r="R522" i="1" a="1"/>
  <c r="R522" i="1" s="1"/>
  <c r="R523" i="1" a="1"/>
  <c r="R523" i="1" s="1"/>
  <c r="R524" i="1" a="1"/>
  <c r="R524" i="1" s="1"/>
  <c r="R525" i="1" a="1"/>
  <c r="R525" i="1"/>
  <c r="R526" i="1" a="1"/>
  <c r="R526" i="1" s="1"/>
  <c r="R527" i="1" a="1"/>
  <c r="R527" i="1" s="1"/>
  <c r="R528" i="1" a="1"/>
  <c r="R528" i="1" s="1"/>
  <c r="R529" i="1" a="1"/>
  <c r="R529" i="1" s="1"/>
  <c r="R530" i="1" a="1"/>
  <c r="R530" i="1" s="1"/>
  <c r="R531" i="1" a="1"/>
  <c r="R531" i="1" s="1"/>
  <c r="R532" i="1" a="1"/>
  <c r="R532" i="1" s="1"/>
  <c r="R533" i="1" a="1"/>
  <c r="R533" i="1"/>
  <c r="R534" i="1" a="1"/>
  <c r="R534" i="1" s="1"/>
  <c r="R535" i="1" a="1"/>
  <c r="R535" i="1" s="1"/>
  <c r="R536" i="1" a="1"/>
  <c r="R536" i="1" s="1"/>
  <c r="R537" i="1" a="1"/>
  <c r="R537" i="1" s="1"/>
  <c r="R538" i="1" a="1"/>
  <c r="R538" i="1" s="1"/>
  <c r="R539" i="1" a="1"/>
  <c r="R539" i="1" s="1"/>
  <c r="R540" i="1" a="1"/>
  <c r="R540" i="1" s="1"/>
  <c r="R541" i="1" a="1"/>
  <c r="R541" i="1" s="1"/>
  <c r="R542" i="1" a="1"/>
  <c r="R542" i="1" s="1"/>
  <c r="R543" i="1" a="1"/>
  <c r="R543" i="1"/>
  <c r="R544" i="1" a="1"/>
  <c r="R544" i="1" s="1"/>
  <c r="R545" i="1" a="1"/>
  <c r="R545" i="1" s="1"/>
  <c r="R546" i="1" a="1"/>
  <c r="R546" i="1" s="1"/>
  <c r="R547" i="1" a="1"/>
  <c r="R547" i="1" s="1"/>
  <c r="R548" i="1" a="1"/>
  <c r="R548" i="1" s="1"/>
  <c r="R549" i="1" a="1"/>
  <c r="R549" i="1"/>
  <c r="R550" i="1" a="1"/>
  <c r="R550" i="1" s="1"/>
  <c r="R551" i="1" a="1"/>
  <c r="R551" i="1" s="1"/>
  <c r="R552" i="1" a="1"/>
  <c r="R552" i="1" s="1"/>
  <c r="R553" i="1" a="1"/>
  <c r="R553" i="1" s="1"/>
  <c r="R554" i="1" a="1"/>
  <c r="R554" i="1" s="1"/>
  <c r="R555" i="1" a="1"/>
  <c r="R555" i="1" s="1"/>
  <c r="R556" i="1" a="1"/>
  <c r="R556" i="1" s="1"/>
  <c r="R557" i="1" a="1"/>
  <c r="R557" i="1" s="1"/>
  <c r="R558" i="1" a="1"/>
  <c r="R558" i="1" s="1"/>
  <c r="R559" i="1" a="1"/>
  <c r="R559" i="1" s="1"/>
  <c r="R560" i="1" a="1"/>
  <c r="R560" i="1" s="1"/>
  <c r="R561" i="1" a="1"/>
  <c r="R561" i="1" s="1"/>
  <c r="R562" i="1" a="1"/>
  <c r="R562" i="1" s="1"/>
  <c r="R563" i="1" a="1"/>
  <c r="R563" i="1" s="1"/>
  <c r="R564" i="1" a="1"/>
  <c r="R564" i="1" s="1"/>
  <c r="R565" i="1" a="1"/>
  <c r="R565" i="1" s="1"/>
  <c r="R566" i="1" a="1"/>
  <c r="R566" i="1" s="1"/>
  <c r="R567" i="1" a="1"/>
  <c r="R567" i="1" s="1"/>
  <c r="R568" i="1" a="1"/>
  <c r="R568" i="1" s="1"/>
  <c r="R569" i="1" a="1"/>
  <c r="R569" i="1" s="1"/>
  <c r="R570" i="1" a="1"/>
  <c r="R570" i="1" s="1"/>
  <c r="R571" i="1" a="1"/>
  <c r="R571" i="1" s="1"/>
  <c r="R572" i="1" a="1"/>
  <c r="R572" i="1" s="1"/>
  <c r="R573" i="1" a="1"/>
  <c r="R573" i="1"/>
  <c r="R574" i="1" a="1"/>
  <c r="R574" i="1" s="1"/>
  <c r="R575" i="1" a="1"/>
  <c r="R575" i="1" s="1"/>
  <c r="R576" i="1" a="1"/>
  <c r="R576" i="1" s="1"/>
  <c r="R577" i="1" a="1"/>
  <c r="R577" i="1" s="1"/>
  <c r="R578" i="1" a="1"/>
  <c r="R578" i="1" s="1"/>
  <c r="R579" i="1" a="1"/>
  <c r="R579" i="1" s="1"/>
  <c r="R580" i="1" a="1"/>
  <c r="R580" i="1" s="1"/>
  <c r="R581" i="1" a="1"/>
  <c r="R581" i="1" s="1"/>
  <c r="R582" i="1" a="1"/>
  <c r="R582" i="1" s="1"/>
  <c r="R583" i="1" a="1"/>
  <c r="R583" i="1" s="1"/>
  <c r="R584" i="1" a="1"/>
  <c r="R584" i="1" s="1"/>
  <c r="R585" i="1" a="1"/>
  <c r="R585" i="1" s="1"/>
  <c r="R586" i="1" a="1"/>
  <c r="R586" i="1" s="1"/>
  <c r="R587" i="1" a="1"/>
  <c r="R587" i="1" s="1"/>
  <c r="R588" i="1" a="1"/>
  <c r="R588" i="1" s="1"/>
  <c r="R589" i="1" a="1"/>
  <c r="R589" i="1" s="1"/>
  <c r="R590" i="1" a="1"/>
  <c r="R590" i="1" s="1"/>
  <c r="R591" i="1" a="1"/>
  <c r="R591" i="1" s="1"/>
  <c r="R592" i="1" a="1"/>
  <c r="R592" i="1" s="1"/>
  <c r="R593" i="1" a="1"/>
  <c r="R593" i="1"/>
  <c r="R594" i="1" a="1"/>
  <c r="R594" i="1" s="1"/>
  <c r="R595" i="1" a="1"/>
  <c r="R595" i="1"/>
  <c r="R596" i="1" a="1"/>
  <c r="R596" i="1" s="1"/>
  <c r="R597" i="1" a="1"/>
  <c r="R597" i="1"/>
  <c r="R598" i="1" a="1"/>
  <c r="R598" i="1" s="1"/>
  <c r="R599" i="1" a="1"/>
  <c r="R599" i="1" s="1"/>
  <c r="R600" i="1" a="1"/>
  <c r="R600" i="1" s="1"/>
  <c r="R601" i="1" a="1"/>
  <c r="R601" i="1" s="1"/>
  <c r="R602" i="1" a="1"/>
  <c r="R602" i="1" s="1"/>
  <c r="R603" i="1" a="1"/>
  <c r="R603" i="1" s="1"/>
  <c r="R604" i="1" a="1"/>
  <c r="R604" i="1" s="1"/>
  <c r="R605" i="1" a="1"/>
  <c r="R605" i="1"/>
  <c r="R606" i="1" a="1"/>
  <c r="R606" i="1" s="1"/>
  <c r="R607" i="1" a="1"/>
  <c r="R607" i="1" s="1"/>
  <c r="R608" i="1" a="1"/>
  <c r="R608" i="1" s="1"/>
  <c r="R609" i="1" a="1"/>
  <c r="R609" i="1" s="1"/>
  <c r="R610" i="1" a="1"/>
  <c r="R610" i="1" s="1"/>
  <c r="R611" i="1" a="1"/>
  <c r="R611" i="1"/>
  <c r="R612" i="1" a="1"/>
  <c r="R612" i="1" s="1"/>
  <c r="R613" i="1" a="1"/>
  <c r="R613" i="1" s="1"/>
  <c r="R614" i="1" a="1"/>
  <c r="R614" i="1" s="1"/>
  <c r="R615" i="1" a="1"/>
  <c r="R615" i="1" s="1"/>
  <c r="R616" i="1" a="1"/>
  <c r="R616" i="1" s="1"/>
  <c r="R617" i="1" a="1"/>
  <c r="R617" i="1" s="1"/>
  <c r="R618" i="1" a="1"/>
  <c r="R618" i="1" s="1"/>
  <c r="R619" i="1" a="1"/>
  <c r="R619" i="1" s="1"/>
  <c r="R620" i="1" a="1"/>
  <c r="R620" i="1" s="1"/>
  <c r="R621" i="1" a="1"/>
  <c r="R621" i="1"/>
  <c r="R622" i="1" a="1"/>
  <c r="R622" i="1" s="1"/>
  <c r="R623" i="1" a="1"/>
  <c r="R623" i="1"/>
  <c r="R624" i="1" a="1"/>
  <c r="R624" i="1" s="1"/>
  <c r="R625" i="1" a="1"/>
  <c r="R625" i="1" s="1"/>
  <c r="R626" i="1" a="1"/>
  <c r="R626" i="1" s="1"/>
  <c r="R627" i="1" a="1"/>
  <c r="R627" i="1" s="1"/>
  <c r="R628" i="1" a="1"/>
  <c r="R628" i="1" s="1"/>
  <c r="R629" i="1" a="1"/>
  <c r="R629" i="1"/>
  <c r="R630" i="1" a="1"/>
  <c r="R630" i="1" s="1"/>
  <c r="R631" i="1" a="1"/>
  <c r="R631" i="1" s="1"/>
  <c r="R632" i="1" a="1"/>
  <c r="R632" i="1" s="1"/>
  <c r="R633" i="1" a="1"/>
  <c r="R633" i="1" s="1"/>
  <c r="R634" i="1" a="1"/>
  <c r="R634" i="1" s="1"/>
  <c r="R635" i="1" a="1"/>
  <c r="R635" i="1" s="1"/>
  <c r="R636" i="1" a="1"/>
  <c r="R636" i="1" s="1"/>
  <c r="R637" i="1" a="1"/>
  <c r="R637" i="1"/>
  <c r="R638" i="1" a="1"/>
  <c r="R638" i="1" s="1"/>
  <c r="R639" i="1" a="1"/>
  <c r="R639" i="1"/>
  <c r="R640" i="1" a="1"/>
  <c r="R640" i="1" s="1"/>
  <c r="R641" i="1" a="1"/>
  <c r="R641" i="1"/>
  <c r="R642" i="1" a="1"/>
  <c r="R642" i="1" s="1"/>
  <c r="R643" i="1" a="1"/>
  <c r="R643" i="1" s="1"/>
  <c r="R644" i="1" a="1"/>
  <c r="R644" i="1" s="1"/>
  <c r="R645" i="1" a="1"/>
  <c r="R645" i="1" s="1"/>
  <c r="R646" i="1" a="1"/>
  <c r="R646" i="1" s="1"/>
  <c r="R647" i="1" a="1"/>
  <c r="R647" i="1" s="1"/>
  <c r="R648" i="1" a="1"/>
  <c r="R648" i="1" s="1"/>
  <c r="R649" i="1" a="1"/>
  <c r="R649" i="1" s="1"/>
  <c r="R650" i="1" a="1"/>
  <c r="R650" i="1" s="1"/>
  <c r="R651" i="1" a="1"/>
  <c r="R651" i="1" s="1"/>
  <c r="R652" i="1" a="1"/>
  <c r="R652" i="1" s="1"/>
  <c r="R653" i="1" a="1"/>
  <c r="R653" i="1" s="1"/>
  <c r="R654" i="1" a="1"/>
  <c r="R654" i="1" s="1"/>
  <c r="R655" i="1" a="1"/>
  <c r="R655" i="1"/>
  <c r="R656" i="1" a="1"/>
  <c r="R656" i="1" s="1"/>
  <c r="R657" i="1" a="1"/>
  <c r="R657" i="1" s="1"/>
  <c r="R658" i="1" a="1"/>
  <c r="R658" i="1" s="1"/>
  <c r="R659" i="1" a="1"/>
  <c r="R659" i="1" s="1"/>
  <c r="R660" i="1" a="1"/>
  <c r="R660" i="1" s="1"/>
  <c r="R661" i="1" a="1"/>
  <c r="R661" i="1"/>
  <c r="R662" i="1" a="1"/>
  <c r="R662" i="1" s="1"/>
  <c r="R663" i="1" a="1"/>
  <c r="R663" i="1" s="1"/>
  <c r="R664" i="1" a="1"/>
  <c r="R664" i="1" s="1"/>
  <c r="R665" i="1" a="1"/>
  <c r="R665" i="1" s="1"/>
  <c r="R666" i="1" a="1"/>
  <c r="R666" i="1" s="1"/>
  <c r="R667" i="1" a="1"/>
  <c r="R667" i="1" s="1"/>
  <c r="R668" i="1" a="1"/>
  <c r="R668" i="1" s="1"/>
  <c r="R669" i="1" a="1"/>
  <c r="R669" i="1" s="1"/>
  <c r="R670" i="1" a="1"/>
  <c r="R670" i="1" s="1"/>
  <c r="R671" i="1" a="1"/>
  <c r="R671" i="1" s="1"/>
  <c r="R672" i="1" a="1"/>
  <c r="R672" i="1" s="1"/>
  <c r="R673" i="1" a="1"/>
  <c r="R673" i="1" s="1"/>
  <c r="R674" i="1" a="1"/>
  <c r="R674" i="1" s="1"/>
  <c r="R675" i="1" a="1"/>
  <c r="R675" i="1" s="1"/>
  <c r="R676" i="1" a="1"/>
  <c r="R676" i="1" s="1"/>
  <c r="R677" i="1" a="1"/>
  <c r="R677" i="1" s="1"/>
  <c r="R678" i="1" a="1"/>
  <c r="R678" i="1" s="1"/>
  <c r="R679" i="1" a="1"/>
  <c r="R679" i="1" s="1"/>
  <c r="R680" i="1" a="1"/>
  <c r="R680" i="1" s="1"/>
  <c r="R681" i="1" a="1"/>
  <c r="R681" i="1" s="1"/>
  <c r="R682" i="1" a="1"/>
  <c r="R682" i="1" s="1"/>
  <c r="R683" i="1" a="1"/>
  <c r="R683" i="1" s="1"/>
  <c r="R684" i="1" a="1"/>
  <c r="R684" i="1" s="1"/>
  <c r="R685" i="1" a="1"/>
  <c r="R685" i="1"/>
  <c r="R686" i="1" a="1"/>
  <c r="R686" i="1" s="1"/>
  <c r="R687" i="1" a="1"/>
  <c r="R687" i="1" s="1"/>
  <c r="R688" i="1" a="1"/>
  <c r="R688" i="1" s="1"/>
  <c r="R689" i="1" a="1"/>
  <c r="R689" i="1" s="1"/>
  <c r="R690" i="1" a="1"/>
  <c r="R690" i="1" s="1"/>
  <c r="R691" i="1" a="1"/>
  <c r="R691" i="1" s="1"/>
  <c r="R692" i="1" a="1"/>
  <c r="R692" i="1" s="1"/>
  <c r="R693" i="1" a="1"/>
  <c r="R693" i="1"/>
  <c r="R694" i="1" a="1"/>
  <c r="R694" i="1" s="1"/>
  <c r="R695" i="1" a="1"/>
  <c r="R695" i="1"/>
  <c r="R696" i="1" a="1"/>
  <c r="R696" i="1" s="1"/>
  <c r="R697" i="1" a="1"/>
  <c r="R697" i="1" s="1"/>
  <c r="R698" i="1" a="1"/>
  <c r="R698" i="1" s="1"/>
  <c r="R699" i="1" a="1"/>
  <c r="R699" i="1" s="1"/>
  <c r="R700" i="1" a="1"/>
  <c r="R700" i="1" s="1"/>
  <c r="R701" i="1" a="1"/>
  <c r="R701" i="1" s="1"/>
  <c r="R702" i="1" a="1"/>
  <c r="R702" i="1" s="1"/>
  <c r="R703" i="1" a="1"/>
  <c r="R703" i="1" s="1"/>
  <c r="R704" i="1" a="1"/>
  <c r="R704" i="1" s="1"/>
  <c r="R705" i="1" a="1"/>
  <c r="R705" i="1" s="1"/>
  <c r="R706" i="1" a="1"/>
  <c r="R706" i="1" s="1"/>
  <c r="R707" i="1" a="1"/>
  <c r="R707" i="1" s="1"/>
  <c r="R708" i="1" a="1"/>
  <c r="R708" i="1" s="1"/>
  <c r="R709" i="1" a="1"/>
  <c r="R709" i="1" s="1"/>
  <c r="R710" i="1" a="1"/>
  <c r="R710" i="1" s="1"/>
  <c r="R711" i="1" a="1"/>
  <c r="R711" i="1" s="1"/>
  <c r="R712" i="1" a="1"/>
  <c r="R712" i="1" s="1"/>
  <c r="R713" i="1" a="1"/>
  <c r="R713" i="1" s="1"/>
  <c r="R714" i="1" a="1"/>
  <c r="R714" i="1" s="1"/>
  <c r="R715" i="1" a="1"/>
  <c r="R715" i="1" s="1"/>
  <c r="R716" i="1" a="1"/>
  <c r="R716" i="1" s="1"/>
  <c r="R717" i="1" a="1"/>
  <c r="R717" i="1"/>
  <c r="R718" i="1" a="1"/>
  <c r="R718" i="1" s="1"/>
  <c r="R719" i="1" a="1"/>
  <c r="R719" i="1"/>
  <c r="R720" i="1" a="1"/>
  <c r="R720" i="1" s="1"/>
  <c r="R721" i="1" a="1"/>
  <c r="R721" i="1" s="1"/>
  <c r="R722" i="1" a="1"/>
  <c r="R722" i="1" s="1"/>
  <c r="R723" i="1" a="1"/>
  <c r="R723" i="1" s="1"/>
  <c r="R724" i="1" a="1"/>
  <c r="R724" i="1" s="1"/>
  <c r="R725" i="1" a="1"/>
  <c r="R725" i="1"/>
  <c r="R726" i="1" a="1"/>
  <c r="R726" i="1" s="1"/>
  <c r="R727" i="1" a="1"/>
  <c r="R727" i="1" s="1"/>
  <c r="R728" i="1" a="1"/>
  <c r="R728" i="1"/>
  <c r="R729" i="1" a="1"/>
  <c r="R729" i="1" s="1"/>
  <c r="R730" i="1" a="1"/>
  <c r="R730" i="1" s="1"/>
  <c r="R731" i="1" a="1"/>
  <c r="R731" i="1"/>
  <c r="R732" i="1" a="1"/>
  <c r="R732" i="1" s="1"/>
  <c r="R733" i="1" a="1"/>
  <c r="R733" i="1" s="1"/>
  <c r="R734" i="1" a="1"/>
  <c r="R734" i="1" s="1"/>
  <c r="R735" i="1" a="1"/>
  <c r="R735" i="1" s="1"/>
  <c r="R736" i="1" a="1"/>
  <c r="R736" i="1"/>
  <c r="R737" i="1" a="1"/>
  <c r="R737" i="1"/>
  <c r="R738" i="1" a="1"/>
  <c r="R738" i="1" s="1"/>
  <c r="R739" i="1" a="1"/>
  <c r="R739" i="1"/>
  <c r="R740" i="1" a="1"/>
  <c r="R740" i="1" s="1"/>
  <c r="R741" i="1" a="1"/>
  <c r="R741" i="1" s="1"/>
  <c r="R742" i="1" a="1"/>
  <c r="R742" i="1" s="1"/>
  <c r="R743" i="1" a="1"/>
  <c r="R743" i="1" s="1"/>
  <c r="R744" i="1" a="1"/>
  <c r="R744" i="1" s="1"/>
  <c r="R745" i="1" a="1"/>
  <c r="R745" i="1"/>
  <c r="R746" i="1" a="1"/>
  <c r="R746" i="1" s="1"/>
  <c r="R747" i="1" a="1"/>
  <c r="R747" i="1"/>
  <c r="R748" i="1" a="1"/>
  <c r="R748" i="1"/>
  <c r="R749" i="1" a="1"/>
  <c r="R749" i="1" s="1"/>
  <c r="R750" i="1" a="1"/>
  <c r="R750" i="1" s="1"/>
  <c r="R751" i="1" a="1"/>
  <c r="R751" i="1" s="1"/>
  <c r="R752" i="1" a="1"/>
  <c r="R752" i="1" s="1"/>
  <c r="R753" i="1" a="1"/>
  <c r="R753" i="1" s="1"/>
  <c r="R754" i="1" a="1"/>
  <c r="R754" i="1" s="1"/>
  <c r="R755" i="1" a="1"/>
  <c r="R755" i="1" s="1"/>
  <c r="R756" i="1" a="1"/>
  <c r="R756" i="1"/>
  <c r="R757" i="1" a="1"/>
  <c r="R757" i="1" s="1"/>
  <c r="R758" i="1" a="1"/>
  <c r="R758" i="1" s="1"/>
  <c r="R759" i="1" a="1"/>
  <c r="R759" i="1"/>
  <c r="R760" i="1" a="1"/>
  <c r="R760" i="1" s="1"/>
  <c r="R761" i="1" a="1"/>
  <c r="R761" i="1" s="1"/>
  <c r="R762" i="1" a="1"/>
  <c r="R762" i="1" s="1"/>
  <c r="R763" i="1" a="1"/>
  <c r="R763" i="1"/>
  <c r="R764" i="1" a="1"/>
  <c r="R764" i="1" s="1"/>
  <c r="R765" i="1" a="1"/>
  <c r="R765" i="1" s="1"/>
  <c r="R766" i="1" a="1"/>
  <c r="R766" i="1" s="1"/>
  <c r="R767" i="1" a="1"/>
  <c r="R767" i="1" s="1"/>
  <c r="R768" i="1" a="1"/>
  <c r="R768" i="1" s="1"/>
  <c r="R769" i="1" a="1"/>
  <c r="R769" i="1"/>
  <c r="R770" i="1" a="1"/>
  <c r="R770" i="1" s="1"/>
  <c r="R771" i="1" a="1"/>
  <c r="R771" i="1" s="1"/>
  <c r="R772" i="1" a="1"/>
  <c r="R772" i="1"/>
  <c r="R773" i="1" a="1"/>
  <c r="R773" i="1" s="1"/>
  <c r="R774" i="1" a="1"/>
  <c r="R774" i="1" s="1"/>
  <c r="R775" i="1" a="1"/>
  <c r="R775" i="1" s="1"/>
  <c r="R776" i="1" a="1"/>
  <c r="R776" i="1"/>
  <c r="R777" i="1" a="1"/>
  <c r="R777" i="1" s="1"/>
  <c r="R778" i="1" a="1"/>
  <c r="R778" i="1"/>
  <c r="R779" i="1" a="1"/>
  <c r="R779" i="1" s="1"/>
  <c r="R780" i="1" a="1"/>
  <c r="R780" i="1" s="1"/>
  <c r="R781" i="1" a="1"/>
  <c r="R781" i="1" s="1"/>
  <c r="R782" i="1" a="1"/>
  <c r="R782" i="1" s="1"/>
  <c r="R783" i="1" a="1"/>
  <c r="R783" i="1"/>
  <c r="R784" i="1" a="1"/>
  <c r="R784" i="1" s="1"/>
  <c r="R785" i="1" a="1"/>
  <c r="R785" i="1" s="1"/>
  <c r="R786" i="1" a="1"/>
  <c r="R786" i="1"/>
  <c r="R787" i="1" a="1"/>
  <c r="R787" i="1" s="1"/>
  <c r="R788" i="1" a="1"/>
  <c r="R788" i="1" s="1"/>
  <c r="R789" i="1" a="1"/>
  <c r="R789" i="1" s="1"/>
  <c r="R790" i="1" a="1"/>
  <c r="R790" i="1" s="1"/>
  <c r="R791" i="1" a="1"/>
  <c r="R791" i="1"/>
  <c r="R792" i="1" a="1"/>
  <c r="R792" i="1" s="1"/>
  <c r="R793" i="1" a="1"/>
  <c r="R793" i="1" s="1"/>
  <c r="R794" i="1" a="1"/>
  <c r="R794" i="1"/>
  <c r="R795" i="1" a="1"/>
  <c r="R795" i="1" s="1"/>
  <c r="R796" i="1" a="1"/>
  <c r="R796" i="1" s="1"/>
  <c r="R797" i="1" a="1"/>
  <c r="R797" i="1" s="1"/>
  <c r="R798" i="1" a="1"/>
  <c r="R798" i="1" s="1"/>
  <c r="R799" i="1" a="1"/>
  <c r="R799" i="1"/>
  <c r="R800" i="1" a="1"/>
  <c r="R800" i="1" s="1"/>
  <c r="R801" i="1" a="1"/>
  <c r="R801" i="1" s="1"/>
  <c r="R802" i="1" a="1"/>
  <c r="R802" i="1"/>
  <c r="R803" i="1" a="1"/>
  <c r="R803" i="1" s="1"/>
  <c r="R804" i="1" a="1"/>
  <c r="R804" i="1" s="1"/>
  <c r="R805" i="1" a="1"/>
  <c r="R805" i="1" s="1"/>
  <c r="R806" i="1" a="1"/>
  <c r="R806" i="1" s="1"/>
  <c r="R807" i="1" a="1"/>
  <c r="R807" i="1" s="1"/>
  <c r="R808" i="1" a="1"/>
  <c r="R808" i="1" s="1"/>
  <c r="R809" i="1" a="1"/>
  <c r="R809" i="1" s="1"/>
  <c r="R810" i="1" a="1"/>
  <c r="R810" i="1"/>
  <c r="R811" i="1" a="1"/>
  <c r="R811" i="1" s="1"/>
  <c r="R812" i="1" a="1"/>
  <c r="R812" i="1" s="1"/>
  <c r="R813" i="1" a="1"/>
  <c r="R813" i="1" s="1"/>
  <c r="R814" i="1" a="1"/>
  <c r="R814" i="1" s="1"/>
  <c r="R815" i="1" a="1"/>
  <c r="R815" i="1"/>
  <c r="R816" i="1" a="1"/>
  <c r="R816" i="1" s="1"/>
  <c r="R817" i="1" a="1"/>
  <c r="R817" i="1" s="1"/>
  <c r="R818" i="1" a="1"/>
  <c r="R818" i="1" s="1"/>
  <c r="R819" i="1" a="1"/>
  <c r="R819" i="1" s="1"/>
  <c r="R820" i="1" a="1"/>
  <c r="R820" i="1" s="1"/>
  <c r="R821" i="1" a="1"/>
  <c r="R821" i="1" s="1"/>
  <c r="R822" i="1" a="1"/>
  <c r="R822" i="1" s="1"/>
  <c r="R823" i="1" a="1"/>
  <c r="R823" i="1" s="1"/>
  <c r="R824" i="1" a="1"/>
  <c r="R824" i="1" s="1"/>
  <c r="R825" i="1" a="1"/>
  <c r="R825" i="1" s="1"/>
  <c r="R826" i="1" a="1"/>
  <c r="R826" i="1"/>
  <c r="R827" i="1" a="1"/>
  <c r="R827" i="1" s="1"/>
  <c r="R828" i="1" a="1"/>
  <c r="R828" i="1" s="1"/>
  <c r="R829" i="1" a="1"/>
  <c r="R829" i="1" s="1"/>
  <c r="R830" i="1" a="1"/>
  <c r="R830" i="1" s="1"/>
  <c r="R831" i="1" a="1"/>
  <c r="R831" i="1"/>
  <c r="R832" i="1" a="1"/>
  <c r="R832" i="1" s="1"/>
  <c r="R833" i="1" a="1"/>
  <c r="R833" i="1" s="1"/>
  <c r="R834" i="1" a="1"/>
  <c r="R834" i="1" s="1"/>
  <c r="R835" i="1" a="1"/>
  <c r="R835" i="1" s="1"/>
  <c r="R836" i="1" a="1"/>
  <c r="R836" i="1" s="1"/>
  <c r="R837" i="1" a="1"/>
  <c r="R837" i="1" s="1"/>
  <c r="R838" i="1" a="1"/>
  <c r="R838" i="1" s="1"/>
  <c r="R839" i="1" a="1"/>
  <c r="R839" i="1" s="1"/>
  <c r="R840" i="1" a="1"/>
  <c r="R840" i="1" s="1"/>
  <c r="R841" i="1" a="1"/>
  <c r="R841" i="1" s="1"/>
  <c r="R842" i="1" a="1"/>
  <c r="R842" i="1"/>
  <c r="R843" i="1" a="1"/>
  <c r="R843" i="1" s="1"/>
  <c r="R844" i="1" a="1"/>
  <c r="R844" i="1" s="1"/>
  <c r="R845" i="1" a="1"/>
  <c r="R845" i="1" s="1"/>
  <c r="R846" i="1" a="1"/>
  <c r="R846" i="1" s="1"/>
  <c r="R847" i="1" a="1"/>
  <c r="R847" i="1"/>
  <c r="R848" i="1" a="1"/>
  <c r="R848" i="1" s="1"/>
  <c r="R849" i="1" a="1"/>
  <c r="R849" i="1" s="1"/>
  <c r="R850" i="1" a="1"/>
  <c r="R850" i="1" s="1"/>
  <c r="R851" i="1" a="1"/>
  <c r="R851" i="1"/>
  <c r="R852" i="1" a="1"/>
  <c r="R852" i="1" s="1"/>
  <c r="R853" i="1" a="1"/>
  <c r="R853" i="1" s="1"/>
  <c r="R854" i="1" a="1"/>
  <c r="R854" i="1" s="1"/>
  <c r="R855" i="1" a="1"/>
  <c r="R855" i="1" s="1"/>
  <c r="R856" i="1" a="1"/>
  <c r="R856" i="1" s="1"/>
  <c r="R857" i="1" a="1"/>
  <c r="R857" i="1" s="1"/>
  <c r="R858" i="1" a="1"/>
  <c r="R858" i="1"/>
  <c r="R859" i="1" a="1"/>
  <c r="R859" i="1" s="1"/>
  <c r="R860" i="1" a="1"/>
  <c r="R860" i="1" s="1"/>
  <c r="R861" i="1" a="1"/>
  <c r="R861" i="1" s="1"/>
  <c r="R862" i="1" a="1"/>
  <c r="R862" i="1" s="1"/>
  <c r="R863" i="1" a="1"/>
  <c r="R863" i="1" s="1"/>
  <c r="R864" i="1" a="1"/>
  <c r="R864" i="1" s="1"/>
  <c r="R865" i="1" a="1"/>
  <c r="R865" i="1" s="1"/>
  <c r="R866" i="1" a="1"/>
  <c r="R866" i="1" s="1"/>
  <c r="R867" i="1" a="1"/>
  <c r="R867" i="1" s="1"/>
  <c r="R868" i="1" a="1"/>
  <c r="R868" i="1" s="1"/>
  <c r="R869" i="1" a="1"/>
  <c r="R869" i="1" s="1"/>
  <c r="R870" i="1" a="1"/>
  <c r="R870" i="1" s="1"/>
  <c r="R871" i="1" a="1"/>
  <c r="R871" i="1" s="1"/>
  <c r="R872" i="1" a="1"/>
  <c r="R872" i="1" s="1"/>
  <c r="R873" i="1" a="1"/>
  <c r="R873" i="1" s="1"/>
  <c r="R874" i="1" a="1"/>
  <c r="R874" i="1" s="1"/>
  <c r="R875" i="1" a="1"/>
  <c r="R875" i="1" s="1"/>
  <c r="R876" i="1" a="1"/>
  <c r="R876" i="1" s="1"/>
  <c r="R877" i="1" a="1"/>
  <c r="R877" i="1" s="1"/>
  <c r="R878" i="1" a="1"/>
  <c r="R878" i="1" s="1"/>
  <c r="R879" i="1" a="1"/>
  <c r="R879" i="1"/>
  <c r="R880" i="1" a="1"/>
  <c r="R880" i="1" s="1"/>
  <c r="R881" i="1" a="1"/>
  <c r="R881" i="1" s="1"/>
  <c r="R882" i="1" a="1"/>
  <c r="R882" i="1" s="1"/>
  <c r="R883" i="1" a="1"/>
  <c r="R883" i="1"/>
  <c r="R884" i="1" a="1"/>
  <c r="R884" i="1" s="1"/>
  <c r="R885" i="1" a="1"/>
  <c r="R885" i="1" s="1"/>
  <c r="R886" i="1" a="1"/>
  <c r="R886" i="1" s="1"/>
  <c r="R887" i="1" a="1"/>
  <c r="R887" i="1" s="1"/>
  <c r="R888" i="1" a="1"/>
  <c r="R888" i="1" s="1"/>
  <c r="R889" i="1" a="1"/>
  <c r="R889" i="1" s="1"/>
  <c r="R890" i="1" a="1"/>
  <c r="R890" i="1"/>
  <c r="R891" i="1" a="1"/>
  <c r="R891" i="1" s="1"/>
  <c r="R892" i="1" a="1"/>
  <c r="R892" i="1" s="1"/>
  <c r="R893" i="1" a="1"/>
  <c r="R893" i="1" s="1"/>
  <c r="R894" i="1" a="1"/>
  <c r="R894" i="1" s="1"/>
  <c r="R895" i="1" a="1"/>
  <c r="R895" i="1" s="1"/>
  <c r="R896" i="1" a="1"/>
  <c r="R896" i="1" s="1"/>
  <c r="R897" i="1" a="1"/>
  <c r="R897" i="1" s="1"/>
  <c r="R898" i="1" a="1"/>
  <c r="R898" i="1" s="1"/>
  <c r="R899" i="1" a="1"/>
  <c r="R899" i="1" s="1"/>
  <c r="R900" i="1" a="1"/>
  <c r="R900" i="1" s="1"/>
  <c r="R901" i="1" a="1"/>
  <c r="R901" i="1" s="1"/>
  <c r="R902" i="1" a="1"/>
  <c r="R902" i="1" s="1"/>
  <c r="R903" i="1" a="1"/>
  <c r="R903" i="1" s="1"/>
  <c r="R904" i="1" a="1"/>
  <c r="R904" i="1" s="1"/>
  <c r="R905" i="1" a="1"/>
  <c r="R905" i="1" s="1"/>
  <c r="R906" i="1" a="1"/>
  <c r="R906" i="1" s="1"/>
  <c r="R907" i="1" a="1"/>
  <c r="R907" i="1" s="1"/>
  <c r="R908" i="1" a="1"/>
  <c r="R908" i="1" s="1"/>
  <c r="R909" i="1" a="1"/>
  <c r="R909" i="1" s="1"/>
  <c r="R910" i="1" a="1"/>
  <c r="R910" i="1" s="1"/>
  <c r="R911" i="1" a="1"/>
  <c r="R911" i="1"/>
  <c r="R912" i="1" a="1"/>
  <c r="R912" i="1" s="1"/>
  <c r="R913" i="1" a="1"/>
  <c r="R913" i="1" s="1"/>
  <c r="R914" i="1" a="1"/>
  <c r="R914" i="1" s="1"/>
  <c r="R915" i="1" a="1"/>
  <c r="R915" i="1"/>
  <c r="R916" i="1" a="1"/>
  <c r="R916" i="1" s="1"/>
  <c r="R917" i="1" a="1"/>
  <c r="R917" i="1" s="1"/>
  <c r="R918" i="1" a="1"/>
  <c r="R918" i="1" s="1"/>
  <c r="R919" i="1" a="1"/>
  <c r="R919" i="1" s="1"/>
  <c r="R920" i="1" a="1"/>
  <c r="R920" i="1" s="1"/>
  <c r="R921" i="1" a="1"/>
  <c r="R921" i="1" s="1"/>
  <c r="R922" i="1" a="1"/>
  <c r="R922" i="1"/>
  <c r="R923" i="1" a="1"/>
  <c r="R923" i="1" s="1"/>
  <c r="R924" i="1" a="1"/>
  <c r="R924" i="1" s="1"/>
  <c r="R925" i="1" a="1"/>
  <c r="R925" i="1" s="1"/>
  <c r="R926" i="1" a="1"/>
  <c r="R926" i="1" s="1"/>
  <c r="R927" i="1" a="1"/>
  <c r="R927" i="1" s="1"/>
  <c r="R928" i="1" a="1"/>
  <c r="R928" i="1" s="1"/>
  <c r="R929" i="1" a="1"/>
  <c r="R929" i="1" s="1"/>
  <c r="R930" i="1" a="1"/>
  <c r="R930" i="1" s="1"/>
  <c r="R931" i="1" a="1"/>
  <c r="R931" i="1" s="1"/>
  <c r="R932" i="1" a="1"/>
  <c r="R932" i="1" s="1"/>
  <c r="R933" i="1" a="1"/>
  <c r="R933" i="1" s="1"/>
  <c r="R934" i="1" a="1"/>
  <c r="R934" i="1" s="1"/>
  <c r="R935" i="1" a="1"/>
  <c r="R935" i="1" s="1"/>
  <c r="R936" i="1" a="1"/>
  <c r="R936" i="1" s="1"/>
  <c r="R937" i="1" a="1"/>
  <c r="R937" i="1" s="1"/>
  <c r="R938" i="1" a="1"/>
  <c r="R938" i="1" s="1"/>
  <c r="R939" i="1" a="1"/>
  <c r="R939" i="1" s="1"/>
  <c r="R940" i="1" a="1"/>
  <c r="R940" i="1" s="1"/>
  <c r="R941" i="1" a="1"/>
  <c r="R941" i="1" s="1"/>
  <c r="R942" i="1" a="1"/>
  <c r="R942" i="1" s="1"/>
  <c r="R943" i="1" a="1"/>
  <c r="R943" i="1"/>
  <c r="R944" i="1" a="1"/>
  <c r="R944" i="1" s="1"/>
  <c r="R945" i="1" a="1"/>
  <c r="R945" i="1" s="1"/>
  <c r="R946" i="1" a="1"/>
  <c r="R946" i="1" s="1"/>
  <c r="R947" i="1" a="1"/>
  <c r="R947" i="1"/>
  <c r="R948" i="1" a="1"/>
  <c r="R948" i="1" s="1"/>
  <c r="R949" i="1" a="1"/>
  <c r="R949" i="1" s="1"/>
  <c r="R950" i="1" a="1"/>
  <c r="R950" i="1" s="1"/>
  <c r="R951" i="1" a="1"/>
  <c r="R951" i="1" s="1"/>
  <c r="R952" i="1" a="1"/>
  <c r="R952" i="1" s="1"/>
  <c r="R953" i="1" a="1"/>
  <c r="R953" i="1" s="1"/>
  <c r="R954" i="1" a="1"/>
  <c r="R954" i="1"/>
  <c r="R955" i="1" a="1"/>
  <c r="R955" i="1" s="1"/>
  <c r="R956" i="1" a="1"/>
  <c r="R956" i="1" s="1"/>
  <c r="R957" i="1" a="1"/>
  <c r="R957" i="1" s="1"/>
  <c r="R958" i="1" a="1"/>
  <c r="R958" i="1" s="1"/>
  <c r="R959" i="1" a="1"/>
  <c r="R959" i="1" s="1"/>
  <c r="R960" i="1" a="1"/>
  <c r="R960" i="1" s="1"/>
  <c r="R961" i="1" a="1"/>
  <c r="R961" i="1" s="1"/>
  <c r="R962" i="1" a="1"/>
  <c r="R962" i="1" s="1"/>
  <c r="R963" i="1" a="1"/>
  <c r="R963" i="1" s="1"/>
  <c r="R964" i="1" a="1"/>
  <c r="R964" i="1" s="1"/>
  <c r="R965" i="1" a="1"/>
  <c r="R965" i="1" s="1"/>
  <c r="R966" i="1" a="1"/>
  <c r="R966" i="1" s="1"/>
  <c r="R967" i="1" a="1"/>
  <c r="R967" i="1" s="1"/>
  <c r="R968" i="1" a="1"/>
  <c r="R968" i="1" s="1"/>
  <c r="R969" i="1" a="1"/>
  <c r="R969" i="1" s="1"/>
  <c r="R970" i="1" a="1"/>
  <c r="R970" i="1" s="1"/>
  <c r="R971" i="1" a="1"/>
  <c r="R971" i="1" s="1"/>
  <c r="R972" i="1" a="1"/>
  <c r="R972" i="1" s="1"/>
  <c r="R973" i="1" a="1"/>
  <c r="R973" i="1" s="1"/>
  <c r="R974" i="1" a="1"/>
  <c r="R974" i="1" s="1"/>
  <c r="R975" i="1" a="1"/>
  <c r="R975" i="1"/>
  <c r="R976" i="1" a="1"/>
  <c r="R976" i="1" s="1"/>
  <c r="R977" i="1" a="1"/>
  <c r="R977" i="1" s="1"/>
  <c r="R978" i="1" a="1"/>
  <c r="R978" i="1" s="1"/>
  <c r="R979" i="1" a="1"/>
  <c r="R979" i="1"/>
  <c r="R980" i="1" a="1"/>
  <c r="R980" i="1" s="1"/>
  <c r="R981" i="1" a="1"/>
  <c r="R981" i="1" s="1"/>
  <c r="R982" i="1" a="1"/>
  <c r="R982" i="1" s="1"/>
  <c r="R983" i="1" a="1"/>
  <c r="R983" i="1" s="1"/>
  <c r="R984" i="1" a="1"/>
  <c r="R984" i="1" s="1"/>
  <c r="R985" i="1" a="1"/>
  <c r="R985" i="1" s="1"/>
  <c r="R986" i="1" a="1"/>
  <c r="R986" i="1"/>
  <c r="R987" i="1" a="1"/>
  <c r="R987" i="1" s="1"/>
  <c r="R988" i="1" a="1"/>
  <c r="R988" i="1" s="1"/>
  <c r="R989" i="1" a="1"/>
  <c r="R989" i="1" s="1"/>
  <c r="R990" i="1" a="1"/>
  <c r="R990" i="1" s="1"/>
  <c r="R991" i="1" a="1"/>
  <c r="R991" i="1" s="1"/>
  <c r="R992" i="1" a="1"/>
  <c r="R992" i="1" s="1"/>
  <c r="R993" i="1" a="1"/>
  <c r="R993" i="1" s="1"/>
  <c r="R994" i="1" a="1"/>
  <c r="R994" i="1" s="1"/>
  <c r="R995" i="1" a="1"/>
  <c r="R995" i="1" s="1"/>
  <c r="R996" i="1" a="1"/>
  <c r="R996" i="1" s="1"/>
  <c r="R997" i="1" a="1"/>
  <c r="R997" i="1" s="1"/>
  <c r="R998" i="1" a="1"/>
  <c r="R998" i="1" s="1"/>
  <c r="R999" i="1" a="1"/>
  <c r="R999" i="1" s="1"/>
  <c r="R1000" i="1" a="1"/>
  <c r="R1000" i="1" s="1"/>
  <c r="R1001" i="1" a="1"/>
  <c r="R1001" i="1" s="1"/>
  <c r="R1002" i="1" a="1"/>
  <c r="R1002" i="1" s="1"/>
  <c r="R1003" i="1" a="1"/>
  <c r="R1003" i="1" s="1"/>
  <c r="R1004" i="1" a="1"/>
  <c r="R1004" i="1" s="1"/>
  <c r="R1005" i="1" a="1"/>
  <c r="R1005" i="1" s="1"/>
  <c r="R1006" i="1" a="1"/>
  <c r="R1006" i="1" s="1"/>
  <c r="R1007" i="1" a="1"/>
  <c r="R1007" i="1"/>
  <c r="R1008" i="1" a="1"/>
  <c r="R1008" i="1" s="1"/>
  <c r="R1009" i="1" a="1"/>
  <c r="R1009" i="1" s="1"/>
  <c r="R1010" i="1" a="1"/>
  <c r="R1010" i="1" s="1"/>
  <c r="R1011" i="1" a="1"/>
  <c r="R1011" i="1"/>
  <c r="R1012" i="1" a="1"/>
  <c r="R1012" i="1" s="1"/>
  <c r="R1013" i="1" a="1"/>
  <c r="R1013" i="1" s="1"/>
  <c r="R1014" i="1" a="1"/>
  <c r="R1014" i="1" s="1"/>
  <c r="R1015" i="1" a="1"/>
  <c r="R1015" i="1" s="1"/>
  <c r="R1016" i="1" a="1"/>
  <c r="R1016" i="1" s="1"/>
  <c r="R1017" i="1" a="1"/>
  <c r="R1017" i="1" s="1"/>
  <c r="R1018" i="1" a="1"/>
  <c r="R1018" i="1"/>
  <c r="R1019" i="1" a="1"/>
  <c r="R1019" i="1" s="1"/>
  <c r="R1020" i="1" a="1"/>
  <c r="R1020" i="1" s="1"/>
  <c r="R1021" i="1" a="1"/>
  <c r="R1021" i="1" s="1"/>
  <c r="R1022" i="1" a="1"/>
  <c r="R1022" i="1" s="1"/>
  <c r="R1023" i="1" a="1"/>
  <c r="R1023" i="1" s="1"/>
  <c r="R1024" i="1" a="1"/>
  <c r="R1024" i="1" s="1"/>
  <c r="R1025" i="1" a="1"/>
  <c r="R1025" i="1" s="1"/>
  <c r="R1026" i="1" a="1"/>
  <c r="R1026" i="1" s="1"/>
  <c r="R1027" i="1" a="1"/>
  <c r="R1027" i="1" s="1"/>
  <c r="R1028" i="1" a="1"/>
  <c r="R1028" i="1" s="1"/>
  <c r="R1029" i="1" a="1"/>
  <c r="R1029" i="1" s="1"/>
  <c r="R1030" i="1" a="1"/>
  <c r="R1030" i="1" s="1"/>
  <c r="R1031" i="1" a="1"/>
  <c r="R1031" i="1" s="1"/>
  <c r="R1032" i="1" a="1"/>
  <c r="R1032" i="1" s="1"/>
  <c r="R1033" i="1" a="1"/>
  <c r="R1033" i="1" s="1"/>
  <c r="R1034" i="1" a="1"/>
  <c r="R1034" i="1" s="1"/>
  <c r="R1035" i="1" a="1"/>
  <c r="R1035" i="1" s="1"/>
  <c r="R1036" i="1" a="1"/>
  <c r="R1036" i="1" s="1"/>
  <c r="R1037" i="1" a="1"/>
  <c r="R1037" i="1" s="1"/>
  <c r="R1038" i="1" a="1"/>
  <c r="R1038" i="1" s="1"/>
  <c r="R1039" i="1" a="1"/>
  <c r="R1039" i="1"/>
  <c r="R1040" i="1" a="1"/>
  <c r="R1040" i="1" s="1"/>
  <c r="R1041" i="1" a="1"/>
  <c r="R1041" i="1" s="1"/>
  <c r="R1042" i="1" a="1"/>
  <c r="R1042" i="1" s="1"/>
  <c r="R1043" i="1" a="1"/>
  <c r="R1043" i="1"/>
  <c r="R1044" i="1" a="1"/>
  <c r="R1044" i="1" s="1"/>
  <c r="R1045" i="1" a="1"/>
  <c r="R1045" i="1" s="1"/>
  <c r="R1046" i="1" a="1"/>
  <c r="R1046" i="1" s="1"/>
  <c r="R1047" i="1" a="1"/>
  <c r="R1047" i="1" s="1"/>
  <c r="R1048" i="1" a="1"/>
  <c r="R1048" i="1" s="1"/>
  <c r="R1049" i="1" a="1"/>
  <c r="R1049" i="1" s="1"/>
  <c r="R1050" i="1" a="1"/>
  <c r="R1050" i="1"/>
  <c r="R1051" i="1" a="1"/>
  <c r="R1051" i="1" s="1"/>
  <c r="R1052" i="1" a="1"/>
  <c r="R1052" i="1" s="1"/>
  <c r="R1053" i="1" a="1"/>
  <c r="R1053" i="1" s="1"/>
  <c r="R1054" i="1" a="1"/>
  <c r="R1054" i="1" s="1"/>
  <c r="R1055" i="1" a="1"/>
  <c r="R1055" i="1" s="1"/>
  <c r="R1056" i="1" a="1"/>
  <c r="R1056" i="1" s="1"/>
  <c r="R1057" i="1" a="1"/>
  <c r="R1057" i="1" s="1"/>
  <c r="R1058" i="1" a="1"/>
  <c r="R1058" i="1" s="1"/>
  <c r="R1059" i="1" a="1"/>
  <c r="R1059" i="1" s="1"/>
  <c r="R1060" i="1" a="1"/>
  <c r="R1060" i="1" s="1"/>
  <c r="R1061" i="1" a="1"/>
  <c r="R1061" i="1" s="1"/>
  <c r="R1062" i="1" a="1"/>
  <c r="R1062" i="1" s="1"/>
  <c r="R1063" i="1" a="1"/>
  <c r="R1063" i="1" s="1"/>
  <c r="R1064" i="1" a="1"/>
  <c r="R1064" i="1" s="1"/>
  <c r="R1065" i="1" a="1"/>
  <c r="R1065" i="1" s="1"/>
  <c r="R1066" i="1" a="1"/>
  <c r="R1066" i="1" s="1"/>
  <c r="R1067" i="1" a="1"/>
  <c r="R1067" i="1" s="1"/>
  <c r="R1068" i="1" a="1"/>
  <c r="R1068" i="1" s="1"/>
  <c r="R1069" i="1" a="1"/>
  <c r="R1069" i="1" s="1"/>
  <c r="R1070" i="1" a="1"/>
  <c r="R1070" i="1" s="1"/>
  <c r="R1071" i="1" a="1"/>
  <c r="R1071" i="1"/>
  <c r="R1072" i="1" a="1"/>
  <c r="R1072" i="1" s="1"/>
  <c r="R1073" i="1" a="1"/>
  <c r="R1073" i="1" s="1"/>
  <c r="R1074" i="1" a="1"/>
  <c r="R1074" i="1" s="1"/>
  <c r="R1075" i="1" a="1"/>
  <c r="R1075" i="1"/>
  <c r="R1076" i="1" a="1"/>
  <c r="R1076" i="1" s="1"/>
  <c r="R1077" i="1" a="1"/>
  <c r="R1077" i="1" s="1"/>
  <c r="R1078" i="1" a="1"/>
  <c r="R1078" i="1" s="1"/>
  <c r="R1079" i="1" a="1"/>
  <c r="R1079" i="1" s="1"/>
  <c r="R1080" i="1" a="1"/>
  <c r="R1080" i="1" s="1"/>
  <c r="R1081" i="1" a="1"/>
  <c r="R1081" i="1" s="1"/>
  <c r="R1082" i="1" a="1"/>
  <c r="R1082" i="1"/>
  <c r="R1083" i="1" a="1"/>
  <c r="R1083" i="1" s="1"/>
  <c r="R1084" i="1" a="1"/>
  <c r="R1084" i="1" s="1"/>
  <c r="R1085" i="1" a="1"/>
  <c r="R1085" i="1" s="1"/>
  <c r="R1086" i="1" a="1"/>
  <c r="R1086" i="1" s="1"/>
  <c r="R1087" i="1" a="1"/>
  <c r="R1087" i="1" s="1"/>
  <c r="R1088" i="1" a="1"/>
  <c r="R1088" i="1" s="1"/>
  <c r="R1089" i="1" a="1"/>
  <c r="R1089" i="1" s="1"/>
  <c r="R1090" i="1" a="1"/>
  <c r="R1090" i="1" s="1"/>
  <c r="R1091" i="1" a="1"/>
  <c r="R1091" i="1" s="1"/>
  <c r="R1092" i="1" a="1"/>
  <c r="R1092" i="1" s="1"/>
  <c r="R1093" i="1" a="1"/>
  <c r="R1093" i="1" s="1"/>
  <c r="R1094" i="1" a="1"/>
  <c r="R1094" i="1" s="1"/>
  <c r="R1095" i="1" a="1"/>
  <c r="R1095" i="1" s="1"/>
  <c r="R1096" i="1" a="1"/>
  <c r="R1096" i="1" s="1"/>
  <c r="R1097" i="1" a="1"/>
  <c r="R1097" i="1" s="1"/>
  <c r="R1098" i="1" a="1"/>
  <c r="R1098" i="1" s="1"/>
  <c r="R1099" i="1" a="1"/>
  <c r="R1099" i="1" s="1"/>
  <c r="R1100" i="1" a="1"/>
  <c r="R1100" i="1" s="1"/>
  <c r="R1101" i="1" a="1"/>
  <c r="R1101" i="1" s="1"/>
  <c r="R1102" i="1" a="1"/>
  <c r="R1102" i="1" s="1"/>
  <c r="R1103" i="1" a="1"/>
  <c r="R1103" i="1"/>
  <c r="R1104" i="1" a="1"/>
  <c r="R1104" i="1" s="1"/>
  <c r="R1105" i="1" a="1"/>
  <c r="R1105" i="1" s="1"/>
  <c r="R1106" i="1" a="1"/>
  <c r="R1106" i="1" s="1"/>
  <c r="R1107" i="1" a="1"/>
  <c r="R1107" i="1"/>
  <c r="R1108" i="1" a="1"/>
  <c r="R1108" i="1" s="1"/>
  <c r="R1109" i="1" a="1"/>
  <c r="R1109" i="1" s="1"/>
  <c r="R1110" i="1" a="1"/>
  <c r="R1110" i="1" s="1"/>
  <c r="R1111" i="1" a="1"/>
  <c r="R1111" i="1" s="1"/>
  <c r="R1112" i="1" a="1"/>
  <c r="R1112" i="1" s="1"/>
  <c r="R1113" i="1" a="1"/>
  <c r="R1113" i="1" s="1"/>
  <c r="R1114" i="1" a="1"/>
  <c r="R1114" i="1"/>
  <c r="R1115" i="1" a="1"/>
  <c r="R1115" i="1" s="1"/>
  <c r="R1116" i="1" a="1"/>
  <c r="R1116" i="1" s="1"/>
  <c r="R1117" i="1" a="1"/>
  <c r="R1117" i="1" s="1"/>
  <c r="R1118" i="1" a="1"/>
  <c r="R1118" i="1" s="1"/>
  <c r="R1119" i="1" a="1"/>
  <c r="R1119" i="1" s="1"/>
  <c r="R1120" i="1" a="1"/>
  <c r="R1120" i="1" s="1"/>
  <c r="R1121" i="1" a="1"/>
  <c r="R1121" i="1" s="1"/>
  <c r="R1122" i="1" a="1"/>
  <c r="R1122" i="1" s="1"/>
  <c r="R1123" i="1" a="1"/>
  <c r="R1123" i="1" s="1"/>
  <c r="R1124" i="1" a="1"/>
  <c r="R1124" i="1" s="1"/>
  <c r="R1125" i="1" a="1"/>
  <c r="R1125" i="1" s="1"/>
  <c r="R1126" i="1" a="1"/>
  <c r="R1126" i="1" s="1"/>
  <c r="R1127" i="1" a="1"/>
  <c r="R1127" i="1" s="1"/>
  <c r="R1128" i="1" a="1"/>
  <c r="R1128" i="1" s="1"/>
  <c r="R1129" i="1" a="1"/>
  <c r="R1129" i="1" s="1"/>
  <c r="R1130" i="1" a="1"/>
  <c r="R1130" i="1" s="1"/>
  <c r="R1131" i="1" a="1"/>
  <c r="R1131" i="1" s="1"/>
  <c r="R1132" i="1" a="1"/>
  <c r="R1132" i="1" s="1"/>
  <c r="R1133" i="1" a="1"/>
  <c r="R1133" i="1" s="1"/>
  <c r="R1134" i="1" a="1"/>
  <c r="R1134" i="1" s="1"/>
  <c r="R1135" i="1" a="1"/>
  <c r="R1135" i="1"/>
  <c r="R1136" i="1" a="1"/>
  <c r="R1136" i="1" s="1"/>
  <c r="R1137" i="1" a="1"/>
  <c r="R1137" i="1" s="1"/>
  <c r="R1138" i="1" a="1"/>
  <c r="R1138" i="1" s="1"/>
  <c r="R1139" i="1" a="1"/>
  <c r="R1139" i="1"/>
  <c r="R1140" i="1" a="1"/>
  <c r="R1140" i="1" s="1"/>
  <c r="R1141" i="1" a="1"/>
  <c r="R1141" i="1" s="1"/>
  <c r="R1142" i="1" a="1"/>
  <c r="R1142" i="1" s="1"/>
  <c r="R1143" i="1" a="1"/>
  <c r="R1143" i="1" s="1"/>
  <c r="R1144" i="1" a="1"/>
  <c r="R1144" i="1" s="1"/>
  <c r="R1145" i="1" a="1"/>
  <c r="R1145" i="1" s="1"/>
  <c r="R1146" i="1" a="1"/>
  <c r="R1146" i="1"/>
  <c r="R1147" i="1" a="1"/>
  <c r="R1147" i="1" s="1"/>
  <c r="R1148" i="1" a="1"/>
  <c r="R1148" i="1" s="1"/>
  <c r="R1149" i="1" a="1"/>
  <c r="R1149" i="1" s="1"/>
  <c r="R1150" i="1" a="1"/>
  <c r="R1150" i="1" s="1"/>
  <c r="R1151" i="1" a="1"/>
  <c r="R1151" i="1" s="1"/>
  <c r="R1152" i="1" a="1"/>
  <c r="R1152" i="1" s="1"/>
  <c r="R1153" i="1" a="1"/>
  <c r="R1153" i="1" s="1"/>
  <c r="R1154" i="1" a="1"/>
  <c r="R1154" i="1" s="1"/>
  <c r="R1155" i="1" a="1"/>
  <c r="R1155" i="1" s="1"/>
  <c r="R1156" i="1" a="1"/>
  <c r="R1156" i="1" s="1"/>
  <c r="R1157" i="1" a="1"/>
  <c r="R1157" i="1" s="1"/>
  <c r="R1158" i="1" a="1"/>
  <c r="R1158" i="1" s="1"/>
  <c r="R1159" i="1" a="1"/>
  <c r="R1159" i="1" s="1"/>
  <c r="R1160" i="1" a="1"/>
  <c r="R1160" i="1" s="1"/>
  <c r="R1161" i="1" a="1"/>
  <c r="R1161" i="1" s="1"/>
  <c r="R1162" i="1" a="1"/>
  <c r="R1162" i="1" s="1"/>
  <c r="R1163" i="1" a="1"/>
  <c r="R1163" i="1" s="1"/>
  <c r="R1164" i="1" a="1"/>
  <c r="R1164" i="1" s="1"/>
  <c r="R1165" i="1" a="1"/>
  <c r="R1165" i="1" s="1"/>
  <c r="R1166" i="1" a="1"/>
  <c r="R1166" i="1" s="1"/>
  <c r="R1167" i="1" a="1"/>
  <c r="R1167" i="1"/>
  <c r="R1168" i="1" a="1"/>
  <c r="R1168" i="1" s="1"/>
  <c r="R1169" i="1" a="1"/>
  <c r="R1169" i="1" s="1"/>
  <c r="R1170" i="1" a="1"/>
  <c r="R1170" i="1" s="1"/>
  <c r="R1171" i="1" a="1"/>
  <c r="R1171" i="1"/>
  <c r="R1172" i="1" a="1"/>
  <c r="R1172" i="1" s="1"/>
  <c r="R1173" i="1" a="1"/>
  <c r="R1173" i="1" s="1"/>
  <c r="R1174" i="1" a="1"/>
  <c r="R1174" i="1" s="1"/>
  <c r="R1175" i="1" a="1"/>
  <c r="R1175" i="1" s="1"/>
  <c r="R1176" i="1" a="1"/>
  <c r="R1176" i="1" s="1"/>
  <c r="R1177" i="1" a="1"/>
  <c r="R1177" i="1" s="1"/>
  <c r="R1178" i="1" a="1"/>
  <c r="R1178" i="1"/>
  <c r="R1179" i="1" a="1"/>
  <c r="R1179" i="1" s="1"/>
  <c r="R1180" i="1" a="1"/>
  <c r="R1180" i="1" s="1"/>
  <c r="R1181" i="1" a="1"/>
  <c r="R1181" i="1" s="1"/>
  <c r="R1182" i="1" a="1"/>
  <c r="R1182" i="1" s="1"/>
  <c r="R1183" i="1" a="1"/>
  <c r="R1183" i="1" s="1"/>
  <c r="R1184" i="1" a="1"/>
  <c r="R1184" i="1" s="1"/>
  <c r="R1185" i="1" a="1"/>
  <c r="R1185" i="1" s="1"/>
  <c r="R1186" i="1" a="1"/>
  <c r="R1186" i="1" s="1"/>
  <c r="R1187" i="1" a="1"/>
  <c r="R1187" i="1" s="1"/>
  <c r="R1188" i="1" a="1"/>
  <c r="R1188" i="1" s="1"/>
  <c r="R1189" i="1" a="1"/>
  <c r="R1189" i="1" s="1"/>
  <c r="R1190" i="1" a="1"/>
  <c r="R1190" i="1" s="1"/>
  <c r="R1191" i="1" a="1"/>
  <c r="R1191" i="1" s="1"/>
  <c r="R1192" i="1" a="1"/>
  <c r="R1192" i="1" s="1"/>
  <c r="R1193" i="1" a="1"/>
  <c r="R1193" i="1" s="1"/>
  <c r="R1194" i="1" a="1"/>
  <c r="R1194" i="1" s="1"/>
  <c r="R1195" i="1" a="1"/>
  <c r="R1195" i="1" s="1"/>
  <c r="R1196" i="1" a="1"/>
  <c r="R1196" i="1" s="1"/>
  <c r="R1197" i="1" a="1"/>
  <c r="R1197" i="1" s="1"/>
  <c r="R1198" i="1" a="1"/>
  <c r="R1198" i="1" s="1"/>
  <c r="R1199" i="1" a="1"/>
  <c r="R1199" i="1"/>
  <c r="R1200" i="1" a="1"/>
  <c r="R1200" i="1" s="1"/>
  <c r="R1201" i="1" a="1"/>
  <c r="R1201" i="1" s="1"/>
  <c r="R1202" i="1" a="1"/>
  <c r="R1202" i="1" s="1"/>
  <c r="R1203" i="1" a="1"/>
  <c r="R1203" i="1"/>
  <c r="R1204" i="1" a="1"/>
  <c r="R1204" i="1" s="1"/>
  <c r="R1205" i="1" a="1"/>
  <c r="R1205" i="1" s="1"/>
  <c r="R1206" i="1" a="1"/>
  <c r="R1206" i="1" s="1"/>
  <c r="R1207" i="1" a="1"/>
  <c r="R1207" i="1" s="1"/>
  <c r="R1208" i="1" a="1"/>
  <c r="R1208" i="1" s="1"/>
  <c r="R1209" i="1" a="1"/>
  <c r="R1209" i="1" s="1"/>
  <c r="R1210" i="1" a="1"/>
  <c r="R1210" i="1"/>
  <c r="R1211" i="1" a="1"/>
  <c r="R1211" i="1" s="1"/>
  <c r="R1212" i="1" a="1"/>
  <c r="R1212" i="1" s="1"/>
  <c r="R1213" i="1" a="1"/>
  <c r="R1213" i="1" s="1"/>
  <c r="R1214" i="1" a="1"/>
  <c r="R1214" i="1" s="1"/>
  <c r="R1215" i="1" a="1"/>
  <c r="R1215" i="1" s="1"/>
  <c r="R1216" i="1" a="1"/>
  <c r="R1216" i="1" s="1"/>
  <c r="R1217" i="1" a="1"/>
  <c r="R1217" i="1" s="1"/>
  <c r="R1218" i="1" a="1"/>
  <c r="R1218" i="1" s="1"/>
  <c r="R1219" i="1" a="1"/>
  <c r="R1219" i="1" s="1"/>
  <c r="R1220" i="1" a="1"/>
  <c r="R1220" i="1" s="1"/>
  <c r="R1221" i="1" a="1"/>
  <c r="R1221" i="1" s="1"/>
  <c r="R1222" i="1" a="1"/>
  <c r="R1222" i="1" s="1"/>
  <c r="R1223" i="1" a="1"/>
  <c r="R1223" i="1" s="1"/>
  <c r="R1224" i="1" a="1"/>
  <c r="R1224" i="1" s="1"/>
  <c r="R1225" i="1" a="1"/>
  <c r="R1225" i="1" s="1"/>
  <c r="R1226" i="1" a="1"/>
  <c r="R1226" i="1" s="1"/>
  <c r="R1227" i="1" a="1"/>
  <c r="R1227" i="1" s="1"/>
  <c r="R1228" i="1" a="1"/>
  <c r="R1228" i="1" s="1"/>
  <c r="R1229" i="1" a="1"/>
  <c r="R1229" i="1" s="1"/>
  <c r="R1230" i="1" a="1"/>
  <c r="R1230" i="1" s="1"/>
  <c r="R1231" i="1" a="1"/>
  <c r="R1231" i="1"/>
  <c r="R1232" i="1" a="1"/>
  <c r="R1232" i="1" s="1"/>
  <c r="R1233" i="1" a="1"/>
  <c r="R1233" i="1" s="1"/>
  <c r="R1234" i="1" a="1"/>
  <c r="R1234" i="1" s="1"/>
  <c r="R1235" i="1" a="1"/>
  <c r="R1235" i="1"/>
  <c r="R1236" i="1" a="1"/>
  <c r="R1236" i="1" s="1"/>
  <c r="R1237" i="1" a="1"/>
  <c r="R1237" i="1" s="1"/>
  <c r="R1238" i="1" a="1"/>
  <c r="R1238" i="1" s="1"/>
  <c r="R1239" i="1" a="1"/>
  <c r="R1239" i="1" s="1"/>
  <c r="R1240" i="1" a="1"/>
  <c r="R1240" i="1" s="1"/>
  <c r="R1241" i="1" a="1"/>
  <c r="R1241" i="1" s="1"/>
  <c r="R1242" i="1" a="1"/>
  <c r="R1242" i="1"/>
  <c r="R1243" i="1" a="1"/>
  <c r="R1243" i="1" s="1"/>
  <c r="R1244" i="1" a="1"/>
  <c r="R1244" i="1" s="1"/>
  <c r="R1245" i="1" a="1"/>
  <c r="R1245" i="1" s="1"/>
  <c r="R1246" i="1" a="1"/>
  <c r="R1246" i="1" s="1"/>
  <c r="R1247" i="1" a="1"/>
  <c r="R1247" i="1" s="1"/>
  <c r="R1248" i="1" a="1"/>
  <c r="R1248" i="1" s="1"/>
  <c r="R1249" i="1" a="1"/>
  <c r="R1249" i="1" s="1"/>
  <c r="R1250" i="1" a="1"/>
  <c r="R1250" i="1" s="1"/>
  <c r="R1251" i="1" a="1"/>
  <c r="R1251" i="1" s="1"/>
  <c r="R1252" i="1" a="1"/>
  <c r="R1252" i="1" s="1"/>
  <c r="R1253" i="1" a="1"/>
  <c r="R1253" i="1" s="1"/>
  <c r="R1254" i="1" a="1"/>
  <c r="R1254" i="1" s="1"/>
  <c r="R1255" i="1" a="1"/>
  <c r="R1255" i="1" s="1"/>
  <c r="R1256" i="1" a="1"/>
  <c r="R1256" i="1" s="1"/>
  <c r="R1257" i="1" a="1"/>
  <c r="R1257" i="1" s="1"/>
  <c r="R1258" i="1" a="1"/>
  <c r="R1258" i="1" s="1"/>
  <c r="R1259" i="1" a="1"/>
  <c r="R1259" i="1" s="1"/>
  <c r="R1260" i="1" a="1"/>
  <c r="R1260" i="1" s="1"/>
  <c r="R1261" i="1" a="1"/>
  <c r="R1261" i="1" s="1"/>
  <c r="R1262" i="1" a="1"/>
  <c r="R1262" i="1" s="1"/>
  <c r="R1263" i="1" a="1"/>
  <c r="R1263" i="1"/>
  <c r="R1264" i="1" a="1"/>
  <c r="R1264" i="1" s="1"/>
  <c r="R1265" i="1" a="1"/>
  <c r="R1265" i="1" s="1"/>
  <c r="R1266" i="1" a="1"/>
  <c r="R1266" i="1" s="1"/>
  <c r="R1267" i="1" a="1"/>
  <c r="R1267" i="1"/>
  <c r="R1268" i="1" a="1"/>
  <c r="R1268" i="1" s="1"/>
  <c r="R1269" i="1" a="1"/>
  <c r="R1269" i="1" s="1"/>
  <c r="R1270" i="1" a="1"/>
  <c r="R1270" i="1" s="1"/>
  <c r="R1271" i="1" a="1"/>
  <c r="R1271" i="1" s="1"/>
  <c r="R1272" i="1" a="1"/>
  <c r="R1272" i="1" s="1"/>
  <c r="R1273" i="1" a="1"/>
  <c r="R1273" i="1" s="1"/>
  <c r="R1274" i="1" a="1"/>
  <c r="R1274" i="1"/>
  <c r="R1275" i="1" a="1"/>
  <c r="R1275" i="1" s="1"/>
  <c r="R1276" i="1" a="1"/>
  <c r="R1276" i="1" s="1"/>
  <c r="R1277" i="1" a="1"/>
  <c r="R1277" i="1" s="1"/>
  <c r="R1278" i="1" a="1"/>
  <c r="R1278" i="1" s="1"/>
  <c r="R1279" i="1" a="1"/>
  <c r="R1279" i="1"/>
  <c r="R1280" i="1" a="1"/>
  <c r="R1280" i="1" s="1"/>
  <c r="R1281" i="1" a="1"/>
  <c r="R1281" i="1" s="1"/>
  <c r="R1282" i="1" a="1"/>
  <c r="R1282" i="1" s="1"/>
  <c r="R1283" i="1" a="1"/>
  <c r="R1283" i="1"/>
  <c r="R1284" i="1" a="1"/>
  <c r="R1284" i="1" s="1"/>
  <c r="R1285" i="1" a="1"/>
  <c r="R1285" i="1" s="1"/>
  <c r="R1286" i="1" a="1"/>
  <c r="R1286" i="1" s="1"/>
  <c r="R1287" i="1" a="1"/>
  <c r="R1287" i="1" s="1"/>
  <c r="R1288" i="1" a="1"/>
  <c r="R1288" i="1" s="1"/>
  <c r="R1289" i="1" a="1"/>
  <c r="R1289" i="1" s="1"/>
  <c r="R1290" i="1" a="1"/>
  <c r="R1290" i="1"/>
  <c r="R1291" i="1" a="1"/>
  <c r="R1291" i="1" s="1"/>
  <c r="R1292" i="1" a="1"/>
  <c r="R1292" i="1" s="1"/>
  <c r="R1293" i="1" a="1"/>
  <c r="R1293" i="1" s="1"/>
  <c r="R1294" i="1" a="1"/>
  <c r="R1294" i="1"/>
  <c r="R1295" i="1" a="1"/>
  <c r="R1295" i="1"/>
  <c r="R1296" i="1" a="1"/>
  <c r="R1296" i="1" s="1"/>
  <c r="R1297" i="1" a="1"/>
  <c r="R1297" i="1" s="1"/>
  <c r="R1298" i="1" a="1"/>
  <c r="R1298" i="1" s="1"/>
  <c r="R1299" i="1" a="1"/>
  <c r="R1299" i="1" s="1"/>
  <c r="R1300" i="1" a="1"/>
  <c r="R1300" i="1" s="1"/>
  <c r="R1301" i="1" a="1"/>
  <c r="R1301" i="1" s="1"/>
  <c r="R1302" i="1" a="1"/>
  <c r="R1302" i="1" s="1"/>
  <c r="R1303" i="1" a="1"/>
  <c r="R1303" i="1" s="1"/>
  <c r="R1304" i="1" a="1"/>
  <c r="R1304" i="1" s="1"/>
  <c r="R1305" i="1" a="1"/>
  <c r="R1305" i="1" s="1"/>
  <c r="R1306" i="1" a="1"/>
  <c r="R1306" i="1" s="1"/>
  <c r="R1307" i="1" a="1"/>
  <c r="R1307" i="1" s="1"/>
  <c r="R1308" i="1" a="1"/>
  <c r="R1308" i="1" s="1"/>
  <c r="R1309" i="1" a="1"/>
  <c r="R1309" i="1" s="1"/>
  <c r="R1310" i="1" a="1"/>
  <c r="R1310" i="1" s="1"/>
  <c r="R1311" i="1" a="1"/>
  <c r="R1311" i="1" s="1"/>
  <c r="R1312" i="1" a="1"/>
  <c r="R1312" i="1" s="1"/>
  <c r="R1313" i="1" a="1"/>
  <c r="R1313" i="1" s="1"/>
  <c r="R1314" i="1" a="1"/>
  <c r="R1314" i="1" s="1"/>
  <c r="R1315" i="1" a="1"/>
  <c r="R1315" i="1"/>
  <c r="R1316" i="1" a="1"/>
  <c r="R1316" i="1" s="1"/>
  <c r="R1317" i="1" a="1"/>
  <c r="R1317" i="1" s="1"/>
  <c r="R1318" i="1" a="1"/>
  <c r="R1318" i="1" s="1"/>
  <c r="R1319" i="1" a="1"/>
  <c r="R1319" i="1" s="1"/>
  <c r="R1320" i="1" a="1"/>
  <c r="R1320" i="1" s="1"/>
  <c r="R1321" i="1" a="1"/>
  <c r="R1321" i="1" s="1"/>
  <c r="R1322" i="1" a="1"/>
  <c r="R1322" i="1"/>
  <c r="R1323" i="1" a="1"/>
  <c r="R1323" i="1" s="1"/>
  <c r="R1324" i="1" a="1"/>
  <c r="R1324" i="1" s="1"/>
  <c r="R1325" i="1" a="1"/>
  <c r="R1325" i="1" s="1"/>
  <c r="R1326" i="1" a="1"/>
  <c r="R1326" i="1" s="1"/>
  <c r="R1327" i="1" a="1"/>
  <c r="R1327" i="1" s="1"/>
  <c r="R1328" i="1" a="1"/>
  <c r="R1328" i="1" s="1"/>
  <c r="R1329" i="1" a="1"/>
  <c r="R1329" i="1" s="1"/>
  <c r="R1330" i="1" a="1"/>
  <c r="R1330" i="1" s="1"/>
  <c r="R1331" i="1" a="1"/>
  <c r="R1331" i="1"/>
  <c r="R1332" i="1" a="1"/>
  <c r="R1332" i="1" s="1"/>
  <c r="R1333" i="1" a="1"/>
  <c r="R1333" i="1" s="1"/>
  <c r="R1334" i="1" a="1"/>
  <c r="R1334" i="1" s="1"/>
  <c r="R1335" i="1" a="1"/>
  <c r="R1335" i="1" s="1"/>
  <c r="R1336" i="1" a="1"/>
  <c r="R1336" i="1" s="1"/>
  <c r="R1337" i="1" a="1"/>
  <c r="R1337" i="1" s="1"/>
  <c r="R1338" i="1" a="1"/>
  <c r="R1338" i="1"/>
  <c r="R1339" i="1" a="1"/>
  <c r="R1339" i="1" s="1"/>
  <c r="R1340" i="1" a="1"/>
  <c r="R1340" i="1" s="1"/>
  <c r="R1341" i="1" a="1"/>
  <c r="R1341" i="1" s="1"/>
  <c r="R1342" i="1" a="1"/>
  <c r="R1342" i="1" s="1"/>
  <c r="R1343" i="1" a="1"/>
  <c r="R1343" i="1" s="1"/>
  <c r="R1344" i="1" a="1"/>
  <c r="R1344" i="1" s="1"/>
  <c r="R1345" i="1" a="1"/>
  <c r="R1345" i="1" s="1"/>
  <c r="R1346" i="1" a="1"/>
  <c r="R1346" i="1" s="1"/>
  <c r="R1347" i="1" a="1"/>
  <c r="R1347" i="1" s="1"/>
  <c r="R1348" i="1" a="1"/>
  <c r="R1348" i="1" s="1"/>
  <c r="R1349" i="1" a="1"/>
  <c r="R1349" i="1" s="1"/>
  <c r="R1350" i="1" a="1"/>
  <c r="R1350" i="1" s="1"/>
  <c r="R1351" i="1" a="1"/>
  <c r="R1351" i="1" s="1"/>
  <c r="R1352" i="1" a="1"/>
  <c r="R1352" i="1" s="1"/>
  <c r="R1353" i="1" a="1"/>
  <c r="R1353" i="1" s="1"/>
  <c r="R1354" i="1" a="1"/>
  <c r="R1354" i="1" s="1"/>
  <c r="R1355" i="1" a="1"/>
  <c r="R1355" i="1" s="1"/>
  <c r="R1356" i="1" a="1"/>
  <c r="R1356" i="1" s="1"/>
  <c r="R1357" i="1" a="1"/>
  <c r="R1357" i="1" s="1"/>
  <c r="R1358" i="1" a="1"/>
  <c r="R1358" i="1"/>
  <c r="R1359" i="1" a="1"/>
  <c r="R1359" i="1"/>
  <c r="R1360" i="1" a="1"/>
  <c r="R1360" i="1" s="1"/>
  <c r="R1361" i="1" a="1"/>
  <c r="R1361" i="1"/>
  <c r="R1362" i="1" a="1"/>
  <c r="R1362" i="1" s="1"/>
  <c r="R1363" i="1" a="1"/>
  <c r="R1363" i="1" s="1"/>
  <c r="R1364" i="1" a="1"/>
  <c r="R1364" i="1" s="1"/>
  <c r="R1365" i="1" a="1"/>
  <c r="R1365" i="1" s="1"/>
  <c r="R1366" i="1" a="1"/>
  <c r="R1366" i="1" s="1"/>
  <c r="R1367" i="1" a="1"/>
  <c r="R1367" i="1"/>
  <c r="R1368" i="1" a="1"/>
  <c r="R1368" i="1" s="1"/>
  <c r="R1369" i="1" a="1"/>
  <c r="R1369" i="1" s="1"/>
  <c r="R1370" i="1" a="1"/>
  <c r="R1370" i="1" s="1"/>
  <c r="R1371" i="1" a="1"/>
  <c r="R1371" i="1" s="1"/>
  <c r="R1372" i="1" a="1"/>
  <c r="R1372" i="1" s="1"/>
  <c r="R1373" i="1" a="1"/>
  <c r="R1373" i="1" s="1"/>
  <c r="R1374" i="1" a="1"/>
  <c r="R1374" i="1" s="1"/>
  <c r="R1375" i="1" a="1"/>
  <c r="R1375" i="1" s="1"/>
  <c r="R1376" i="1" a="1"/>
  <c r="R1376" i="1" s="1"/>
  <c r="R1377" i="1" a="1"/>
  <c r="R1377" i="1" s="1"/>
  <c r="R1378" i="1" a="1"/>
  <c r="R1378" i="1" s="1"/>
  <c r="R1379" i="1" a="1"/>
  <c r="R1379" i="1"/>
  <c r="R1380" i="1" a="1"/>
  <c r="R1380" i="1" s="1"/>
  <c r="R1381" i="1" a="1"/>
  <c r="R1381" i="1"/>
  <c r="R1382" i="1" a="1"/>
  <c r="R1382" i="1"/>
  <c r="R1383" i="1" a="1"/>
  <c r="R1383" i="1" s="1"/>
  <c r="R1384" i="1" a="1"/>
  <c r="R1384" i="1" s="1"/>
  <c r="R1385" i="1" a="1"/>
  <c r="R1385" i="1" s="1"/>
  <c r="R1386" i="1" a="1"/>
  <c r="R1386" i="1" s="1"/>
  <c r="R1387" i="1" a="1"/>
  <c r="R1387" i="1" s="1"/>
  <c r="R1388" i="1" a="1"/>
  <c r="R1388" i="1" s="1"/>
  <c r="R1389" i="1" a="1"/>
  <c r="R1389" i="1" s="1"/>
  <c r="R1390" i="1" a="1"/>
  <c r="R1390" i="1" s="1"/>
  <c r="R1391" i="1" a="1"/>
  <c r="R1391" i="1"/>
  <c r="R1392" i="1" a="1"/>
  <c r="R1392" i="1" s="1"/>
  <c r="R1393" i="1" a="1"/>
  <c r="R1393" i="1"/>
  <c r="R1394" i="1" a="1"/>
  <c r="R1394" i="1"/>
  <c r="R1395" i="1" a="1"/>
  <c r="R1395" i="1" s="1"/>
  <c r="R1396" i="1" a="1"/>
  <c r="R1396" i="1" s="1"/>
  <c r="R1397" i="1" a="1"/>
  <c r="R1397" i="1" s="1"/>
  <c r="R1398" i="1" a="1"/>
  <c r="R1398" i="1" s="1"/>
  <c r="R1399" i="1" a="1"/>
  <c r="R1399" i="1"/>
  <c r="R1400" i="1" a="1"/>
  <c r="R1400" i="1" s="1"/>
  <c r="R1401" i="1" a="1"/>
  <c r="R1401" i="1" s="1"/>
  <c r="R1402" i="1" a="1"/>
  <c r="R1402" i="1"/>
  <c r="R1403" i="1" a="1"/>
  <c r="R1403" i="1" s="1"/>
  <c r="R1404" i="1" a="1"/>
  <c r="R1404" i="1" s="1"/>
  <c r="R1405" i="1" a="1"/>
  <c r="R1405" i="1" s="1"/>
  <c r="R1406" i="1" a="1"/>
  <c r="R1406" i="1" s="1"/>
  <c r="R1407" i="1" a="1"/>
  <c r="R1407" i="1" s="1"/>
  <c r="R1408" i="1" a="1"/>
  <c r="R1408" i="1" s="1"/>
  <c r="R1409" i="1" a="1"/>
  <c r="R1409" i="1" s="1"/>
  <c r="R1410" i="1" a="1"/>
  <c r="R1410" i="1" s="1"/>
  <c r="R1411" i="1" a="1"/>
  <c r="R1411" i="1"/>
  <c r="R1412" i="1" a="1"/>
  <c r="R1412" i="1" s="1"/>
  <c r="R1413" i="1" a="1"/>
  <c r="R1413" i="1" s="1"/>
  <c r="R1414" i="1" a="1"/>
  <c r="R1414" i="1"/>
  <c r="R1415" i="1" a="1"/>
  <c r="R1415" i="1" s="1"/>
  <c r="R1416" i="1" a="1"/>
  <c r="R1416" i="1" s="1"/>
  <c r="R1417" i="1" a="1"/>
  <c r="R1417" i="1"/>
  <c r="R1418" i="1" a="1"/>
  <c r="R1418" i="1" s="1"/>
  <c r="R1419" i="1" a="1"/>
  <c r="R1419" i="1" s="1"/>
  <c r="R1420" i="1" a="1"/>
  <c r="R1420" i="1" s="1"/>
  <c r="R1421" i="1" a="1"/>
  <c r="R1421" i="1" s="1"/>
  <c r="R1422" i="1" a="1"/>
  <c r="R1422" i="1" s="1"/>
  <c r="R1423" i="1" a="1"/>
  <c r="R1423" i="1"/>
  <c r="R1424" i="1" a="1"/>
  <c r="R1424" i="1" s="1"/>
  <c r="R1425" i="1" a="1"/>
  <c r="R1425" i="1" s="1"/>
  <c r="R1426" i="1" a="1"/>
  <c r="R1426" i="1"/>
  <c r="R1427" i="1" a="1"/>
  <c r="R1427" i="1" s="1"/>
  <c r="R1428" i="1" a="1"/>
  <c r="R1428" i="1" s="1"/>
  <c r="R1429" i="1" a="1"/>
  <c r="R1429" i="1" s="1"/>
  <c r="R1430" i="1" a="1"/>
  <c r="R1430" i="1" s="1"/>
  <c r="R1431" i="1" a="1"/>
  <c r="R1431" i="1" s="1"/>
  <c r="R1432" i="1" a="1"/>
  <c r="R1432" i="1" s="1"/>
  <c r="R1433" i="1" a="1"/>
  <c r="R1433" i="1" s="1"/>
  <c r="R1434" i="1" a="1"/>
  <c r="R1434" i="1"/>
  <c r="R1435" i="1" a="1"/>
  <c r="R1435" i="1" s="1"/>
  <c r="R1436" i="1" a="1"/>
  <c r="R1436" i="1" s="1"/>
  <c r="R1437" i="1" a="1"/>
  <c r="R1437" i="1"/>
  <c r="R1438" i="1" a="1"/>
  <c r="R1438" i="1" s="1"/>
  <c r="R1439" i="1" a="1"/>
  <c r="R1439" i="1" s="1"/>
  <c r="R1440" i="1" a="1"/>
  <c r="R1440" i="1" s="1"/>
  <c r="R1441" i="1" a="1"/>
  <c r="R1441" i="1" s="1"/>
  <c r="R1442" i="1" a="1"/>
  <c r="R1442" i="1" s="1"/>
  <c r="R1443" i="1" a="1"/>
  <c r="R1443" i="1" s="1"/>
  <c r="R1444" i="1" a="1"/>
  <c r="R1444" i="1" s="1"/>
  <c r="R1445" i="1" a="1"/>
  <c r="R1445" i="1" s="1"/>
  <c r="R1446" i="1" a="1"/>
  <c r="R1446" i="1"/>
  <c r="R1447" i="1" a="1"/>
  <c r="R1447" i="1" s="1"/>
  <c r="R1448" i="1" a="1"/>
  <c r="R1448" i="1" s="1"/>
  <c r="R1449" i="1" a="1"/>
  <c r="R1449" i="1"/>
  <c r="R1450" i="1" a="1"/>
  <c r="R1450" i="1" s="1"/>
  <c r="R1451" i="1" a="1"/>
  <c r="R1451" i="1" s="1"/>
  <c r="R1452" i="1" a="1"/>
  <c r="R1452" i="1" s="1"/>
  <c r="R1453" i="1" a="1"/>
  <c r="R1453" i="1" s="1"/>
  <c r="R1454" i="1" a="1"/>
  <c r="R1454" i="1" s="1"/>
  <c r="R1455" i="1" a="1"/>
  <c r="R1455" i="1" s="1"/>
  <c r="R1456" i="1" a="1"/>
  <c r="R1456" i="1" s="1"/>
  <c r="R1457" i="1" a="1"/>
  <c r="R1457" i="1" s="1"/>
  <c r="R1458" i="1" a="1"/>
  <c r="R1458" i="1"/>
  <c r="R1459" i="1" a="1"/>
  <c r="R1459" i="1" s="1"/>
  <c r="R1460" i="1" a="1"/>
  <c r="R1460" i="1" s="1"/>
  <c r="R1461" i="1" a="1"/>
  <c r="R1461" i="1"/>
  <c r="R1462" i="1" a="1"/>
  <c r="R1462" i="1" s="1"/>
  <c r="R1463" i="1" a="1"/>
  <c r="R1463" i="1" s="1"/>
  <c r="R1464" i="1" a="1"/>
  <c r="R1464" i="1" s="1"/>
  <c r="R1465" i="1" a="1"/>
  <c r="R1465" i="1"/>
  <c r="R1466" i="1" a="1"/>
  <c r="R1466" i="1"/>
  <c r="R1467" i="1" a="1"/>
  <c r="R1467" i="1" s="1"/>
  <c r="R1468" i="1" a="1"/>
  <c r="R1468" i="1" s="1"/>
  <c r="R1469" i="1" a="1"/>
  <c r="R1469" i="1"/>
  <c r="R1470" i="1" a="1"/>
  <c r="R1470" i="1"/>
  <c r="R1471" i="1" a="1"/>
  <c r="R1471" i="1" s="1"/>
  <c r="R1472" i="1" a="1"/>
  <c r="R1472" i="1" s="1"/>
  <c r="R1473" i="1" a="1"/>
  <c r="R1473" i="1" s="1"/>
  <c r="R1474" i="1" a="1"/>
  <c r="R1474" i="1"/>
  <c r="R1475" i="1" a="1"/>
  <c r="R1475" i="1" s="1"/>
  <c r="R1476" i="1" a="1"/>
  <c r="R1476" i="1" s="1"/>
  <c r="R1477" i="1" a="1"/>
  <c r="R1477" i="1"/>
  <c r="R1478" i="1" a="1"/>
  <c r="R1478" i="1" s="1"/>
  <c r="R1479" i="1" a="1"/>
  <c r="R1479" i="1" s="1"/>
  <c r="R1480" i="1" a="1"/>
  <c r="R1480" i="1" s="1"/>
  <c r="R1481" i="1" a="1"/>
  <c r="R1481" i="1"/>
  <c r="R1482" i="1" a="1"/>
  <c r="R1482" i="1"/>
  <c r="R1483" i="1" a="1"/>
  <c r="R1483" i="1" s="1"/>
  <c r="R1484" i="1" a="1"/>
  <c r="R1484" i="1" s="1"/>
  <c r="R1485" i="1" a="1"/>
  <c r="R1485" i="1"/>
  <c r="R1486" i="1" a="1"/>
  <c r="R1486" i="1"/>
  <c r="R1487" i="1" a="1"/>
  <c r="R1487" i="1" s="1"/>
  <c r="R1488" i="1" a="1"/>
  <c r="R1488" i="1" s="1"/>
  <c r="R1489" i="1" a="1"/>
  <c r="R1489" i="1" s="1"/>
  <c r="R1490" i="1" a="1"/>
  <c r="R1490" i="1"/>
  <c r="R1491" i="1" a="1"/>
  <c r="R1491" i="1" s="1"/>
  <c r="R1492" i="1" a="1"/>
  <c r="R1492" i="1" s="1"/>
  <c r="R1493" i="1" a="1"/>
  <c r="R1493" i="1"/>
  <c r="R1494" i="1" a="1"/>
  <c r="R1494" i="1" s="1"/>
  <c r="R1495" i="1" a="1"/>
  <c r="R1495" i="1" s="1"/>
  <c r="R1496" i="1" a="1"/>
  <c r="R1496" i="1" s="1"/>
  <c r="R1497" i="1" a="1"/>
  <c r="R1497" i="1"/>
  <c r="R1498" i="1" a="1"/>
  <c r="R1498" i="1"/>
  <c r="R1499" i="1" a="1"/>
  <c r="R1499" i="1" s="1"/>
  <c r="R1500" i="1" a="1"/>
  <c r="R1500" i="1" s="1"/>
  <c r="R1501" i="1" a="1"/>
  <c r="R1501" i="1"/>
  <c r="R1502" i="1" a="1"/>
  <c r="R1502" i="1"/>
  <c r="R1503" i="1" a="1"/>
  <c r="R1503" i="1" s="1"/>
  <c r="R1504" i="1" a="1"/>
  <c r="R1504" i="1" s="1"/>
  <c r="R1505" i="1" a="1"/>
  <c r="R1505" i="1" s="1"/>
  <c r="R1506" i="1" a="1"/>
  <c r="R1506" i="1"/>
  <c r="R1507" i="1" a="1"/>
  <c r="R1507" i="1" s="1"/>
  <c r="R1508" i="1" a="1"/>
  <c r="R1508" i="1" s="1"/>
  <c r="R1509" i="1" a="1"/>
  <c r="R1509" i="1"/>
  <c r="R1510" i="1" a="1"/>
  <c r="R1510" i="1" s="1"/>
  <c r="R1511" i="1" a="1"/>
  <c r="R1511" i="1" s="1"/>
  <c r="R1512" i="1" a="1"/>
  <c r="R1512" i="1" s="1"/>
  <c r="R1513" i="1" a="1"/>
  <c r="R1513" i="1"/>
  <c r="R1514" i="1" a="1"/>
  <c r="R1514" i="1"/>
  <c r="R1515" i="1" a="1"/>
  <c r="R1515" i="1" s="1"/>
  <c r="R1516" i="1" a="1"/>
  <c r="R1516" i="1" s="1"/>
  <c r="R1517" i="1" a="1"/>
  <c r="R1517" i="1"/>
  <c r="R1518" i="1" a="1"/>
  <c r="R1518" i="1"/>
  <c r="R1519" i="1" a="1"/>
  <c r="R1519" i="1" s="1"/>
  <c r="R1520" i="1" a="1"/>
  <c r="R1520" i="1" s="1"/>
  <c r="R1521" i="1" a="1"/>
  <c r="R1521" i="1" s="1"/>
  <c r="R1522" i="1" a="1"/>
  <c r="R1522" i="1"/>
  <c r="R1523" i="1" a="1"/>
  <c r="R1523" i="1" s="1"/>
  <c r="R1524" i="1" a="1"/>
  <c r="R1524" i="1" s="1"/>
  <c r="R1525" i="1" a="1"/>
  <c r="R1525" i="1"/>
  <c r="R1526" i="1" a="1"/>
  <c r="R1526" i="1" s="1"/>
  <c r="R1527" i="1" a="1"/>
  <c r="R1527" i="1" s="1"/>
  <c r="R1528" i="1" a="1"/>
  <c r="R1528" i="1" s="1"/>
  <c r="R1529" i="1" a="1"/>
  <c r="R1529" i="1"/>
  <c r="R1530" i="1" a="1"/>
  <c r="R1530" i="1"/>
  <c r="R1531" i="1" a="1"/>
  <c r="R1531" i="1" s="1"/>
  <c r="R1532" i="1" a="1"/>
  <c r="R1532" i="1" s="1"/>
  <c r="R1533" i="1" a="1"/>
  <c r="R1533" i="1"/>
  <c r="R1534" i="1" a="1"/>
  <c r="R1534" i="1"/>
  <c r="R1535" i="1" a="1"/>
  <c r="R1535" i="1" s="1"/>
  <c r="R1536" i="1" a="1"/>
  <c r="R1536" i="1" s="1"/>
  <c r="R1537" i="1" a="1"/>
  <c r="R1537" i="1" s="1"/>
  <c r="R1538" i="1" a="1"/>
  <c r="R1538" i="1"/>
  <c r="R1539" i="1" a="1"/>
  <c r="R1539" i="1" s="1"/>
  <c r="R1540" i="1" a="1"/>
  <c r="R1540" i="1" s="1"/>
  <c r="R1541" i="1" a="1"/>
  <c r="R1541" i="1"/>
  <c r="R1542" i="1" a="1"/>
  <c r="R1542" i="1" s="1"/>
  <c r="R1543" i="1" a="1"/>
  <c r="R1543" i="1" s="1"/>
  <c r="R1544" i="1" a="1"/>
  <c r="R1544" i="1" s="1"/>
  <c r="R1545" i="1" a="1"/>
  <c r="R1545" i="1"/>
  <c r="R1546" i="1" a="1"/>
  <c r="R1546" i="1"/>
  <c r="R1547" i="1" a="1"/>
  <c r="R1547" i="1" s="1"/>
  <c r="R1548" i="1" a="1"/>
  <c r="R1548" i="1" s="1"/>
  <c r="R1549" i="1" a="1"/>
  <c r="R1549" i="1"/>
  <c r="R1550" i="1" a="1"/>
  <c r="R1550" i="1"/>
  <c r="R1551" i="1" a="1"/>
  <c r="R1551" i="1" s="1"/>
  <c r="R1552" i="1" a="1"/>
  <c r="R1552" i="1" s="1"/>
  <c r="R1553" i="1" a="1"/>
  <c r="R1553" i="1" s="1"/>
  <c r="R1554" i="1" a="1"/>
  <c r="R1554" i="1"/>
  <c r="R1555" i="1" a="1"/>
  <c r="R1555" i="1" s="1"/>
  <c r="R1556" i="1" a="1"/>
  <c r="R1556" i="1" s="1"/>
  <c r="R1557" i="1" a="1"/>
  <c r="R1557" i="1"/>
  <c r="R1558" i="1" a="1"/>
  <c r="R1558" i="1" s="1"/>
  <c r="R1559" i="1" a="1"/>
  <c r="R1559" i="1" s="1"/>
  <c r="R1560" i="1" a="1"/>
  <c r="R1560" i="1" s="1"/>
  <c r="R1561" i="1" a="1"/>
  <c r="R1561" i="1"/>
  <c r="R1562" i="1" a="1"/>
  <c r="R1562" i="1"/>
  <c r="R1563" i="1" a="1"/>
  <c r="R1563" i="1" s="1"/>
  <c r="R1564" i="1" a="1"/>
  <c r="R1564" i="1" s="1"/>
  <c r="R1565" i="1" a="1"/>
  <c r="R1565" i="1"/>
  <c r="R1566" i="1" a="1"/>
  <c r="R1566" i="1"/>
  <c r="R1567" i="1" a="1"/>
  <c r="R1567" i="1" s="1"/>
  <c r="R1568" i="1" a="1"/>
  <c r="R1568" i="1" s="1"/>
  <c r="R1569" i="1" a="1"/>
  <c r="R1569" i="1" s="1"/>
  <c r="R1570" i="1" a="1"/>
  <c r="R1570" i="1"/>
  <c r="R1571" i="1" a="1"/>
  <c r="R1571" i="1" s="1"/>
  <c r="R1572" i="1" a="1"/>
  <c r="R1572" i="1" s="1"/>
  <c r="R1573" i="1" a="1"/>
  <c r="R1573" i="1"/>
  <c r="R1574" i="1" a="1"/>
  <c r="R1574" i="1" s="1"/>
  <c r="R1575" i="1" a="1"/>
  <c r="R1575" i="1" s="1"/>
  <c r="R1576" i="1" a="1"/>
  <c r="R1576" i="1" s="1"/>
  <c r="R1577" i="1" a="1"/>
  <c r="R1577" i="1"/>
  <c r="R1578" i="1" a="1"/>
  <c r="R1578" i="1"/>
  <c r="R1579" i="1" a="1"/>
  <c r="R1579" i="1" s="1"/>
  <c r="R1580" i="1" a="1"/>
  <c r="R1580" i="1" s="1"/>
  <c r="R1581" i="1" a="1"/>
  <c r="R1581" i="1"/>
  <c r="R1582" i="1" a="1"/>
  <c r="R1582" i="1"/>
  <c r="R1583" i="1" a="1"/>
  <c r="R1583" i="1" s="1"/>
  <c r="R1584" i="1" a="1"/>
  <c r="R1584" i="1" s="1"/>
  <c r="R1585" i="1" a="1"/>
  <c r="R1585" i="1" s="1"/>
  <c r="R1586" i="1" a="1"/>
  <c r="R1586" i="1"/>
  <c r="R1587" i="1" a="1"/>
  <c r="R1587" i="1" s="1"/>
  <c r="R1588" i="1" a="1"/>
  <c r="R1588" i="1" s="1"/>
  <c r="R1589" i="1" a="1"/>
  <c r="R1589" i="1"/>
  <c r="R1590" i="1" a="1"/>
  <c r="R1590" i="1" s="1"/>
  <c r="R1591" i="1" a="1"/>
  <c r="R1591" i="1" s="1"/>
  <c r="R1592" i="1" a="1"/>
  <c r="R1592" i="1" s="1"/>
  <c r="R1593" i="1" a="1"/>
  <c r="R1593" i="1"/>
  <c r="R1594" i="1" a="1"/>
  <c r="R1594" i="1"/>
  <c r="R1595" i="1" a="1"/>
  <c r="R1595" i="1" s="1"/>
  <c r="R1596" i="1" a="1"/>
  <c r="R1596" i="1" s="1"/>
  <c r="R1597" i="1" a="1"/>
  <c r="R1597" i="1"/>
  <c r="R1598" i="1" a="1"/>
  <c r="R1598" i="1"/>
  <c r="R1599" i="1" a="1"/>
  <c r="R1599" i="1" s="1"/>
  <c r="R1600" i="1" a="1"/>
  <c r="R1600" i="1" s="1"/>
  <c r="R1601" i="1" a="1"/>
  <c r="R1601" i="1" s="1"/>
  <c r="R1602" i="1" a="1"/>
  <c r="R1602" i="1"/>
  <c r="R1603" i="1" a="1"/>
  <c r="R1603" i="1" s="1"/>
  <c r="R1604" i="1" a="1"/>
  <c r="R1604" i="1" s="1"/>
  <c r="R1605" i="1" a="1"/>
  <c r="R1605" i="1"/>
  <c r="R1606" i="1" a="1"/>
  <c r="R1606" i="1" s="1"/>
  <c r="R1607" i="1" a="1"/>
  <c r="R1607" i="1" s="1"/>
  <c r="R1608" i="1" a="1"/>
  <c r="R1608" i="1" s="1"/>
  <c r="R1609" i="1" a="1"/>
  <c r="R1609" i="1"/>
  <c r="R1610" i="1" a="1"/>
  <c r="R1610" i="1"/>
  <c r="R1611" i="1" a="1"/>
  <c r="R1611" i="1" s="1"/>
  <c r="R1612" i="1" a="1"/>
  <c r="R1612" i="1" s="1"/>
  <c r="R1613" i="1" a="1"/>
  <c r="R1613" i="1"/>
  <c r="R1614" i="1" a="1"/>
  <c r="R1614" i="1"/>
  <c r="R1615" i="1" a="1"/>
  <c r="R1615" i="1" s="1"/>
  <c r="R1616" i="1" a="1"/>
  <c r="R1616" i="1" s="1"/>
  <c r="R1617" i="1" a="1"/>
  <c r="R1617" i="1" s="1"/>
  <c r="R1618" i="1" a="1"/>
  <c r="R1618" i="1"/>
  <c r="R1619" i="1" a="1"/>
  <c r="R1619" i="1" s="1"/>
  <c r="R1620" i="1" a="1"/>
  <c r="R1620" i="1" s="1"/>
  <c r="R1621" i="1" a="1"/>
  <c r="R1621" i="1"/>
  <c r="R1622" i="1" a="1"/>
  <c r="R1622" i="1" s="1"/>
  <c r="R1623" i="1" a="1"/>
  <c r="R1623" i="1" s="1"/>
  <c r="R1624" i="1" a="1"/>
  <c r="R1624" i="1" s="1"/>
  <c r="R1625" i="1" a="1"/>
  <c r="R1625" i="1"/>
  <c r="R1626" i="1" a="1"/>
  <c r="R1626" i="1"/>
  <c r="R1627" i="1" a="1"/>
  <c r="R1627" i="1" s="1"/>
  <c r="R1628" i="1" a="1"/>
  <c r="R1628" i="1" s="1"/>
  <c r="R1629" i="1" a="1"/>
  <c r="R1629" i="1"/>
  <c r="R1630" i="1" a="1"/>
  <c r="R1630" i="1"/>
  <c r="R1631" i="1" a="1"/>
  <c r="R1631" i="1" s="1"/>
  <c r="R1632" i="1" a="1"/>
  <c r="R1632" i="1" s="1"/>
  <c r="R1633" i="1" a="1"/>
  <c r="R1633" i="1" s="1"/>
  <c r="R1634" i="1" a="1"/>
  <c r="R1634" i="1"/>
  <c r="R1635" i="1" a="1"/>
  <c r="R1635" i="1" s="1"/>
  <c r="R1636" i="1" a="1"/>
  <c r="R1636" i="1" s="1"/>
  <c r="R1637" i="1" a="1"/>
  <c r="R1637" i="1"/>
  <c r="R1638" i="1" a="1"/>
  <c r="R1638" i="1" s="1"/>
  <c r="R1639" i="1" a="1"/>
  <c r="R1639" i="1" s="1"/>
  <c r="R1640" i="1" a="1"/>
  <c r="R1640" i="1" s="1"/>
  <c r="R1641" i="1" a="1"/>
  <c r="R1641" i="1"/>
  <c r="R1642" i="1" a="1"/>
  <c r="R1642" i="1"/>
  <c r="R1643" i="1" a="1"/>
  <c r="R1643" i="1" s="1"/>
  <c r="R1644" i="1" a="1"/>
  <c r="R1644" i="1" s="1"/>
  <c r="R1645" i="1" a="1"/>
  <c r="R1645" i="1"/>
  <c r="R1646" i="1" a="1"/>
  <c r="R1646" i="1"/>
  <c r="R1647" i="1" a="1"/>
  <c r="R1647" i="1" s="1"/>
  <c r="R1648" i="1" a="1"/>
  <c r="R1648" i="1" s="1"/>
  <c r="R1649" i="1" a="1"/>
  <c r="R1649" i="1" s="1"/>
  <c r="R1650" i="1" a="1"/>
  <c r="R1650" i="1"/>
  <c r="R1651" i="1" a="1"/>
  <c r="R1651" i="1" s="1"/>
  <c r="R1652" i="1" a="1"/>
  <c r="R1652" i="1" s="1"/>
  <c r="R1653" i="1" a="1"/>
  <c r="R1653" i="1"/>
  <c r="R1654" i="1" a="1"/>
  <c r="R1654" i="1" s="1"/>
  <c r="R1655" i="1" a="1"/>
  <c r="R1655" i="1" s="1"/>
  <c r="R1656" i="1" a="1"/>
  <c r="R1656" i="1" s="1"/>
  <c r="R1657" i="1" a="1"/>
  <c r="R1657" i="1"/>
  <c r="R1658" i="1" a="1"/>
  <c r="R1658" i="1" s="1"/>
  <c r="R1659" i="1" a="1"/>
  <c r="R1659" i="1" s="1"/>
  <c r="R1660" i="1" a="1"/>
  <c r="R1660" i="1"/>
  <c r="R1661" i="1" a="1"/>
  <c r="R1661" i="1"/>
  <c r="R1662" i="1" a="1"/>
  <c r="R1662" i="1" s="1"/>
  <c r="R1663" i="1" a="1"/>
  <c r="R1663" i="1" s="1"/>
  <c r="R1664" i="1" a="1"/>
  <c r="R1664" i="1" s="1"/>
  <c r="R1665" i="1" a="1"/>
  <c r="R1665" i="1"/>
  <c r="R1666" i="1" a="1"/>
  <c r="R1666" i="1"/>
  <c r="R1667" i="1" a="1"/>
  <c r="R1667" i="1" s="1"/>
  <c r="R1668" i="1" a="1"/>
  <c r="R1668" i="1" s="1"/>
  <c r="R1669" i="1" a="1"/>
  <c r="R1669" i="1" s="1"/>
  <c r="R1670" i="1" a="1"/>
  <c r="R1670" i="1"/>
  <c r="R1671" i="1" a="1"/>
  <c r="R1671" i="1" s="1"/>
  <c r="R1672" i="1" a="1"/>
  <c r="R1672" i="1" s="1"/>
  <c r="R1673" i="1" a="1"/>
  <c r="R1673" i="1" s="1"/>
  <c r="R1674" i="1" a="1"/>
  <c r="R1674" i="1" s="1"/>
  <c r="R1675" i="1" a="1"/>
  <c r="R1675" i="1" s="1"/>
  <c r="R1676" i="1" a="1"/>
  <c r="R1676" i="1" s="1"/>
  <c r="R1677" i="1" a="1"/>
  <c r="R1677" i="1" s="1"/>
  <c r="R1678" i="1" a="1"/>
  <c r="R1678" i="1" s="1"/>
  <c r="R1679" i="1" a="1"/>
  <c r="R1679" i="1" s="1"/>
  <c r="R1680" i="1" a="1"/>
  <c r="R1680" i="1" s="1"/>
  <c r="R1681" i="1" a="1"/>
  <c r="R1681" i="1" s="1"/>
  <c r="R1682" i="1" a="1"/>
  <c r="R1682" i="1"/>
  <c r="R1683" i="1" a="1"/>
  <c r="R1683" i="1" s="1"/>
  <c r="R1684" i="1" a="1"/>
  <c r="R1684" i="1" s="1"/>
  <c r="R1685" i="1" a="1"/>
  <c r="R1685" i="1" s="1"/>
  <c r="R1686" i="1" a="1"/>
  <c r="R1686" i="1"/>
  <c r="R1687" i="1" a="1"/>
  <c r="R1687" i="1" s="1"/>
  <c r="R1688" i="1" a="1"/>
  <c r="R1688" i="1"/>
  <c r="R1689" i="1" a="1"/>
  <c r="R1689" i="1" s="1"/>
  <c r="R1690" i="1" a="1"/>
  <c r="R1690" i="1" s="1"/>
  <c r="R1691" i="1" a="1"/>
  <c r="R1691" i="1" s="1"/>
  <c r="R1692" i="1" a="1"/>
  <c r="R1692" i="1" s="1"/>
  <c r="R1693" i="1" a="1"/>
  <c r="R1693" i="1" s="1"/>
  <c r="R1694" i="1" a="1"/>
  <c r="R1694" i="1"/>
  <c r="R1695" i="1" a="1"/>
  <c r="R1695" i="1"/>
  <c r="R1696" i="1" a="1"/>
  <c r="R1696" i="1"/>
  <c r="R1697" i="1" a="1"/>
  <c r="R1697" i="1" s="1"/>
  <c r="R1698" i="1" a="1"/>
  <c r="R1698" i="1"/>
  <c r="R1699" i="1" a="1"/>
  <c r="R1699" i="1" s="1"/>
  <c r="R1700" i="1" a="1"/>
  <c r="R1700" i="1" s="1"/>
  <c r="R1701" i="1" a="1"/>
  <c r="R1701" i="1" s="1"/>
  <c r="R1702" i="1" a="1"/>
  <c r="R1702" i="1"/>
  <c r="R1703" i="1" a="1"/>
  <c r="R1703" i="1" s="1"/>
  <c r="R1704" i="1" a="1"/>
  <c r="R1704" i="1"/>
  <c r="R1705" i="1" a="1"/>
  <c r="R1705" i="1" s="1"/>
  <c r="R1706" i="1" a="1"/>
  <c r="R1706" i="1" s="1"/>
  <c r="R1707" i="1" a="1"/>
  <c r="R1707" i="1"/>
  <c r="R1708" i="1" a="1"/>
  <c r="R1708" i="1" s="1"/>
  <c r="R1709" i="1" a="1"/>
  <c r="R1709" i="1" s="1"/>
  <c r="R1710" i="1" a="1"/>
  <c r="R1710" i="1"/>
  <c r="R1711" i="1" a="1"/>
  <c r="R1711" i="1"/>
  <c r="R1712" i="1" a="1"/>
  <c r="R1712" i="1" s="1"/>
  <c r="R1713" i="1" a="1"/>
  <c r="R1713" i="1" s="1"/>
  <c r="R1714" i="1" a="1"/>
  <c r="R1714" i="1" s="1"/>
  <c r="R1715" i="1" a="1"/>
  <c r="R1715" i="1" s="1"/>
  <c r="R1716" i="1" a="1"/>
  <c r="R1716" i="1"/>
  <c r="R1717" i="1" a="1"/>
  <c r="R1717" i="1" s="1"/>
  <c r="R1718" i="1" a="1"/>
  <c r="R1718" i="1" s="1"/>
  <c r="R1719" i="1" a="1"/>
  <c r="R1719" i="1" s="1"/>
  <c r="R1720" i="1" a="1"/>
  <c r="R1720" i="1"/>
  <c r="R1721" i="1" a="1"/>
  <c r="R1721" i="1" s="1"/>
  <c r="R1722" i="1" a="1"/>
  <c r="R1722" i="1" s="1"/>
  <c r="R1723" i="1" a="1"/>
  <c r="R1723" i="1" s="1"/>
  <c r="R1724" i="1" a="1"/>
  <c r="R1724" i="1" s="1"/>
  <c r="R1725" i="1" a="1"/>
  <c r="R1725" i="1" s="1"/>
  <c r="R1726" i="1" a="1"/>
  <c r="R1726" i="1"/>
  <c r="R1727" i="1" a="1"/>
  <c r="R1727" i="1"/>
  <c r="R1728" i="1" a="1"/>
  <c r="R1728" i="1" s="1"/>
  <c r="R1729" i="1" a="1"/>
  <c r="R1729" i="1" s="1"/>
  <c r="R1730" i="1" a="1"/>
  <c r="R1730" i="1" s="1"/>
  <c r="R1731" i="1" a="1"/>
  <c r="R1731" i="1" s="1"/>
  <c r="R1732" i="1" a="1"/>
  <c r="R1732" i="1" s="1"/>
  <c r="R1733" i="1" a="1"/>
  <c r="R1733" i="1" s="1"/>
  <c r="R1734" i="1" a="1"/>
  <c r="R1734" i="1" s="1"/>
  <c r="R1735" i="1" a="1"/>
  <c r="R1735" i="1"/>
  <c r="R1736" i="1" a="1"/>
  <c r="R1736" i="1"/>
  <c r="R1737" i="1" a="1"/>
  <c r="R1737" i="1" s="1"/>
  <c r="R1738" i="1" a="1"/>
  <c r="R1738" i="1" s="1"/>
  <c r="R1739" i="1" a="1"/>
  <c r="R1739" i="1" s="1"/>
  <c r="R1740" i="1" a="1"/>
  <c r="R1740" i="1" s="1"/>
  <c r="R1741" i="1" a="1"/>
  <c r="R1741" i="1" s="1"/>
  <c r="R1742" i="1" a="1"/>
  <c r="R1742" i="1"/>
  <c r="R1743" i="1" a="1"/>
  <c r="R1743" i="1"/>
  <c r="R1744" i="1" a="1"/>
  <c r="R1744" i="1" s="1"/>
  <c r="R1745" i="1" a="1"/>
  <c r="R1745" i="1" s="1"/>
  <c r="R1746" i="1" a="1"/>
  <c r="R1746" i="1" s="1"/>
  <c r="R1747" i="1" a="1"/>
  <c r="R1747" i="1" s="1"/>
  <c r="R1748" i="1" a="1"/>
  <c r="R1748" i="1"/>
  <c r="R1749" i="1" a="1"/>
  <c r="R1749" i="1" s="1"/>
  <c r="R1750" i="1" a="1"/>
  <c r="R1750" i="1" s="1"/>
  <c r="R1751" i="1" a="1"/>
  <c r="R1751" i="1"/>
  <c r="R1752" i="1" a="1"/>
  <c r="R1752" i="1"/>
  <c r="R1753" i="1" a="1"/>
  <c r="R1753" i="1" s="1"/>
  <c r="R1754" i="1" a="1"/>
  <c r="R1754" i="1" s="1"/>
  <c r="R1755" i="1" a="1"/>
  <c r="R1755" i="1" s="1"/>
  <c r="R1756" i="1" a="1"/>
  <c r="R1756" i="1" s="1"/>
  <c r="R1757" i="1" a="1"/>
  <c r="R1757" i="1" s="1"/>
  <c r="R1758" i="1" a="1"/>
  <c r="R1758" i="1" s="1"/>
  <c r="R1759" i="1" a="1"/>
  <c r="R1759" i="1"/>
  <c r="R1760" i="1" a="1"/>
  <c r="R1760" i="1"/>
  <c r="R1761" i="1" a="1"/>
  <c r="R1761" i="1" s="1"/>
  <c r="R1762" i="1" a="1"/>
  <c r="R1762" i="1"/>
  <c r="R1763" i="1" a="1"/>
  <c r="R1763" i="1" s="1"/>
  <c r="R1764" i="1" a="1"/>
  <c r="R1764" i="1" s="1"/>
  <c r="R1765" i="1" a="1"/>
  <c r="R1765" i="1" s="1"/>
  <c r="R1766" i="1" a="1"/>
  <c r="R1766" i="1"/>
  <c r="R1767" i="1" a="1"/>
  <c r="R1767" i="1"/>
  <c r="R1768" i="1" a="1"/>
  <c r="R1768" i="1" s="1"/>
  <c r="R1769" i="1" a="1"/>
  <c r="R1769" i="1" s="1"/>
  <c r="R1770" i="1" a="1"/>
  <c r="R1770" i="1" s="1"/>
  <c r="R1771" i="1" a="1"/>
  <c r="R1771" i="1"/>
  <c r="R1772" i="1" a="1"/>
  <c r="R1772" i="1" s="1"/>
  <c r="R1773" i="1" a="1"/>
  <c r="R1773" i="1" s="1"/>
  <c r="R1774" i="1" a="1"/>
  <c r="R1774" i="1" s="1"/>
  <c r="R1775" i="1" a="1"/>
  <c r="R1775" i="1"/>
  <c r="R1776" i="1" a="1"/>
  <c r="R1776" i="1"/>
  <c r="R1777" i="1" a="1"/>
  <c r="R1777" i="1" s="1"/>
  <c r="R1778" i="1" a="1"/>
  <c r="R1778" i="1" s="1"/>
  <c r="R1779" i="1" a="1"/>
  <c r="R1779" i="1" s="1"/>
  <c r="R1780" i="1" a="1"/>
  <c r="R1780" i="1"/>
  <c r="R1781" i="1" a="1"/>
  <c r="R1781" i="1" s="1"/>
  <c r="R1782" i="1" a="1"/>
  <c r="R1782" i="1"/>
  <c r="R1783" i="1" a="1"/>
  <c r="R1783" i="1"/>
  <c r="R1784" i="1" a="1"/>
  <c r="R1784" i="1" s="1"/>
  <c r="R1785" i="1" a="1"/>
  <c r="R1785" i="1" s="1"/>
  <c r="R1786" i="1" a="1"/>
  <c r="R1786" i="1" s="1"/>
  <c r="R1787" i="1" a="1"/>
  <c r="R1787" i="1" s="1"/>
  <c r="R1788" i="1" a="1"/>
  <c r="R1788" i="1" s="1"/>
  <c r="R1789" i="1" a="1"/>
  <c r="R1789" i="1" s="1"/>
  <c r="R1790" i="1" a="1"/>
  <c r="R1790" i="1"/>
  <c r="R1791" i="1" a="1"/>
  <c r="R1791" i="1"/>
  <c r="R1792" i="1" a="1"/>
  <c r="R1792" i="1"/>
  <c r="R1793" i="1" a="1"/>
  <c r="R1793" i="1" s="1"/>
  <c r="R1794" i="1" a="1"/>
  <c r="R1794" i="1"/>
  <c r="R1795" i="1" a="1"/>
  <c r="R1795" i="1" s="1"/>
  <c r="R1796" i="1" a="1"/>
  <c r="R1796" i="1" s="1"/>
  <c r="R1797" i="1" a="1"/>
  <c r="R1797" i="1" s="1"/>
  <c r="R1798" i="1" a="1"/>
  <c r="R1798" i="1"/>
  <c r="R1799" i="1" a="1"/>
  <c r="R1799" i="1" s="1"/>
  <c r="R1800" i="1" a="1"/>
  <c r="R1800" i="1"/>
  <c r="R1801" i="1" a="1"/>
  <c r="R1801" i="1" s="1"/>
  <c r="R1802" i="1" a="1"/>
  <c r="R1802" i="1" s="1"/>
  <c r="R1803" i="1" a="1"/>
  <c r="R1803" i="1"/>
  <c r="R1804" i="1" a="1"/>
  <c r="R1804" i="1" s="1"/>
  <c r="R1805" i="1" a="1"/>
  <c r="R1805" i="1" s="1"/>
  <c r="R1806" i="1" a="1"/>
  <c r="R1806" i="1"/>
  <c r="R1807" i="1" a="1"/>
  <c r="R1807" i="1"/>
  <c r="R1808" i="1" a="1"/>
  <c r="R1808" i="1"/>
  <c r="R1809" i="1" a="1"/>
  <c r="R1809" i="1" s="1"/>
  <c r="R1810" i="1" a="1"/>
  <c r="R1810" i="1" s="1"/>
  <c r="R1811" i="1" a="1"/>
  <c r="R1811" i="1" s="1"/>
  <c r="R1812" i="1" a="1"/>
  <c r="R1812" i="1" s="1"/>
  <c r="R1813" i="1" a="1"/>
  <c r="R1813" i="1" s="1"/>
  <c r="R1814" i="1" a="1"/>
  <c r="R1814" i="1"/>
  <c r="R1815" i="1" a="1"/>
  <c r="R1815" i="1" s="1"/>
  <c r="R1816" i="1" a="1"/>
  <c r="R1816" i="1"/>
  <c r="R1817" i="1" a="1"/>
  <c r="R1817" i="1" s="1"/>
  <c r="R1818" i="1" a="1"/>
  <c r="R1818" i="1" s="1"/>
  <c r="R1819" i="1" a="1"/>
  <c r="R1819" i="1" s="1"/>
  <c r="R1820" i="1" a="1"/>
  <c r="R1820" i="1" s="1"/>
  <c r="R1821" i="1" a="1"/>
  <c r="R1821" i="1" s="1"/>
  <c r="R1822" i="1" a="1"/>
  <c r="R1822" i="1"/>
  <c r="R1823" i="1" a="1"/>
  <c r="R1823" i="1" s="1"/>
  <c r="R1824" i="1" a="1"/>
  <c r="R1824" i="1"/>
  <c r="R1825" i="1" a="1"/>
  <c r="R1825" i="1" s="1"/>
  <c r="R1826" i="1" a="1"/>
  <c r="R1826" i="1" s="1"/>
  <c r="R1827" i="1" a="1"/>
  <c r="R1827" i="1" s="1"/>
  <c r="R1828" i="1" a="1"/>
  <c r="R1828" i="1" s="1"/>
  <c r="R1829" i="1" a="1"/>
  <c r="R1829" i="1" s="1"/>
  <c r="R1830" i="1" a="1"/>
  <c r="R1830" i="1"/>
  <c r="R1831" i="1" a="1"/>
  <c r="R1831" i="1"/>
  <c r="R1832" i="1" a="1"/>
  <c r="R1832" i="1"/>
  <c r="R1833" i="1" a="1"/>
  <c r="R1833" i="1" s="1"/>
  <c r="R1834" i="1" a="1"/>
  <c r="R1834" i="1" s="1"/>
  <c r="R1835" i="1" a="1"/>
  <c r="R1835" i="1"/>
  <c r="R1836" i="1" a="1"/>
  <c r="R1836" i="1" s="1"/>
  <c r="R1837" i="1" a="1"/>
  <c r="R1837" i="1" s="1"/>
  <c r="R1838" i="1" a="1"/>
  <c r="R1838" i="1"/>
  <c r="R1839" i="1" a="1"/>
  <c r="R1839" i="1" s="1"/>
  <c r="R1840" i="1" a="1"/>
  <c r="R1840" i="1"/>
  <c r="R1841" i="1" a="1"/>
  <c r="R1841" i="1" s="1"/>
  <c r="R1842" i="1" a="1"/>
  <c r="R1842" i="1" s="1"/>
  <c r="R1843" i="1" a="1"/>
  <c r="R1843" i="1" s="1"/>
  <c r="R1844" i="1" a="1"/>
  <c r="R1844" i="1"/>
  <c r="R1845" i="1" a="1"/>
  <c r="R1845" i="1" s="1"/>
  <c r="R1846" i="1" a="1"/>
  <c r="R1846" i="1" s="1"/>
  <c r="R1847" i="1" a="1"/>
  <c r="R1847" i="1"/>
  <c r="R1848" i="1" a="1"/>
  <c r="R1848" i="1" s="1"/>
  <c r="R1849" i="1" a="1"/>
  <c r="R1849" i="1" s="1"/>
  <c r="R1850" i="1" a="1"/>
  <c r="R1850" i="1" s="1"/>
  <c r="R1851" i="1" a="1"/>
  <c r="R1851" i="1" s="1"/>
  <c r="R1852" i="1" a="1"/>
  <c r="R1852" i="1" s="1"/>
  <c r="R1853" i="1" a="1"/>
  <c r="R1853" i="1" s="1"/>
  <c r="R1854" i="1" a="1"/>
  <c r="R1854" i="1" s="1"/>
  <c r="R1855" i="1" a="1"/>
  <c r="R1855" i="1"/>
  <c r="R1856" i="1" a="1"/>
  <c r="R1856" i="1"/>
  <c r="R1857" i="1" a="1"/>
  <c r="R1857" i="1" s="1"/>
  <c r="R1858" i="1" a="1"/>
  <c r="R1858" i="1"/>
  <c r="R1859" i="1" a="1"/>
  <c r="R1859" i="1" s="1"/>
  <c r="R1860" i="1" a="1"/>
  <c r="R1860" i="1" s="1"/>
  <c r="R1861" i="1" a="1"/>
  <c r="R1861" i="1" s="1"/>
  <c r="R1862" i="1" a="1"/>
  <c r="R1862" i="1"/>
  <c r="R1863" i="1" a="1"/>
  <c r="R1863" i="1"/>
  <c r="R1864" i="1" a="1"/>
  <c r="R1864" i="1" s="1"/>
  <c r="R1865" i="1" a="1"/>
  <c r="R1865" i="1" s="1"/>
  <c r="R1866" i="1" a="1"/>
  <c r="R1866" i="1" s="1"/>
  <c r="R1867" i="1" a="1"/>
  <c r="R1867" i="1"/>
  <c r="R1868" i="1" a="1"/>
  <c r="R1868" i="1" s="1"/>
  <c r="R1869" i="1" a="1"/>
  <c r="R1869" i="1" s="1"/>
  <c r="R1870" i="1" a="1"/>
  <c r="R1870" i="1" s="1"/>
  <c r="R1871" i="1" a="1"/>
  <c r="R1871" i="1"/>
  <c r="R1872" i="1" a="1"/>
  <c r="R1872" i="1"/>
  <c r="R1873" i="1" a="1"/>
  <c r="R1873" i="1" s="1"/>
  <c r="R1874" i="1" a="1"/>
  <c r="R1874" i="1" s="1"/>
  <c r="R1875" i="1" a="1"/>
  <c r="R1875" i="1" s="1"/>
  <c r="R1876" i="1" a="1"/>
  <c r="R1876" i="1"/>
  <c r="R1877" i="1" a="1"/>
  <c r="R1877" i="1" s="1"/>
  <c r="R1878" i="1" a="1"/>
  <c r="R1878" i="1"/>
  <c r="R1879" i="1" a="1"/>
  <c r="R1879" i="1"/>
  <c r="R1880" i="1" a="1"/>
  <c r="R1880" i="1" s="1"/>
  <c r="R1881" i="1" a="1"/>
  <c r="R1881" i="1" s="1"/>
  <c r="R1882" i="1" a="1"/>
  <c r="R1882" i="1" s="1"/>
  <c r="R1883" i="1" a="1"/>
  <c r="R1883" i="1" s="1"/>
  <c r="R1884" i="1" a="1"/>
  <c r="R1884" i="1" s="1"/>
  <c r="R1885" i="1" a="1"/>
  <c r="R1885" i="1" s="1"/>
  <c r="R1886" i="1" a="1"/>
  <c r="R1886" i="1"/>
  <c r="R1887" i="1" a="1"/>
  <c r="R1887" i="1"/>
  <c r="R1888" i="1" a="1"/>
  <c r="R1888" i="1" s="1"/>
  <c r="R1889" i="1" a="1"/>
  <c r="R1889" i="1" s="1"/>
  <c r="R1890" i="1" a="1"/>
  <c r="R1890" i="1"/>
  <c r="R1891" i="1" a="1"/>
  <c r="R1891" i="1" s="1"/>
  <c r="R1892" i="1" a="1"/>
  <c r="R1892" i="1" s="1"/>
  <c r="R1893" i="1" a="1"/>
  <c r="R1893" i="1" s="1"/>
  <c r="R1894" i="1" a="1"/>
  <c r="R1894" i="1" s="1"/>
  <c r="R1895" i="1" a="1"/>
  <c r="R1895" i="1"/>
  <c r="R1896" i="1" a="1"/>
  <c r="R1896" i="1"/>
  <c r="R1897" i="1" a="1"/>
  <c r="R1897" i="1" s="1"/>
  <c r="R1898" i="1" a="1"/>
  <c r="R1898" i="1" s="1"/>
  <c r="R1899" i="1" a="1"/>
  <c r="R1899" i="1" s="1"/>
  <c r="R1900" i="1" a="1"/>
  <c r="R1900" i="1" s="1"/>
  <c r="R1901" i="1" a="1"/>
  <c r="R1901" i="1" s="1"/>
  <c r="R1902" i="1" a="1"/>
  <c r="R1902" i="1"/>
  <c r="R1903" i="1" a="1"/>
  <c r="R1903" i="1"/>
  <c r="R1904" i="1" a="1"/>
  <c r="R1904" i="1" s="1"/>
  <c r="R1905" i="1" a="1"/>
  <c r="R1905" i="1" s="1"/>
  <c r="R1906" i="1" a="1"/>
  <c r="R1906" i="1" s="1"/>
  <c r="R1907" i="1" a="1"/>
  <c r="R1907" i="1" s="1"/>
  <c r="R1908" i="1" a="1"/>
  <c r="R1908" i="1" s="1"/>
  <c r="R1909" i="1" a="1"/>
  <c r="R1909" i="1" s="1"/>
  <c r="R1910" i="1" a="1"/>
  <c r="R1910" i="1" s="1"/>
  <c r="R1911" i="1" a="1"/>
  <c r="R1911" i="1"/>
  <c r="R1912" i="1" a="1"/>
  <c r="R1912" i="1"/>
  <c r="R1913" i="1" a="1"/>
  <c r="R1913" i="1" s="1"/>
  <c r="R1914" i="1" a="1"/>
  <c r="R1914" i="1" s="1"/>
  <c r="R1915" i="1" a="1"/>
  <c r="R1915" i="1" s="1"/>
  <c r="R1916" i="1" a="1"/>
  <c r="R1916" i="1" s="1"/>
  <c r="R1917" i="1" a="1"/>
  <c r="R1917" i="1" s="1"/>
  <c r="R1918" i="1" a="1"/>
  <c r="R1918" i="1"/>
  <c r="R1919" i="1" a="1"/>
  <c r="R1919" i="1" s="1"/>
  <c r="R1920" i="1" a="1"/>
  <c r="R1920" i="1"/>
  <c r="R1921" i="1" a="1"/>
  <c r="R1921" i="1" s="1"/>
  <c r="R1922" i="1" a="1"/>
  <c r="R1922" i="1"/>
  <c r="R1923" i="1" a="1"/>
  <c r="R1923" i="1" s="1"/>
  <c r="R1924" i="1" a="1"/>
  <c r="R1924" i="1" s="1"/>
  <c r="R1925" i="1" a="1"/>
  <c r="R1925" i="1" s="1"/>
  <c r="R1926" i="1" a="1"/>
  <c r="R1926" i="1"/>
  <c r="R1927" i="1" a="1"/>
  <c r="R1927" i="1"/>
  <c r="R1928" i="1" a="1"/>
  <c r="R1928" i="1"/>
  <c r="R1929" i="1" a="1"/>
  <c r="R1929" i="1" s="1"/>
  <c r="R1930" i="1" a="1"/>
  <c r="R1930" i="1" s="1"/>
  <c r="R1931" i="1" a="1"/>
  <c r="R1931" i="1"/>
  <c r="R1932" i="1" a="1"/>
  <c r="R1932" i="1" s="1"/>
  <c r="R1933" i="1" a="1"/>
  <c r="R1933" i="1" s="1"/>
  <c r="R1934" i="1" a="1"/>
  <c r="R1934" i="1"/>
  <c r="R1935" i="1" a="1"/>
  <c r="R1935" i="1" s="1"/>
  <c r="R1936" i="1" a="1"/>
  <c r="R1936" i="1"/>
  <c r="R1937" i="1" a="1"/>
  <c r="R1937" i="1" s="1"/>
  <c r="R1938" i="1" a="1"/>
  <c r="R1938" i="1" s="1"/>
  <c r="R1939" i="1" a="1"/>
  <c r="R1939" i="1" s="1"/>
  <c r="R1940" i="1" a="1"/>
  <c r="R1940" i="1"/>
  <c r="R1941" i="1" a="1"/>
  <c r="R1941" i="1" s="1"/>
  <c r="R1942" i="1" a="1"/>
  <c r="R1942" i="1"/>
  <c r="R1943" i="1" a="1"/>
  <c r="R1943" i="1"/>
  <c r="R1944" i="1" a="1"/>
  <c r="R1944" i="1"/>
  <c r="R1945" i="1" a="1"/>
  <c r="R1945" i="1" s="1"/>
  <c r="R1946" i="1" a="1"/>
  <c r="R1946" i="1" s="1"/>
  <c r="R1947" i="1" a="1"/>
  <c r="R1947" i="1" s="1"/>
  <c r="R1948" i="1" a="1"/>
  <c r="R1948" i="1" s="1"/>
  <c r="R1949" i="1" a="1"/>
  <c r="R1949" i="1" s="1"/>
  <c r="R1950" i="1" a="1"/>
  <c r="R1950" i="1"/>
  <c r="R1951" i="1" a="1"/>
  <c r="R1951" i="1"/>
  <c r="R1952" i="1" a="1"/>
  <c r="R1952" i="1"/>
  <c r="R1953" i="1" a="1"/>
  <c r="R1953" i="1" s="1"/>
  <c r="R1954" i="1" a="1"/>
  <c r="R1954" i="1"/>
  <c r="R1955" i="1" a="1"/>
  <c r="R1955" i="1" s="1"/>
  <c r="R1956" i="1" a="1"/>
  <c r="R1956" i="1" s="1"/>
  <c r="R1957" i="1" a="1"/>
  <c r="R1957" i="1" s="1"/>
  <c r="R1958" i="1" a="1"/>
  <c r="R1958" i="1"/>
  <c r="R1959" i="1" a="1"/>
  <c r="R1959" i="1" s="1"/>
  <c r="R1960" i="1" a="1"/>
  <c r="R1960" i="1"/>
  <c r="R1961" i="1" a="1"/>
  <c r="R1961" i="1" s="1"/>
  <c r="R1962" i="1" a="1"/>
  <c r="R1962" i="1" s="1"/>
  <c r="R1963" i="1" a="1"/>
  <c r="R1963" i="1"/>
  <c r="R1964" i="1" a="1"/>
  <c r="R1964" i="1" s="1"/>
  <c r="R1965" i="1" a="1"/>
  <c r="R1965" i="1" s="1"/>
  <c r="R1966" i="1" a="1"/>
  <c r="R1966" i="1"/>
  <c r="R1967" i="1" a="1"/>
  <c r="R1967" i="1"/>
  <c r="R1968" i="1" a="1"/>
  <c r="R1968" i="1" s="1"/>
  <c r="R1969" i="1" a="1"/>
  <c r="R1969" i="1" s="1"/>
  <c r="R1970" i="1" a="1"/>
  <c r="R1970" i="1" s="1"/>
  <c r="R1971" i="1" a="1"/>
  <c r="R1971" i="1" s="1"/>
  <c r="R1972" i="1" a="1"/>
  <c r="R1972" i="1"/>
  <c r="R1973" i="1" a="1"/>
  <c r="R1973" i="1" s="1"/>
  <c r="R1974" i="1" a="1"/>
  <c r="R1974" i="1" s="1"/>
  <c r="R1975" i="1" a="1"/>
  <c r="R1975" i="1" s="1"/>
  <c r="R1976" i="1" a="1"/>
  <c r="R1976" i="1"/>
  <c r="R1977" i="1" a="1"/>
  <c r="R1977" i="1" s="1"/>
  <c r="R1978" i="1" a="1"/>
  <c r="R1978" i="1" s="1"/>
  <c r="R1979" i="1" a="1"/>
  <c r="R1979" i="1" s="1"/>
  <c r="R1980" i="1" a="1"/>
  <c r="R1980" i="1" s="1"/>
  <c r="R1981" i="1" a="1"/>
  <c r="R1981" i="1" s="1"/>
  <c r="R1982" i="1" a="1"/>
  <c r="R1982" i="1" s="1"/>
  <c r="R1983" i="1" a="1"/>
  <c r="R1983" i="1"/>
  <c r="R1984" i="1" a="1"/>
  <c r="R1984" i="1" s="1"/>
  <c r="R1985" i="1" a="1"/>
  <c r="R1985" i="1" s="1"/>
  <c r="R1986" i="1" a="1"/>
  <c r="R1986" i="1" s="1"/>
  <c r="R1987" i="1" a="1"/>
  <c r="R1987" i="1" s="1"/>
  <c r="R1988" i="1" a="1"/>
  <c r="R1988" i="1" s="1"/>
  <c r="R1989" i="1" a="1"/>
  <c r="R1989" i="1" s="1"/>
  <c r="R1990" i="1" a="1"/>
  <c r="R1990" i="1"/>
  <c r="R1991" i="1" a="1"/>
  <c r="R1991" i="1" s="1"/>
  <c r="R1992" i="1" a="1"/>
  <c r="R1992" i="1"/>
  <c r="R1993" i="1" a="1"/>
  <c r="R1993" i="1" s="1"/>
  <c r="R1994" i="1" a="1"/>
  <c r="R1994" i="1" s="1"/>
  <c r="R1995" i="1" a="1"/>
  <c r="R1995" i="1"/>
  <c r="R1996" i="1" a="1"/>
  <c r="R1996" i="1" s="1"/>
  <c r="R1997" i="1" a="1"/>
  <c r="R1997" i="1" s="1"/>
  <c r="R1998" i="1" a="1"/>
  <c r="R1998" i="1" s="1"/>
  <c r="R1999" i="1" a="1"/>
  <c r="R1999" i="1" s="1"/>
  <c r="R2000" i="1" a="1"/>
  <c r="R2000" i="1" s="1"/>
  <c r="R2001" i="1" a="1"/>
  <c r="R2001" i="1" s="1"/>
  <c r="R2002" i="1" a="1"/>
  <c r="R2002" i="1" s="1"/>
  <c r="R2003" i="1" a="1"/>
  <c r="R2003" i="1" s="1"/>
  <c r="R2004" i="1" a="1"/>
  <c r="R2004" i="1" s="1"/>
  <c r="R2005" i="1" a="1"/>
  <c r="R2005" i="1" s="1"/>
  <c r="R2006" i="1" a="1"/>
  <c r="R2006" i="1" s="1"/>
  <c r="R2007" i="1" a="1"/>
  <c r="R2007" i="1"/>
  <c r="R2008" i="1" a="1"/>
  <c r="R2008" i="1" s="1"/>
  <c r="R2009" i="1" a="1"/>
  <c r="R2009" i="1" s="1"/>
  <c r="R2010" i="1" a="1"/>
  <c r="R2010" i="1" s="1"/>
  <c r="R2011" i="1" a="1"/>
  <c r="R2011" i="1" s="1"/>
  <c r="R2012" i="1" a="1"/>
  <c r="R2012" i="1" s="1"/>
  <c r="R2013" i="1" a="1"/>
  <c r="R2013" i="1" s="1"/>
  <c r="R2014" i="1" a="1"/>
  <c r="R2014" i="1" s="1"/>
  <c r="R2015" i="1" a="1"/>
  <c r="R2015" i="1" s="1"/>
  <c r="R2016" i="1" a="1"/>
  <c r="R2016" i="1" s="1"/>
  <c r="R2017" i="1" a="1"/>
  <c r="R2017" i="1" s="1"/>
  <c r="R2018" i="1" a="1"/>
  <c r="R2018" i="1" s="1"/>
  <c r="R2019" i="1" a="1"/>
  <c r="R2019" i="1"/>
  <c r="R2020" i="1" a="1"/>
  <c r="R2020" i="1" s="1"/>
  <c r="R2021" i="1" a="1"/>
  <c r="R2021" i="1" s="1"/>
  <c r="R2022" i="1" a="1"/>
  <c r="R2022" i="1" s="1"/>
  <c r="R2023" i="1" a="1"/>
  <c r="R2023" i="1"/>
  <c r="R2024" i="1" a="1"/>
  <c r="R2024" i="1" s="1"/>
  <c r="R2025" i="1" a="1"/>
  <c r="R2025" i="1"/>
  <c r="R2026" i="1" a="1"/>
  <c r="R2026" i="1" s="1"/>
  <c r="R2027" i="1" a="1"/>
  <c r="R2027" i="1" s="1"/>
  <c r="R2028" i="1" a="1"/>
  <c r="R2028" i="1" s="1"/>
  <c r="R2029" i="1" a="1"/>
  <c r="R2029" i="1" s="1"/>
  <c r="R2030" i="1" a="1"/>
  <c r="R2030" i="1" s="1"/>
  <c r="R2031" i="1" a="1"/>
  <c r="R2031" i="1"/>
  <c r="R2032" i="1" a="1"/>
  <c r="R2032" i="1" s="1"/>
  <c r="R2033" i="1" a="1"/>
  <c r="R2033" i="1" s="1"/>
  <c r="R2034" i="1" a="1"/>
  <c r="R2034" i="1" s="1"/>
  <c r="R2035" i="1" a="1"/>
  <c r="R2035" i="1"/>
  <c r="R2036" i="1" a="1"/>
  <c r="R2036" i="1" s="1"/>
  <c r="R2037" i="1" a="1"/>
  <c r="R2037" i="1" s="1"/>
  <c r="R2038" i="1" a="1"/>
  <c r="R2038" i="1" s="1"/>
  <c r="R2039" i="1" a="1"/>
  <c r="R2039" i="1"/>
  <c r="R2040" i="1" a="1"/>
  <c r="R2040" i="1" s="1"/>
  <c r="R2041" i="1" a="1"/>
  <c r="R2041" i="1"/>
  <c r="R2042" i="1" a="1"/>
  <c r="R2042" i="1" s="1"/>
  <c r="R2043" i="1" a="1"/>
  <c r="R2043" i="1"/>
  <c r="R2044" i="1" a="1"/>
  <c r="R2044" i="1" s="1"/>
  <c r="R2045" i="1" a="1"/>
  <c r="R2045" i="1" s="1"/>
  <c r="R2046" i="1" a="1"/>
  <c r="R2046" i="1" s="1"/>
  <c r="R2047" i="1" a="1"/>
  <c r="R2047" i="1"/>
  <c r="R2048" i="1" a="1"/>
  <c r="R2048" i="1" s="1"/>
  <c r="R2049" i="1" a="1"/>
  <c r="R2049" i="1" s="1"/>
  <c r="R2050" i="1" a="1"/>
  <c r="R2050" i="1" s="1"/>
  <c r="R2051" i="1" a="1"/>
  <c r="R2051" i="1"/>
  <c r="R2052" i="1" a="1"/>
  <c r="R2052" i="1" s="1"/>
  <c r="R2053" i="1" a="1"/>
  <c r="R2053" i="1" s="1"/>
  <c r="R2054" i="1" a="1"/>
  <c r="R2054" i="1" s="1"/>
  <c r="R2055" i="1" a="1"/>
  <c r="R2055" i="1"/>
  <c r="R2056" i="1" a="1"/>
  <c r="R2056" i="1" s="1"/>
  <c r="R2057" i="1" a="1"/>
  <c r="R2057" i="1"/>
  <c r="R2058" i="1" a="1"/>
  <c r="R2058" i="1" s="1"/>
  <c r="R2059" i="1" a="1"/>
  <c r="R2059" i="1"/>
  <c r="R2060" i="1" a="1"/>
  <c r="R2060" i="1" s="1"/>
  <c r="R2061" i="1" a="1"/>
  <c r="R2061" i="1" s="1"/>
  <c r="R2062" i="1" a="1"/>
  <c r="R2062" i="1" s="1"/>
  <c r="R2063" i="1" a="1"/>
  <c r="R2063" i="1"/>
  <c r="R2064" i="1" a="1"/>
  <c r="R2064" i="1" s="1"/>
  <c r="R2065" i="1" a="1"/>
  <c r="R2065" i="1" s="1"/>
  <c r="R2066" i="1" a="1"/>
  <c r="R2066" i="1" s="1"/>
  <c r="R2067" i="1" a="1"/>
  <c r="R2067" i="1"/>
  <c r="R2068" i="1" a="1"/>
  <c r="R2068" i="1" s="1"/>
  <c r="R2069" i="1" a="1"/>
  <c r="R2069" i="1" s="1"/>
  <c r="R2070" i="1" a="1"/>
  <c r="R2070" i="1" s="1"/>
  <c r="R2071" i="1" a="1"/>
  <c r="R2071" i="1"/>
  <c r="R2072" i="1" a="1"/>
  <c r="R2072" i="1" s="1"/>
  <c r="R2073" i="1" a="1"/>
  <c r="R2073" i="1"/>
  <c r="R2074" i="1" a="1"/>
  <c r="R2074" i="1" s="1"/>
  <c r="R2075" i="1" a="1"/>
  <c r="R2075" i="1"/>
  <c r="R2076" i="1" a="1"/>
  <c r="R2076" i="1" s="1"/>
  <c r="R2077" i="1" a="1"/>
  <c r="R2077" i="1" s="1"/>
  <c r="R2078" i="1" a="1"/>
  <c r="R2078" i="1" s="1"/>
  <c r="R2079" i="1" a="1"/>
  <c r="R2079" i="1"/>
  <c r="R2080" i="1" a="1"/>
  <c r="R2080" i="1" s="1"/>
  <c r="R2081" i="1" a="1"/>
  <c r="R2081" i="1" s="1"/>
  <c r="R2082" i="1" a="1"/>
  <c r="R2082" i="1" s="1"/>
  <c r="R2083" i="1" a="1"/>
  <c r="R2083" i="1"/>
  <c r="R2084" i="1" a="1"/>
  <c r="R2084" i="1" s="1"/>
  <c r="R2085" i="1" a="1"/>
  <c r="R2085" i="1" s="1"/>
  <c r="R2086" i="1" a="1"/>
  <c r="R2086" i="1" s="1"/>
  <c r="R2087" i="1" a="1"/>
  <c r="R2087" i="1"/>
  <c r="R2088" i="1" a="1"/>
  <c r="R2088" i="1" s="1"/>
  <c r="R2089" i="1" a="1"/>
  <c r="R2089" i="1"/>
  <c r="R2090" i="1" a="1"/>
  <c r="R2090" i="1" s="1"/>
  <c r="R2091" i="1" a="1"/>
  <c r="R2091" i="1"/>
  <c r="R2092" i="1" a="1"/>
  <c r="R2092" i="1" s="1"/>
  <c r="R2093" i="1" a="1"/>
  <c r="R2093" i="1" s="1"/>
  <c r="R2094" i="1" a="1"/>
  <c r="R2094" i="1" s="1"/>
  <c r="R2095" i="1" a="1"/>
  <c r="R2095" i="1"/>
  <c r="R2096" i="1" a="1"/>
  <c r="R2096" i="1" s="1"/>
  <c r="R2097" i="1" a="1"/>
  <c r="R2097" i="1" s="1"/>
  <c r="R2098" i="1" a="1"/>
  <c r="R2098" i="1" s="1"/>
  <c r="R2099" i="1" a="1"/>
  <c r="R2099" i="1"/>
  <c r="R2100" i="1" a="1"/>
  <c r="R2100" i="1" s="1"/>
  <c r="R2101" i="1" a="1"/>
  <c r="R2101" i="1" s="1"/>
  <c r="R2102" i="1" a="1"/>
  <c r="R2102" i="1" s="1"/>
  <c r="R2103" i="1" a="1"/>
  <c r="R2103" i="1" s="1"/>
  <c r="R2104" i="1" a="1"/>
  <c r="R2104" i="1" s="1"/>
  <c r="R2105" i="1" a="1"/>
  <c r="R2105" i="1"/>
  <c r="R2106" i="1" a="1"/>
  <c r="R2106" i="1" s="1"/>
  <c r="R2107" i="1" a="1"/>
  <c r="R2107" i="1" s="1"/>
  <c r="R2108" i="1" a="1"/>
  <c r="R2108" i="1" s="1"/>
  <c r="R2109" i="1" a="1"/>
  <c r="R2109" i="1" s="1"/>
  <c r="R2110" i="1" a="1"/>
  <c r="R2110" i="1" s="1"/>
  <c r="R2111" i="1" a="1"/>
  <c r="R2111" i="1"/>
  <c r="R2112" i="1" a="1"/>
  <c r="R2112" i="1" s="1"/>
  <c r="R2113" i="1" a="1"/>
  <c r="R2113" i="1" s="1"/>
  <c r="R2114" i="1" a="1"/>
  <c r="R2114" i="1" s="1"/>
  <c r="R2115" i="1" a="1"/>
  <c r="R2115" i="1"/>
  <c r="R2116" i="1" a="1"/>
  <c r="R2116" i="1" s="1"/>
  <c r="R2117" i="1" a="1"/>
  <c r="R2117" i="1" s="1"/>
  <c r="R2118" i="1" a="1"/>
  <c r="R2118" i="1" s="1"/>
  <c r="R2119" i="1" a="1"/>
  <c r="R2119" i="1"/>
  <c r="R2120" i="1" a="1"/>
  <c r="R2120" i="1" s="1"/>
  <c r="R2121" i="1" a="1"/>
  <c r="R2121" i="1"/>
  <c r="R2122" i="1" a="1"/>
  <c r="R2122" i="1" s="1"/>
  <c r="R2123" i="1" a="1"/>
  <c r="R2123" i="1"/>
  <c r="R2124" i="1" a="1"/>
  <c r="R2124" i="1" s="1"/>
  <c r="R2125" i="1" a="1"/>
  <c r="R2125" i="1" s="1"/>
  <c r="R2126" i="1" a="1"/>
  <c r="R2126" i="1" s="1"/>
  <c r="R2127" i="1" a="1"/>
  <c r="R2127" i="1"/>
  <c r="R2128" i="1" a="1"/>
  <c r="R2128" i="1" s="1"/>
  <c r="R2129" i="1" a="1"/>
  <c r="R2129" i="1" s="1"/>
  <c r="R2130" i="1" a="1"/>
  <c r="R2130" i="1" s="1"/>
  <c r="R2131" i="1" a="1"/>
  <c r="R2131" i="1"/>
  <c r="R2132" i="1" a="1"/>
  <c r="R2132" i="1" s="1"/>
  <c r="R2133" i="1" a="1"/>
  <c r="R2133" i="1" s="1"/>
  <c r="R2134" i="1" a="1"/>
  <c r="R2134" i="1" s="1"/>
  <c r="R2135" i="1" a="1"/>
  <c r="R2135" i="1"/>
  <c r="R2136" i="1" a="1"/>
  <c r="R2136" i="1" s="1"/>
  <c r="R2137" i="1" a="1"/>
  <c r="R2137" i="1"/>
  <c r="R2138" i="1" a="1"/>
  <c r="R2138" i="1" s="1"/>
  <c r="R2139" i="1" a="1"/>
  <c r="R2139" i="1"/>
  <c r="R2140" i="1" a="1"/>
  <c r="R2140" i="1" s="1"/>
  <c r="R2141" i="1" a="1"/>
  <c r="R2141" i="1" s="1"/>
  <c r="R2142" i="1" a="1"/>
  <c r="R2142" i="1" s="1"/>
  <c r="R2143" i="1" a="1"/>
  <c r="R2143" i="1"/>
  <c r="R2144" i="1" a="1"/>
  <c r="R2144" i="1" s="1"/>
  <c r="R2145" i="1" a="1"/>
  <c r="R2145" i="1" s="1"/>
  <c r="R2146" i="1" a="1"/>
  <c r="R2146" i="1" s="1"/>
  <c r="R2147" i="1" a="1"/>
  <c r="R2147" i="1"/>
  <c r="R2148" i="1" a="1"/>
  <c r="R2148" i="1" s="1"/>
  <c r="R2149" i="1" a="1"/>
  <c r="R2149" i="1" s="1"/>
  <c r="R2150" i="1" a="1"/>
  <c r="R2150" i="1" s="1"/>
  <c r="R2151" i="1" a="1"/>
  <c r="R2151" i="1"/>
  <c r="R2152" i="1" a="1"/>
  <c r="R2152" i="1" s="1"/>
  <c r="R2153" i="1" a="1"/>
  <c r="R2153" i="1"/>
  <c r="R2154" i="1" a="1"/>
  <c r="R2154" i="1" s="1"/>
  <c r="R2155" i="1" a="1"/>
  <c r="R2155" i="1"/>
  <c r="R2156" i="1" a="1"/>
  <c r="R2156" i="1" s="1"/>
  <c r="R2157" i="1" a="1"/>
  <c r="R2157" i="1" s="1"/>
  <c r="R2158" i="1" a="1"/>
  <c r="R2158" i="1" s="1"/>
  <c r="R2159" i="1" a="1"/>
  <c r="R2159" i="1"/>
  <c r="R2160" i="1" a="1"/>
  <c r="R2160" i="1" s="1"/>
  <c r="R2161" i="1" a="1"/>
  <c r="R2161" i="1" s="1"/>
  <c r="R2162" i="1" a="1"/>
  <c r="R2162" i="1" s="1"/>
  <c r="R2163" i="1" a="1"/>
  <c r="R2163" i="1"/>
  <c r="R2164" i="1" a="1"/>
  <c r="R2164" i="1" s="1"/>
  <c r="R2165" i="1" a="1"/>
  <c r="R2165" i="1" s="1"/>
  <c r="R2166" i="1" a="1"/>
  <c r="R2166" i="1" s="1"/>
  <c r="R2167" i="1" a="1"/>
  <c r="R2167" i="1"/>
  <c r="R2168" i="1" a="1"/>
  <c r="R2168" i="1" s="1"/>
  <c r="R2169" i="1" a="1"/>
  <c r="R2169" i="1" s="1"/>
  <c r="R2170" i="1" a="1"/>
  <c r="R2170" i="1" s="1"/>
  <c r="R2171" i="1" a="1"/>
  <c r="R2171" i="1"/>
  <c r="R2172" i="1" a="1"/>
  <c r="R2172" i="1" s="1"/>
  <c r="R2173" i="1" a="1"/>
  <c r="R2173" i="1" s="1"/>
  <c r="R2174" i="1" a="1"/>
  <c r="R2174" i="1" s="1"/>
  <c r="R2175" i="1" a="1"/>
  <c r="R2175" i="1" s="1"/>
  <c r="R2176" i="1" a="1"/>
  <c r="R2176" i="1" s="1"/>
  <c r="R2177" i="1" a="1"/>
  <c r="R2177" i="1" s="1"/>
  <c r="R2178" i="1" a="1"/>
  <c r="R2178" i="1" s="1"/>
  <c r="R2179" i="1" a="1"/>
  <c r="R2179" i="1"/>
  <c r="R2180" i="1" a="1"/>
  <c r="R2180" i="1" s="1"/>
  <c r="R2181" i="1" a="1"/>
  <c r="R2181" i="1" s="1"/>
  <c r="R2182" i="1" a="1"/>
  <c r="R2182" i="1" s="1"/>
  <c r="R2183" i="1" a="1"/>
  <c r="R2183" i="1" s="1"/>
  <c r="R2184" i="1" a="1"/>
  <c r="R2184" i="1" s="1"/>
  <c r="R2185" i="1" a="1"/>
  <c r="R2185" i="1"/>
  <c r="R2186" i="1" a="1"/>
  <c r="R2186" i="1" s="1"/>
  <c r="R2187" i="1" a="1"/>
  <c r="R2187" i="1" s="1"/>
  <c r="R2188" i="1" a="1"/>
  <c r="R2188" i="1" s="1"/>
  <c r="R2189" i="1" a="1"/>
  <c r="R2189" i="1" s="1"/>
  <c r="R2190" i="1" a="1"/>
  <c r="R2190" i="1" s="1"/>
  <c r="R2191" i="1" a="1"/>
  <c r="R2191" i="1"/>
  <c r="R2192" i="1" a="1"/>
  <c r="R2192" i="1" s="1"/>
  <c r="R2193" i="1" a="1"/>
  <c r="R2193" i="1" s="1"/>
  <c r="R2194" i="1" a="1"/>
  <c r="R2194" i="1" s="1"/>
  <c r="R2195" i="1" a="1"/>
  <c r="R2195" i="1" s="1"/>
  <c r="R2196" i="1" a="1"/>
  <c r="R2196" i="1" s="1"/>
  <c r="R2197" i="1" a="1"/>
  <c r="R2197" i="1" s="1"/>
  <c r="R2198" i="1" a="1"/>
  <c r="R2198" i="1" s="1"/>
  <c r="R2199" i="1" a="1"/>
  <c r="R2199" i="1" s="1"/>
  <c r="R2200" i="1" a="1"/>
  <c r="R2200" i="1" s="1"/>
  <c r="R2201" i="1" a="1"/>
  <c r="R2201" i="1" s="1"/>
  <c r="R2202" i="1" a="1"/>
  <c r="R2202" i="1" s="1"/>
  <c r="R2203" i="1" a="1"/>
  <c r="R2203" i="1"/>
  <c r="R2204" i="1" a="1"/>
  <c r="R2204" i="1" s="1"/>
  <c r="R2205" i="1" a="1"/>
  <c r="R2205" i="1" s="1"/>
  <c r="R2206" i="1" a="1"/>
  <c r="R2206" i="1" s="1"/>
  <c r="R2207" i="1" a="1"/>
  <c r="R2207" i="1" s="1"/>
  <c r="R2208" i="1" a="1"/>
  <c r="R2208" i="1" s="1"/>
  <c r="R2209" i="1" a="1"/>
  <c r="R2209" i="1" s="1"/>
  <c r="R2210" i="1" a="1"/>
  <c r="R2210" i="1" s="1"/>
  <c r="R2211" i="1" a="1"/>
  <c r="R2211" i="1" s="1"/>
  <c r="R2212" i="1" a="1"/>
  <c r="R2212" i="1" s="1"/>
  <c r="R2213" i="1" a="1"/>
  <c r="R2213" i="1" s="1"/>
  <c r="R2214" i="1" a="1"/>
  <c r="R2214" i="1" s="1"/>
  <c r="R2215" i="1" a="1"/>
  <c r="R2215" i="1"/>
  <c r="R2216" i="1" a="1"/>
  <c r="R2216" i="1" s="1"/>
  <c r="R2217" i="1" a="1"/>
  <c r="R2217" i="1" s="1"/>
  <c r="R2218" i="1" a="1"/>
  <c r="R2218" i="1" s="1"/>
  <c r="R2219" i="1" a="1"/>
  <c r="R2219" i="1" s="1"/>
  <c r="R2220" i="1" a="1"/>
  <c r="R2220" i="1" s="1"/>
  <c r="R2221" i="1" a="1"/>
  <c r="R2221" i="1" s="1"/>
  <c r="R2222" i="1" a="1"/>
  <c r="R2222" i="1" s="1"/>
  <c r="R2223" i="1" a="1"/>
  <c r="R2223" i="1" s="1"/>
  <c r="R2224" i="1" a="1"/>
  <c r="R2224" i="1" s="1"/>
  <c r="R2225" i="1" a="1"/>
  <c r="R2225" i="1" s="1"/>
  <c r="R2226" i="1" a="1"/>
  <c r="R2226" i="1" s="1"/>
  <c r="R2227" i="1" a="1"/>
  <c r="R2227" i="1"/>
  <c r="R2228" i="1" a="1"/>
  <c r="R2228" i="1" s="1"/>
  <c r="R2229" i="1" a="1"/>
  <c r="R2229" i="1" s="1"/>
  <c r="R2230" i="1" a="1"/>
  <c r="R2230" i="1" s="1"/>
  <c r="R2231" i="1" a="1"/>
  <c r="R2231" i="1"/>
  <c r="R2232" i="1" a="1"/>
  <c r="R2232" i="1" s="1"/>
  <c r="R2233" i="1" a="1"/>
  <c r="R2233" i="1"/>
  <c r="R2234" i="1" a="1"/>
  <c r="R2234" i="1" s="1"/>
  <c r="R2235" i="1" a="1"/>
  <c r="R2235" i="1" s="1"/>
  <c r="R2236" i="1" a="1"/>
  <c r="R2236" i="1" s="1"/>
  <c r="R2237" i="1" a="1"/>
  <c r="R2237" i="1" s="1"/>
  <c r="R2238" i="1" a="1"/>
  <c r="R2238" i="1" s="1"/>
  <c r="R2239" i="1" a="1"/>
  <c r="R2239" i="1"/>
  <c r="R2240" i="1" a="1"/>
  <c r="R2240" i="1" s="1"/>
  <c r="R2241" i="1" a="1"/>
  <c r="R2241" i="1" s="1"/>
  <c r="R2242" i="1" a="1"/>
  <c r="R2242" i="1" s="1"/>
  <c r="R2243" i="1" a="1"/>
  <c r="R2243" i="1" s="1"/>
  <c r="R2244" i="1" a="1"/>
  <c r="R2244" i="1" s="1"/>
  <c r="R2245" i="1" a="1"/>
  <c r="R2245" i="1" s="1"/>
  <c r="R2246" i="1" a="1"/>
  <c r="R2246" i="1" s="1"/>
  <c r="R2247" i="1" a="1"/>
  <c r="R2247" i="1"/>
  <c r="R2248" i="1" a="1"/>
  <c r="R2248" i="1" s="1"/>
  <c r="R2249" i="1" a="1"/>
  <c r="R2249" i="1"/>
  <c r="R2250" i="1" a="1"/>
  <c r="R2250" i="1" s="1"/>
  <c r="R2251" i="1" a="1"/>
  <c r="R2251" i="1"/>
  <c r="R2252" i="1" a="1"/>
  <c r="R2252" i="1" s="1"/>
  <c r="R2253" i="1" a="1"/>
  <c r="R2253" i="1" s="1"/>
  <c r="R2254" i="1" a="1"/>
  <c r="R2254" i="1" s="1"/>
  <c r="R2255" i="1" a="1"/>
  <c r="R2255" i="1"/>
  <c r="R2256" i="1" a="1"/>
  <c r="R2256" i="1" s="1"/>
  <c r="R2257" i="1" a="1"/>
  <c r="R2257" i="1" s="1"/>
  <c r="R2258" i="1" a="1"/>
  <c r="R2258" i="1" s="1"/>
  <c r="R2259" i="1" a="1"/>
  <c r="R2259" i="1" s="1"/>
  <c r="R2260" i="1" a="1"/>
  <c r="R2260" i="1" s="1"/>
  <c r="R2261" i="1" a="1"/>
  <c r="R2261" i="1" s="1"/>
  <c r="R2262" i="1" a="1"/>
  <c r="R2262" i="1" s="1"/>
  <c r="R2263" i="1" a="1"/>
  <c r="R2263" i="1"/>
  <c r="R2264" i="1" a="1"/>
  <c r="R2264" i="1" s="1"/>
  <c r="R2265" i="1" a="1"/>
  <c r="R2265" i="1"/>
  <c r="R2266" i="1" a="1"/>
  <c r="R2266" i="1" s="1"/>
  <c r="R2267" i="1" a="1"/>
  <c r="R2267" i="1" s="1"/>
  <c r="R2268" i="1" a="1"/>
  <c r="R2268" i="1" s="1"/>
  <c r="R2269" i="1" a="1"/>
  <c r="R2269" i="1" s="1"/>
  <c r="R2270" i="1" a="1"/>
  <c r="R2270" i="1" s="1"/>
  <c r="R2271" i="1" a="1"/>
  <c r="R2271" i="1"/>
  <c r="R2272" i="1" a="1"/>
  <c r="R2272" i="1" s="1"/>
  <c r="R2273" i="1" a="1"/>
  <c r="R2273" i="1" s="1"/>
  <c r="R2274" i="1" a="1"/>
  <c r="R2274" i="1" s="1"/>
  <c r="R2275" i="1" a="1"/>
  <c r="R2275" i="1"/>
  <c r="R2276" i="1" a="1"/>
  <c r="R2276" i="1" s="1"/>
  <c r="R2277" i="1" a="1"/>
  <c r="R2277" i="1" s="1"/>
  <c r="R2278" i="1" a="1"/>
  <c r="R2278" i="1" s="1"/>
  <c r="R2279" i="1" a="1"/>
  <c r="R2279" i="1"/>
  <c r="R2280" i="1" a="1"/>
  <c r="R2280" i="1" s="1"/>
  <c r="R2281" i="1" a="1"/>
  <c r="R2281" i="1"/>
  <c r="R2282" i="1" a="1"/>
  <c r="R2282" i="1" s="1"/>
  <c r="R2283" i="1" a="1"/>
  <c r="R2283" i="1" s="1"/>
  <c r="R2284" i="1" a="1"/>
  <c r="R2284" i="1" s="1"/>
  <c r="R2285" i="1" a="1"/>
  <c r="R2285" i="1" s="1"/>
  <c r="R2286" i="1" a="1"/>
  <c r="R2286" i="1" s="1"/>
  <c r="R2287" i="1" a="1"/>
  <c r="R2287" i="1"/>
  <c r="R2288" i="1" a="1"/>
  <c r="R2288" i="1" s="1"/>
  <c r="R2289" i="1" a="1"/>
  <c r="R2289" i="1" s="1"/>
  <c r="R2290" i="1" a="1"/>
  <c r="R2290" i="1" s="1"/>
  <c r="R2291" i="1" a="1"/>
  <c r="R2291" i="1"/>
  <c r="R2292" i="1" a="1"/>
  <c r="R2292" i="1" s="1"/>
  <c r="R2293" i="1" a="1"/>
  <c r="R2293" i="1" s="1"/>
  <c r="R2294" i="1" a="1"/>
  <c r="R2294" i="1" s="1"/>
  <c r="R2295" i="1" a="1"/>
  <c r="R2295" i="1"/>
  <c r="R2296" i="1" a="1"/>
  <c r="R2296" i="1" s="1"/>
  <c r="R2297" i="1" a="1"/>
  <c r="R2297" i="1"/>
  <c r="R2298" i="1" a="1"/>
  <c r="R2298" i="1" s="1"/>
  <c r="R2299" i="1" a="1"/>
  <c r="R2299" i="1"/>
  <c r="R2300" i="1" a="1"/>
  <c r="R2300" i="1" s="1"/>
  <c r="R2301" i="1" a="1"/>
  <c r="R2301" i="1" s="1"/>
  <c r="R2302" i="1" a="1"/>
  <c r="R2302" i="1" s="1"/>
  <c r="R2303" i="1" a="1"/>
  <c r="R2303" i="1"/>
  <c r="R2304" i="1" a="1"/>
  <c r="R2304" i="1"/>
  <c r="R2305" i="1" a="1"/>
  <c r="R2305" i="1" s="1"/>
  <c r="R2306" i="1" a="1"/>
  <c r="R2306" i="1" s="1"/>
  <c r="R2307" i="1" a="1"/>
  <c r="R2307" i="1" s="1"/>
  <c r="R2308" i="1" a="1"/>
  <c r="R2308" i="1" s="1"/>
  <c r="R2309" i="1" a="1"/>
  <c r="R2309" i="1" s="1"/>
  <c r="R2310" i="1" a="1"/>
  <c r="R2310" i="1" s="1"/>
  <c r="R2311" i="1" a="1"/>
  <c r="R2311" i="1"/>
  <c r="R2312" i="1" a="1"/>
  <c r="R2312" i="1"/>
  <c r="R2313" i="1" a="1"/>
  <c r="R2313" i="1"/>
  <c r="R2314" i="1" a="1"/>
  <c r="R2314" i="1" s="1"/>
  <c r="R2315" i="1" a="1"/>
  <c r="R2315" i="1" s="1"/>
  <c r="R2316" i="1" a="1"/>
  <c r="R2316" i="1"/>
  <c r="R2317" i="1" a="1"/>
  <c r="R2317" i="1" s="1"/>
  <c r="R2318" i="1" a="1"/>
  <c r="R2318" i="1" s="1"/>
  <c r="R2319" i="1" a="1"/>
  <c r="R2319" i="1" s="1"/>
  <c r="R2320" i="1" a="1"/>
  <c r="R2320" i="1"/>
  <c r="R2321" i="1" a="1"/>
  <c r="R2321" i="1"/>
  <c r="R2322" i="1" a="1"/>
  <c r="R2322" i="1" s="1"/>
  <c r="R2323" i="1" a="1"/>
  <c r="R2323" i="1" s="1"/>
  <c r="R2324" i="1" a="1"/>
  <c r="R2324" i="1" s="1"/>
  <c r="R2325" i="1" a="1"/>
  <c r="R2325" i="1"/>
  <c r="R2326" i="1" a="1"/>
  <c r="R2326" i="1" s="1"/>
  <c r="R2327" i="1" a="1"/>
  <c r="R2327" i="1" s="1"/>
  <c r="R2328" i="1" a="1"/>
  <c r="R2328" i="1" s="1"/>
  <c r="R2329" i="1" a="1"/>
  <c r="R2329" i="1"/>
  <c r="R2330" i="1" a="1"/>
  <c r="R2330" i="1" s="1"/>
  <c r="R2331" i="1" a="1"/>
  <c r="R2331" i="1" s="1"/>
  <c r="R2332" i="1" a="1"/>
  <c r="R2332" i="1" s="1"/>
  <c r="R2333" i="1" a="1"/>
  <c r="R2333" i="1" s="1"/>
  <c r="R2334" i="1" a="1"/>
  <c r="R2334" i="1" s="1"/>
  <c r="R2335" i="1" a="1"/>
  <c r="R2335" i="1" s="1"/>
  <c r="R2336" i="1" a="1"/>
  <c r="R2336" i="1"/>
  <c r="R2337" i="1" a="1"/>
  <c r="R2337" i="1" s="1"/>
  <c r="R2338" i="1" a="1"/>
  <c r="R2338" i="1" s="1"/>
  <c r="R2339" i="1" a="1"/>
  <c r="R2339" i="1" s="1"/>
  <c r="R2340" i="1" a="1"/>
  <c r="R2340" i="1" s="1"/>
  <c r="R2341" i="1" a="1"/>
  <c r="R2341" i="1" s="1"/>
  <c r="R2342" i="1" a="1"/>
  <c r="R2342" i="1" s="1"/>
  <c r="R2343" i="1" a="1"/>
  <c r="R2343" i="1"/>
  <c r="R2344" i="1" a="1"/>
  <c r="R2344" i="1" s="1"/>
  <c r="R2345" i="1" a="1"/>
  <c r="R2345" i="1"/>
  <c r="R2346" i="1" a="1"/>
  <c r="R2346" i="1" s="1"/>
  <c r="R2347" i="1" a="1"/>
  <c r="R2347" i="1" s="1"/>
  <c r="R2348" i="1" a="1"/>
  <c r="R2348" i="1"/>
  <c r="R2349" i="1" a="1"/>
  <c r="R2349" i="1" s="1"/>
  <c r="R2350" i="1" a="1"/>
  <c r="R2350" i="1" s="1"/>
  <c r="R2351" i="1" a="1"/>
  <c r="R2351" i="1" s="1"/>
  <c r="R2352" i="1" a="1"/>
  <c r="R2352" i="1" s="1"/>
  <c r="R2353" i="1" a="1"/>
  <c r="R2353" i="1"/>
  <c r="R2354" i="1" a="1"/>
  <c r="R2354" i="1" s="1"/>
  <c r="R2355" i="1" a="1"/>
  <c r="R2355" i="1" s="1"/>
  <c r="R2356" i="1" a="1"/>
  <c r="R2356" i="1" s="1"/>
  <c r="R2357" i="1" a="1"/>
  <c r="R2357" i="1"/>
  <c r="R2358" i="1" a="1"/>
  <c r="R2358" i="1" s="1"/>
  <c r="R2359" i="1" a="1"/>
  <c r="R2359" i="1" s="1"/>
  <c r="R2360" i="1" a="1"/>
  <c r="R2360" i="1" s="1"/>
  <c r="R2361" i="1" a="1"/>
  <c r="R2361" i="1" s="1"/>
  <c r="R2362" i="1" a="1"/>
  <c r="R2362" i="1" s="1"/>
  <c r="R2363" i="1" a="1"/>
  <c r="R2363" i="1" s="1"/>
  <c r="R2364" i="1" a="1"/>
  <c r="R2364" i="1" s="1"/>
  <c r="R2365" i="1" a="1"/>
  <c r="R2365" i="1" s="1"/>
  <c r="R2366" i="1" a="1"/>
  <c r="R2366" i="1" s="1"/>
  <c r="R2367" i="1" a="1"/>
  <c r="R2367" i="1"/>
  <c r="R2368" i="1" a="1"/>
  <c r="R2368" i="1"/>
  <c r="R2369" i="1" a="1"/>
  <c r="R2369" i="1" s="1"/>
  <c r="R2370" i="1" a="1"/>
  <c r="R2370" i="1" s="1"/>
  <c r="R2371" i="1" a="1"/>
  <c r="R2371" i="1" s="1"/>
  <c r="R2372" i="1" a="1"/>
  <c r="R2372" i="1" s="1"/>
  <c r="R2373" i="1" a="1"/>
  <c r="R2373" i="1" s="1"/>
  <c r="R2374" i="1" a="1"/>
  <c r="R2374" i="1" s="1"/>
  <c r="R2375" i="1" a="1"/>
  <c r="R2375" i="1"/>
  <c r="R2376" i="1" a="1"/>
  <c r="R2376" i="1"/>
  <c r="R2377" i="1" a="1"/>
  <c r="R2377" i="1"/>
  <c r="R2378" i="1" a="1"/>
  <c r="R2378" i="1" s="1"/>
  <c r="R2379" i="1" a="1"/>
  <c r="R2379" i="1" s="1"/>
  <c r="R2380" i="1" a="1"/>
  <c r="R2380" i="1"/>
  <c r="R2381" i="1" a="1"/>
  <c r="R2381" i="1" s="1"/>
  <c r="R2382" i="1" a="1"/>
  <c r="R2382" i="1" s="1"/>
  <c r="R2383" i="1" a="1"/>
  <c r="R2383" i="1" s="1"/>
  <c r="R2384" i="1" a="1"/>
  <c r="R2384" i="1"/>
  <c r="R2385" i="1" a="1"/>
  <c r="R2385" i="1" s="1"/>
  <c r="R2386" i="1" a="1"/>
  <c r="R2386" i="1" s="1"/>
  <c r="R2387" i="1" a="1"/>
  <c r="R2387" i="1" s="1"/>
  <c r="R2388" i="1" a="1"/>
  <c r="R2388" i="1" s="1"/>
  <c r="R2389" i="1" a="1"/>
  <c r="R2389" i="1"/>
  <c r="R2390" i="1" a="1"/>
  <c r="R2390" i="1" s="1"/>
  <c r="R2391" i="1" a="1"/>
  <c r="R2391" i="1" s="1"/>
  <c r="R2392" i="1" a="1"/>
  <c r="R2392" i="1" s="1"/>
  <c r="R2393" i="1" a="1"/>
  <c r="R2393" i="1"/>
  <c r="R2394" i="1" a="1"/>
  <c r="R2394" i="1" s="1"/>
  <c r="R2395" i="1" a="1"/>
  <c r="R2395" i="1" s="1"/>
  <c r="R2396" i="1" a="1"/>
  <c r="R2396" i="1" s="1"/>
  <c r="R2397" i="1" a="1"/>
  <c r="R2397" i="1" s="1"/>
  <c r="R2398" i="1" a="1"/>
  <c r="R2398" i="1" s="1"/>
  <c r="R2399" i="1" a="1"/>
  <c r="R2399" i="1" s="1"/>
  <c r="R2400" i="1" a="1"/>
  <c r="R2400" i="1" s="1"/>
  <c r="R2401" i="1" a="1"/>
  <c r="R2401" i="1" s="1"/>
  <c r="R2402" i="1" a="1"/>
  <c r="R2402" i="1" s="1"/>
  <c r="R2403" i="1" a="1"/>
  <c r="R2403" i="1" s="1"/>
  <c r="R2404" i="1" a="1"/>
  <c r="R2404" i="1" s="1"/>
  <c r="R2405" i="1" a="1"/>
  <c r="R2405" i="1" s="1"/>
  <c r="R2406" i="1" a="1"/>
  <c r="R2406" i="1" s="1"/>
  <c r="R2407" i="1" a="1"/>
  <c r="R2407" i="1"/>
  <c r="R2408" i="1" a="1"/>
  <c r="R2408" i="1" s="1"/>
  <c r="R2409" i="1" a="1"/>
  <c r="R2409" i="1"/>
  <c r="R2410" i="1" a="1"/>
  <c r="R2410" i="1" s="1"/>
  <c r="R2411" i="1" a="1"/>
  <c r="R2411" i="1" s="1"/>
  <c r="R2412" i="1" a="1"/>
  <c r="R2412" i="1"/>
  <c r="R2413" i="1" a="1"/>
  <c r="R2413" i="1" s="1"/>
  <c r="R2414" i="1" a="1"/>
  <c r="R2414" i="1" s="1"/>
  <c r="R2415" i="1" a="1"/>
  <c r="R2415" i="1" s="1"/>
  <c r="R2416" i="1" a="1"/>
  <c r="R2416" i="1" s="1"/>
  <c r="R2417" i="1" a="1"/>
  <c r="R2417" i="1" s="1"/>
  <c r="R2418" i="1" a="1"/>
  <c r="R2418" i="1" s="1"/>
  <c r="R2419" i="1" a="1"/>
  <c r="R2419" i="1" s="1"/>
  <c r="R2420" i="1" a="1"/>
  <c r="R2420" i="1" s="1"/>
  <c r="R2421" i="1" a="1"/>
  <c r="R2421" i="1"/>
  <c r="R2422" i="1" a="1"/>
  <c r="R2422" i="1" s="1"/>
  <c r="R2423" i="1" a="1"/>
  <c r="R2423" i="1" s="1"/>
  <c r="R2424" i="1" a="1"/>
  <c r="R2424" i="1" s="1"/>
  <c r="R2425" i="1" a="1"/>
  <c r="R2425" i="1" s="1"/>
  <c r="R2426" i="1" a="1"/>
  <c r="R2426" i="1" s="1"/>
  <c r="R2427" i="1" a="1"/>
  <c r="R2427" i="1" s="1"/>
  <c r="R2428" i="1" a="1"/>
  <c r="R2428" i="1" s="1"/>
  <c r="R2429" i="1" a="1"/>
  <c r="R2429" i="1" s="1"/>
  <c r="R2430" i="1" a="1"/>
  <c r="R2430" i="1" s="1"/>
  <c r="R2431" i="1" a="1"/>
  <c r="R2431" i="1"/>
  <c r="R2432" i="1" a="1"/>
  <c r="R2432" i="1" s="1"/>
  <c r="R2433" i="1" a="1"/>
  <c r="R2433" i="1" s="1"/>
  <c r="R2434" i="1" a="1"/>
  <c r="R2434" i="1" s="1"/>
  <c r="R2435" i="1" a="1"/>
  <c r="R2435" i="1" s="1"/>
  <c r="R2436" i="1" a="1"/>
  <c r="R2436" i="1" s="1"/>
  <c r="R2437" i="1" a="1"/>
  <c r="R2437" i="1" s="1"/>
  <c r="R2438" i="1" a="1"/>
  <c r="R2438" i="1" s="1"/>
  <c r="R2439" i="1" a="1"/>
  <c r="R2439" i="1"/>
  <c r="R2440" i="1" a="1"/>
  <c r="R2440" i="1"/>
  <c r="R2441" i="1" a="1"/>
  <c r="R2441" i="1"/>
  <c r="R2442" i="1" a="1"/>
  <c r="R2442" i="1" s="1"/>
  <c r="R2443" i="1" a="1"/>
  <c r="R2443" i="1" s="1"/>
  <c r="R2444" i="1" a="1"/>
  <c r="R2444" i="1"/>
  <c r="R2445" i="1" a="1"/>
  <c r="R2445" i="1" s="1"/>
  <c r="R2446" i="1" a="1"/>
  <c r="R2446" i="1" s="1"/>
  <c r="R2447" i="1" a="1"/>
  <c r="R2447" i="1" s="1"/>
  <c r="R2448" i="1" a="1"/>
  <c r="R2448" i="1"/>
  <c r="R2449" i="1" a="1"/>
  <c r="R2449" i="1" s="1"/>
  <c r="R2450" i="1" a="1"/>
  <c r="R2450" i="1" s="1"/>
  <c r="R2451" i="1" a="1"/>
  <c r="R2451" i="1" s="1"/>
  <c r="R2452" i="1" a="1"/>
  <c r="R2452" i="1" s="1"/>
  <c r="R2453" i="1" a="1"/>
  <c r="R2453" i="1"/>
  <c r="R2454" i="1" a="1"/>
  <c r="R2454" i="1" s="1"/>
  <c r="R2455" i="1" a="1"/>
  <c r="R2455" i="1" s="1"/>
  <c r="R2456" i="1" a="1"/>
  <c r="R2456" i="1" s="1"/>
  <c r="R2457" i="1" a="1"/>
  <c r="R2457" i="1"/>
  <c r="R2458" i="1" a="1"/>
  <c r="R2458" i="1" s="1"/>
  <c r="R2459" i="1" a="1"/>
  <c r="R2459" i="1" s="1"/>
  <c r="R2460" i="1" a="1"/>
  <c r="R2460" i="1" s="1"/>
  <c r="R2461" i="1" a="1"/>
  <c r="R2461" i="1" s="1"/>
  <c r="R2462" i="1" a="1"/>
  <c r="R2462" i="1" s="1"/>
  <c r="R2463" i="1" a="1"/>
  <c r="R2463" i="1" s="1"/>
  <c r="R2464" i="1" a="1"/>
  <c r="R2464" i="1" s="1"/>
  <c r="R2465" i="1" a="1"/>
  <c r="R2465" i="1" s="1"/>
  <c r="R2466" i="1" a="1"/>
  <c r="R2466" i="1" s="1"/>
  <c r="R2467" i="1" a="1"/>
  <c r="R2467" i="1" s="1"/>
  <c r="R2468" i="1" a="1"/>
  <c r="R2468" i="1" s="1"/>
  <c r="R2469" i="1" a="1"/>
  <c r="R2469" i="1" s="1"/>
  <c r="R2470" i="1" a="1"/>
  <c r="R2470" i="1" s="1"/>
  <c r="R2471" i="1" a="1"/>
  <c r="R2471" i="1"/>
  <c r="R2472" i="1" a="1"/>
  <c r="R2472" i="1" s="1"/>
  <c r="R2473" i="1" a="1"/>
  <c r="R2473" i="1"/>
  <c r="R2474" i="1" a="1"/>
  <c r="R2474" i="1" s="1"/>
  <c r="R2475" i="1" a="1"/>
  <c r="R2475" i="1" s="1"/>
  <c r="R2476" i="1" a="1"/>
  <c r="R2476" i="1"/>
  <c r="R2477" i="1" a="1"/>
  <c r="R2477" i="1" s="1"/>
  <c r="R2478" i="1" a="1"/>
  <c r="R2478" i="1" s="1"/>
  <c r="R2479" i="1" a="1"/>
  <c r="R2479" i="1" s="1"/>
  <c r="R2480" i="1" a="1"/>
  <c r="R2480" i="1" s="1"/>
  <c r="R2481" i="1" a="1"/>
  <c r="R2481" i="1" s="1"/>
  <c r="R2482" i="1" a="1"/>
  <c r="R2482" i="1" s="1"/>
  <c r="R2483" i="1" a="1"/>
  <c r="R2483" i="1" s="1"/>
  <c r="R2484" i="1" a="1"/>
  <c r="R2484" i="1" s="1"/>
  <c r="R2485" i="1" a="1"/>
  <c r="R2485" i="1"/>
  <c r="R2486" i="1" a="1"/>
  <c r="R2486" i="1" s="1"/>
  <c r="R2487" i="1" a="1"/>
  <c r="R2487" i="1" s="1"/>
  <c r="R2488" i="1" a="1"/>
  <c r="R2488" i="1" s="1"/>
  <c r="R2489" i="1" a="1"/>
  <c r="R2489" i="1" s="1"/>
  <c r="R2490" i="1" a="1"/>
  <c r="R2490" i="1" s="1"/>
  <c r="R2491" i="1" a="1"/>
  <c r="R2491" i="1" s="1"/>
  <c r="R2492" i="1" a="1"/>
  <c r="R2492" i="1" s="1"/>
  <c r="R2493" i="1" a="1"/>
  <c r="R2493" i="1" s="1"/>
  <c r="R2494" i="1" a="1"/>
  <c r="R2494" i="1" s="1"/>
  <c r="R2495" i="1" a="1"/>
  <c r="R2495" i="1"/>
  <c r="R2496" i="1" a="1"/>
  <c r="R2496" i="1" s="1"/>
  <c r="R2497" i="1" a="1"/>
  <c r="R2497" i="1" s="1"/>
  <c r="R2498" i="1" a="1"/>
  <c r="R2498" i="1" s="1"/>
  <c r="R2499" i="1" a="1"/>
  <c r="R2499" i="1" s="1"/>
  <c r="R2500" i="1" a="1"/>
  <c r="R2500" i="1" s="1"/>
  <c r="R2501" i="1" a="1"/>
  <c r="R2501" i="1" s="1"/>
  <c r="R2502" i="1" a="1"/>
  <c r="R2502" i="1" s="1"/>
  <c r="R2503" i="1" a="1"/>
  <c r="R2503" i="1"/>
  <c r="R2504" i="1" a="1"/>
  <c r="R2504" i="1"/>
  <c r="R2505" i="1" a="1"/>
  <c r="R2505" i="1"/>
  <c r="R2506" i="1" a="1"/>
  <c r="R2506" i="1" s="1"/>
  <c r="R2507" i="1" a="1"/>
  <c r="R2507" i="1" s="1"/>
  <c r="R2508" i="1" a="1"/>
  <c r="R2508" i="1"/>
  <c r="R2509" i="1" a="1"/>
  <c r="R2509" i="1" s="1"/>
  <c r="R2510" i="1" a="1"/>
  <c r="R2510" i="1" s="1"/>
  <c r="R2511" i="1" a="1"/>
  <c r="R2511" i="1" s="1"/>
  <c r="R2512" i="1" a="1"/>
  <c r="R2512" i="1"/>
  <c r="R2513" i="1" a="1"/>
  <c r="R2513" i="1" s="1"/>
  <c r="R2514" i="1" a="1"/>
  <c r="R2514" i="1" s="1"/>
  <c r="R2515" i="1" a="1"/>
  <c r="R2515" i="1" s="1"/>
  <c r="R2516" i="1" a="1"/>
  <c r="R2516" i="1" s="1"/>
  <c r="R2517" i="1" a="1"/>
  <c r="R2517" i="1"/>
  <c r="R2518" i="1" a="1"/>
  <c r="R2518" i="1" s="1"/>
  <c r="R2519" i="1" a="1"/>
  <c r="R2519" i="1" s="1"/>
  <c r="R2520" i="1" a="1"/>
  <c r="R2520" i="1" s="1"/>
  <c r="R2521" i="1" a="1"/>
  <c r="R2521" i="1"/>
  <c r="R2522" i="1" a="1"/>
  <c r="R2522" i="1" s="1"/>
  <c r="R2523" i="1" a="1"/>
  <c r="R2523" i="1" s="1"/>
  <c r="R2524" i="1" a="1"/>
  <c r="R2524" i="1" s="1"/>
  <c r="R2525" i="1" a="1"/>
  <c r="R2525" i="1" s="1"/>
  <c r="R2526" i="1" a="1"/>
  <c r="R2526" i="1" s="1"/>
  <c r="R2527" i="1" a="1"/>
  <c r="R2527" i="1" s="1"/>
  <c r="R2528" i="1" a="1"/>
  <c r="R2528" i="1" s="1"/>
  <c r="R2529" i="1" a="1"/>
  <c r="R2529" i="1" s="1"/>
  <c r="R2530" i="1" a="1"/>
  <c r="R2530" i="1" s="1"/>
  <c r="R2531" i="1" a="1"/>
  <c r="R2531" i="1" s="1"/>
  <c r="R2532" i="1" a="1"/>
  <c r="R2532" i="1" s="1"/>
  <c r="R2533" i="1" a="1"/>
  <c r="R2533" i="1" s="1"/>
  <c r="R2534" i="1" a="1"/>
  <c r="R2534" i="1" s="1"/>
  <c r="R2535" i="1" a="1"/>
  <c r="R2535" i="1"/>
  <c r="R2536" i="1" a="1"/>
  <c r="R2536" i="1" s="1"/>
  <c r="R2537" i="1" a="1"/>
  <c r="R2537" i="1"/>
  <c r="R2538" i="1" a="1"/>
  <c r="R2538" i="1" s="1"/>
  <c r="R2539" i="1" a="1"/>
  <c r="R2539" i="1" s="1"/>
  <c r="R2540" i="1" a="1"/>
  <c r="R2540" i="1"/>
  <c r="R2541" i="1" a="1"/>
  <c r="R2541" i="1" s="1"/>
  <c r="R2542" i="1" a="1"/>
  <c r="R2542" i="1" s="1"/>
  <c r="R2543" i="1" a="1"/>
  <c r="R2543" i="1" s="1"/>
  <c r="R2544" i="1" a="1"/>
  <c r="R2544" i="1" s="1"/>
  <c r="R2545" i="1" a="1"/>
  <c r="R2545" i="1" s="1"/>
  <c r="R2546" i="1" a="1"/>
  <c r="R2546" i="1" s="1"/>
  <c r="R2547" i="1" a="1"/>
  <c r="R2547" i="1" s="1"/>
  <c r="R2548" i="1" a="1"/>
  <c r="R2548" i="1" s="1"/>
  <c r="R2549" i="1" a="1"/>
  <c r="R2549" i="1"/>
  <c r="R2550" i="1" a="1"/>
  <c r="R2550" i="1" s="1"/>
  <c r="R2551" i="1" a="1"/>
  <c r="R2551" i="1" s="1"/>
  <c r="R2552" i="1" a="1"/>
  <c r="R2552" i="1" s="1"/>
  <c r="R2553" i="1" a="1"/>
  <c r="R2553" i="1" s="1"/>
  <c r="R2554" i="1" a="1"/>
  <c r="R2554" i="1" s="1"/>
  <c r="R2555" i="1" a="1"/>
  <c r="R2555" i="1" s="1"/>
  <c r="R2556" i="1" a="1"/>
  <c r="R2556" i="1" s="1"/>
  <c r="R2557" i="1" a="1"/>
  <c r="R2557" i="1" s="1"/>
  <c r="R2558" i="1" a="1"/>
  <c r="R2558" i="1"/>
  <c r="R2559" i="1" a="1"/>
  <c r="R2559" i="1" s="1"/>
  <c r="R2560" i="1" a="1"/>
  <c r="R2560" i="1" s="1"/>
  <c r="R2561" i="1" a="1"/>
  <c r="R2561" i="1" s="1"/>
  <c r="R2562" i="1" a="1"/>
  <c r="R2562" i="1" s="1"/>
  <c r="R2563" i="1" a="1"/>
  <c r="R2563" i="1" s="1"/>
  <c r="R2564" i="1" a="1"/>
  <c r="R2564" i="1" s="1"/>
  <c r="R2565" i="1" a="1"/>
  <c r="R2565" i="1" s="1"/>
  <c r="R2566" i="1" a="1"/>
  <c r="R2566" i="1" s="1"/>
  <c r="R2567" i="1" a="1"/>
  <c r="R2567" i="1" s="1"/>
  <c r="R2568" i="1" a="1"/>
  <c r="R2568" i="1" s="1"/>
  <c r="R2569" i="1" a="1"/>
  <c r="R2569" i="1" s="1"/>
  <c r="R2570" i="1" a="1"/>
  <c r="R2570" i="1" s="1"/>
  <c r="R2571" i="1" a="1"/>
  <c r="R2571" i="1" s="1"/>
  <c r="R2572" i="1" a="1"/>
  <c r="R2572" i="1" s="1"/>
  <c r="R2573" i="1" a="1"/>
  <c r="R2573" i="1" s="1"/>
  <c r="R2574" i="1" a="1"/>
  <c r="R2574" i="1"/>
  <c r="R2575" i="1" a="1"/>
  <c r="R2575" i="1" s="1"/>
  <c r="R2576" i="1" a="1"/>
  <c r="R2576" i="1" s="1"/>
  <c r="R2577" i="1" a="1"/>
  <c r="R2577" i="1" s="1"/>
  <c r="R2578" i="1" a="1"/>
  <c r="R2578" i="1"/>
  <c r="R2579" i="1" a="1"/>
  <c r="R2579" i="1" s="1"/>
  <c r="R2580" i="1" a="1"/>
  <c r="R2580" i="1" s="1"/>
  <c r="R2581" i="1" a="1"/>
  <c r="R2581" i="1" s="1"/>
  <c r="R2582" i="1" a="1"/>
  <c r="R2582" i="1"/>
  <c r="R2583" i="1" a="1"/>
  <c r="R2583" i="1" s="1"/>
  <c r="R2584" i="1" a="1"/>
  <c r="R2584" i="1" s="1"/>
  <c r="R2585" i="1" a="1"/>
  <c r="R2585" i="1" s="1"/>
  <c r="R2586" i="1" a="1"/>
  <c r="R2586" i="1" s="1"/>
  <c r="R2587" i="1" a="1"/>
  <c r="R2587" i="1" s="1"/>
  <c r="R2588" i="1" a="1"/>
  <c r="R2588" i="1" s="1"/>
  <c r="R2589" i="1" a="1"/>
  <c r="R2589" i="1" s="1"/>
  <c r="R2590" i="1" a="1"/>
  <c r="R2590" i="1" s="1"/>
  <c r="R2591" i="1" a="1"/>
  <c r="R2591" i="1" s="1"/>
  <c r="R2592" i="1" a="1"/>
  <c r="R2592" i="1" s="1"/>
  <c r="R2593" i="1" a="1"/>
  <c r="R2593" i="1" s="1"/>
  <c r="R2594" i="1" a="1"/>
  <c r="R2594" i="1" s="1"/>
  <c r="R2595" i="1" a="1"/>
  <c r="R2595" i="1" s="1"/>
  <c r="R2596" i="1" a="1"/>
  <c r="R2596" i="1" s="1"/>
  <c r="R2597" i="1" a="1"/>
  <c r="R2597" i="1" s="1"/>
  <c r="R2598" i="1" a="1"/>
  <c r="R2598" i="1" s="1"/>
  <c r="R2599" i="1" a="1"/>
  <c r="R2599" i="1" s="1"/>
  <c r="R2600" i="1" a="1"/>
  <c r="R2600" i="1" s="1"/>
  <c r="R2601" i="1" a="1"/>
  <c r="R2601" i="1" s="1"/>
  <c r="R2602" i="1" a="1"/>
  <c r="R2602" i="1" s="1"/>
  <c r="R2603" i="1" a="1"/>
  <c r="R2603" i="1" s="1"/>
  <c r="R2604" i="1" a="1"/>
  <c r="R2604" i="1" s="1"/>
  <c r="R2605" i="1" a="1"/>
  <c r="R2605" i="1" s="1"/>
  <c r="R2606" i="1" a="1"/>
  <c r="R2606" i="1" s="1"/>
  <c r="R2607" i="1" a="1"/>
  <c r="R2607" i="1" s="1"/>
  <c r="R2608" i="1" a="1"/>
  <c r="R2608" i="1" s="1"/>
  <c r="R2609" i="1" a="1"/>
  <c r="R2609" i="1" s="1"/>
  <c r="R2610" i="1" a="1"/>
  <c r="R2610" i="1" s="1"/>
  <c r="R2611" i="1" a="1"/>
  <c r="R2611" i="1" s="1"/>
  <c r="R2612" i="1" a="1"/>
  <c r="R2612" i="1" s="1"/>
  <c r="R2613" i="1" a="1"/>
  <c r="R2613" i="1" s="1"/>
  <c r="R2614" i="1" a="1"/>
  <c r="R2614" i="1" s="1"/>
  <c r="R2615" i="1" a="1"/>
  <c r="R2615" i="1" s="1"/>
  <c r="R2616" i="1" a="1"/>
  <c r="R2616" i="1" s="1"/>
  <c r="R2617" i="1" a="1"/>
  <c r="R2617" i="1" s="1"/>
  <c r="R2618" i="1" a="1"/>
  <c r="R2618" i="1" s="1"/>
  <c r="R2619" i="1" a="1"/>
  <c r="R2619" i="1" s="1"/>
  <c r="R2620" i="1" a="1"/>
  <c r="R2620" i="1" s="1"/>
  <c r="R2621" i="1" a="1"/>
  <c r="R2621" i="1" s="1"/>
  <c r="R2622" i="1" a="1"/>
  <c r="R2622" i="1" s="1"/>
  <c r="R2623" i="1" a="1"/>
  <c r="R2623" i="1" s="1"/>
  <c r="R2624" i="1" a="1"/>
  <c r="R2624" i="1" s="1"/>
  <c r="R2625" i="1" a="1"/>
  <c r="R2625" i="1" s="1"/>
  <c r="R2626" i="1" a="1"/>
  <c r="R2626" i="1" s="1"/>
  <c r="R2627" i="1" a="1"/>
  <c r="R2627" i="1" s="1"/>
  <c r="R2628" i="1" a="1"/>
  <c r="R2628" i="1" s="1"/>
  <c r="R2629" i="1" a="1"/>
  <c r="R2629" i="1" s="1"/>
  <c r="R2630" i="1" a="1"/>
  <c r="R2630" i="1" s="1"/>
  <c r="R2631" i="1" a="1"/>
  <c r="R2631" i="1" s="1"/>
  <c r="R2632" i="1" a="1"/>
  <c r="R2632" i="1" s="1"/>
  <c r="R2633" i="1" a="1"/>
  <c r="R2633" i="1" s="1"/>
  <c r="R2634" i="1" a="1"/>
  <c r="R2634" i="1" s="1"/>
  <c r="R2635" i="1" a="1"/>
  <c r="R2635" i="1" s="1"/>
  <c r="R2636" i="1" a="1"/>
  <c r="R2636" i="1" s="1"/>
  <c r="R2637" i="1" a="1"/>
  <c r="R2637" i="1" s="1"/>
  <c r="R2638" i="1" a="1"/>
  <c r="R2638" i="1" s="1"/>
  <c r="R2639" i="1" a="1"/>
  <c r="R2639" i="1" s="1"/>
  <c r="R2640" i="1" a="1"/>
  <c r="R2640" i="1" s="1"/>
  <c r="R2641" i="1" a="1"/>
  <c r="R2641" i="1" s="1"/>
  <c r="R2642" i="1" a="1"/>
  <c r="R2642" i="1" s="1"/>
  <c r="R2643" i="1" a="1"/>
  <c r="R2643" i="1" s="1"/>
  <c r="R2644" i="1" a="1"/>
  <c r="R2644" i="1" s="1"/>
  <c r="R2645" i="1" a="1"/>
  <c r="R2645" i="1" s="1"/>
  <c r="R2646" i="1" a="1"/>
  <c r="R2646" i="1" s="1"/>
  <c r="R2647" i="1" a="1"/>
  <c r="R2647" i="1" s="1"/>
  <c r="R2648" i="1" a="1"/>
  <c r="R2648" i="1" s="1"/>
  <c r="R2649" i="1" a="1"/>
  <c r="R2649" i="1" s="1"/>
  <c r="R2650" i="1" a="1"/>
  <c r="R2650" i="1" s="1"/>
  <c r="R2651" i="1" a="1"/>
  <c r="R2651" i="1" s="1"/>
  <c r="R2652" i="1" a="1"/>
  <c r="R2652" i="1" s="1"/>
  <c r="R2653" i="1" a="1"/>
  <c r="R2653" i="1" s="1"/>
  <c r="R2654" i="1" a="1"/>
  <c r="R2654" i="1" s="1"/>
  <c r="R2655" i="1" a="1"/>
  <c r="R2655" i="1" s="1"/>
  <c r="R2656" i="1" a="1"/>
  <c r="R2656" i="1" s="1"/>
  <c r="R2657" i="1" a="1"/>
  <c r="R2657" i="1" s="1"/>
  <c r="R2658" i="1" a="1"/>
  <c r="R2658" i="1" s="1"/>
  <c r="R2659" i="1" a="1"/>
  <c r="R2659" i="1" s="1"/>
  <c r="R2660" i="1" a="1"/>
  <c r="R2660" i="1" s="1"/>
  <c r="R2661" i="1" a="1"/>
  <c r="R2661" i="1" s="1"/>
  <c r="R2662" i="1" a="1"/>
  <c r="R2662" i="1" s="1"/>
  <c r="R2663" i="1" a="1"/>
  <c r="R2663" i="1" s="1"/>
  <c r="R2664" i="1" a="1"/>
  <c r="R2664" i="1" s="1"/>
  <c r="R2665" i="1" a="1"/>
  <c r="R2665" i="1" s="1"/>
  <c r="R2666" i="1" a="1"/>
  <c r="R2666" i="1" s="1"/>
  <c r="R2667" i="1" a="1"/>
  <c r="R2667" i="1" s="1"/>
  <c r="R2668" i="1" a="1"/>
  <c r="R2668" i="1" s="1"/>
  <c r="R2669" i="1" a="1"/>
  <c r="R2669" i="1" s="1"/>
  <c r="R2670" i="1" a="1"/>
  <c r="R2670" i="1" s="1"/>
  <c r="R2671" i="1" a="1"/>
  <c r="R2671" i="1" s="1"/>
  <c r="R2672" i="1" a="1"/>
  <c r="R2672" i="1" s="1"/>
  <c r="R2673" i="1" a="1"/>
  <c r="R2673" i="1" s="1"/>
  <c r="R2674" i="1" a="1"/>
  <c r="R2674" i="1" s="1"/>
  <c r="R2675" i="1" a="1"/>
  <c r="R2675" i="1" s="1"/>
  <c r="R2676" i="1" a="1"/>
  <c r="R2676" i="1" s="1"/>
  <c r="R2677" i="1" a="1"/>
  <c r="R2677" i="1" s="1"/>
  <c r="R2678" i="1" a="1"/>
  <c r="R2678" i="1" s="1"/>
  <c r="R2679" i="1" a="1"/>
  <c r="R2679" i="1" s="1"/>
  <c r="R2680" i="1" a="1"/>
  <c r="R2680" i="1" s="1"/>
  <c r="R2681" i="1" a="1"/>
  <c r="R2681" i="1" s="1"/>
  <c r="R2682" i="1" a="1"/>
  <c r="R2682" i="1" s="1"/>
  <c r="R2683" i="1" a="1"/>
  <c r="R2683" i="1" s="1"/>
  <c r="R2684" i="1" a="1"/>
  <c r="R2684" i="1" s="1"/>
  <c r="R2685" i="1" a="1"/>
  <c r="R2685" i="1" s="1"/>
  <c r="R2686" i="1" a="1"/>
  <c r="R2686" i="1"/>
  <c r="R2687" i="1" a="1"/>
  <c r="R2687" i="1" s="1"/>
  <c r="R2688" i="1" a="1"/>
  <c r="R2688" i="1" s="1"/>
  <c r="R2689" i="1" a="1"/>
  <c r="R2689" i="1" s="1"/>
  <c r="R2690" i="1" a="1"/>
  <c r="R2690" i="1" s="1"/>
  <c r="R2691" i="1" a="1"/>
  <c r="R2691" i="1" s="1"/>
  <c r="R2692" i="1" a="1"/>
  <c r="R2692" i="1" s="1"/>
  <c r="R2693" i="1" a="1"/>
  <c r="R2693" i="1" s="1"/>
  <c r="R2694" i="1" a="1"/>
  <c r="R2694" i="1" s="1"/>
  <c r="R2695" i="1" a="1"/>
  <c r="R2695" i="1" s="1"/>
  <c r="R2696" i="1" a="1"/>
  <c r="R2696" i="1" s="1"/>
  <c r="R2697" i="1" a="1"/>
  <c r="R2697" i="1" s="1"/>
  <c r="R2698" i="1" a="1"/>
  <c r="R2698" i="1" s="1"/>
  <c r="R2699" i="1" a="1"/>
  <c r="R2699" i="1" s="1"/>
  <c r="R2700" i="1" a="1"/>
  <c r="R2700" i="1" s="1"/>
  <c r="R2701" i="1" a="1"/>
  <c r="R2701" i="1" s="1"/>
  <c r="R2702" i="1" a="1"/>
  <c r="R2702" i="1" s="1"/>
  <c r="R2703" i="1" a="1"/>
  <c r="R2703" i="1" s="1"/>
  <c r="R2704" i="1" a="1"/>
  <c r="R2704" i="1" s="1"/>
  <c r="R2705" i="1" a="1"/>
  <c r="R2705" i="1" s="1"/>
  <c r="R2706" i="1" a="1"/>
  <c r="R2706" i="1" s="1"/>
  <c r="R2707" i="1" a="1"/>
  <c r="R2707" i="1" s="1"/>
  <c r="R2708" i="1" a="1"/>
  <c r="R2708" i="1" s="1"/>
  <c r="R2709" i="1" a="1"/>
  <c r="R2709" i="1" s="1"/>
  <c r="R2710" i="1" a="1"/>
  <c r="R2710" i="1" s="1"/>
  <c r="R2711" i="1" a="1"/>
  <c r="R2711" i="1" s="1"/>
  <c r="R2712" i="1" a="1"/>
  <c r="R2712" i="1" s="1"/>
  <c r="R2713" i="1" a="1"/>
  <c r="R2713" i="1" s="1"/>
  <c r="R2714" i="1" a="1"/>
  <c r="R2714" i="1" s="1"/>
  <c r="R2715" i="1" a="1"/>
  <c r="R2715" i="1" s="1"/>
  <c r="R2716" i="1" a="1"/>
  <c r="R2716" i="1" s="1"/>
  <c r="R2717" i="1" a="1"/>
  <c r="R2717" i="1" s="1"/>
  <c r="R2718" i="1" a="1"/>
  <c r="R2718" i="1"/>
  <c r="R2719" i="1" a="1"/>
  <c r="R2719" i="1" s="1"/>
  <c r="R2720" i="1" a="1"/>
  <c r="R2720" i="1" s="1"/>
  <c r="R2721" i="1" a="1"/>
  <c r="R2721" i="1" s="1"/>
  <c r="R2722" i="1" a="1"/>
  <c r="R2722" i="1"/>
  <c r="R2723" i="1" a="1"/>
  <c r="R2723" i="1" s="1"/>
  <c r="R2724" i="1" a="1"/>
  <c r="R2724" i="1" s="1"/>
  <c r="R2725" i="1" a="1"/>
  <c r="R2725" i="1" s="1"/>
  <c r="R2726" i="1" a="1"/>
  <c r="R2726" i="1" s="1"/>
  <c r="R2727" i="1" a="1"/>
  <c r="R2727" i="1" s="1"/>
  <c r="R2728" i="1" a="1"/>
  <c r="R2728" i="1" s="1"/>
  <c r="R2729" i="1" a="1"/>
  <c r="R2729" i="1" s="1"/>
  <c r="R2730" i="1" a="1"/>
  <c r="R2730" i="1" s="1"/>
  <c r="R2731" i="1" a="1"/>
  <c r="R2731" i="1" s="1"/>
  <c r="R2732" i="1" a="1"/>
  <c r="R2732" i="1" s="1"/>
  <c r="R2733" i="1" a="1"/>
  <c r="R2733" i="1" s="1"/>
  <c r="R2734" i="1" a="1"/>
  <c r="R2734" i="1"/>
  <c r="R2735" i="1" a="1"/>
  <c r="R2735" i="1" s="1"/>
  <c r="R2736" i="1" a="1"/>
  <c r="R2736" i="1" s="1"/>
  <c r="R2737" i="1" a="1"/>
  <c r="R2737" i="1" s="1"/>
  <c r="R2738" i="1" a="1"/>
  <c r="R2738" i="1" s="1"/>
  <c r="R2739" i="1" a="1"/>
  <c r="R2739" i="1" s="1"/>
  <c r="R2740" i="1" a="1"/>
  <c r="R2740" i="1" s="1"/>
  <c r="R2741" i="1" a="1"/>
  <c r="R2741" i="1" s="1"/>
  <c r="R2742" i="1" a="1"/>
  <c r="R2742" i="1" s="1"/>
  <c r="R2743" i="1" a="1"/>
  <c r="R2743" i="1" s="1"/>
  <c r="R2744" i="1" a="1"/>
  <c r="R2744" i="1" s="1"/>
  <c r="R2745" i="1" a="1"/>
  <c r="R2745" i="1" s="1"/>
  <c r="R2746" i="1" a="1"/>
  <c r="R2746" i="1"/>
  <c r="R2747" i="1" a="1"/>
  <c r="R2747" i="1" s="1"/>
  <c r="R2748" i="1" a="1"/>
  <c r="R2748" i="1"/>
  <c r="R2749" i="1" a="1"/>
  <c r="R2749" i="1" s="1"/>
  <c r="R2750" i="1" a="1"/>
  <c r="R2750" i="1"/>
  <c r="R2751" i="1" a="1"/>
  <c r="R2751" i="1" s="1"/>
  <c r="R2752" i="1" a="1"/>
  <c r="R2752" i="1" s="1"/>
  <c r="R2753" i="1" a="1"/>
  <c r="R2753" i="1" s="1"/>
  <c r="R2754" i="1" a="1"/>
  <c r="R2754" i="1"/>
  <c r="R2755" i="1" a="1"/>
  <c r="R2755" i="1" s="1"/>
  <c r="R2756" i="1" a="1"/>
  <c r="R2756" i="1" s="1"/>
  <c r="R2757" i="1" a="1"/>
  <c r="R2757" i="1" s="1"/>
  <c r="R2758" i="1" a="1"/>
  <c r="R2758" i="1" s="1"/>
  <c r="R2759" i="1" a="1"/>
  <c r="R2759" i="1" s="1"/>
  <c r="R2760" i="1" a="1"/>
  <c r="R2760" i="1" s="1"/>
  <c r="R2761" i="1" a="1"/>
  <c r="R2761" i="1" s="1"/>
  <c r="R2762" i="1" a="1"/>
  <c r="R2762" i="1" s="1"/>
  <c r="R2763" i="1" a="1"/>
  <c r="R2763" i="1" s="1"/>
  <c r="R2764" i="1" a="1"/>
  <c r="R2764" i="1" s="1"/>
  <c r="R2765" i="1" a="1"/>
  <c r="R2765" i="1" s="1"/>
  <c r="R2766" i="1" a="1"/>
  <c r="R2766" i="1"/>
  <c r="R2767" i="1" a="1"/>
  <c r="R2767" i="1" s="1"/>
  <c r="R2768" i="1" a="1"/>
  <c r="R2768" i="1" s="1"/>
  <c r="R2769" i="1" a="1"/>
  <c r="R2769" i="1" s="1"/>
  <c r="R2770" i="1" a="1"/>
  <c r="R2770" i="1" s="1"/>
  <c r="R2771" i="1" a="1"/>
  <c r="R2771" i="1" s="1"/>
  <c r="R2772" i="1" a="1"/>
  <c r="R2772" i="1" s="1"/>
  <c r="R2773" i="1" a="1"/>
  <c r="R2773" i="1" s="1"/>
  <c r="R2774" i="1" a="1"/>
  <c r="R2774" i="1" s="1"/>
  <c r="R2775" i="1" a="1"/>
  <c r="R2775" i="1" s="1"/>
  <c r="R2776" i="1" a="1"/>
  <c r="R2776" i="1" s="1"/>
  <c r="R2777" i="1" a="1"/>
  <c r="R2777" i="1" s="1"/>
  <c r="R2778" i="1" a="1"/>
  <c r="R2778" i="1"/>
  <c r="R2779" i="1" a="1"/>
  <c r="R2779" i="1" s="1"/>
  <c r="R2780" i="1" a="1"/>
  <c r="R2780" i="1"/>
  <c r="R2781" i="1" a="1"/>
  <c r="R2781" i="1" s="1"/>
  <c r="R2782" i="1" a="1"/>
  <c r="R2782" i="1"/>
  <c r="R2783" i="1" a="1"/>
  <c r="R2783" i="1" s="1"/>
  <c r="R2784" i="1" a="1"/>
  <c r="R2784" i="1" s="1"/>
  <c r="R2785" i="1" a="1"/>
  <c r="R2785" i="1" s="1"/>
  <c r="R2786" i="1" a="1"/>
  <c r="R2786" i="1"/>
  <c r="R2787" i="1" a="1"/>
  <c r="R2787" i="1" s="1"/>
  <c r="R2788" i="1" a="1"/>
  <c r="R2788" i="1" s="1"/>
  <c r="R2789" i="1" a="1"/>
  <c r="R2789" i="1" s="1"/>
  <c r="R2790" i="1" a="1"/>
  <c r="R2790" i="1" s="1"/>
  <c r="R2791" i="1" a="1"/>
  <c r="R2791" i="1" s="1"/>
  <c r="R2792" i="1" a="1"/>
  <c r="R2792" i="1" s="1"/>
  <c r="R2793" i="1" a="1"/>
  <c r="R2793" i="1" s="1"/>
  <c r="R2794" i="1" a="1"/>
  <c r="R2794" i="1" s="1"/>
  <c r="R2795" i="1" a="1"/>
  <c r="R2795" i="1" s="1"/>
  <c r="R2796" i="1" a="1"/>
  <c r="R2796" i="1" s="1"/>
  <c r="R2797" i="1" a="1"/>
  <c r="R2797" i="1" s="1"/>
  <c r="R2798" i="1" a="1"/>
  <c r="R2798" i="1" s="1"/>
  <c r="R2799" i="1" a="1"/>
  <c r="R2799" i="1" s="1"/>
  <c r="R2800" i="1" a="1"/>
  <c r="R2800" i="1" s="1"/>
  <c r="R2801" i="1" a="1"/>
  <c r="R2801" i="1" s="1"/>
  <c r="R2802" i="1" a="1"/>
  <c r="R2802" i="1" s="1"/>
  <c r="R2803" i="1" a="1"/>
  <c r="R2803" i="1" s="1"/>
  <c r="R2804" i="1" a="1"/>
  <c r="R2804" i="1" s="1"/>
  <c r="R2805" i="1" a="1"/>
  <c r="R2805" i="1" s="1"/>
  <c r="R2806" i="1" a="1"/>
  <c r="R2806" i="1" s="1"/>
  <c r="R2807" i="1" a="1"/>
  <c r="R2807" i="1" s="1"/>
  <c r="R2808" i="1" a="1"/>
  <c r="R2808" i="1" s="1"/>
  <c r="R2809" i="1" a="1"/>
  <c r="R2809" i="1" s="1"/>
  <c r="R2810" i="1" a="1"/>
  <c r="R2810" i="1"/>
  <c r="R2811" i="1" a="1"/>
  <c r="R2811" i="1" s="1"/>
  <c r="R2812" i="1" a="1"/>
  <c r="R2812" i="1"/>
  <c r="R2813" i="1" a="1"/>
  <c r="R2813" i="1" s="1"/>
  <c r="R2814" i="1" a="1"/>
  <c r="R2814" i="1"/>
  <c r="R2815" i="1" a="1"/>
  <c r="R2815" i="1" s="1"/>
  <c r="R2816" i="1" a="1"/>
  <c r="R2816" i="1" s="1"/>
  <c r="R2817" i="1" a="1"/>
  <c r="R2817" i="1" s="1"/>
  <c r="R2818" i="1" a="1"/>
  <c r="R2818" i="1"/>
  <c r="R2819" i="1" a="1"/>
  <c r="R2819" i="1" s="1"/>
  <c r="R2820" i="1" a="1"/>
  <c r="R2820" i="1" s="1"/>
  <c r="R2821" i="1" a="1"/>
  <c r="R2821" i="1" s="1"/>
  <c r="R2822" i="1" a="1"/>
  <c r="R2822" i="1" s="1"/>
  <c r="R2823" i="1" a="1"/>
  <c r="R2823" i="1" s="1"/>
  <c r="R2824" i="1" a="1"/>
  <c r="R2824" i="1" s="1"/>
  <c r="R2825" i="1" a="1"/>
  <c r="R2825" i="1" s="1"/>
  <c r="R2826" i="1" a="1"/>
  <c r="R2826" i="1" s="1"/>
  <c r="R2827" i="1" a="1"/>
  <c r="R2827" i="1" s="1"/>
  <c r="R2828" i="1" a="1"/>
  <c r="R2828" i="1" s="1"/>
  <c r="R2829" i="1" a="1"/>
  <c r="R2829" i="1" s="1"/>
  <c r="R2830" i="1" a="1"/>
  <c r="R2830" i="1" s="1"/>
  <c r="R2831" i="1" a="1"/>
  <c r="R2831" i="1" s="1"/>
  <c r="R2832" i="1" a="1"/>
  <c r="R2832" i="1" s="1"/>
  <c r="R2833" i="1" a="1"/>
  <c r="R2833" i="1" s="1"/>
  <c r="R2834" i="1" a="1"/>
  <c r="R2834" i="1" s="1"/>
  <c r="R2835" i="1" a="1"/>
  <c r="R2835" i="1" s="1"/>
  <c r="R2836" i="1" a="1"/>
  <c r="R2836" i="1" s="1"/>
  <c r="R2837" i="1" a="1"/>
  <c r="R2837" i="1" s="1"/>
  <c r="R2838" i="1" a="1"/>
  <c r="R2838" i="1" s="1"/>
  <c r="R2839" i="1" a="1"/>
  <c r="R2839" i="1" s="1"/>
  <c r="R2840" i="1" a="1"/>
  <c r="R2840" i="1" s="1"/>
  <c r="R2841" i="1" a="1"/>
  <c r="R2841" i="1" s="1"/>
  <c r="R2842" i="1" a="1"/>
  <c r="R2842" i="1"/>
  <c r="R2843" i="1" a="1"/>
  <c r="R2843" i="1" s="1"/>
  <c r="R2844" i="1" a="1"/>
  <c r="R2844" i="1"/>
  <c r="R2845" i="1" a="1"/>
  <c r="R2845" i="1" s="1"/>
  <c r="R2846" i="1" a="1"/>
  <c r="R2846" i="1"/>
  <c r="R2847" i="1" a="1"/>
  <c r="R2847" i="1" s="1"/>
  <c r="R2848" i="1" a="1"/>
  <c r="R2848" i="1" s="1"/>
  <c r="R2849" i="1" a="1"/>
  <c r="R2849" i="1" s="1"/>
  <c r="R2850" i="1" a="1"/>
  <c r="R2850" i="1"/>
  <c r="R2851" i="1" a="1"/>
  <c r="R2851" i="1" s="1"/>
  <c r="R2852" i="1" a="1"/>
  <c r="R2852" i="1" s="1"/>
  <c r="R2853" i="1" a="1"/>
  <c r="R2853" i="1" s="1"/>
  <c r="R2854" i="1" a="1"/>
  <c r="R2854" i="1" s="1"/>
  <c r="R2855" i="1" a="1"/>
  <c r="R2855" i="1" s="1"/>
  <c r="R2856" i="1" a="1"/>
  <c r="R2856" i="1" s="1"/>
  <c r="R2857" i="1" a="1"/>
  <c r="R2857" i="1" s="1"/>
  <c r="R2858" i="1" a="1"/>
  <c r="R2858" i="1" s="1"/>
  <c r="R2859" i="1" a="1"/>
  <c r="R2859" i="1" s="1"/>
  <c r="R2860" i="1" a="1"/>
  <c r="R2860" i="1" s="1"/>
  <c r="R2861" i="1" a="1"/>
  <c r="R2861" i="1" s="1"/>
  <c r="R2862" i="1" a="1"/>
  <c r="R2862" i="1" s="1"/>
  <c r="R2863" i="1" a="1"/>
  <c r="R2863" i="1" s="1"/>
  <c r="R2864" i="1" a="1"/>
  <c r="R2864" i="1" s="1"/>
  <c r="R2865" i="1" a="1"/>
  <c r="R2865" i="1" s="1"/>
  <c r="R2866" i="1" a="1"/>
  <c r="R2866" i="1" s="1"/>
  <c r="R2867" i="1" a="1"/>
  <c r="R2867" i="1" s="1"/>
  <c r="R2868" i="1" a="1"/>
  <c r="R2868" i="1" s="1"/>
  <c r="R2869" i="1" a="1"/>
  <c r="R2869" i="1" s="1"/>
  <c r="R2870" i="1" a="1"/>
  <c r="R2870" i="1" s="1"/>
  <c r="R2871" i="1" a="1"/>
  <c r="R2871" i="1" s="1"/>
  <c r="R2872" i="1" a="1"/>
  <c r="R2872" i="1" s="1"/>
  <c r="R2873" i="1" a="1"/>
  <c r="R2873" i="1" s="1"/>
  <c r="R2874" i="1" a="1"/>
  <c r="R2874" i="1"/>
  <c r="R2875" i="1" a="1"/>
  <c r="R2875" i="1" s="1"/>
  <c r="R2876" i="1" a="1"/>
  <c r="R2876" i="1"/>
  <c r="R2877" i="1" a="1"/>
  <c r="R2877" i="1" s="1"/>
  <c r="R2878" i="1" a="1"/>
  <c r="R2878" i="1"/>
  <c r="R2879" i="1" a="1"/>
  <c r="R2879" i="1" s="1"/>
  <c r="R2880" i="1" a="1"/>
  <c r="R2880" i="1" s="1"/>
  <c r="R2881" i="1" a="1"/>
  <c r="R2881" i="1" s="1"/>
  <c r="R2882" i="1" a="1"/>
  <c r="R2882" i="1"/>
  <c r="R2883" i="1" a="1"/>
  <c r="R2883" i="1" s="1"/>
  <c r="R2884" i="1" a="1"/>
  <c r="R2884" i="1" s="1"/>
  <c r="R2885" i="1" a="1"/>
  <c r="R2885" i="1" s="1"/>
  <c r="R2886" i="1" a="1"/>
  <c r="R2886" i="1" s="1"/>
  <c r="R2887" i="1" a="1"/>
  <c r="R2887" i="1" s="1"/>
  <c r="R2888" i="1" a="1"/>
  <c r="R2888" i="1" s="1"/>
  <c r="R2889" i="1" a="1"/>
  <c r="R2889" i="1" s="1"/>
  <c r="R2890" i="1" a="1"/>
  <c r="R2890" i="1" s="1"/>
  <c r="R2891" i="1" a="1"/>
  <c r="R2891" i="1" s="1"/>
  <c r="R2892" i="1" a="1"/>
  <c r="R2892" i="1" s="1"/>
  <c r="R2893" i="1" a="1"/>
  <c r="R2893" i="1" s="1"/>
  <c r="R2894" i="1" a="1"/>
  <c r="R2894" i="1" s="1"/>
  <c r="R2895" i="1" a="1"/>
  <c r="R2895" i="1" s="1"/>
  <c r="R2896" i="1" a="1"/>
  <c r="R2896" i="1" s="1"/>
  <c r="R2897" i="1" a="1"/>
  <c r="R2897" i="1" s="1"/>
  <c r="R2898" i="1" a="1"/>
  <c r="R2898" i="1" s="1"/>
  <c r="R2899" i="1" a="1"/>
  <c r="R2899" i="1" s="1"/>
  <c r="R2900" i="1" a="1"/>
  <c r="R2900" i="1" s="1"/>
  <c r="R2901" i="1" a="1"/>
  <c r="R2901" i="1" s="1"/>
  <c r="R2902" i="1" a="1"/>
  <c r="R2902" i="1" s="1"/>
  <c r="R2903" i="1" a="1"/>
  <c r="R2903" i="1" s="1"/>
  <c r="R2904" i="1" a="1"/>
  <c r="R2904" i="1" s="1"/>
  <c r="R2905" i="1" a="1"/>
  <c r="R2905" i="1" s="1"/>
  <c r="R2906" i="1" a="1"/>
  <c r="R2906" i="1"/>
  <c r="R2907" i="1" a="1"/>
  <c r="R2907" i="1" s="1"/>
  <c r="R2908" i="1" a="1"/>
  <c r="R2908" i="1"/>
  <c r="R2909" i="1" a="1"/>
  <c r="R2909" i="1" s="1"/>
  <c r="R2910" i="1" a="1"/>
  <c r="R2910" i="1"/>
  <c r="R2911" i="1" a="1"/>
  <c r="R2911" i="1" s="1"/>
  <c r="R2912" i="1" a="1"/>
  <c r="R2912" i="1" s="1"/>
  <c r="R2913" i="1" a="1"/>
  <c r="R2913" i="1" s="1"/>
  <c r="R2914" i="1" a="1"/>
  <c r="R2914" i="1"/>
  <c r="R2915" i="1" a="1"/>
  <c r="R2915" i="1" s="1"/>
  <c r="R2916" i="1" a="1"/>
  <c r="R2916" i="1" s="1"/>
  <c r="R2917" i="1" a="1"/>
  <c r="R2917" i="1" s="1"/>
  <c r="R2918" i="1" a="1"/>
  <c r="R2918" i="1" s="1"/>
  <c r="R2919" i="1" a="1"/>
  <c r="R2919" i="1" s="1"/>
  <c r="R2920" i="1" a="1"/>
  <c r="R2920" i="1" s="1"/>
  <c r="R2921" i="1" a="1"/>
  <c r="R2921" i="1" s="1"/>
  <c r="R2922" i="1" a="1"/>
  <c r="R2922" i="1" s="1"/>
  <c r="R2923" i="1" a="1"/>
  <c r="R2923" i="1" s="1"/>
  <c r="R2924" i="1" a="1"/>
  <c r="R2924" i="1" s="1"/>
  <c r="R2925" i="1" a="1"/>
  <c r="R2925" i="1" s="1"/>
  <c r="R2926" i="1" a="1"/>
  <c r="R2926" i="1" s="1"/>
  <c r="R2927" i="1" a="1"/>
  <c r="R2927" i="1" s="1"/>
  <c r="R2928" i="1" a="1"/>
  <c r="R2928" i="1" s="1"/>
  <c r="R2929" i="1" a="1"/>
  <c r="R2929" i="1" s="1"/>
  <c r="R2930" i="1" a="1"/>
  <c r="R2930" i="1" s="1"/>
  <c r="R2931" i="1" a="1"/>
  <c r="R2931" i="1" s="1"/>
  <c r="R2932" i="1" a="1"/>
  <c r="R2932" i="1" s="1"/>
  <c r="R2933" i="1" a="1"/>
  <c r="R2933" i="1" s="1"/>
  <c r="R2934" i="1" a="1"/>
  <c r="R2934" i="1" s="1"/>
  <c r="R2935" i="1" a="1"/>
  <c r="R2935" i="1" s="1"/>
  <c r="R2936" i="1" a="1"/>
  <c r="R2936" i="1" s="1"/>
  <c r="R2937" i="1" a="1"/>
  <c r="R2937" i="1" s="1"/>
  <c r="R2938" i="1" a="1"/>
  <c r="R2938" i="1"/>
  <c r="R2939" i="1" a="1"/>
  <c r="R2939" i="1" s="1"/>
  <c r="R2940" i="1" a="1"/>
  <c r="R2940" i="1"/>
  <c r="R2941" i="1" a="1"/>
  <c r="R2941" i="1" s="1"/>
  <c r="R2942" i="1" a="1"/>
  <c r="R2942" i="1"/>
  <c r="R2943" i="1" a="1"/>
  <c r="R2943" i="1" s="1"/>
  <c r="R2944" i="1" a="1"/>
  <c r="R2944" i="1" s="1"/>
  <c r="R2945" i="1" a="1"/>
  <c r="R2945" i="1" s="1"/>
  <c r="R2946" i="1" a="1"/>
  <c r="R2946" i="1"/>
  <c r="R2947" i="1" a="1"/>
  <c r="R2947" i="1" s="1"/>
  <c r="R2948" i="1" a="1"/>
  <c r="R2948" i="1" s="1"/>
  <c r="R2949" i="1" a="1"/>
  <c r="R2949" i="1" s="1"/>
  <c r="R2950" i="1" a="1"/>
  <c r="R2950" i="1" s="1"/>
  <c r="R2951" i="1" a="1"/>
  <c r="R2951" i="1" s="1"/>
  <c r="R2952" i="1" a="1"/>
  <c r="R2952" i="1" s="1"/>
  <c r="R2953" i="1" a="1"/>
  <c r="R2953" i="1" s="1"/>
  <c r="R2954" i="1" a="1"/>
  <c r="R2954" i="1" s="1"/>
  <c r="R2955" i="1" a="1"/>
  <c r="R2955" i="1" s="1"/>
  <c r="R2956" i="1" a="1"/>
  <c r="R2956" i="1" s="1"/>
  <c r="R2957" i="1" a="1"/>
  <c r="R2957" i="1" s="1"/>
  <c r="R2958" i="1" a="1"/>
  <c r="R2958" i="1" s="1"/>
  <c r="R2959" i="1" a="1"/>
  <c r="R2959" i="1" s="1"/>
  <c r="R2960" i="1" a="1"/>
  <c r="R2960" i="1" s="1"/>
  <c r="R2961" i="1" a="1"/>
  <c r="R2961" i="1" s="1"/>
  <c r="R2962" i="1" a="1"/>
  <c r="R2962" i="1" s="1"/>
  <c r="R2963" i="1" a="1"/>
  <c r="R2963" i="1" s="1"/>
  <c r="R2964" i="1" a="1"/>
  <c r="R2964" i="1" s="1"/>
  <c r="R2965" i="1" a="1"/>
  <c r="R2965" i="1" s="1"/>
  <c r="R2966" i="1" a="1"/>
  <c r="R2966" i="1" s="1"/>
  <c r="R2967" i="1" a="1"/>
  <c r="R2967" i="1" s="1"/>
  <c r="R2968" i="1" a="1"/>
  <c r="R2968" i="1" s="1"/>
  <c r="R2969" i="1" a="1"/>
  <c r="R2969" i="1" s="1"/>
  <c r="R2970" i="1" a="1"/>
  <c r="R2970" i="1"/>
  <c r="R2971" i="1" a="1"/>
  <c r="R2971" i="1" s="1"/>
  <c r="R2972" i="1" a="1"/>
  <c r="R2972" i="1"/>
  <c r="R2973" i="1" a="1"/>
  <c r="R2973" i="1" s="1"/>
  <c r="R2974" i="1" a="1"/>
  <c r="R2974" i="1"/>
  <c r="R2975" i="1" a="1"/>
  <c r="R2975" i="1" s="1"/>
  <c r="R2976" i="1" a="1"/>
  <c r="R2976" i="1" s="1"/>
  <c r="R2977" i="1" a="1"/>
  <c r="R2977" i="1" s="1"/>
  <c r="R2978" i="1" a="1"/>
  <c r="R2978" i="1"/>
  <c r="R2979" i="1" a="1"/>
  <c r="R2979" i="1" s="1"/>
  <c r="R2980" i="1" a="1"/>
  <c r="R2980" i="1" s="1"/>
  <c r="R2981" i="1" a="1"/>
  <c r="R2981" i="1" s="1"/>
  <c r="R2982" i="1" a="1"/>
  <c r="R2982" i="1" s="1"/>
  <c r="R2983" i="1" a="1"/>
  <c r="R2983" i="1" s="1"/>
  <c r="R2984" i="1" a="1"/>
  <c r="R2984" i="1" s="1"/>
  <c r="R2985" i="1" a="1"/>
  <c r="R2985" i="1" s="1"/>
  <c r="R2986" i="1" a="1"/>
  <c r="R2986" i="1" s="1"/>
  <c r="R2987" i="1" a="1"/>
  <c r="R2987" i="1" s="1"/>
  <c r="R2988" i="1" a="1"/>
  <c r="R2988" i="1" s="1"/>
  <c r="R2989" i="1" a="1"/>
  <c r="R2989" i="1" s="1"/>
  <c r="R2990" i="1" a="1"/>
  <c r="R2990" i="1" s="1"/>
  <c r="R2991" i="1" a="1"/>
  <c r="R2991" i="1" s="1"/>
  <c r="R2992" i="1" a="1"/>
  <c r="R2992" i="1" s="1"/>
  <c r="R2993" i="1" a="1"/>
  <c r="R2993" i="1" s="1"/>
  <c r="R2994" i="1" a="1"/>
  <c r="R2994" i="1" s="1"/>
  <c r="R2995" i="1" a="1"/>
  <c r="R2995" i="1" s="1"/>
  <c r="R2996" i="1" a="1"/>
  <c r="R2996" i="1" s="1"/>
  <c r="R2997" i="1" a="1"/>
  <c r="R2997" i="1" s="1"/>
  <c r="R2998" i="1" a="1"/>
  <c r="R2998" i="1" s="1"/>
  <c r="R2999" i="1" a="1"/>
  <c r="R2999" i="1" s="1"/>
  <c r="R3000" i="1" a="1"/>
  <c r="R3000" i="1" s="1"/>
  <c r="R3001" i="1" a="1"/>
  <c r="R3001" i="1" s="1"/>
  <c r="R3002" i="1" a="1"/>
  <c r="R3002" i="1"/>
  <c r="R3003" i="1" a="1"/>
  <c r="R3003" i="1" s="1"/>
  <c r="R3004" i="1" a="1"/>
  <c r="R3004" i="1"/>
  <c r="R3005" i="1" a="1"/>
  <c r="R3005" i="1" s="1"/>
  <c r="R3006" i="1" a="1"/>
  <c r="R3006" i="1"/>
  <c r="R3007" i="1" a="1"/>
  <c r="R3007" i="1" s="1"/>
  <c r="R3008" i="1" a="1"/>
  <c r="R3008" i="1" s="1"/>
  <c r="R3009" i="1" a="1"/>
  <c r="R3009" i="1" s="1"/>
  <c r="R3010" i="1" a="1"/>
  <c r="R3010" i="1"/>
  <c r="R3011" i="1" a="1"/>
  <c r="R3011" i="1" s="1"/>
  <c r="R3012" i="1" a="1"/>
  <c r="R3012" i="1" s="1"/>
  <c r="R3013" i="1" a="1"/>
  <c r="R3013" i="1" s="1"/>
  <c r="R3014" i="1" a="1"/>
  <c r="R3014" i="1" s="1"/>
  <c r="R3015" i="1" a="1"/>
  <c r="R3015" i="1" s="1"/>
  <c r="R3016" i="1" a="1"/>
  <c r="R3016" i="1" s="1"/>
  <c r="R3017" i="1" a="1"/>
  <c r="R3017" i="1" s="1"/>
  <c r="R3018" i="1" a="1"/>
  <c r="R3018" i="1" s="1"/>
  <c r="R3019" i="1" a="1"/>
  <c r="R3019" i="1" s="1"/>
  <c r="R3020" i="1" a="1"/>
  <c r="R3020" i="1" s="1"/>
  <c r="R3021" i="1" a="1"/>
  <c r="R3021" i="1" s="1"/>
  <c r="R3022" i="1" a="1"/>
  <c r="R3022" i="1" s="1"/>
  <c r="R3023" i="1" a="1"/>
  <c r="R3023" i="1" s="1"/>
  <c r="R3024" i="1" a="1"/>
  <c r="R3024" i="1" s="1"/>
  <c r="R3025" i="1" a="1"/>
  <c r="R3025" i="1" s="1"/>
  <c r="R3026" i="1" a="1"/>
  <c r="R3026" i="1" s="1"/>
  <c r="R3027" i="1" a="1"/>
  <c r="R3027" i="1" s="1"/>
  <c r="R3028" i="1" a="1"/>
  <c r="R3028" i="1" s="1"/>
  <c r="R3029" i="1" a="1"/>
  <c r="R3029" i="1" s="1"/>
  <c r="R3030" i="1" a="1"/>
  <c r="R3030" i="1" s="1"/>
  <c r="R3031" i="1" a="1"/>
  <c r="R3031" i="1" s="1"/>
  <c r="R3032" i="1" a="1"/>
  <c r="R3032" i="1" s="1"/>
  <c r="R3033" i="1" a="1"/>
  <c r="R3033" i="1" s="1"/>
  <c r="R3034" i="1" a="1"/>
  <c r="R3034" i="1"/>
  <c r="R3035" i="1" a="1"/>
  <c r="R3035" i="1" s="1"/>
  <c r="R3036" i="1" a="1"/>
  <c r="R3036" i="1"/>
  <c r="R3037" i="1" a="1"/>
  <c r="R3037" i="1" s="1"/>
  <c r="R3038" i="1" a="1"/>
  <c r="R3038" i="1"/>
  <c r="R3039" i="1" a="1"/>
  <c r="R3039" i="1" s="1"/>
  <c r="R3040" i="1" a="1"/>
  <c r="R3040" i="1" s="1"/>
  <c r="R3041" i="1" a="1"/>
  <c r="R3041" i="1" s="1"/>
  <c r="R3042" i="1" a="1"/>
  <c r="R3042" i="1"/>
  <c r="R3043" i="1" a="1"/>
  <c r="R3043" i="1" s="1"/>
  <c r="R3044" i="1" a="1"/>
  <c r="R3044" i="1" s="1"/>
  <c r="R3045" i="1" a="1"/>
  <c r="R3045" i="1" s="1"/>
  <c r="R3046" i="1" a="1"/>
  <c r="R3046" i="1" s="1"/>
  <c r="R3047" i="1" a="1"/>
  <c r="R3047" i="1" s="1"/>
  <c r="R3048" i="1" a="1"/>
  <c r="R3048" i="1" s="1"/>
  <c r="R3049" i="1" a="1"/>
  <c r="R3049" i="1" s="1"/>
  <c r="R3050" i="1" a="1"/>
  <c r="R3050" i="1" s="1"/>
  <c r="R3051" i="1" a="1"/>
  <c r="R3051" i="1" s="1"/>
  <c r="R3052" i="1" a="1"/>
  <c r="R3052" i="1" s="1"/>
  <c r="R3053" i="1" a="1"/>
  <c r="R3053" i="1" s="1"/>
  <c r="R3054" i="1" a="1"/>
  <c r="R3054" i="1" s="1"/>
  <c r="R3055" i="1" a="1"/>
  <c r="R3055" i="1" s="1"/>
  <c r="R3056" i="1" a="1"/>
  <c r="R3056" i="1" s="1"/>
  <c r="R3057" i="1" a="1"/>
  <c r="R3057" i="1" s="1"/>
  <c r="R3058" i="1" a="1"/>
  <c r="R3058" i="1" s="1"/>
  <c r="R3059" i="1" a="1"/>
  <c r="R3059" i="1" s="1"/>
  <c r="R3060" i="1" a="1"/>
  <c r="R3060" i="1" s="1"/>
  <c r="R3061" i="1" a="1"/>
  <c r="R3061" i="1" s="1"/>
  <c r="R3062" i="1" a="1"/>
  <c r="R3062" i="1" s="1"/>
  <c r="R3063" i="1" a="1"/>
  <c r="R3063" i="1"/>
  <c r="R3064" i="1" a="1"/>
  <c r="R3064" i="1"/>
  <c r="R3065" i="1" a="1"/>
  <c r="R3065" i="1" s="1"/>
  <c r="R3066" i="1" a="1"/>
  <c r="R3066" i="1"/>
  <c r="R3067" i="1" a="1"/>
  <c r="R3067" i="1" s="1"/>
  <c r="R3068" i="1" a="1"/>
  <c r="R3068" i="1" s="1"/>
  <c r="R3069" i="1" a="1"/>
  <c r="R3069" i="1" s="1"/>
  <c r="R3070" i="1" a="1"/>
  <c r="R3070" i="1" s="1"/>
  <c r="R3071" i="1" a="1"/>
  <c r="R3071" i="1"/>
  <c r="R3072" i="1" a="1"/>
  <c r="R3072" i="1"/>
  <c r="R3073" i="1" a="1"/>
  <c r="R3073" i="1" s="1"/>
  <c r="R3074" i="1" a="1"/>
  <c r="R3074" i="1" s="1"/>
  <c r="R3075" i="1" a="1"/>
  <c r="R3075" i="1" s="1"/>
  <c r="R3076" i="1" a="1"/>
  <c r="R3076" i="1" s="1"/>
  <c r="R3077" i="1" a="1"/>
  <c r="R3077" i="1" s="1"/>
  <c r="R3078" i="1" a="1"/>
  <c r="R3078" i="1"/>
  <c r="R3079" i="1" a="1"/>
  <c r="R3079" i="1" s="1"/>
  <c r="R3080" i="1" a="1"/>
  <c r="R3080" i="1"/>
  <c r="R3081" i="1" a="1"/>
  <c r="R3081" i="1" s="1"/>
  <c r="R3082" i="1" a="1"/>
  <c r="R3082" i="1" s="1"/>
  <c r="R3083" i="1" a="1"/>
  <c r="R3083" i="1" s="1"/>
  <c r="R3084" i="1" a="1"/>
  <c r="R3084" i="1"/>
  <c r="R3085" i="1" a="1"/>
  <c r="R3085" i="1" s="1"/>
  <c r="R3086" i="1" a="1"/>
  <c r="R3086" i="1"/>
  <c r="R3087" i="1" a="1"/>
  <c r="R3087" i="1"/>
  <c r="R3088" i="1" a="1"/>
  <c r="R3088" i="1" s="1"/>
  <c r="R3089" i="1" a="1"/>
  <c r="R3089" i="1" s="1"/>
  <c r="R3090" i="1" a="1"/>
  <c r="R3090" i="1" s="1"/>
  <c r="R3091" i="1" a="1"/>
  <c r="R3091" i="1" s="1"/>
  <c r="R3092" i="1" a="1"/>
  <c r="R3092" i="1" s="1"/>
  <c r="R3093" i="1" a="1"/>
  <c r="R3093" i="1" s="1"/>
  <c r="R3094" i="1" a="1"/>
  <c r="R3094" i="1"/>
  <c r="R3095" i="1" a="1"/>
  <c r="R3095" i="1" s="1"/>
  <c r="R3096" i="1" a="1"/>
  <c r="R3096" i="1" s="1"/>
  <c r="R3097" i="1" a="1"/>
  <c r="R3097" i="1" s="1"/>
  <c r="R3098" i="1" a="1"/>
  <c r="R3098" i="1" s="1"/>
  <c r="R3099" i="1" a="1"/>
  <c r="R3099" i="1" s="1"/>
  <c r="R3100" i="1" a="1"/>
  <c r="R3100" i="1" s="1"/>
  <c r="R3101" i="1" a="1"/>
  <c r="R3101" i="1" s="1"/>
  <c r="R3102" i="1" a="1"/>
  <c r="R3102" i="1" s="1"/>
  <c r="R3103" i="1" a="1"/>
  <c r="R3103" i="1"/>
  <c r="R3104" i="1" a="1"/>
  <c r="R3104" i="1" s="1"/>
  <c r="R3105" i="1" a="1"/>
  <c r="R3105" i="1" s="1"/>
  <c r="R3106" i="1" a="1"/>
  <c r="R3106" i="1" s="1"/>
  <c r="R3107" i="1" a="1"/>
  <c r="R3107" i="1"/>
  <c r="R3108" i="1" a="1"/>
  <c r="R3108" i="1" s="1"/>
  <c r="R3109" i="1" a="1"/>
  <c r="R3109" i="1" s="1"/>
  <c r="R3110" i="1" a="1"/>
  <c r="R3110" i="1" s="1"/>
  <c r="R3111" i="1" a="1"/>
  <c r="R3111" i="1" s="1"/>
  <c r="R3112" i="1" a="1"/>
  <c r="R3112" i="1" s="1"/>
  <c r="R3113" i="1" a="1"/>
  <c r="R3113" i="1" s="1"/>
  <c r="R3114" i="1" a="1"/>
  <c r="R3114" i="1" s="1"/>
  <c r="R3115" i="1" a="1"/>
  <c r="R3115" i="1" s="1"/>
  <c r="R3116" i="1" a="1"/>
  <c r="R3116" i="1" s="1"/>
  <c r="R3117" i="1" a="1"/>
  <c r="R3117" i="1" s="1"/>
  <c r="R3118" i="1" a="1"/>
  <c r="R3118" i="1" s="1"/>
  <c r="R3119" i="1" a="1"/>
  <c r="R3119" i="1" s="1"/>
  <c r="R3120" i="1" a="1"/>
  <c r="R3120" i="1" s="1"/>
  <c r="R3121" i="1" a="1"/>
  <c r="R3121" i="1" s="1"/>
  <c r="R3122" i="1" a="1"/>
  <c r="R3122" i="1" s="1"/>
  <c r="R3123" i="1" a="1"/>
  <c r="R3123" i="1" s="1"/>
  <c r="R3124" i="1" a="1"/>
  <c r="R3124" i="1" s="1"/>
  <c r="R3125" i="1" a="1"/>
  <c r="R3125" i="1" s="1"/>
  <c r="R3126" i="1" a="1"/>
  <c r="R3126" i="1" s="1"/>
  <c r="R3127" i="1" a="1"/>
  <c r="R3127" i="1"/>
  <c r="R3128" i="1" a="1"/>
  <c r="R3128" i="1"/>
  <c r="R3129" i="1" a="1"/>
  <c r="R3129" i="1" s="1"/>
  <c r="R3130" i="1" a="1"/>
  <c r="R3130" i="1"/>
  <c r="R3131" i="1" a="1"/>
  <c r="R3131" i="1" s="1"/>
  <c r="R3132" i="1" a="1"/>
  <c r="R3132" i="1" s="1"/>
  <c r="R3133" i="1" a="1"/>
  <c r="R3133" i="1" s="1"/>
  <c r="R3134" i="1" a="1"/>
  <c r="R3134" i="1" s="1"/>
  <c r="R3135" i="1" a="1"/>
  <c r="R3135" i="1"/>
  <c r="R3136" i="1" a="1"/>
  <c r="R3136" i="1"/>
  <c r="R3137" i="1" a="1"/>
  <c r="R3137" i="1" s="1"/>
  <c r="R3138" i="1" a="1"/>
  <c r="R3138" i="1" s="1"/>
  <c r="R3139" i="1" a="1"/>
  <c r="R3139" i="1" s="1"/>
  <c r="R3140" i="1" a="1"/>
  <c r="R3140" i="1" s="1"/>
  <c r="R3141" i="1" a="1"/>
  <c r="R3141" i="1" s="1"/>
  <c r="R3142" i="1" a="1"/>
  <c r="R3142" i="1"/>
  <c r="R3143" i="1" a="1"/>
  <c r="R3143" i="1" s="1"/>
  <c r="R3144" i="1" a="1"/>
  <c r="R3144" i="1"/>
  <c r="R3145" i="1" a="1"/>
  <c r="R3145" i="1" s="1"/>
  <c r="R3146" i="1" a="1"/>
  <c r="R3146" i="1" s="1"/>
  <c r="R3147" i="1" a="1"/>
  <c r="R3147" i="1" s="1"/>
  <c r="R3148" i="1" a="1"/>
  <c r="R3148" i="1"/>
  <c r="R3149" i="1" a="1"/>
  <c r="R3149" i="1" s="1"/>
  <c r="R3150" i="1" a="1"/>
  <c r="R3150" i="1"/>
  <c r="R3151" i="1" a="1"/>
  <c r="R3151" i="1"/>
  <c r="R3152" i="1" a="1"/>
  <c r="R3152" i="1" s="1"/>
  <c r="R3153" i="1" a="1"/>
  <c r="R3153" i="1" s="1"/>
  <c r="R3154" i="1" a="1"/>
  <c r="R3154" i="1" s="1"/>
  <c r="R3155" i="1" a="1"/>
  <c r="R3155" i="1" s="1"/>
  <c r="R3156" i="1" a="1"/>
  <c r="R3156" i="1" s="1"/>
  <c r="R3157" i="1" a="1"/>
  <c r="R3157" i="1" s="1"/>
  <c r="R3158" i="1" a="1"/>
  <c r="R3158" i="1"/>
  <c r="R3159" i="1" a="1"/>
  <c r="R3159" i="1" s="1"/>
  <c r="R3160" i="1" a="1"/>
  <c r="R3160" i="1" s="1"/>
  <c r="R3161" i="1" a="1"/>
  <c r="R3161" i="1" s="1"/>
  <c r="R3162" i="1" a="1"/>
  <c r="R3162" i="1" s="1"/>
  <c r="R3163" i="1" a="1"/>
  <c r="R3163" i="1" s="1"/>
  <c r="R3164" i="1" a="1"/>
  <c r="R3164" i="1" s="1"/>
  <c r="R3165" i="1" a="1"/>
  <c r="R3165" i="1" s="1"/>
  <c r="R3166" i="1" a="1"/>
  <c r="R3166" i="1" s="1"/>
  <c r="R3167" i="1" a="1"/>
  <c r="R3167" i="1"/>
  <c r="R3168" i="1" a="1"/>
  <c r="R3168" i="1" s="1"/>
  <c r="R3169" i="1" a="1"/>
  <c r="R3169" i="1" s="1"/>
  <c r="R3170" i="1" a="1"/>
  <c r="R3170" i="1" s="1"/>
  <c r="R3171" i="1" a="1"/>
  <c r="R3171" i="1"/>
  <c r="R3172" i="1" a="1"/>
  <c r="R3172" i="1" s="1"/>
  <c r="R3173" i="1" a="1"/>
  <c r="R3173" i="1" s="1"/>
  <c r="R3174" i="1" a="1"/>
  <c r="R3174" i="1" s="1"/>
  <c r="R3175" i="1" a="1"/>
  <c r="R3175" i="1" s="1"/>
  <c r="R3176" i="1" a="1"/>
  <c r="R3176" i="1" s="1"/>
  <c r="R3177" i="1" a="1"/>
  <c r="R3177" i="1" s="1"/>
  <c r="R3178" i="1" a="1"/>
  <c r="R3178" i="1" s="1"/>
  <c r="R3179" i="1" a="1"/>
  <c r="R3179" i="1" s="1"/>
  <c r="R3180" i="1" a="1"/>
  <c r="R3180" i="1" s="1"/>
  <c r="R3181" i="1" a="1"/>
  <c r="R3181" i="1" s="1"/>
  <c r="R3182" i="1" a="1"/>
  <c r="R3182" i="1" s="1"/>
  <c r="R3183" i="1" a="1"/>
  <c r="R3183" i="1"/>
  <c r="R3184" i="1" a="1"/>
  <c r="R3184" i="1" s="1"/>
  <c r="R3185" i="1" a="1"/>
  <c r="R3185" i="1" s="1"/>
  <c r="R3186" i="1" a="1"/>
  <c r="R3186" i="1" s="1"/>
  <c r="R3187" i="1" a="1"/>
  <c r="R3187" i="1" s="1"/>
  <c r="R3188" i="1" a="1"/>
  <c r="R3188" i="1"/>
  <c r="R3189" i="1" a="1"/>
  <c r="R3189" i="1" s="1"/>
  <c r="R3190" i="1" a="1"/>
  <c r="R3190" i="1" s="1"/>
  <c r="R3191" i="1" a="1"/>
  <c r="R3191" i="1" s="1"/>
  <c r="R3192" i="1" a="1"/>
  <c r="R3192" i="1" s="1"/>
  <c r="R3193" i="1" a="1"/>
  <c r="R3193" i="1" s="1"/>
  <c r="R3194" i="1" a="1"/>
  <c r="R3194" i="1" s="1"/>
  <c r="R3195" i="1" a="1"/>
  <c r="R3195" i="1" s="1"/>
  <c r="R3196" i="1" a="1"/>
  <c r="R3196" i="1" s="1"/>
  <c r="R3197" i="1" a="1"/>
  <c r="R3197" i="1" s="1"/>
  <c r="R3198" i="1" a="1"/>
  <c r="R3198" i="1" s="1"/>
  <c r="R3199" i="1" a="1"/>
  <c r="R3199" i="1"/>
  <c r="R3200" i="1" a="1"/>
  <c r="R3200" i="1" s="1"/>
  <c r="R3201" i="1" a="1"/>
  <c r="R3201" i="1" s="1"/>
  <c r="R3202" i="1" a="1"/>
  <c r="R3202" i="1"/>
  <c r="R3203" i="1" a="1"/>
  <c r="R3203" i="1" s="1"/>
  <c r="R3204" i="1" a="1"/>
  <c r="R3204" i="1" s="1"/>
  <c r="R3205" i="1" a="1"/>
  <c r="R3205" i="1" s="1"/>
  <c r="R3206" i="1" a="1"/>
  <c r="R3206" i="1" s="1"/>
  <c r="R3207" i="1" a="1"/>
  <c r="R3207" i="1" s="1"/>
  <c r="R3208" i="1" a="1"/>
  <c r="R3208" i="1"/>
  <c r="R3209" i="1" a="1"/>
  <c r="R3209" i="1" s="1"/>
  <c r="R3210" i="1" a="1"/>
  <c r="R3210" i="1"/>
  <c r="R3211" i="1" a="1"/>
  <c r="R3211" i="1" s="1"/>
  <c r="R3212" i="1" a="1"/>
  <c r="R3212" i="1"/>
  <c r="R3213" i="1" a="1"/>
  <c r="R3213" i="1" s="1"/>
  <c r="R3214" i="1" a="1"/>
  <c r="R3214" i="1" s="1"/>
  <c r="R3215" i="1" a="1"/>
  <c r="R3215" i="1" s="1"/>
  <c r="R3216" i="1" a="1"/>
  <c r="R3216" i="1" s="1"/>
  <c r="R3217" i="1" a="1"/>
  <c r="R3217" i="1" s="1"/>
  <c r="R3218" i="1" a="1"/>
  <c r="R3218" i="1" s="1"/>
  <c r="R3219" i="1" a="1"/>
  <c r="R3219" i="1" s="1"/>
  <c r="R3220" i="1" a="1"/>
  <c r="R3220" i="1" s="1"/>
  <c r="R3221" i="1" a="1"/>
  <c r="R3221" i="1" s="1"/>
  <c r="R3222" i="1" a="1"/>
  <c r="R3222" i="1" s="1"/>
  <c r="R3223" i="1" a="1"/>
  <c r="R3223" i="1"/>
  <c r="R3224" i="1" a="1"/>
  <c r="R3224" i="1"/>
  <c r="R3225" i="1" a="1"/>
  <c r="R3225" i="1" s="1"/>
  <c r="R3226" i="1" a="1"/>
  <c r="R3226" i="1"/>
  <c r="R3227" i="1" a="1"/>
  <c r="R3227" i="1"/>
  <c r="R3228" i="1" a="1"/>
  <c r="R3228" i="1" s="1"/>
  <c r="R3229" i="1" a="1"/>
  <c r="R3229" i="1" s="1"/>
  <c r="R3230" i="1" a="1"/>
  <c r="R3230" i="1" s="1"/>
  <c r="R3231" i="1" a="1"/>
  <c r="R3231" i="1"/>
  <c r="R3232" i="1" a="1"/>
  <c r="R3232" i="1" s="1"/>
  <c r="R3233" i="1" a="1"/>
  <c r="R3233" i="1" s="1"/>
  <c r="R3234" i="1" a="1"/>
  <c r="R3234" i="1" s="1"/>
  <c r="R3235" i="1" a="1"/>
  <c r="R3235" i="1" s="1"/>
  <c r="R3236" i="1" a="1"/>
  <c r="R3236" i="1" s="1"/>
  <c r="R3237" i="1" a="1"/>
  <c r="R3237" i="1"/>
  <c r="R3238" i="1" a="1"/>
  <c r="R3238" i="1" s="1"/>
  <c r="R3239" i="1" a="1"/>
  <c r="R3239" i="1" s="1"/>
  <c r="R3240" i="1" a="1"/>
  <c r="R3240" i="1"/>
  <c r="R3241" i="1" a="1"/>
  <c r="R3241" i="1"/>
  <c r="R3242" i="1" a="1"/>
  <c r="R3242" i="1" s="1"/>
  <c r="R3243" i="1" a="1"/>
  <c r="R3243" i="1"/>
  <c r="R3244" i="1" a="1"/>
  <c r="R3244" i="1" s="1"/>
  <c r="R3245" i="1" a="1"/>
  <c r="R3245" i="1" s="1"/>
  <c r="R3246" i="1" a="1"/>
  <c r="R3246" i="1" s="1"/>
  <c r="R3247" i="1" a="1"/>
  <c r="R3247" i="1" s="1"/>
  <c r="R3248" i="1" a="1"/>
  <c r="R3248" i="1" s="1"/>
  <c r="R3249" i="1" a="1"/>
  <c r="R3249" i="1" s="1"/>
  <c r="R3250" i="1" a="1"/>
  <c r="R3250" i="1" s="1"/>
  <c r="R3251" i="1" a="1"/>
  <c r="R3251" i="1"/>
  <c r="R3252" i="1" a="1"/>
  <c r="R3252" i="1" s="1"/>
  <c r="R3253" i="1" a="1"/>
  <c r="R3253" i="1" s="1"/>
  <c r="R3254" i="1" a="1"/>
  <c r="R3254" i="1" s="1"/>
  <c r="R3255" i="1" a="1"/>
  <c r="R3255" i="1" s="1"/>
  <c r="R3256" i="1" a="1"/>
  <c r="R3256" i="1" s="1"/>
  <c r="R3257" i="1" a="1"/>
  <c r="R3257" i="1" s="1"/>
  <c r="R3258" i="1" a="1"/>
  <c r="R3258" i="1" s="1"/>
  <c r="R3259" i="1" a="1"/>
  <c r="R3259" i="1" s="1"/>
  <c r="R3260" i="1" a="1"/>
  <c r="R3260" i="1" s="1"/>
  <c r="R3261" i="1" a="1"/>
  <c r="R3261" i="1" s="1"/>
  <c r="R3262" i="1" a="1"/>
  <c r="R3262" i="1" s="1"/>
  <c r="R3263" i="1" a="1"/>
  <c r="R3263" i="1" s="1"/>
  <c r="R3264" i="1" a="1"/>
  <c r="R3264" i="1"/>
  <c r="R3265" i="1" a="1"/>
  <c r="R3265" i="1" s="1"/>
  <c r="R3266" i="1" a="1"/>
  <c r="R3266" i="1" s="1"/>
  <c r="R3267" i="1" a="1"/>
  <c r="R3267" i="1" s="1"/>
  <c r="R3268" i="1" a="1"/>
  <c r="R3268" i="1" s="1"/>
  <c r="R3269" i="1" a="1"/>
  <c r="R3269" i="1" s="1"/>
  <c r="R3270" i="1" a="1"/>
  <c r="R3270" i="1" s="1"/>
  <c r="R3271" i="1" a="1"/>
  <c r="R3271" i="1" s="1"/>
  <c r="R3272" i="1" a="1"/>
  <c r="R3272" i="1"/>
  <c r="R3273" i="1" a="1"/>
  <c r="R3273" i="1" s="1"/>
  <c r="R3274" i="1" a="1"/>
  <c r="R3274" i="1" s="1"/>
  <c r="R3275" i="1" a="1"/>
  <c r="R3275" i="1" s="1"/>
  <c r="R3276" i="1" a="1"/>
  <c r="R3276" i="1" s="1"/>
  <c r="R3277" i="1" a="1"/>
  <c r="R3277" i="1" s="1"/>
  <c r="R3278" i="1" a="1"/>
  <c r="R3278" i="1" s="1"/>
  <c r="R3279" i="1" a="1"/>
  <c r="R3279" i="1" s="1"/>
  <c r="R3280" i="1" a="1"/>
  <c r="R3280" i="1" s="1"/>
  <c r="R3281" i="1" a="1"/>
  <c r="R3281" i="1"/>
  <c r="R3282" i="1" a="1"/>
  <c r="R3282" i="1" s="1"/>
  <c r="R3283" i="1" a="1"/>
  <c r="R3283" i="1"/>
  <c r="R3284" i="1" a="1"/>
  <c r="R3284" i="1"/>
  <c r="R3285" i="1" a="1"/>
  <c r="R3285" i="1" s="1"/>
  <c r="R3286" i="1" a="1"/>
  <c r="R3286" i="1" s="1"/>
  <c r="R3287" i="1" a="1"/>
  <c r="R3287" i="1" s="1"/>
  <c r="R3288" i="1" a="1"/>
  <c r="R3288" i="1" s="1"/>
  <c r="R3289" i="1" a="1"/>
  <c r="R3289" i="1" s="1"/>
  <c r="R3290" i="1" a="1"/>
  <c r="R3290" i="1" s="1"/>
  <c r="R3291" i="1" a="1"/>
  <c r="R3291" i="1" s="1"/>
  <c r="R3292" i="1" a="1"/>
  <c r="R3292" i="1"/>
  <c r="R3293" i="1" a="1"/>
  <c r="R3293" i="1" s="1"/>
  <c r="R3294" i="1" a="1"/>
  <c r="R3294" i="1" s="1"/>
  <c r="R3295" i="1" a="1"/>
  <c r="R3295" i="1" s="1"/>
  <c r="R3296" i="1" a="1"/>
  <c r="R3296" i="1" s="1"/>
  <c r="R3297" i="1" a="1"/>
  <c r="R3297" i="1" s="1"/>
  <c r="R3298" i="1" a="1"/>
  <c r="R3298" i="1" s="1"/>
  <c r="R3299" i="1" a="1"/>
  <c r="R3299" i="1" s="1"/>
  <c r="R3300" i="1" a="1"/>
  <c r="R3300" i="1" s="1"/>
  <c r="R3301" i="1" a="1"/>
  <c r="R3301" i="1"/>
  <c r="R3302" i="1" a="1"/>
  <c r="R3302" i="1" s="1"/>
  <c r="R3303" i="1" a="1"/>
  <c r="R3303" i="1" s="1"/>
  <c r="R3304" i="1" a="1"/>
  <c r="R3304" i="1"/>
  <c r="R3305" i="1" a="1"/>
  <c r="R3305" i="1" s="1"/>
  <c r="R3306" i="1" a="1"/>
  <c r="R3306" i="1" s="1"/>
  <c r="R3307" i="1" a="1"/>
  <c r="R3307" i="1" s="1"/>
  <c r="R3308" i="1" a="1"/>
  <c r="R3308" i="1" s="1"/>
  <c r="R3309" i="1" a="1"/>
  <c r="R3309" i="1" s="1"/>
  <c r="R3310" i="1" a="1"/>
  <c r="R3310" i="1" s="1"/>
  <c r="R3311" i="1" a="1"/>
  <c r="R3311" i="1" s="1"/>
  <c r="R3312" i="1" a="1"/>
  <c r="R3312" i="1" s="1"/>
  <c r="R3313" i="1" a="1"/>
  <c r="R3313" i="1"/>
  <c r="R3314" i="1" a="1"/>
  <c r="R3314" i="1" s="1"/>
  <c r="R3315" i="1" a="1"/>
  <c r="R3315" i="1"/>
  <c r="R3316" i="1" a="1"/>
  <c r="R3316" i="1"/>
  <c r="R3317" i="1" a="1"/>
  <c r="R3317" i="1" s="1"/>
  <c r="R3318" i="1" a="1"/>
  <c r="R3318" i="1" s="1"/>
  <c r="R3319" i="1" a="1"/>
  <c r="R3319" i="1" s="1"/>
  <c r="R3320" i="1" a="1"/>
  <c r="R3320" i="1" s="1"/>
  <c r="R3321" i="1" a="1"/>
  <c r="R3321" i="1" s="1"/>
  <c r="R3322" i="1" a="1"/>
  <c r="R3322" i="1" s="1"/>
  <c r="R3323" i="1" a="1"/>
  <c r="R3323" i="1" s="1"/>
  <c r="R3324" i="1" a="1"/>
  <c r="R3324" i="1"/>
  <c r="R3325" i="1" a="1"/>
  <c r="R3325" i="1" s="1"/>
  <c r="R3326" i="1" a="1"/>
  <c r="R3326" i="1" s="1"/>
  <c r="R3327" i="1" a="1"/>
  <c r="R3327" i="1"/>
  <c r="R3328" i="1" a="1"/>
  <c r="R3328" i="1" s="1"/>
  <c r="R3329" i="1" a="1"/>
  <c r="R3329" i="1" s="1"/>
  <c r="R3330" i="1" a="1"/>
  <c r="R3330" i="1" s="1"/>
  <c r="R3331" i="1" a="1"/>
  <c r="R3331" i="1" s="1"/>
  <c r="R3332" i="1" a="1"/>
  <c r="R3332" i="1" s="1"/>
  <c r="R3333" i="1" a="1"/>
  <c r="R3333" i="1"/>
  <c r="R3334" i="1" a="1"/>
  <c r="R3334" i="1" s="1"/>
  <c r="R3335" i="1" a="1"/>
  <c r="R3335" i="1" s="1"/>
  <c r="R3336" i="1" a="1"/>
  <c r="R3336" i="1"/>
  <c r="R3337" i="1" a="1"/>
  <c r="R3337" i="1" s="1"/>
  <c r="R3338" i="1" a="1"/>
  <c r="R3338" i="1" s="1"/>
  <c r="R3339" i="1" a="1"/>
  <c r="R3339" i="1"/>
  <c r="R3340" i="1" a="1"/>
  <c r="R3340" i="1" s="1"/>
  <c r="R3341" i="1" a="1"/>
  <c r="R3341" i="1" s="1"/>
  <c r="R3342" i="1" a="1"/>
  <c r="R3342" i="1" s="1"/>
  <c r="R3343" i="1" a="1"/>
  <c r="R3343" i="1" s="1"/>
  <c r="R3344" i="1" a="1"/>
  <c r="R3344" i="1" s="1"/>
  <c r="R3345" i="1" a="1"/>
  <c r="R3345" i="1" s="1"/>
  <c r="R3346" i="1" a="1"/>
  <c r="R3346" i="1" s="1"/>
  <c r="R3347" i="1" a="1"/>
  <c r="R3347" i="1" s="1"/>
  <c r="R3348" i="1" a="1"/>
  <c r="R3348" i="1"/>
  <c r="R3349" i="1" a="1"/>
  <c r="R3349" i="1" s="1"/>
  <c r="R3350" i="1" a="1"/>
  <c r="R3350" i="1" s="1"/>
  <c r="R3351" i="1" a="1"/>
  <c r="R3351" i="1"/>
  <c r="R3352" i="1" a="1"/>
  <c r="R3352" i="1" s="1"/>
  <c r="R3353" i="1" a="1"/>
  <c r="R3353" i="1" s="1"/>
  <c r="R3354" i="1" a="1"/>
  <c r="R3354" i="1" s="1"/>
  <c r="R3355" i="1" a="1"/>
  <c r="R3355" i="1" s="1"/>
  <c r="R3356" i="1" a="1"/>
  <c r="R3356" i="1"/>
  <c r="R3357" i="1" a="1"/>
  <c r="R3357" i="1"/>
  <c r="R3358" i="1" a="1"/>
  <c r="R3358" i="1" s="1"/>
  <c r="R3359" i="1" a="1"/>
  <c r="R3359" i="1"/>
  <c r="R3360" i="1" a="1"/>
  <c r="R3360" i="1" s="1"/>
  <c r="R3361" i="1" a="1"/>
  <c r="R3361" i="1" s="1"/>
  <c r="R3362" i="1" a="1"/>
  <c r="R3362" i="1" s="1"/>
  <c r="R3363" i="1" a="1"/>
  <c r="R3363" i="1" s="1"/>
  <c r="R3364" i="1" a="1"/>
  <c r="R3364" i="1" s="1"/>
  <c r="R3365" i="1" a="1"/>
  <c r="R3365" i="1" s="1"/>
  <c r="R3366" i="1" a="1"/>
  <c r="R3366" i="1" s="1"/>
  <c r="R3367" i="1" a="1"/>
  <c r="R3367" i="1" s="1"/>
  <c r="R3368" i="1" a="1"/>
  <c r="R3368" i="1"/>
  <c r="R3369" i="1" a="1"/>
  <c r="R3369" i="1"/>
  <c r="R3370" i="1" a="1"/>
  <c r="R3370" i="1" s="1"/>
  <c r="R3371" i="1" a="1"/>
  <c r="R3371" i="1"/>
  <c r="R3372" i="1" a="1"/>
  <c r="R3372" i="1" s="1"/>
  <c r="R3373" i="1" a="1"/>
  <c r="R3373" i="1" s="1"/>
  <c r="R3374" i="1" a="1"/>
  <c r="R3374" i="1" s="1"/>
  <c r="R3375" i="1" a="1"/>
  <c r="R3375" i="1" s="1"/>
  <c r="R3376" i="1" a="1"/>
  <c r="R3376" i="1" s="1"/>
  <c r="R3377" i="1" a="1"/>
  <c r="R3377" i="1" s="1"/>
  <c r="R3378" i="1" a="1"/>
  <c r="R3378" i="1" s="1"/>
  <c r="R3379" i="1" a="1"/>
  <c r="R3379" i="1"/>
  <c r="R3380" i="1" a="1"/>
  <c r="R3380" i="1" s="1"/>
  <c r="R3381" i="1" a="1"/>
  <c r="R3381" i="1" s="1"/>
  <c r="R3382" i="1" a="1"/>
  <c r="R3382" i="1" s="1"/>
  <c r="R3383" i="1" a="1"/>
  <c r="R3383" i="1"/>
  <c r="R3384" i="1" a="1"/>
  <c r="R3384" i="1" s="1"/>
  <c r="R3385" i="1" a="1"/>
  <c r="R3385" i="1" s="1"/>
  <c r="R3386" i="1" a="1"/>
  <c r="R3386" i="1" s="1"/>
  <c r="R3387" i="1" a="1"/>
  <c r="R3387" i="1" s="1"/>
  <c r="R3388" i="1" a="1"/>
  <c r="R3388" i="1"/>
  <c r="R3389" i="1" a="1"/>
  <c r="R3389" i="1"/>
  <c r="R3390" i="1" a="1"/>
  <c r="R3390" i="1" s="1"/>
  <c r="R3391" i="1" a="1"/>
  <c r="R3391" i="1"/>
  <c r="R3392" i="1" a="1"/>
  <c r="R3392" i="1"/>
  <c r="R3393" i="1" a="1"/>
  <c r="R3393" i="1" s="1"/>
  <c r="R3394" i="1" a="1"/>
  <c r="R3394" i="1" s="1"/>
  <c r="R3395" i="1" a="1"/>
  <c r="R3395" i="1" s="1"/>
  <c r="R3396" i="1" a="1"/>
  <c r="R3396" i="1" s="1"/>
  <c r="R3397" i="1" a="1"/>
  <c r="R3397" i="1"/>
  <c r="R3398" i="1" a="1"/>
  <c r="R3398" i="1" s="1"/>
  <c r="R3399" i="1" a="1"/>
  <c r="R3399" i="1" s="1"/>
  <c r="R3400" i="1" a="1"/>
  <c r="R3400" i="1" s="1"/>
  <c r="R3401" i="1" a="1"/>
  <c r="R3401" i="1" s="1"/>
  <c r="R3402" i="1" a="1"/>
  <c r="R3402" i="1" s="1"/>
  <c r="R3403" i="1" a="1"/>
  <c r="R3403" i="1"/>
  <c r="R3404" i="1" a="1"/>
  <c r="R3404" i="1" s="1"/>
  <c r="R3405" i="1" a="1"/>
  <c r="R3405" i="1" s="1"/>
  <c r="R3406" i="1" a="1"/>
  <c r="R3406" i="1" s="1"/>
  <c r="R3407" i="1" a="1"/>
  <c r="R3407" i="1" s="1"/>
  <c r="R3408" i="1" a="1"/>
  <c r="R3408" i="1" s="1"/>
  <c r="R3409" i="1" a="1"/>
  <c r="R3409" i="1" s="1"/>
  <c r="R3410" i="1" a="1"/>
  <c r="R3410" i="1" s="1"/>
  <c r="R3411" i="1" a="1"/>
  <c r="R3411" i="1"/>
  <c r="R3412" i="1" a="1"/>
  <c r="R3412" i="1" s="1"/>
  <c r="R3413" i="1" a="1"/>
  <c r="R3413" i="1" s="1"/>
  <c r="R3414" i="1" a="1"/>
  <c r="R3414" i="1" s="1"/>
  <c r="R3415" i="1" a="1"/>
  <c r="R3415" i="1"/>
  <c r="R3416" i="1" a="1"/>
  <c r="R3416" i="1" s="1"/>
  <c r="R3417" i="1" a="1"/>
  <c r="R3417" i="1" s="1"/>
  <c r="R3418" i="1" a="1"/>
  <c r="R3418" i="1" s="1"/>
  <c r="R3419" i="1" a="1"/>
  <c r="R3419" i="1" s="1"/>
  <c r="R3420" i="1" a="1"/>
  <c r="R3420" i="1"/>
  <c r="R3421" i="1" a="1"/>
  <c r="R3421" i="1"/>
  <c r="R3422" i="1" a="1"/>
  <c r="R3422" i="1" s="1"/>
  <c r="R3423" i="1" a="1"/>
  <c r="R3423" i="1"/>
  <c r="R3424" i="1" a="1"/>
  <c r="R3424" i="1" s="1"/>
  <c r="R3425" i="1" a="1"/>
  <c r="R3425" i="1" s="1"/>
  <c r="R3426" i="1" a="1"/>
  <c r="R3426" i="1" s="1"/>
  <c r="R3427" i="1" a="1"/>
  <c r="R3427" i="1" s="1"/>
  <c r="R3428" i="1" a="1"/>
  <c r="R3428" i="1" s="1"/>
  <c r="R3429" i="1" a="1"/>
  <c r="R3429" i="1"/>
  <c r="R3430" i="1" a="1"/>
  <c r="R3430" i="1" s="1"/>
  <c r="R3431" i="1" a="1"/>
  <c r="R3431" i="1" s="1"/>
  <c r="R3432" i="1" a="1"/>
  <c r="R3432" i="1"/>
  <c r="R3433" i="1" a="1"/>
  <c r="R3433" i="1"/>
  <c r="R3434" i="1" a="1"/>
  <c r="R3434" i="1" s="1"/>
  <c r="R3435" i="1" a="1"/>
  <c r="R3435" i="1"/>
  <c r="R3436" i="1" a="1"/>
  <c r="R3436" i="1" s="1"/>
  <c r="R3437" i="1" a="1"/>
  <c r="R3437" i="1" s="1"/>
  <c r="R3438" i="1" a="1"/>
  <c r="R3438" i="1" s="1"/>
  <c r="R3439" i="1" a="1"/>
  <c r="R3439" i="1" s="1"/>
  <c r="R3440" i="1" a="1"/>
  <c r="R3440" i="1" s="1"/>
  <c r="R3441" i="1" a="1"/>
  <c r="R3441" i="1"/>
  <c r="R3442" i="1" a="1"/>
  <c r="R3442" i="1" s="1"/>
  <c r="R3443" i="1" a="1"/>
  <c r="R3443" i="1"/>
  <c r="R3444" i="1" a="1"/>
  <c r="R3444" i="1" s="1"/>
  <c r="R3445" i="1" a="1"/>
  <c r="R3445" i="1" s="1"/>
  <c r="R3446" i="1" a="1"/>
  <c r="R3446" i="1" s="1"/>
  <c r="R3447" i="1" a="1"/>
  <c r="R3447" i="1"/>
  <c r="R3448" i="1" a="1"/>
  <c r="R3448" i="1" s="1"/>
  <c r="R3449" i="1" a="1"/>
  <c r="R3449" i="1" s="1"/>
  <c r="R3450" i="1" a="1"/>
  <c r="R3450" i="1" s="1"/>
  <c r="R3451" i="1" a="1"/>
  <c r="R3451" i="1" s="1"/>
  <c r="R3452" i="1" a="1"/>
  <c r="R3452" i="1" s="1"/>
  <c r="R3453" i="1" a="1"/>
  <c r="R3453" i="1"/>
  <c r="R3454" i="1" a="1"/>
  <c r="R3454" i="1" s="1"/>
  <c r="R3455" i="1" a="1"/>
  <c r="R3455" i="1"/>
  <c r="R3456" i="1" a="1"/>
  <c r="R3456" i="1"/>
  <c r="R3457" i="1" a="1"/>
  <c r="R3457" i="1" s="1"/>
  <c r="R3458" i="1" a="1"/>
  <c r="R3458" i="1" s="1"/>
  <c r="R3459" i="1" a="1"/>
  <c r="R3459" i="1" s="1"/>
  <c r="R3460" i="1" a="1"/>
  <c r="R3460" i="1" s="1"/>
  <c r="R3461" i="1" a="1"/>
  <c r="R3461" i="1"/>
  <c r="R3462" i="1" a="1"/>
  <c r="R3462" i="1" s="1"/>
  <c r="R3463" i="1" a="1"/>
  <c r="R3463" i="1" s="1"/>
  <c r="R3464" i="1" a="1"/>
  <c r="R3464" i="1"/>
  <c r="R3465" i="1" a="1"/>
  <c r="R3465" i="1" s="1"/>
  <c r="R3466" i="1" a="1"/>
  <c r="R3466" i="1" s="1"/>
  <c r="R3467" i="1" a="1"/>
  <c r="R3467" i="1"/>
  <c r="R3468" i="1" a="1"/>
  <c r="R3468" i="1" s="1"/>
  <c r="R3469" i="1" a="1"/>
  <c r="R3469" i="1" s="1"/>
  <c r="R3470" i="1" a="1"/>
  <c r="R3470" i="1" s="1"/>
  <c r="R3471" i="1" a="1"/>
  <c r="R3471" i="1" s="1"/>
  <c r="R3472" i="1" a="1"/>
  <c r="R3472" i="1" s="1"/>
  <c r="R3473" i="1" a="1"/>
  <c r="R3473" i="1" s="1"/>
  <c r="R3474" i="1" a="1"/>
  <c r="R3474" i="1" s="1"/>
  <c r="R3475" i="1" a="1"/>
  <c r="R3475" i="1" s="1"/>
  <c r="R3476" i="1" a="1"/>
  <c r="R3476" i="1" s="1"/>
  <c r="R3477" i="1" a="1"/>
  <c r="R3477" i="1" s="1"/>
  <c r="R3478" i="1" a="1"/>
  <c r="R3478" i="1" s="1"/>
  <c r="R3479" i="1" a="1"/>
  <c r="R3479" i="1"/>
  <c r="R3480" i="1" a="1"/>
  <c r="R3480" i="1" s="1"/>
  <c r="R3481" i="1" a="1"/>
  <c r="R3481" i="1" s="1"/>
  <c r="R3482" i="1" a="1"/>
  <c r="R3482" i="1" s="1"/>
  <c r="R3483" i="1" a="1"/>
  <c r="R3483" i="1" s="1"/>
  <c r="R3484" i="1" a="1"/>
  <c r="R3484" i="1" s="1"/>
  <c r="R3485" i="1" a="1"/>
  <c r="R3485" i="1" s="1"/>
  <c r="R3486" i="1" a="1"/>
  <c r="R3486" i="1" s="1"/>
  <c r="R3487" i="1" a="1"/>
  <c r="R3487" i="1" s="1"/>
  <c r="R3488" i="1" a="1"/>
  <c r="R3488" i="1" s="1"/>
  <c r="R3489" i="1" a="1"/>
  <c r="R3489" i="1" s="1"/>
  <c r="R3490" i="1" a="1"/>
  <c r="R3490" i="1" s="1"/>
  <c r="R3491" i="1" a="1"/>
  <c r="R3491" i="1" s="1"/>
  <c r="R3492" i="1" a="1"/>
  <c r="R3492" i="1" s="1"/>
  <c r="R3493" i="1" a="1"/>
  <c r="R3493" i="1" s="1"/>
  <c r="R3494" i="1" a="1"/>
  <c r="R3494" i="1" s="1"/>
  <c r="R3495" i="1" a="1"/>
  <c r="R3495" i="1" s="1"/>
  <c r="R3496" i="1" a="1"/>
  <c r="R3496" i="1"/>
  <c r="R3497" i="1" a="1"/>
  <c r="R3497" i="1"/>
  <c r="R3498" i="1" a="1"/>
  <c r="R3498" i="1" s="1"/>
  <c r="R3499" i="1" a="1"/>
  <c r="R3499" i="1"/>
  <c r="R3500" i="1" a="1"/>
  <c r="R3500" i="1" s="1"/>
  <c r="R3501" i="1" a="1"/>
  <c r="R3501" i="1" s="1"/>
  <c r="R3502" i="1" a="1"/>
  <c r="R3502" i="1" s="1"/>
  <c r="R3503" i="1" a="1"/>
  <c r="R3503" i="1" s="1"/>
  <c r="R3504" i="1" a="1"/>
  <c r="R3504" i="1" s="1"/>
  <c r="R3505" i="1" a="1"/>
  <c r="R3505" i="1" s="1"/>
  <c r="R3506" i="1" a="1"/>
  <c r="R3506" i="1" s="1"/>
  <c r="R3507" i="1" a="1"/>
  <c r="R3507" i="1" s="1"/>
  <c r="R3508" i="1" a="1"/>
  <c r="R3508" i="1"/>
  <c r="R3509" i="1" a="1"/>
  <c r="R3509" i="1" s="1"/>
  <c r="R3510" i="1" a="1"/>
  <c r="R3510" i="1" s="1"/>
  <c r="R3511" i="1" a="1"/>
  <c r="R3511" i="1" s="1"/>
  <c r="R3512" i="1" a="1"/>
  <c r="R3512" i="1" s="1"/>
  <c r="R3513" i="1" a="1"/>
  <c r="R3513" i="1" s="1"/>
  <c r="R3514" i="1" a="1"/>
  <c r="R3514" i="1" s="1"/>
  <c r="R3515" i="1" a="1"/>
  <c r="R3515" i="1" s="1"/>
  <c r="R3516" i="1" a="1"/>
  <c r="R3516" i="1"/>
  <c r="R3517" i="1" a="1"/>
  <c r="R3517" i="1" s="1"/>
  <c r="R3518" i="1" a="1"/>
  <c r="R3518" i="1" s="1"/>
  <c r="R3519" i="1" a="1"/>
  <c r="R3519" i="1"/>
  <c r="R3520" i="1" a="1"/>
  <c r="R3520" i="1" s="1"/>
  <c r="R3521" i="1" a="1"/>
  <c r="R3521" i="1" s="1"/>
  <c r="R3522" i="1" a="1"/>
  <c r="R3522" i="1" s="1"/>
  <c r="R3523" i="1" a="1"/>
  <c r="R3523" i="1" s="1"/>
  <c r="R3524" i="1" a="1"/>
  <c r="R3524" i="1" s="1"/>
  <c r="R3525" i="1" a="1"/>
  <c r="R3525" i="1"/>
  <c r="R3526" i="1" a="1"/>
  <c r="R3526" i="1" s="1"/>
  <c r="R3527" i="1" a="1"/>
  <c r="R3527" i="1" s="1"/>
  <c r="R3528" i="1" a="1"/>
  <c r="R3528" i="1"/>
  <c r="R3529" i="1" a="1"/>
  <c r="R3529" i="1"/>
  <c r="R3530" i="1" a="1"/>
  <c r="R3530" i="1" s="1"/>
  <c r="R3531" i="1" a="1"/>
  <c r="R3531" i="1"/>
  <c r="R3532" i="1" a="1"/>
  <c r="R3532" i="1" s="1"/>
  <c r="R3533" i="1" a="1"/>
  <c r="R3533" i="1" s="1"/>
  <c r="R3534" i="1" a="1"/>
  <c r="R3534" i="1" s="1"/>
  <c r="R3535" i="1" a="1"/>
  <c r="R3535" i="1" s="1"/>
  <c r="R3536" i="1" a="1"/>
  <c r="R3536" i="1" s="1"/>
  <c r="R3537" i="1" a="1"/>
  <c r="R3537" i="1"/>
  <c r="R3538" i="1" a="1"/>
  <c r="R3538" i="1" s="1"/>
  <c r="R3539" i="1" a="1"/>
  <c r="R3539" i="1"/>
  <c r="R3540" i="1" a="1"/>
  <c r="R3540" i="1" s="1"/>
  <c r="R3541" i="1" a="1"/>
  <c r="R3541" i="1" s="1"/>
  <c r="R3542" i="1" a="1"/>
  <c r="R3542" i="1" s="1"/>
  <c r="R3543" i="1" a="1"/>
  <c r="R3543" i="1"/>
  <c r="R3544" i="1" a="1"/>
  <c r="R3544" i="1" s="1"/>
  <c r="R3545" i="1" a="1"/>
  <c r="R3545" i="1" s="1"/>
  <c r="R3546" i="1" a="1"/>
  <c r="R3546" i="1" s="1"/>
  <c r="R3547" i="1" a="1"/>
  <c r="R3547" i="1" s="1"/>
  <c r="R3548" i="1" a="1"/>
  <c r="R3548" i="1" s="1"/>
  <c r="R3549" i="1" a="1"/>
  <c r="R3549" i="1"/>
  <c r="R3550" i="1" a="1"/>
  <c r="R3550" i="1" s="1"/>
  <c r="R3551" i="1" a="1"/>
  <c r="R3551" i="1"/>
  <c r="R3552" i="1" a="1"/>
  <c r="R3552" i="1"/>
  <c r="R3553" i="1" a="1"/>
  <c r="R3553" i="1" s="1"/>
  <c r="R3554" i="1" a="1"/>
  <c r="R3554" i="1" s="1"/>
  <c r="R3555" i="1" a="1"/>
  <c r="R3555" i="1" s="1"/>
  <c r="R3556" i="1" a="1"/>
  <c r="R3556" i="1" s="1"/>
  <c r="R3557" i="1" a="1"/>
  <c r="R3557" i="1"/>
  <c r="R3558" i="1" a="1"/>
  <c r="R3558" i="1" s="1"/>
  <c r="R3559" i="1" a="1"/>
  <c r="R3559" i="1" s="1"/>
  <c r="R3560" i="1" a="1"/>
  <c r="R3560" i="1"/>
  <c r="R3561" i="1" a="1"/>
  <c r="R3561" i="1" s="1"/>
  <c r="R3562" i="1" a="1"/>
  <c r="R3562" i="1" s="1"/>
  <c r="R3563" i="1" a="1"/>
  <c r="R3563" i="1" s="1"/>
  <c r="R3564" i="1" a="1"/>
  <c r="R3564" i="1" s="1"/>
  <c r="R3565" i="1" a="1"/>
  <c r="R3565" i="1" s="1"/>
  <c r="R3566" i="1" a="1"/>
  <c r="R3566" i="1" s="1"/>
  <c r="R3567" i="1" a="1"/>
  <c r="R3567" i="1" s="1"/>
  <c r="R3568" i="1" a="1"/>
  <c r="R3568" i="1" s="1"/>
  <c r="R3569" i="1" a="1"/>
  <c r="R3569" i="1" s="1"/>
  <c r="R3570" i="1" a="1"/>
  <c r="R3570" i="1" s="1"/>
  <c r="R3571" i="1" a="1"/>
  <c r="R3571" i="1"/>
  <c r="R3572" i="1" a="1"/>
  <c r="R3572" i="1"/>
  <c r="R3573" i="1" a="1"/>
  <c r="R3573" i="1" s="1"/>
  <c r="R3574" i="1" a="1"/>
  <c r="R3574" i="1" s="1"/>
  <c r="R3575" i="1" a="1"/>
  <c r="R3575" i="1"/>
  <c r="R3576" i="1" a="1"/>
  <c r="R3576" i="1" s="1"/>
  <c r="R3577" i="1" a="1"/>
  <c r="R3577" i="1" s="1"/>
  <c r="R3578" i="1" a="1"/>
  <c r="R3578" i="1" s="1"/>
  <c r="R3579" i="1" a="1"/>
  <c r="R3579" i="1" s="1"/>
  <c r="R3580" i="1" a="1"/>
  <c r="R3580" i="1" s="1"/>
  <c r="R3581" i="1" a="1"/>
  <c r="R3581" i="1"/>
  <c r="R3582" i="1" a="1"/>
  <c r="R3582" i="1" s="1"/>
  <c r="R3583" i="1" a="1"/>
  <c r="R3583" i="1" s="1"/>
  <c r="R3584" i="1" a="1"/>
  <c r="R3584" i="1"/>
  <c r="R3585" i="1" a="1"/>
  <c r="R3585" i="1" s="1"/>
  <c r="R3586" i="1" a="1"/>
  <c r="R3586" i="1" s="1"/>
  <c r="R3587" i="1" a="1"/>
  <c r="R3587" i="1" s="1"/>
  <c r="R3588" i="1" a="1"/>
  <c r="R3588" i="1" s="1"/>
  <c r="R3589" i="1" a="1"/>
  <c r="R3589" i="1" s="1"/>
  <c r="R3590" i="1" a="1"/>
  <c r="R3590" i="1" s="1"/>
  <c r="R3591" i="1" a="1"/>
  <c r="R3591" i="1" s="1"/>
  <c r="R3592" i="1" a="1"/>
  <c r="R3592" i="1"/>
  <c r="R3593" i="1" a="1"/>
  <c r="R3593" i="1" s="1"/>
  <c r="R3594" i="1" a="1"/>
  <c r="R3594" i="1" s="1"/>
  <c r="R3595" i="1" a="1"/>
  <c r="R3595" i="1"/>
  <c r="R3596" i="1" a="1"/>
  <c r="R3596" i="1" s="1"/>
  <c r="R3597" i="1" a="1"/>
  <c r="R3597" i="1" s="1"/>
  <c r="R3598" i="1" a="1"/>
  <c r="R3598" i="1" s="1"/>
  <c r="R3599" i="1" a="1"/>
  <c r="R3599" i="1" s="1"/>
  <c r="R3600" i="1" a="1"/>
  <c r="R3600" i="1" s="1"/>
  <c r="R3601" i="1" a="1"/>
  <c r="R3601" i="1" s="1"/>
  <c r="R3602" i="1" a="1"/>
  <c r="R3602" i="1" s="1"/>
  <c r="R3603" i="1" a="1"/>
  <c r="R3603" i="1" s="1"/>
  <c r="R3604" i="1" a="1"/>
  <c r="R3604" i="1"/>
  <c r="R3605" i="1" a="1"/>
  <c r="R3605" i="1" s="1"/>
  <c r="R3606" i="1" a="1"/>
  <c r="R3606" i="1" s="1"/>
  <c r="R3607" i="1" a="1"/>
  <c r="R3607" i="1"/>
  <c r="R3608" i="1" a="1"/>
  <c r="R3608" i="1" s="1"/>
  <c r="R3609" i="1" a="1"/>
  <c r="R3609" i="1" s="1"/>
  <c r="R3610" i="1" a="1"/>
  <c r="R3610" i="1" s="1"/>
  <c r="R3611" i="1" a="1"/>
  <c r="R3611" i="1" s="1"/>
  <c r="R3612" i="1" a="1"/>
  <c r="R3612" i="1"/>
  <c r="R3613" i="1" a="1"/>
  <c r="R3613" i="1"/>
  <c r="R3614" i="1" a="1"/>
  <c r="R3614" i="1" s="1"/>
  <c r="R3615" i="1" a="1"/>
  <c r="R3615" i="1"/>
  <c r="R3616" i="1" a="1"/>
  <c r="R3616" i="1" s="1"/>
  <c r="R3617" i="1" a="1"/>
  <c r="R3617" i="1" s="1"/>
  <c r="R3618" i="1" a="1"/>
  <c r="R3618" i="1" s="1"/>
  <c r="R3619" i="1" a="1"/>
  <c r="R3619" i="1" s="1"/>
  <c r="R3620" i="1" a="1"/>
  <c r="R3620" i="1" s="1"/>
  <c r="R3621" i="1" a="1"/>
  <c r="R3621" i="1"/>
  <c r="R3622" i="1" a="1"/>
  <c r="R3622" i="1" s="1"/>
  <c r="R3623" i="1" a="1"/>
  <c r="R3623" i="1" s="1"/>
  <c r="R3624" i="1" a="1"/>
  <c r="R3624" i="1" s="1"/>
  <c r="R3625" i="1" a="1"/>
  <c r="R3625" i="1"/>
  <c r="R3626" i="1" a="1"/>
  <c r="R3626" i="1" s="1"/>
  <c r="R3627" i="1" a="1"/>
  <c r="R3627" i="1"/>
  <c r="R3628" i="1" a="1"/>
  <c r="R3628" i="1" s="1"/>
  <c r="R3629" i="1" a="1"/>
  <c r="R3629" i="1" s="1"/>
  <c r="R3630" i="1" a="1"/>
  <c r="R3630" i="1" s="1"/>
  <c r="R3631" i="1" a="1"/>
  <c r="R3631" i="1" s="1"/>
  <c r="R3632" i="1" a="1"/>
  <c r="R3632" i="1" s="1"/>
  <c r="R3633" i="1" a="1"/>
  <c r="R3633" i="1"/>
  <c r="R3634" i="1" a="1"/>
  <c r="R3634" i="1" s="1"/>
  <c r="R3635" i="1" a="1"/>
  <c r="R3635" i="1"/>
  <c r="R3636" i="1" a="1"/>
  <c r="R3636" i="1"/>
  <c r="R3637" i="1" a="1"/>
  <c r="R3637" i="1" s="1"/>
  <c r="R3638" i="1" a="1"/>
  <c r="R3638" i="1" s="1"/>
  <c r="R3639" i="1" a="1"/>
  <c r="R3639" i="1"/>
  <c r="R3640" i="1" a="1"/>
  <c r="R3640" i="1" s="1"/>
  <c r="R3641" i="1" a="1"/>
  <c r="R3641" i="1" s="1"/>
  <c r="R3642" i="1" a="1"/>
  <c r="R3642" i="1" s="1"/>
  <c r="R3643" i="1" a="1"/>
  <c r="R3643" i="1" s="1"/>
  <c r="R3644" i="1" a="1"/>
  <c r="R3644" i="1" s="1"/>
  <c r="R3645" i="1" a="1"/>
  <c r="R3645" i="1"/>
  <c r="R3646" i="1" a="1"/>
  <c r="R3646" i="1" s="1"/>
  <c r="R3647" i="1" a="1"/>
  <c r="R3647" i="1" s="1"/>
  <c r="R3648" i="1" a="1"/>
  <c r="R3648" i="1"/>
  <c r="R3649" i="1" a="1"/>
  <c r="R3649" i="1" s="1"/>
  <c r="R3650" i="1" a="1"/>
  <c r="R3650" i="1" s="1"/>
  <c r="R3651" i="1" a="1"/>
  <c r="R3651" i="1" s="1"/>
  <c r="R3652" i="1" a="1"/>
  <c r="R3652" i="1" s="1"/>
  <c r="R3653" i="1" a="1"/>
  <c r="R3653" i="1" s="1"/>
  <c r="R3654" i="1" a="1"/>
  <c r="R3654" i="1" s="1"/>
  <c r="R3655" i="1" a="1"/>
  <c r="R3655" i="1" s="1"/>
  <c r="R3656" i="1" a="1"/>
  <c r="R3656" i="1"/>
  <c r="R3657" i="1" a="1"/>
  <c r="R3657" i="1" s="1"/>
  <c r="R3658" i="1" a="1"/>
  <c r="R3658" i="1" s="1"/>
  <c r="R3659" i="1" a="1"/>
  <c r="R3659" i="1"/>
  <c r="R3660" i="1" a="1"/>
  <c r="R3660" i="1" s="1"/>
  <c r="R3661" i="1" a="1"/>
  <c r="R3661" i="1" s="1"/>
  <c r="R3662" i="1" a="1"/>
  <c r="R3662" i="1" s="1"/>
  <c r="R3663" i="1" a="1"/>
  <c r="R3663" i="1" s="1"/>
  <c r="R3664" i="1" a="1"/>
  <c r="R3664" i="1" s="1"/>
  <c r="R3665" i="1" a="1"/>
  <c r="R3665" i="1" s="1"/>
  <c r="R3666" i="1" a="1"/>
  <c r="R3666" i="1" s="1"/>
  <c r="R3667" i="1" a="1"/>
  <c r="R3667" i="1" s="1"/>
  <c r="R3668" i="1" a="1"/>
  <c r="R3668" i="1"/>
  <c r="R3669" i="1" a="1"/>
  <c r="R3669" i="1" s="1"/>
  <c r="R3670" i="1" a="1"/>
  <c r="R3670" i="1" s="1"/>
  <c r="R3671" i="1" a="1"/>
  <c r="R3671" i="1"/>
  <c r="R3672" i="1" a="1"/>
  <c r="R3672" i="1" s="1"/>
  <c r="R3673" i="1" a="1"/>
  <c r="R3673" i="1" s="1"/>
  <c r="R3674" i="1" a="1"/>
  <c r="R3674" i="1" s="1"/>
  <c r="R3675" i="1" a="1"/>
  <c r="R3675" i="1" s="1"/>
  <c r="R3676" i="1" a="1"/>
  <c r="R3676" i="1"/>
  <c r="R3677" i="1" a="1"/>
  <c r="R3677" i="1"/>
  <c r="R3678" i="1" a="1"/>
  <c r="R3678" i="1" s="1"/>
  <c r="R3679" i="1" a="1"/>
  <c r="R3679" i="1"/>
  <c r="R3680" i="1" a="1"/>
  <c r="R3680" i="1" s="1"/>
  <c r="R3681" i="1" a="1"/>
  <c r="R3681" i="1" s="1"/>
  <c r="R3682" i="1" a="1"/>
  <c r="R3682" i="1" s="1"/>
  <c r="R3683" i="1" a="1"/>
  <c r="R3683" i="1" s="1"/>
  <c r="R3684" i="1" a="1"/>
  <c r="R3684" i="1" s="1"/>
  <c r="R3685" i="1" a="1"/>
  <c r="R3685" i="1"/>
  <c r="R3686" i="1" a="1"/>
  <c r="R3686" i="1" s="1"/>
  <c r="R3687" i="1" a="1"/>
  <c r="R3687" i="1" s="1"/>
  <c r="R3688" i="1" a="1"/>
  <c r="R3688" i="1" s="1"/>
  <c r="R3689" i="1" a="1"/>
  <c r="R3689" i="1"/>
  <c r="R3690" i="1" a="1"/>
  <c r="R3690" i="1" s="1"/>
  <c r="R3691" i="1" a="1"/>
  <c r="R3691" i="1"/>
  <c r="R3692" i="1" a="1"/>
  <c r="R3692" i="1" s="1"/>
  <c r="R3693" i="1" a="1"/>
  <c r="R3693" i="1" s="1"/>
  <c r="R3694" i="1" a="1"/>
  <c r="R3694" i="1" s="1"/>
  <c r="R3695" i="1" a="1"/>
  <c r="R3695" i="1" s="1"/>
  <c r="R3696" i="1" a="1"/>
  <c r="R3696" i="1" s="1"/>
  <c r="R3697" i="1" a="1"/>
  <c r="R3697" i="1"/>
  <c r="R3698" i="1" a="1"/>
  <c r="R3698" i="1" s="1"/>
  <c r="R3699" i="1" a="1"/>
  <c r="R3699" i="1"/>
  <c r="R3700" i="1" a="1"/>
  <c r="R3700" i="1"/>
  <c r="R3701" i="1" a="1"/>
  <c r="R3701" i="1" s="1"/>
  <c r="R3702" i="1" a="1"/>
  <c r="R3702" i="1" s="1"/>
  <c r="R3703" i="1" a="1"/>
  <c r="R3703" i="1"/>
  <c r="R3704" i="1" a="1"/>
  <c r="R3704" i="1" s="1"/>
  <c r="R3705" i="1" a="1"/>
  <c r="R3705" i="1" s="1"/>
  <c r="R3706" i="1" a="1"/>
  <c r="R3706" i="1" s="1"/>
  <c r="R3707" i="1" a="1"/>
  <c r="R3707" i="1" s="1"/>
  <c r="R3708" i="1" a="1"/>
  <c r="R3708" i="1" s="1"/>
  <c r="R3709" i="1" a="1"/>
  <c r="R3709" i="1"/>
  <c r="R3710" i="1" a="1"/>
  <c r="R3710" i="1" s="1"/>
  <c r="R3711" i="1" a="1"/>
  <c r="R3711" i="1" s="1"/>
  <c r="R3712" i="1" a="1"/>
  <c r="R3712" i="1"/>
  <c r="R3713" i="1" a="1"/>
  <c r="R3713" i="1" s="1"/>
  <c r="R3714" i="1" a="1"/>
  <c r="R3714" i="1" s="1"/>
  <c r="R3715" i="1" a="1"/>
  <c r="R3715" i="1" s="1"/>
  <c r="R3716" i="1" a="1"/>
  <c r="R3716" i="1" s="1"/>
  <c r="R3717" i="1" a="1"/>
  <c r="R3717" i="1" s="1"/>
  <c r="R3718" i="1" a="1"/>
  <c r="R3718" i="1" s="1"/>
  <c r="R3719" i="1" a="1"/>
  <c r="R3719" i="1" s="1"/>
  <c r="R3720" i="1" a="1"/>
  <c r="R3720" i="1"/>
  <c r="R3721" i="1" a="1"/>
  <c r="R3721" i="1" s="1"/>
  <c r="R3722" i="1" a="1"/>
  <c r="R3722" i="1" s="1"/>
  <c r="R3723" i="1" a="1"/>
  <c r="R3723" i="1"/>
  <c r="R3724" i="1" a="1"/>
  <c r="R3724" i="1" s="1"/>
  <c r="R3725" i="1" a="1"/>
  <c r="R3725" i="1" s="1"/>
  <c r="R3726" i="1" a="1"/>
  <c r="R3726" i="1" s="1"/>
  <c r="R3727" i="1" a="1"/>
  <c r="R3727" i="1" s="1"/>
  <c r="R3728" i="1" a="1"/>
  <c r="R3728" i="1" s="1"/>
  <c r="R3729" i="1" a="1"/>
  <c r="R3729" i="1" s="1"/>
  <c r="R3730" i="1" a="1"/>
  <c r="R3730" i="1" s="1"/>
  <c r="R3731" i="1" a="1"/>
  <c r="R3731" i="1" s="1"/>
  <c r="R3732" i="1" a="1"/>
  <c r="R3732" i="1"/>
  <c r="R3733" i="1" a="1"/>
  <c r="R3733" i="1" s="1"/>
  <c r="R3734" i="1" a="1"/>
  <c r="R3734" i="1" s="1"/>
  <c r="R3735" i="1" a="1"/>
  <c r="R3735" i="1"/>
  <c r="R3736" i="1" a="1"/>
  <c r="R3736" i="1" s="1"/>
  <c r="R3737" i="1" a="1"/>
  <c r="R3737" i="1" s="1"/>
  <c r="R3738" i="1" a="1"/>
  <c r="R3738" i="1" s="1"/>
  <c r="R3739" i="1" a="1"/>
  <c r="R3739" i="1" s="1"/>
  <c r="R3740" i="1" a="1"/>
  <c r="R3740" i="1"/>
  <c r="R3741" i="1" a="1"/>
  <c r="R3741" i="1"/>
  <c r="R3742" i="1" a="1"/>
  <c r="R3742" i="1" s="1"/>
  <c r="R3743" i="1" a="1"/>
  <c r="R3743" i="1"/>
  <c r="R3744" i="1" a="1"/>
  <c r="R3744" i="1" s="1"/>
  <c r="R3745" i="1" a="1"/>
  <c r="R3745" i="1" s="1"/>
  <c r="R3746" i="1" a="1"/>
  <c r="R3746" i="1" s="1"/>
  <c r="R3747" i="1" a="1"/>
  <c r="R3747" i="1" s="1"/>
  <c r="R3748" i="1" a="1"/>
  <c r="R3748" i="1" s="1"/>
  <c r="R3749" i="1" a="1"/>
  <c r="R3749" i="1"/>
  <c r="R3750" i="1" a="1"/>
  <c r="R3750" i="1" s="1"/>
  <c r="R3751" i="1" a="1"/>
  <c r="R3751" i="1"/>
  <c r="R3752" i="1" a="1"/>
  <c r="R3752" i="1"/>
  <c r="R3753" i="1" a="1"/>
  <c r="R3753" i="1" s="1"/>
  <c r="R3754" i="1" a="1"/>
  <c r="R3754" i="1" s="1"/>
  <c r="R3755" i="1" a="1"/>
  <c r="R3755" i="1" s="1"/>
  <c r="R3756" i="1" a="1"/>
  <c r="R3756" i="1" s="1"/>
  <c r="R3757" i="1" a="1"/>
  <c r="R3757" i="1"/>
  <c r="R3758" i="1" a="1"/>
  <c r="R3758" i="1" s="1"/>
  <c r="R3759" i="1" a="1"/>
  <c r="R3759" i="1"/>
  <c r="R3760" i="1" a="1"/>
  <c r="R3760" i="1" s="1"/>
  <c r="R3761" i="1" a="1"/>
  <c r="R3761" i="1" s="1"/>
  <c r="R3762" i="1" a="1"/>
  <c r="R3762" i="1" s="1"/>
  <c r="R3763" i="1" a="1"/>
  <c r="R3763" i="1" s="1"/>
  <c r="R3764" i="1" a="1"/>
  <c r="R3764" i="1" s="1"/>
  <c r="R3765" i="1" a="1"/>
  <c r="R3765" i="1"/>
  <c r="R3766" i="1" a="1"/>
  <c r="R3766" i="1" s="1"/>
  <c r="R3767" i="1" a="1"/>
  <c r="R3767" i="1" s="1"/>
  <c r="R3768" i="1" a="1"/>
  <c r="R3768" i="1" s="1"/>
  <c r="R3769" i="1" a="1"/>
  <c r="R3769" i="1"/>
  <c r="R3770" i="1" a="1"/>
  <c r="R3770" i="1" s="1"/>
  <c r="R3771" i="1" a="1"/>
  <c r="R3771" i="1" s="1"/>
  <c r="R3772" i="1" a="1"/>
  <c r="R3772" i="1" s="1"/>
  <c r="R3773" i="1" a="1"/>
  <c r="R3773" i="1"/>
  <c r="R3774" i="1" a="1"/>
  <c r="R3774" i="1" s="1"/>
  <c r="R3775" i="1" a="1"/>
  <c r="R3775" i="1" s="1"/>
  <c r="R3776" i="1" a="1"/>
  <c r="R3776" i="1" s="1"/>
  <c r="R3777" i="1" a="1"/>
  <c r="R3777" i="1"/>
  <c r="R3778" i="1" a="1"/>
  <c r="R3778" i="1" s="1"/>
  <c r="R3779" i="1" a="1"/>
  <c r="R3779" i="1" s="1"/>
  <c r="R3780" i="1" a="1"/>
  <c r="R3780" i="1" s="1"/>
  <c r="R3781" i="1" a="1"/>
  <c r="R3781" i="1"/>
  <c r="R3782" i="1" a="1"/>
  <c r="R3782" i="1" s="1"/>
  <c r="R3783" i="1" a="1"/>
  <c r="R3783" i="1" s="1"/>
  <c r="R3784" i="1" a="1"/>
  <c r="R3784" i="1" s="1"/>
  <c r="R3785" i="1" a="1"/>
  <c r="R3785" i="1" s="1"/>
  <c r="R3786" i="1" a="1"/>
  <c r="R3786" i="1" s="1"/>
  <c r="R3787" i="1" a="1"/>
  <c r="R3787" i="1" s="1"/>
  <c r="R3788" i="1" a="1"/>
  <c r="R3788" i="1" s="1"/>
  <c r="R3789" i="1" a="1"/>
  <c r="R3789" i="1" s="1"/>
  <c r="R3790" i="1" a="1"/>
  <c r="R3790" i="1" s="1"/>
  <c r="R3791" i="1" a="1"/>
  <c r="R3791" i="1" s="1"/>
  <c r="R3792" i="1" a="1"/>
  <c r="R3792" i="1" s="1"/>
  <c r="R3793" i="1" a="1"/>
  <c r="R3793" i="1" s="1"/>
  <c r="R3794" i="1" a="1"/>
  <c r="R3794" i="1" s="1"/>
  <c r="R3795" i="1" a="1"/>
  <c r="R3795" i="1" s="1"/>
  <c r="R3796" i="1" a="1"/>
  <c r="R3796" i="1" s="1"/>
  <c r="R3797" i="1" a="1"/>
  <c r="R3797" i="1" s="1"/>
  <c r="R3798" i="1" a="1"/>
  <c r="R3798" i="1" s="1"/>
  <c r="R3799" i="1" a="1"/>
  <c r="R3799" i="1" s="1"/>
  <c r="R3800" i="1" a="1"/>
  <c r="R3800" i="1" s="1"/>
  <c r="R3801" i="1" a="1"/>
  <c r="R3801" i="1" s="1"/>
  <c r="R3802" i="1" a="1"/>
  <c r="R3802" i="1" s="1"/>
  <c r="R3803" i="1" a="1"/>
  <c r="R3803" i="1" s="1"/>
  <c r="R3804" i="1" a="1"/>
  <c r="R3804" i="1" s="1"/>
  <c r="R3805" i="1" a="1"/>
  <c r="R3805" i="1" s="1"/>
  <c r="R3806" i="1" a="1"/>
  <c r="R3806" i="1" s="1"/>
  <c r="R3807" i="1" a="1"/>
  <c r="R3807" i="1" s="1"/>
  <c r="R3808" i="1" a="1"/>
  <c r="R3808" i="1" s="1"/>
  <c r="R3809" i="1" a="1"/>
  <c r="R3809" i="1" s="1"/>
  <c r="R3810" i="1" a="1"/>
  <c r="R3810" i="1" s="1"/>
  <c r="R3811" i="1" a="1"/>
  <c r="R3811" i="1" s="1"/>
  <c r="R3812" i="1" a="1"/>
  <c r="R3812" i="1" s="1"/>
  <c r="R3813" i="1" a="1"/>
  <c r="R3813" i="1" s="1"/>
  <c r="R3814" i="1" a="1"/>
  <c r="R3814" i="1" s="1"/>
  <c r="R3815" i="1" a="1"/>
  <c r="R3815" i="1" s="1"/>
  <c r="R3816" i="1" a="1"/>
  <c r="R3816" i="1" s="1"/>
  <c r="R3817" i="1" a="1"/>
  <c r="R3817" i="1" s="1"/>
  <c r="R3818" i="1" a="1"/>
  <c r="R3818" i="1" s="1"/>
  <c r="R3819" i="1" a="1"/>
  <c r="R3819" i="1" s="1"/>
  <c r="R3820" i="1" a="1"/>
  <c r="R3820" i="1" s="1"/>
  <c r="R3821" i="1" a="1"/>
  <c r="R3821" i="1" s="1"/>
  <c r="R3822" i="1" a="1"/>
  <c r="R3822" i="1" s="1"/>
  <c r="R3823" i="1" a="1"/>
  <c r="R3823" i="1" s="1"/>
  <c r="R3824" i="1" a="1"/>
  <c r="R3824" i="1" s="1"/>
  <c r="R3825" i="1" a="1"/>
  <c r="R3825" i="1" s="1"/>
  <c r="R3826" i="1" a="1"/>
  <c r="R3826" i="1" s="1"/>
  <c r="R3827" i="1" a="1"/>
  <c r="R3827" i="1" s="1"/>
  <c r="R3828" i="1" a="1"/>
  <c r="R3828" i="1" s="1"/>
  <c r="R3829" i="1" a="1"/>
  <c r="R3829" i="1" s="1"/>
  <c r="R3830" i="1" a="1"/>
  <c r="R3830" i="1" s="1"/>
  <c r="R3831" i="1" a="1"/>
  <c r="R3831" i="1" s="1"/>
  <c r="R3832" i="1" a="1"/>
  <c r="R3832" i="1" s="1"/>
  <c r="R3833" i="1" a="1"/>
  <c r="R3833" i="1" s="1"/>
  <c r="R3834" i="1" a="1"/>
  <c r="R3834" i="1" s="1"/>
  <c r="R3835" i="1" a="1"/>
  <c r="R3835" i="1" s="1"/>
  <c r="R3836" i="1" a="1"/>
  <c r="R3836" i="1" s="1"/>
  <c r="R3837" i="1" a="1"/>
  <c r="R3837" i="1" s="1"/>
  <c r="R3838" i="1" a="1"/>
  <c r="R3838" i="1" s="1"/>
  <c r="R3839" i="1" a="1"/>
  <c r="R3839" i="1" s="1"/>
  <c r="R3840" i="1" a="1"/>
  <c r="R3840" i="1" s="1"/>
  <c r="R3841" i="1" a="1"/>
  <c r="R3841" i="1" s="1"/>
  <c r="R3842" i="1" a="1"/>
  <c r="R3842" i="1" s="1"/>
  <c r="R3843" i="1" a="1"/>
  <c r="R3843" i="1" s="1"/>
  <c r="R3844" i="1" a="1"/>
  <c r="R3844" i="1" s="1"/>
  <c r="R3845" i="1" a="1"/>
  <c r="R3845" i="1" s="1"/>
  <c r="R3846" i="1" a="1"/>
  <c r="R3846" i="1" s="1"/>
  <c r="R3847" i="1" a="1"/>
  <c r="R3847" i="1" s="1"/>
  <c r="R3848" i="1" a="1"/>
  <c r="R3848" i="1" s="1"/>
  <c r="R3849" i="1" a="1"/>
  <c r="R3849" i="1" s="1"/>
  <c r="R3850" i="1" a="1"/>
  <c r="R3850" i="1" s="1"/>
  <c r="R3851" i="1" a="1"/>
  <c r="R3851" i="1" s="1"/>
  <c r="R3852" i="1" a="1"/>
  <c r="R3852" i="1" s="1"/>
  <c r="R3853" i="1" a="1"/>
  <c r="R3853" i="1" s="1"/>
  <c r="R3854" i="1" a="1"/>
  <c r="R3854" i="1" s="1"/>
  <c r="R3855" i="1" a="1"/>
  <c r="R3855" i="1" s="1"/>
  <c r="R3856" i="1" a="1"/>
  <c r="R3856" i="1" s="1"/>
  <c r="R3857" i="1" a="1"/>
  <c r="R3857" i="1" s="1"/>
  <c r="R3858" i="1" a="1"/>
  <c r="R3858" i="1" s="1"/>
  <c r="R3859" i="1" a="1"/>
  <c r="R3859" i="1" s="1"/>
  <c r="R3860" i="1" a="1"/>
  <c r="R3860" i="1" s="1"/>
  <c r="R3861" i="1" a="1"/>
  <c r="R3861" i="1" s="1"/>
  <c r="R3862" i="1" a="1"/>
  <c r="R3862" i="1" s="1"/>
  <c r="R3863" i="1" a="1"/>
  <c r="R3863" i="1" s="1"/>
  <c r="R3864" i="1" a="1"/>
  <c r="R3864" i="1" s="1"/>
  <c r="R3865" i="1" a="1"/>
  <c r="R3865" i="1" s="1"/>
  <c r="R3866" i="1" a="1"/>
  <c r="R3866" i="1" s="1"/>
  <c r="R3867" i="1" a="1"/>
  <c r="R3867" i="1" s="1"/>
  <c r="R3868" i="1" a="1"/>
  <c r="R3868" i="1" s="1"/>
  <c r="R3869" i="1" a="1"/>
  <c r="R3869" i="1" s="1"/>
  <c r="R3870" i="1" a="1"/>
  <c r="R3870" i="1" s="1"/>
  <c r="R3871" i="1" a="1"/>
  <c r="R3871" i="1" s="1"/>
  <c r="R3872" i="1" a="1"/>
  <c r="R3872" i="1" s="1"/>
  <c r="R3873" i="1" a="1"/>
  <c r="R3873" i="1" s="1"/>
  <c r="R3874" i="1" a="1"/>
  <c r="R3874" i="1" s="1"/>
  <c r="R3875" i="1" a="1"/>
  <c r="R3875" i="1" s="1"/>
  <c r="R3876" i="1" a="1"/>
  <c r="R3876" i="1" s="1"/>
  <c r="R3877" i="1" a="1"/>
  <c r="R3877" i="1" s="1"/>
  <c r="R3878" i="1" a="1"/>
  <c r="R3878" i="1" s="1"/>
  <c r="R3879" i="1" a="1"/>
  <c r="R3879" i="1" s="1"/>
  <c r="R3880" i="1" a="1"/>
  <c r="R3880" i="1" s="1"/>
  <c r="R3881" i="1" a="1"/>
  <c r="R3881" i="1" s="1"/>
  <c r="R3882" i="1" a="1"/>
  <c r="R3882" i="1" s="1"/>
  <c r="R3883" i="1" a="1"/>
  <c r="R3883" i="1" s="1"/>
  <c r="R3884" i="1" a="1"/>
  <c r="R3884" i="1" s="1"/>
  <c r="R3885" i="1" a="1"/>
  <c r="R3885" i="1" s="1"/>
  <c r="R3886" i="1" a="1"/>
  <c r="R3886" i="1" s="1"/>
  <c r="R3887" i="1" a="1"/>
  <c r="R3887" i="1" s="1"/>
  <c r="R3888" i="1" a="1"/>
  <c r="R3888" i="1" s="1"/>
  <c r="R3889" i="1" a="1"/>
  <c r="R3889" i="1" s="1"/>
  <c r="R3890" i="1" a="1"/>
  <c r="R3890" i="1" s="1"/>
  <c r="R3891" i="1" a="1"/>
  <c r="R3891" i="1" s="1"/>
  <c r="R3892" i="1" a="1"/>
  <c r="R3892" i="1" s="1"/>
  <c r="R3893" i="1" a="1"/>
  <c r="R3893" i="1" s="1"/>
  <c r="R3894" i="1" a="1"/>
  <c r="R3894" i="1" s="1"/>
  <c r="R3895" i="1" a="1"/>
  <c r="R3895" i="1" s="1"/>
  <c r="R3896" i="1" a="1"/>
  <c r="R3896" i="1" s="1"/>
  <c r="R3897" i="1" a="1"/>
  <c r="R3897" i="1" s="1"/>
  <c r="R3898" i="1" a="1"/>
  <c r="R3898" i="1" s="1"/>
  <c r="R3899" i="1" a="1"/>
  <c r="R3899" i="1" s="1"/>
  <c r="R3900" i="1" a="1"/>
  <c r="R3900" i="1" s="1"/>
  <c r="R3901" i="1" a="1"/>
  <c r="R3901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<sst xmlns="http://schemas.openxmlformats.org/spreadsheetml/2006/main" count="46819" uniqueCount="154">
  <si>
    <t>Age</t>
  </si>
  <si>
    <t>Gender</t>
  </si>
  <si>
    <t>Category</t>
  </si>
  <si>
    <t>Location</t>
  </si>
  <si>
    <t>Size</t>
  </si>
  <si>
    <t>Color</t>
  </si>
  <si>
    <t>Season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</si>
  <si>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</si>
  <si>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</si>
  <si>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</si>
  <si>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</si>
  <si>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</si>
  <si>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</si>
  <si>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</si>
  <si>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</si>
  <si>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</si>
  <si>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</si>
  <si>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</si>
  <si>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</si>
  <si>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</si>
  <si>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</si>
  <si>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</si>
  <si>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</si>
  <si>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</si>
  <si>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</si>
  <si>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</si>
  <si>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</si>
  <si>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</si>
  <si>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</si>
  <si>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</si>
  <si>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</si>
  <si>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</si>
  <si>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</si>
  <si>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</si>
  <si>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</si>
  <si>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</si>
  <si>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</si>
  <si>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</si>
  <si>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</si>
  <si>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</si>
  <si>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</si>
  <si>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</si>
  <si>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</si>
  <si>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</si>
  <si>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</si>
  <si>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</si>
  <si>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</si>
  <si>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</si>
  <si>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</si>
  <si>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</si>
  <si>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</si>
  <si>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</si>
  <si>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</si>
  <si>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</si>
  <si>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</si>
  <si>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</si>
  <si>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</si>
  <si>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</si>
  <si>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</si>
  <si>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</si>
  <si>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</si>
  <si>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</si>
  <si>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</si>
  <si>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</si>
  <si>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</si>
  <si>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</si>
  <si>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</si>
  <si>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</si>
  <si>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</si>
  <si>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</si>
  <si>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</si>
  <si>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</si>
  <si>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</si>
  <si>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</si>
  <si>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</si>
  <si>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</si>
  <si>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</si>
  <si>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</si>
  <si>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</si>
  <si>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</si>
  <si>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</si>
  <si>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</si>
  <si>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</si>
  <si>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</si>
  <si>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</si>
  <si>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</si>
  <si>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</si>
  <si>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</si>
  <si>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</si>
  <si>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</si>
  <si>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</si>
  <si>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</si>
  <si>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</si>
  <si>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</si>
  <si>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</si>
  <si>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</si>
  <si>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</si>
  <si>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</si>
  <si>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</si>
  <si>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</si>
  <si>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</si>
  <si>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</si>
  <si>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</si>
  <si>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</si>
  <si>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</si>
  <si>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</si>
  <si>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</si>
  <si>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</si>
  <si>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</si>
  <si>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</si>
  <si>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</si>
  <si>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</si>
  <si>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</si>
  <si>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</si>
  <si>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</si>
  <si>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</si>
  <si>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</si>
  <si>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</si>
  <si>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</si>
  <si>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</si>
  <si>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</si>
  <si>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</si>
  <si>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</si>
  <si>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</si>
  <si>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</si>
  <si>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</si>
  <si>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</si>
  <si>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</si>
  <si>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</si>
  <si>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</si>
  <si>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</si>
  <si>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</si>
  <si>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</si>
  <si>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</si>
  <si>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</si>
  <si>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</si>
  <si>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</si>
  <si>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</si>
  <si>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</si>
  <si>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</si>
  <si>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</si>
  <si>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</si>
  <si>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Customer_ID</t>
  </si>
  <si>
    <t>Item_Purchased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</si>
  <si>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</si>
  <si>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</si>
  <si>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</si>
  <si>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</si>
  <si>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</si>
  <si>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</si>
  <si>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</si>
  <si>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Purchase_Amount</t>
  </si>
  <si>
    <t>Age_Group</t>
  </si>
  <si>
    <t>Purchase_Frequency_Days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</si>
</sst>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1FE8-7B35-42AB-BC81-A286552A5E4F}">
  <dimension ref="A1:S3901"/>
  <sheetViews>
    <sheetView tabSelected="1" topLeftCell="L1" zoomScaleNormal="100" workbookViewId="0">
      <pane ySplit="1" topLeftCell="A23" activePane="bottomLeft" state="frozen"/>
      <selection pane="bottomLeft" activeCell="T23" sqref="T23"/>
    </sheetView>
  </sheetViews>
  <sheetFormatPr defaultRowHeight="14.5" x14ac:dyDescent="0.35"/>
  <cols>
    <col min="1" max="1" width="11.1796875" bestFit="1" customWidth="1"/>
    <col min="2" max="2" width="3.90625" bestFit="1" customWidth="1"/>
    <col min="3" max="3" width="7" bestFit="1" customWidth="1"/>
    <col min="4" max="4" width="13.81640625" bestFit="1" customWidth="1"/>
    <col min="5" max="5" width="10.36328125" bestFit="1" customWidth="1"/>
    <col min="6" max="6" width="22.08984375" bestFit="1" customWidth="1"/>
    <col min="7" max="7" width="14.1796875" bestFit="1" customWidth="1"/>
    <col min="8" max="8" width="4" bestFit="1" customWidth="1"/>
    <col min="9" max="9" width="9.1796875" bestFit="1" customWidth="1"/>
    <col min="10" max="10" width="7.81640625" bestFit="1" customWidth="1"/>
    <col min="11" max="11" width="12.36328125" bestFit="1" customWidth="1"/>
    <col min="12" max="12" width="16.7265625" bestFit="1" customWidth="1"/>
    <col min="13" max="13" width="13.26953125" bestFit="1" customWidth="1"/>
    <col min="14" max="14" width="15" bestFit="1" customWidth="1"/>
    <col min="15" max="15" width="16.81640625" bestFit="1" customWidth="1"/>
    <col min="16" max="16" width="15.26953125" bestFit="1" customWidth="1"/>
    <col min="17" max="17" width="21.81640625" bestFit="1" customWidth="1"/>
    <col min="18" max="18" width="11.26953125" bestFit="1" customWidth="1"/>
    <col min="19" max="19" width="23.26953125" bestFit="1" customWidth="1"/>
  </cols>
  <sheetData>
    <row r="1" spans="1:19" s="1" customFormat="1" x14ac:dyDescent="0.35">
      <c r="A1" s="1" t="s">
        <v>142</v>
      </c>
      <c r="B1" s="1" t="s">
        <v>0</v>
      </c>
      <c r="C1" s="1" t="s">
        <v>1</v>
      </c>
      <c r="D1" s="1" t="s">
        <v>143</v>
      </c>
      <c r="E1" s="1" t="s">
        <v>2</v>
      </c>
      <c r="F1" s="1" t="s">
        <v>151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152</v>
      </c>
      <c r="S1" s="1" t="s">
        <v>153</v>
      </c>
    </row>
    <row r="2" spans="1:19" x14ac:dyDescent="0.35">
      <c r="A2">
        <v>1</v>
      </c>
      <c r="B2">
        <v>55</v>
      </c>
      <c r="C2" t="s">
        <v>7</v>
      </c>
      <c r="D2" t="s">
        <v>8</v>
      </c>
      <c r="E2" t="s">
        <v>9</v>
      </c>
      <c r="F2">
        <v>53</v>
      </c>
      <c r="G2" t="s">
        <v>10</v>
      </c>
      <c r="H2" t="s">
        <v>11</v>
      </c>
      <c r="I2" t="s">
        <v>12</v>
      </c>
      <c r="J2" t="s">
        <v>13</v>
      </c>
      <c r="K2">
        <v>3.1</v>
      </c>
      <c r="L2" t="s">
        <v>14</v>
      </c>
      <c r="M2" t="s">
        <v>15</v>
      </c>
      <c r="N2" t="s">
        <v>14</v>
      </c>
      <c r="O2">
        <v>14</v>
      </c>
      <c r="P2" t="s">
        <v>16</v>
      </c>
      <c r="Q2" t="s">
        <v>17</v>
      </c>
      <c r="R2" t="str" cm="1">
        <f t="array" ref="R2">_xlfn.IFS(B2&lt;31,"Young-Adult",B2&lt;41,"Adult",B2&lt;61,"Middle-aged",B2&gt;=61,"Senior")</f>
        <v>Middle-aged</v>
      </c>
      <c r="S2" cm="1">
        <f t="array" ref="S2">_xlfn.IFS(Q2 ="Fortnightly",14,Q2="Weekly",7,Q2="Monthly",30,Q2="Quarterly",90,Q2="Bi-Weekly",14,Q2="Annually",365,Q2="Every 3 Months",90,TRUE,"NOT FOUND")</f>
        <v>14</v>
      </c>
    </row>
    <row r="3" spans="1:19" x14ac:dyDescent="0.35">
      <c r="A3">
        <v>2</v>
      </c>
      <c r="B3">
        <v>19</v>
      </c>
      <c r="C3" t="s">
        <v>7</v>
      </c>
      <c r="D3" t="s">
        <v>18</v>
      </c>
      <c r="E3" t="s">
        <v>9</v>
      </c>
      <c r="F3">
        <v>64</v>
      </c>
      <c r="G3" t="s">
        <v>19</v>
      </c>
      <c r="H3" t="s">
        <v>11</v>
      </c>
      <c r="I3" t="s">
        <v>20</v>
      </c>
      <c r="J3" t="s">
        <v>13</v>
      </c>
      <c r="K3">
        <v>3.1</v>
      </c>
      <c r="L3" t="s">
        <v>14</v>
      </c>
      <c r="M3" t="s">
        <v>15</v>
      </c>
      <c r="N3" t="s">
        <v>14</v>
      </c>
      <c r="O3">
        <v>2</v>
      </c>
      <c r="P3" t="s">
        <v>21</v>
      </c>
      <c r="Q3" t="s">
        <v>17</v>
      </c>
      <c r="R3" t="str" cm="1">
        <f t="array" ref="R3">_xlfn.IFS(B3&lt;31,"Young-Adult",B3&lt;41,"Adult",B3&lt;61,"Middle-aged",B3&gt;=61,"Senior")</f>
        <v>Young-Adult</v>
      </c>
      <c r="S3" cm="1">
        <f t="array" ref="S3">_xlfn.IFS(Q3 ="Fortnightly",14,Q3="Weekly",7,Q3="Monthly",30,Q3="Quarterly",90,Q3="Bi-Weekly",14,Q3="Annually",365,Q3="Every 3 Months",90,TRUE,"NOT FOUND")</f>
        <v>14</v>
      </c>
    </row>
    <row r="4" spans="1:19" x14ac:dyDescent="0.35">
      <c r="A4">
        <v>3</v>
      </c>
      <c r="B4">
        <v>50</v>
      </c>
      <c r="C4" t="s">
        <v>7</v>
      </c>
      <c r="D4" t="s">
        <v>22</v>
      </c>
      <c r="E4" t="s">
        <v>9</v>
      </c>
      <c r="F4">
        <v>73</v>
      </c>
      <c r="G4" t="s">
        <v>23</v>
      </c>
      <c r="H4" t="s">
        <v>24</v>
      </c>
      <c r="I4" t="s">
        <v>20</v>
      </c>
      <c r="J4" t="s">
        <v>25</v>
      </c>
      <c r="K4">
        <v>3.1</v>
      </c>
      <c r="L4" t="s">
        <v>14</v>
      </c>
      <c r="M4" t="s">
        <v>26</v>
      </c>
      <c r="N4" t="s">
        <v>14</v>
      </c>
      <c r="O4">
        <v>23</v>
      </c>
      <c r="P4" t="s">
        <v>27</v>
      </c>
      <c r="Q4" t="s">
        <v>28</v>
      </c>
      <c r="R4" t="str" cm="1">
        <f t="array" ref="R4">_xlfn.IFS(B4&lt;31,"Young-Adult",B4&lt;41,"Adult",B4&lt;61,"Middle-aged",B4&gt;=61,"Senior")</f>
        <v>Middle-aged</v>
      </c>
      <c r="S4" cm="1">
        <f t="array" ref="S4">_xlfn.IFS(Q4 ="Fortnightly",14,Q4="Weekly",7,Q4="Monthly",30,Q4="Quarterly",90,Q4="Bi-Weekly",14,Q4="Annually",365,Q4="Every 3 Months",90,TRUE,"NOT FOUND")</f>
        <v>7</v>
      </c>
    </row>
    <row r="5" spans="1:19" x14ac:dyDescent="0.35">
      <c r="A5">
        <v>4</v>
      </c>
      <c r="B5">
        <v>21</v>
      </c>
      <c r="C5" t="s">
        <v>7</v>
      </c>
      <c r="D5" t="s">
        <v>29</v>
      </c>
      <c r="E5" t="s">
        <v>30</v>
      </c>
      <c r="F5">
        <v>90</v>
      </c>
      <c r="G5" t="s">
        <v>31</v>
      </c>
      <c r="H5" t="s">
        <v>32</v>
      </c>
      <c r="I5" t="s">
        <v>20</v>
      </c>
      <c r="J5" t="s">
        <v>25</v>
      </c>
      <c r="K5">
        <v>3.5</v>
      </c>
      <c r="L5" t="s">
        <v>14</v>
      </c>
      <c r="M5" t="s">
        <v>33</v>
      </c>
      <c r="N5" t="s">
        <v>14</v>
      </c>
      <c r="O5">
        <v>49</v>
      </c>
      <c r="P5" t="s">
        <v>34</v>
      </c>
      <c r="Q5" t="s">
        <v>28</v>
      </c>
      <c r="R5" t="str" cm="1">
        <f t="array" ref="R5">_xlfn.IFS(B5&lt;31,"Young-Adult",B5&lt;41,"Adult",B5&lt;61,"Middle-aged",B5&gt;=61,"Senior")</f>
        <v>Young-Adult</v>
      </c>
      <c r="S5" cm="1">
        <f t="array" ref="S5">_xlfn.IFS(Q5 ="Fortnightly",14,Q5="Weekly",7,Q5="Monthly",30,Q5="Quarterly",90,Q5="Bi-Weekly",14,Q5="Annually",365,Q5="Every 3 Months",90,TRUE,"NOT FOUND")</f>
        <v>7</v>
      </c>
    </row>
    <row r="6" spans="1:19" x14ac:dyDescent="0.35">
      <c r="A6">
        <v>5</v>
      </c>
      <c r="B6">
        <v>45</v>
      </c>
      <c r="C6" t="s">
        <v>7</v>
      </c>
      <c r="D6" t="s">
        <v>8</v>
      </c>
      <c r="E6" t="s">
        <v>9</v>
      </c>
      <c r="F6">
        <v>49</v>
      </c>
      <c r="G6" t="s">
        <v>35</v>
      </c>
      <c r="H6" t="s">
        <v>32</v>
      </c>
      <c r="I6" t="s">
        <v>36</v>
      </c>
      <c r="J6" t="s">
        <v>25</v>
      </c>
      <c r="K6">
        <v>2.7</v>
      </c>
      <c r="L6" t="s">
        <v>14</v>
      </c>
      <c r="M6" t="s">
        <v>26</v>
      </c>
      <c r="N6" t="s">
        <v>14</v>
      </c>
      <c r="O6">
        <v>31</v>
      </c>
      <c r="P6" t="s">
        <v>34</v>
      </c>
      <c r="Q6" t="s">
        <v>37</v>
      </c>
      <c r="R6" t="str" cm="1">
        <f t="array" ref="R6">_xlfn.IFS(B6&lt;31,"Young-Adult",B6&lt;41,"Adult",B6&lt;61,"Middle-aged",B6&gt;=61,"Senior")</f>
        <v>Middle-aged</v>
      </c>
      <c r="S6" cm="1">
        <f t="array" ref="S6">_xlfn.IFS(Q6 ="Fortnightly",14,Q6="Weekly",7,Q6="Monthly",30,Q6="Quarterly",90,Q6="Bi-Weekly",14,Q6="Annually",365,Q6="Every 3 Months",90,TRUE,"NOT FOUND")</f>
        <v>365</v>
      </c>
    </row>
    <row r="7" spans="1:19" x14ac:dyDescent="0.35">
      <c r="A7">
        <v>6</v>
      </c>
      <c r="B7">
        <v>46</v>
      </c>
      <c r="C7" t="s">
        <v>7</v>
      </c>
      <c r="D7" t="s">
        <v>38</v>
      </c>
      <c r="E7" t="s">
        <v>30</v>
      </c>
      <c r="F7">
        <v>20</v>
      </c>
      <c r="G7" t="s">
        <v>39</v>
      </c>
      <c r="H7" t="s">
        <v>32</v>
      </c>
      <c r="I7" t="s">
        <v>40</v>
      </c>
      <c r="J7" t="s">
        <v>41</v>
      </c>
      <c r="K7">
        <v>2.9</v>
      </c>
      <c r="L7" t="s">
        <v>14</v>
      </c>
      <c r="M7" t="s">
        <v>42</v>
      </c>
      <c r="N7" t="s">
        <v>14</v>
      </c>
      <c r="O7">
        <v>14</v>
      </c>
      <c r="P7" t="s">
        <v>16</v>
      </c>
      <c r="Q7" t="s">
        <v>28</v>
      </c>
      <c r="R7" t="str" cm="1">
        <f t="array" ref="R7">_xlfn.IFS(B7&lt;31,"Young-Adult",B7&lt;41,"Adult",B7&lt;61,"Middle-aged",B7&gt;=61,"Senior")</f>
        <v>Middle-aged</v>
      </c>
      <c r="S7" cm="1">
        <f t="array" ref="S7">_xlfn.IFS(Q7 ="Fortnightly",14,Q7="Weekly",7,Q7="Monthly",30,Q7="Quarterly",90,Q7="Bi-Weekly",14,Q7="Annually",365,Q7="Every 3 Months",90,TRUE,"NOT FOUND")</f>
        <v>7</v>
      </c>
    </row>
    <row r="8" spans="1:19" x14ac:dyDescent="0.35">
      <c r="A8">
        <v>7</v>
      </c>
      <c r="B8">
        <v>63</v>
      </c>
      <c r="C8" t="s">
        <v>7</v>
      </c>
      <c r="D8" t="s">
        <v>43</v>
      </c>
      <c r="E8" t="s">
        <v>9</v>
      </c>
      <c r="F8">
        <v>85</v>
      </c>
      <c r="G8" t="s">
        <v>44</v>
      </c>
      <c r="H8" t="s">
        <v>32</v>
      </c>
      <c r="I8" t="s">
        <v>12</v>
      </c>
      <c r="J8" t="s">
        <v>45</v>
      </c>
      <c r="K8">
        <v>3.2</v>
      </c>
      <c r="L8" t="s">
        <v>14</v>
      </c>
      <c r="M8" t="s">
        <v>26</v>
      </c>
      <c r="N8" t="s">
        <v>14</v>
      </c>
      <c r="O8">
        <v>49</v>
      </c>
      <c r="P8" t="s">
        <v>21</v>
      </c>
      <c r="Q8" t="s">
        <v>46</v>
      </c>
      <c r="R8" t="str" cm="1">
        <f t="array" ref="R8">_xlfn.IFS(B8&lt;31,"Young-Adult",B8&lt;41,"Adult",B8&lt;61,"Middle-aged",B8&gt;=61,"Senior")</f>
        <v>Senior</v>
      </c>
      <c r="S8" cm="1">
        <f t="array" ref="S8">_xlfn.IFS(Q8 ="Fortnightly",14,Q8="Weekly",7,Q8="Monthly",30,Q8="Quarterly",90,Q8="Bi-Weekly",14,Q8="Annually",365,Q8="Every 3 Months",90,TRUE,"NOT FOUND")</f>
        <v>90</v>
      </c>
    </row>
    <row r="9" spans="1:19" x14ac:dyDescent="0.35">
      <c r="A9">
        <v>8</v>
      </c>
      <c r="B9">
        <v>27</v>
      </c>
      <c r="C9" t="s">
        <v>7</v>
      </c>
      <c r="D9" t="s">
        <v>47</v>
      </c>
      <c r="E9" t="s">
        <v>9</v>
      </c>
      <c r="F9">
        <v>34</v>
      </c>
      <c r="G9" t="s">
        <v>48</v>
      </c>
      <c r="H9" t="s">
        <v>11</v>
      </c>
      <c r="I9" t="s">
        <v>49</v>
      </c>
      <c r="J9" t="s">
        <v>13</v>
      </c>
      <c r="K9">
        <v>3.2</v>
      </c>
      <c r="L9" t="s">
        <v>14</v>
      </c>
      <c r="M9" t="s">
        <v>26</v>
      </c>
      <c r="N9" t="s">
        <v>14</v>
      </c>
      <c r="O9">
        <v>19</v>
      </c>
      <c r="P9" t="s">
        <v>27</v>
      </c>
      <c r="Q9" t="s">
        <v>28</v>
      </c>
      <c r="R9" t="str" cm="1">
        <f t="array" ref="R9">_xlfn.IFS(B9&lt;31,"Young-Adult",B9&lt;41,"Adult",B9&lt;61,"Middle-aged",B9&gt;=61,"Senior")</f>
        <v>Young-Adult</v>
      </c>
      <c r="S9" cm="1">
        <f t="array" ref="S9">_xlfn.IFS(Q9 ="Fortnightly",14,Q9="Weekly",7,Q9="Monthly",30,Q9="Quarterly",90,Q9="Bi-Weekly",14,Q9="Annually",365,Q9="Every 3 Months",90,TRUE,"NOT FOUND")</f>
        <v>7</v>
      </c>
    </row>
    <row r="10" spans="1:19" x14ac:dyDescent="0.35">
      <c r="A10">
        <v>9</v>
      </c>
      <c r="B10">
        <v>26</v>
      </c>
      <c r="C10" t="s">
        <v>7</v>
      </c>
      <c r="D10" t="s">
        <v>50</v>
      </c>
      <c r="E10" t="s">
        <v>51</v>
      </c>
      <c r="F10">
        <v>97</v>
      </c>
      <c r="G10" t="s">
        <v>52</v>
      </c>
      <c r="H10" t="s">
        <v>11</v>
      </c>
      <c r="I10" t="s">
        <v>53</v>
      </c>
      <c r="J10" t="s">
        <v>41</v>
      </c>
      <c r="K10">
        <v>2.6</v>
      </c>
      <c r="L10" t="s">
        <v>14</v>
      </c>
      <c r="M10" t="s">
        <v>15</v>
      </c>
      <c r="N10" t="s">
        <v>14</v>
      </c>
      <c r="O10">
        <v>8</v>
      </c>
      <c r="P10" t="s">
        <v>16</v>
      </c>
      <c r="Q10" t="s">
        <v>37</v>
      </c>
      <c r="R10" t="str" cm="1">
        <f t="array" ref="R10">_xlfn.IFS(B10&lt;31,"Young-Adult",B10&lt;41,"Adult",B10&lt;61,"Middle-aged",B10&gt;=61,"Senior")</f>
        <v>Young-Adult</v>
      </c>
      <c r="S10" cm="1">
        <f t="array" ref="S10">_xlfn.IFS(Q10 ="Fortnightly",14,Q10="Weekly",7,Q10="Monthly",30,Q10="Quarterly",90,Q10="Bi-Weekly",14,Q10="Annually",365,Q10="Every 3 Months",90,TRUE,"NOT FOUND")</f>
        <v>365</v>
      </c>
    </row>
    <row r="11" spans="1:19" x14ac:dyDescent="0.35">
      <c r="A11">
        <v>10</v>
      </c>
      <c r="B11">
        <v>57</v>
      </c>
      <c r="C11" t="s">
        <v>7</v>
      </c>
      <c r="D11" t="s">
        <v>54</v>
      </c>
      <c r="E11" t="s">
        <v>55</v>
      </c>
      <c r="F11">
        <v>31</v>
      </c>
      <c r="G11" t="s">
        <v>56</v>
      </c>
      <c r="H11" t="s">
        <v>32</v>
      </c>
      <c r="I11" t="s">
        <v>57</v>
      </c>
      <c r="J11" t="s">
        <v>25</v>
      </c>
      <c r="K11">
        <v>4.8</v>
      </c>
      <c r="L11" t="s">
        <v>14</v>
      </c>
      <c r="M11" t="s">
        <v>58</v>
      </c>
      <c r="N11" t="s">
        <v>14</v>
      </c>
      <c r="O11">
        <v>4</v>
      </c>
      <c r="P11" t="s">
        <v>21</v>
      </c>
      <c r="Q11" t="s">
        <v>46</v>
      </c>
      <c r="R11" t="str" cm="1">
        <f t="array" ref="R11">_xlfn.IFS(B11&lt;31,"Young-Adult",B11&lt;41,"Adult",B11&lt;61,"Middle-aged",B11&gt;=61,"Senior")</f>
        <v>Middle-aged</v>
      </c>
      <c r="S11" cm="1">
        <f t="array" ref="S11">_xlfn.IFS(Q11 ="Fortnightly",14,Q11="Weekly",7,Q11="Monthly",30,Q11="Quarterly",90,Q11="Bi-Weekly",14,Q11="Annually",365,Q11="Every 3 Months",90,TRUE,"NOT FOUND")</f>
        <v>90</v>
      </c>
    </row>
    <row r="12" spans="1:19" x14ac:dyDescent="0.35">
      <c r="A12">
        <v>11</v>
      </c>
      <c r="B12">
        <v>53</v>
      </c>
      <c r="C12" t="s">
        <v>7</v>
      </c>
      <c r="D12" t="s">
        <v>59</v>
      </c>
      <c r="E12" t="s">
        <v>30</v>
      </c>
      <c r="F12">
        <v>34</v>
      </c>
      <c r="G12" t="s">
        <v>60</v>
      </c>
      <c r="H12" t="s">
        <v>11</v>
      </c>
      <c r="I12" t="s">
        <v>61</v>
      </c>
      <c r="J12" t="s">
        <v>45</v>
      </c>
      <c r="K12">
        <v>4.0999999999999996</v>
      </c>
      <c r="L12" t="s">
        <v>14</v>
      </c>
      <c r="M12" t="s">
        <v>62</v>
      </c>
      <c r="N12" t="s">
        <v>14</v>
      </c>
      <c r="O12">
        <v>26</v>
      </c>
      <c r="P12" t="s">
        <v>63</v>
      </c>
      <c r="Q12" t="s">
        <v>64</v>
      </c>
      <c r="R12" t="str" cm="1">
        <f t="array" ref="R12">_xlfn.IFS(B12&lt;31,"Young-Adult",B12&lt;41,"Adult",B12&lt;61,"Middle-aged",B12&gt;=61,"Senior")</f>
        <v>Middle-aged</v>
      </c>
      <c r="S12" cm="1">
        <f t="array" ref="S12">_xlfn.IFS(Q12 ="Fortnightly",14,Q12="Weekly",7,Q12="Monthly",30,Q12="Quarterly",90,Q12="Bi-Weekly",14,Q12="Annually",365,Q12="Every 3 Months",90,TRUE,"NOT FOUND")</f>
        <v>14</v>
      </c>
    </row>
    <row r="13" spans="1:19" x14ac:dyDescent="0.35">
      <c r="A13">
        <v>12</v>
      </c>
      <c r="B13">
        <v>30</v>
      </c>
      <c r="C13" t="s">
        <v>7</v>
      </c>
      <c r="D13" t="s">
        <v>47</v>
      </c>
      <c r="E13" t="s">
        <v>9</v>
      </c>
      <c r="F13">
        <v>68</v>
      </c>
      <c r="G13" t="s">
        <v>65</v>
      </c>
      <c r="H13" t="s">
        <v>24</v>
      </c>
      <c r="I13" t="s">
        <v>66</v>
      </c>
      <c r="J13" t="s">
        <v>13</v>
      </c>
      <c r="K13">
        <v>4.9000000000000004</v>
      </c>
      <c r="L13" t="s">
        <v>14</v>
      </c>
      <c r="M13" t="s">
        <v>62</v>
      </c>
      <c r="N13" t="s">
        <v>14</v>
      </c>
      <c r="O13">
        <v>10</v>
      </c>
      <c r="P13" t="s">
        <v>63</v>
      </c>
      <c r="Q13" t="s">
        <v>17</v>
      </c>
      <c r="R13" t="str" cm="1">
        <f t="array" ref="R13">_xlfn.IFS(B13&lt;31,"Young-Adult",B13&lt;41,"Adult",B13&lt;61,"Middle-aged",B13&gt;=61,"Senior")</f>
        <v>Young-Adult</v>
      </c>
      <c r="S13" cm="1">
        <f t="array" ref="S13">_xlfn.IFS(Q13 ="Fortnightly",14,Q13="Weekly",7,Q13="Monthly",30,Q13="Quarterly",90,Q13="Bi-Weekly",14,Q13="Annually",365,Q13="Every 3 Months",90,TRUE,"NOT FOUND")</f>
        <v>14</v>
      </c>
    </row>
    <row r="14" spans="1:19" x14ac:dyDescent="0.35">
      <c r="A14">
        <v>13</v>
      </c>
      <c r="B14">
        <v>61</v>
      </c>
      <c r="C14" t="s">
        <v>7</v>
      </c>
      <c r="D14" t="s">
        <v>50</v>
      </c>
      <c r="E14" t="s">
        <v>51</v>
      </c>
      <c r="F14">
        <v>72</v>
      </c>
      <c r="G14" t="s">
        <v>67</v>
      </c>
      <c r="H14" t="s">
        <v>32</v>
      </c>
      <c r="I14" t="s">
        <v>68</v>
      </c>
      <c r="J14" t="s">
        <v>13</v>
      </c>
      <c r="K14">
        <v>4.5</v>
      </c>
      <c r="L14" t="s">
        <v>14</v>
      </c>
      <c r="M14" t="s">
        <v>15</v>
      </c>
      <c r="N14" t="s">
        <v>14</v>
      </c>
      <c r="O14">
        <v>37</v>
      </c>
      <c r="P14" t="s">
        <v>16</v>
      </c>
      <c r="Q14" t="s">
        <v>17</v>
      </c>
      <c r="R14" t="str" cm="1">
        <f t="array" ref="R14">_xlfn.IFS(B14&lt;31,"Young-Adult",B14&lt;41,"Adult",B14&lt;61,"Middle-aged",B14&gt;=61,"Senior")</f>
        <v>Senior</v>
      </c>
      <c r="S14" cm="1">
        <f t="array" ref="S14">_xlfn.IFS(Q14 ="Fortnightly",14,Q14="Weekly",7,Q14="Monthly",30,Q14="Quarterly",90,Q14="Bi-Weekly",14,Q14="Annually",365,Q14="Every 3 Months",90,TRUE,"NOT FOUND")</f>
        <v>14</v>
      </c>
    </row>
    <row r="15" spans="1:19" x14ac:dyDescent="0.35">
      <c r="A15">
        <v>14</v>
      </c>
      <c r="B15">
        <v>65</v>
      </c>
      <c r="C15" t="s">
        <v>7</v>
      </c>
      <c r="D15" t="s">
        <v>69</v>
      </c>
      <c r="E15" t="s">
        <v>9</v>
      </c>
      <c r="F15">
        <v>51</v>
      </c>
      <c r="G15" t="s">
        <v>70</v>
      </c>
      <c r="H15" t="s">
        <v>32</v>
      </c>
      <c r="I15" t="s">
        <v>71</v>
      </c>
      <c r="J15" t="s">
        <v>25</v>
      </c>
      <c r="K15">
        <v>4.7</v>
      </c>
      <c r="L15" t="s">
        <v>14</v>
      </c>
      <c r="M15" t="s">
        <v>15</v>
      </c>
      <c r="N15" t="s">
        <v>14</v>
      </c>
      <c r="O15">
        <v>31</v>
      </c>
      <c r="P15" t="s">
        <v>34</v>
      </c>
      <c r="Q15" t="s">
        <v>28</v>
      </c>
      <c r="R15" t="str" cm="1">
        <f t="array" ref="R15">_xlfn.IFS(B15&lt;31,"Young-Adult",B15&lt;41,"Adult",B15&lt;61,"Middle-aged",B15&gt;=61,"Senior")</f>
        <v>Senior</v>
      </c>
      <c r="S15" cm="1">
        <f t="array" ref="S15">_xlfn.IFS(Q15 ="Fortnightly",14,Q15="Weekly",7,Q15="Monthly",30,Q15="Quarterly",90,Q15="Bi-Weekly",14,Q15="Annually",365,Q15="Every 3 Months",90,TRUE,"NOT FOUND")</f>
        <v>7</v>
      </c>
    </row>
    <row r="16" spans="1:19" x14ac:dyDescent="0.35">
      <c r="A16">
        <v>15</v>
      </c>
      <c r="B16">
        <v>64</v>
      </c>
      <c r="C16" t="s">
        <v>7</v>
      </c>
      <c r="D16" t="s">
        <v>50</v>
      </c>
      <c r="E16" t="s">
        <v>51</v>
      </c>
      <c r="F16">
        <v>53</v>
      </c>
      <c r="G16" t="s">
        <v>72</v>
      </c>
      <c r="H16" t="s">
        <v>11</v>
      </c>
      <c r="I16" t="s">
        <v>73</v>
      </c>
      <c r="J16" t="s">
        <v>13</v>
      </c>
      <c r="K16">
        <v>4.7</v>
      </c>
      <c r="L16" t="s">
        <v>14</v>
      </c>
      <c r="M16" t="s">
        <v>26</v>
      </c>
      <c r="N16" t="s">
        <v>14</v>
      </c>
      <c r="O16">
        <v>34</v>
      </c>
      <c r="P16" t="s">
        <v>74</v>
      </c>
      <c r="Q16" t="s">
        <v>28</v>
      </c>
      <c r="R16" t="str" cm="1">
        <f t="array" ref="R16">_xlfn.IFS(B16&lt;31,"Young-Adult",B16&lt;41,"Adult",B16&lt;61,"Middle-aged",B16&gt;=61,"Senior")</f>
        <v>Senior</v>
      </c>
      <c r="S16" cm="1">
        <f t="array" ref="S16">_xlfn.IFS(Q16 ="Fortnightly",14,Q16="Weekly",7,Q16="Monthly",30,Q16="Quarterly",90,Q16="Bi-Weekly",14,Q16="Annually",365,Q16="Every 3 Months",90,TRUE,"NOT FOUND")</f>
        <v>7</v>
      </c>
    </row>
    <row r="17" spans="1:19" x14ac:dyDescent="0.35">
      <c r="A17">
        <v>16</v>
      </c>
      <c r="B17">
        <v>64</v>
      </c>
      <c r="C17" t="s">
        <v>7</v>
      </c>
      <c r="D17" t="s">
        <v>75</v>
      </c>
      <c r="E17" t="s">
        <v>9</v>
      </c>
      <c r="F17">
        <v>81</v>
      </c>
      <c r="G17" t="s">
        <v>31</v>
      </c>
      <c r="H17" t="s">
        <v>32</v>
      </c>
      <c r="I17" t="s">
        <v>73</v>
      </c>
      <c r="J17" t="s">
        <v>13</v>
      </c>
      <c r="K17">
        <v>2.8</v>
      </c>
      <c r="L17" t="s">
        <v>14</v>
      </c>
      <c r="M17" t="s">
        <v>62</v>
      </c>
      <c r="N17" t="s">
        <v>14</v>
      </c>
      <c r="O17">
        <v>8</v>
      </c>
      <c r="P17" t="s">
        <v>34</v>
      </c>
      <c r="Q17" t="s">
        <v>76</v>
      </c>
      <c r="R17" t="str" cm="1">
        <f t="array" ref="R17">_xlfn.IFS(B17&lt;31,"Young-Adult",B17&lt;41,"Adult",B17&lt;61,"Middle-aged",B17&gt;=61,"Senior")</f>
        <v>Senior</v>
      </c>
      <c r="S17" cm="1">
        <f t="array" ref="S17">_xlfn.IFS(Q17 ="Fortnightly",14,Q17="Weekly",7,Q17="Monthly",30,Q17="Quarterly",90,Q17="Bi-Weekly",14,Q17="Annually",365,Q17="Every 3 Months",90,TRUE,"NOT FOUND")</f>
        <v>30</v>
      </c>
    </row>
    <row r="18" spans="1:19" x14ac:dyDescent="0.35">
      <c r="A18">
        <v>17</v>
      </c>
      <c r="B18">
        <v>25</v>
      </c>
      <c r="C18" t="s">
        <v>7</v>
      </c>
      <c r="D18" t="s">
        <v>77</v>
      </c>
      <c r="E18" t="s">
        <v>55</v>
      </c>
      <c r="F18">
        <v>36</v>
      </c>
      <c r="G18" t="s">
        <v>78</v>
      </c>
      <c r="H18" t="s">
        <v>24</v>
      </c>
      <c r="I18" t="s">
        <v>12</v>
      </c>
      <c r="J18" t="s">
        <v>25</v>
      </c>
      <c r="K18">
        <v>4.0999999999999996</v>
      </c>
      <c r="L18" t="s">
        <v>14</v>
      </c>
      <c r="M18" t="s">
        <v>33</v>
      </c>
      <c r="N18" t="s">
        <v>14</v>
      </c>
      <c r="O18">
        <v>44</v>
      </c>
      <c r="P18" t="s">
        <v>74</v>
      </c>
      <c r="Q18" t="s">
        <v>64</v>
      </c>
      <c r="R18" t="str" cm="1">
        <f t="array" ref="R18">_xlfn.IFS(B18&lt;31,"Young-Adult",B18&lt;41,"Adult",B18&lt;61,"Middle-aged",B18&gt;=61,"Senior")</f>
        <v>Young-Adult</v>
      </c>
      <c r="S18" cm="1">
        <f t="array" ref="S18">_xlfn.IFS(Q18 ="Fortnightly",14,Q18="Weekly",7,Q18="Monthly",30,Q18="Quarterly",90,Q18="Bi-Weekly",14,Q18="Annually",365,Q18="Every 3 Months",90,TRUE,"NOT FOUND")</f>
        <v>14</v>
      </c>
    </row>
    <row r="19" spans="1:19" x14ac:dyDescent="0.35">
      <c r="A19">
        <v>18</v>
      </c>
      <c r="B19">
        <v>53</v>
      </c>
      <c r="C19" t="s">
        <v>7</v>
      </c>
      <c r="D19" t="s">
        <v>69</v>
      </c>
      <c r="E19" t="s">
        <v>9</v>
      </c>
      <c r="F19">
        <v>38</v>
      </c>
      <c r="G19" t="s">
        <v>79</v>
      </c>
      <c r="H19" t="s">
        <v>80</v>
      </c>
      <c r="I19" t="s">
        <v>81</v>
      </c>
      <c r="J19" t="s">
        <v>13</v>
      </c>
      <c r="K19">
        <v>4.7</v>
      </c>
      <c r="L19" t="s">
        <v>14</v>
      </c>
      <c r="M19" t="s">
        <v>58</v>
      </c>
      <c r="N19" t="s">
        <v>14</v>
      </c>
      <c r="O19">
        <v>36</v>
      </c>
      <c r="P19" t="s">
        <v>16</v>
      </c>
      <c r="Q19" t="s">
        <v>46</v>
      </c>
      <c r="R19" t="str" cm="1">
        <f t="array" ref="R19">_xlfn.IFS(B19&lt;31,"Young-Adult",B19&lt;41,"Adult",B19&lt;61,"Middle-aged",B19&gt;=61,"Senior")</f>
        <v>Middle-aged</v>
      </c>
      <c r="S19" cm="1">
        <f t="array" ref="S19">_xlfn.IFS(Q19 ="Fortnightly",14,Q19="Weekly",7,Q19="Monthly",30,Q19="Quarterly",90,Q19="Bi-Weekly",14,Q19="Annually",365,Q19="Every 3 Months",90,TRUE,"NOT FOUND")</f>
        <v>90</v>
      </c>
    </row>
    <row r="20" spans="1:19" x14ac:dyDescent="0.35">
      <c r="A20">
        <v>19</v>
      </c>
      <c r="B20">
        <v>52</v>
      </c>
      <c r="C20" t="s">
        <v>7</v>
      </c>
      <c r="D20" t="s">
        <v>18</v>
      </c>
      <c r="E20" t="s">
        <v>9</v>
      </c>
      <c r="F20">
        <v>48</v>
      </c>
      <c r="G20" t="s">
        <v>44</v>
      </c>
      <c r="H20" t="s">
        <v>24</v>
      </c>
      <c r="I20" t="s">
        <v>82</v>
      </c>
      <c r="J20" t="s">
        <v>41</v>
      </c>
      <c r="K20">
        <v>4.5999999999999996</v>
      </c>
      <c r="L20" t="s">
        <v>14</v>
      </c>
      <c r="M20" t="s">
        <v>26</v>
      </c>
      <c r="N20" t="s">
        <v>14</v>
      </c>
      <c r="O20">
        <v>17</v>
      </c>
      <c r="P20" t="s">
        <v>21</v>
      </c>
      <c r="Q20" t="s">
        <v>28</v>
      </c>
      <c r="R20" t="str" cm="1">
        <f t="array" ref="R20">_xlfn.IFS(B20&lt;31,"Young-Adult",B20&lt;41,"Adult",B20&lt;61,"Middle-aged",B20&gt;=61,"Senior")</f>
        <v>Middle-aged</v>
      </c>
      <c r="S20" cm="1">
        <f t="array" ref="S20">_xlfn.IFS(Q20 ="Fortnightly",14,Q20="Weekly",7,Q20="Monthly",30,Q20="Quarterly",90,Q20="Bi-Weekly",14,Q20="Annually",365,Q20="Every 3 Months",90,TRUE,"NOT FOUND")</f>
        <v>7</v>
      </c>
    </row>
    <row r="21" spans="1:19" x14ac:dyDescent="0.35">
      <c r="A21">
        <v>20</v>
      </c>
      <c r="B21">
        <v>66</v>
      </c>
      <c r="C21" t="s">
        <v>7</v>
      </c>
      <c r="D21" t="s">
        <v>83</v>
      </c>
      <c r="E21" t="s">
        <v>9</v>
      </c>
      <c r="F21">
        <v>90</v>
      </c>
      <c r="G21" t="s">
        <v>31</v>
      </c>
      <c r="H21" t="s">
        <v>32</v>
      </c>
      <c r="I21" t="s">
        <v>84</v>
      </c>
      <c r="J21" t="s">
        <v>41</v>
      </c>
      <c r="K21">
        <v>3.3</v>
      </c>
      <c r="L21" t="s">
        <v>14</v>
      </c>
      <c r="M21" t="s">
        <v>42</v>
      </c>
      <c r="N21" t="s">
        <v>14</v>
      </c>
      <c r="O21">
        <v>46</v>
      </c>
      <c r="P21" t="s">
        <v>74</v>
      </c>
      <c r="Q21" t="s">
        <v>64</v>
      </c>
      <c r="R21" t="str" cm="1">
        <f t="array" ref="R21">_xlfn.IFS(B21&lt;31,"Young-Adult",B21&lt;41,"Adult",B21&lt;61,"Middle-aged",B21&gt;=61,"Senior")</f>
        <v>Senior</v>
      </c>
      <c r="S21" cm="1">
        <f t="array" ref="S21">_xlfn.IFS(Q21 ="Fortnightly",14,Q21="Weekly",7,Q21="Monthly",30,Q21="Quarterly",90,Q21="Bi-Weekly",14,Q21="Annually",365,Q21="Every 3 Months",90,TRUE,"NOT FOUND")</f>
        <v>14</v>
      </c>
    </row>
    <row r="22" spans="1:19" x14ac:dyDescent="0.35">
      <c r="A22">
        <v>21</v>
      </c>
      <c r="B22">
        <v>21</v>
      </c>
      <c r="C22" t="s">
        <v>7</v>
      </c>
      <c r="D22" t="s">
        <v>83</v>
      </c>
      <c r="E22" t="s">
        <v>9</v>
      </c>
      <c r="F22">
        <v>51</v>
      </c>
      <c r="G22" t="s">
        <v>48</v>
      </c>
      <c r="H22" t="s">
        <v>32</v>
      </c>
      <c r="I22" t="s">
        <v>82</v>
      </c>
      <c r="J22" t="s">
        <v>13</v>
      </c>
      <c r="K22">
        <v>2.8</v>
      </c>
      <c r="L22" t="s">
        <v>14</v>
      </c>
      <c r="M22" t="s">
        <v>15</v>
      </c>
      <c r="N22" t="s">
        <v>14</v>
      </c>
      <c r="O22">
        <v>50</v>
      </c>
      <c r="P22" t="s">
        <v>21</v>
      </c>
      <c r="Q22" t="s">
        <v>85</v>
      </c>
      <c r="R22" t="str" cm="1">
        <f t="array" ref="R22">_xlfn.IFS(B22&lt;31,"Young-Adult",B22&lt;41,"Adult",B22&lt;61,"Middle-aged",B22&gt;=61,"Senior")</f>
        <v>Young-Adult</v>
      </c>
      <c r="S22" cm="1">
        <f t="array" ref="S22">_xlfn.IFS(Q22 ="Fortnightly",14,Q22="Weekly",7,Q22="Monthly",30,Q22="Quarterly",90,Q22="Bi-Weekly",14,Q22="Annually",365,Q22="Every 3 Months",90,TRUE,"NOT FOUND")</f>
        <v>90</v>
      </c>
    </row>
    <row r="23" spans="1:19" x14ac:dyDescent="0.35">
      <c r="A23">
        <v>22</v>
      </c>
      <c r="B23">
        <v>31</v>
      </c>
      <c r="C23" t="s">
        <v>7</v>
      </c>
      <c r="D23" t="s">
        <v>83</v>
      </c>
      <c r="E23" t="s">
        <v>9</v>
      </c>
      <c r="F23">
        <v>62</v>
      </c>
      <c r="G23" t="s">
        <v>86</v>
      </c>
      <c r="H23" t="s">
        <v>32</v>
      </c>
      <c r="I23" t="s">
        <v>49</v>
      </c>
      <c r="J23" t="s">
        <v>13</v>
      </c>
      <c r="K23">
        <v>4.0999999999999996</v>
      </c>
      <c r="L23" t="s">
        <v>14</v>
      </c>
      <c r="M23" t="s">
        <v>62</v>
      </c>
      <c r="N23" t="s">
        <v>14</v>
      </c>
      <c r="O23">
        <v>22</v>
      </c>
      <c r="P23" t="s">
        <v>74</v>
      </c>
      <c r="Q23" t="s">
        <v>46</v>
      </c>
      <c r="R23" t="str" cm="1">
        <f t="array" ref="R23">_xlfn.IFS(B23&lt;31,"Young-Adult",B23&lt;41,"Adult",B23&lt;61,"Middle-aged",B23&gt;=61,"Senior")</f>
        <v>Adult</v>
      </c>
      <c r="S23" cm="1">
        <f t="array" ref="S23">_xlfn.IFS(Q23 ="Fortnightly",14,Q23="Weekly",7,Q23="Monthly",30,Q23="Quarterly",90,Q23="Bi-Weekly",14,Q23="Annually",365,Q23="Every 3 Months",90,TRUE,"NOT FOUND")</f>
        <v>90</v>
      </c>
    </row>
    <row r="24" spans="1:19" x14ac:dyDescent="0.35">
      <c r="A24">
        <v>23</v>
      </c>
      <c r="B24">
        <v>56</v>
      </c>
      <c r="C24" t="s">
        <v>7</v>
      </c>
      <c r="D24" t="s">
        <v>83</v>
      </c>
      <c r="E24" t="s">
        <v>9</v>
      </c>
      <c r="F24">
        <v>37</v>
      </c>
      <c r="G24" t="s">
        <v>87</v>
      </c>
      <c r="H24" t="s">
        <v>32</v>
      </c>
      <c r="I24" t="s">
        <v>88</v>
      </c>
      <c r="J24" t="s">
        <v>41</v>
      </c>
      <c r="K24">
        <v>3.2</v>
      </c>
      <c r="L24" t="s">
        <v>14</v>
      </c>
      <c r="M24" t="s">
        <v>62</v>
      </c>
      <c r="N24" t="s">
        <v>14</v>
      </c>
      <c r="O24">
        <v>32</v>
      </c>
      <c r="P24" t="s">
        <v>74</v>
      </c>
      <c r="Q24" t="s">
        <v>37</v>
      </c>
      <c r="R24" t="str" cm="1">
        <f t="array" ref="R24">_xlfn.IFS(B24&lt;31,"Young-Adult",B24&lt;41,"Adult",B24&lt;61,"Middle-aged",B24&gt;=61,"Senior")</f>
        <v>Middle-aged</v>
      </c>
      <c r="S24" cm="1">
        <f t="array" ref="S24">_xlfn.IFS(Q24 ="Fortnightly",14,Q24="Weekly",7,Q24="Monthly",30,Q24="Quarterly",90,Q24="Bi-Weekly",14,Q24="Annually",365,Q24="Every 3 Months",90,TRUE,"NOT FOUND")</f>
        <v>365</v>
      </c>
    </row>
    <row r="25" spans="1:19" x14ac:dyDescent="0.35">
      <c r="A25">
        <v>24</v>
      </c>
      <c r="B25">
        <v>31</v>
      </c>
      <c r="C25" t="s">
        <v>7</v>
      </c>
      <c r="D25" t="s">
        <v>83</v>
      </c>
      <c r="E25" t="s">
        <v>9</v>
      </c>
      <c r="F25">
        <v>88</v>
      </c>
      <c r="G25" t="s">
        <v>89</v>
      </c>
      <c r="H25" t="s">
        <v>80</v>
      </c>
      <c r="I25" t="s">
        <v>40</v>
      </c>
      <c r="J25" t="s">
        <v>13</v>
      </c>
      <c r="K25">
        <v>4.4000000000000004</v>
      </c>
      <c r="L25" t="s">
        <v>14</v>
      </c>
      <c r="M25" t="s">
        <v>15</v>
      </c>
      <c r="N25" t="s">
        <v>14</v>
      </c>
      <c r="O25">
        <v>40</v>
      </c>
      <c r="P25" t="s">
        <v>27</v>
      </c>
      <c r="Q25" t="s">
        <v>28</v>
      </c>
      <c r="R25" t="str" cm="1">
        <f t="array" ref="R25">_xlfn.IFS(B25&lt;31,"Young-Adult",B25&lt;41,"Adult",B25&lt;61,"Middle-aged",B25&gt;=61,"Senior")</f>
        <v>Adult</v>
      </c>
      <c r="S25" cm="1">
        <f t="array" ref="S25">_xlfn.IFS(Q25 ="Fortnightly",14,Q25="Weekly",7,Q25="Monthly",30,Q25="Quarterly",90,Q25="Bi-Weekly",14,Q25="Annually",365,Q25="Every 3 Months",90,TRUE,"NOT FOUND")</f>
        <v>7</v>
      </c>
    </row>
    <row r="26" spans="1:19" x14ac:dyDescent="0.35">
      <c r="A26">
        <v>25</v>
      </c>
      <c r="B26">
        <v>18</v>
      </c>
      <c r="C26" t="s">
        <v>7</v>
      </c>
      <c r="D26" t="s">
        <v>90</v>
      </c>
      <c r="E26" t="s">
        <v>51</v>
      </c>
      <c r="F26">
        <v>22</v>
      </c>
      <c r="G26" t="s">
        <v>91</v>
      </c>
      <c r="H26" t="s">
        <v>32</v>
      </c>
      <c r="I26" t="s">
        <v>84</v>
      </c>
      <c r="J26" t="s">
        <v>45</v>
      </c>
      <c r="K26">
        <v>2.9</v>
      </c>
      <c r="L26" t="s">
        <v>14</v>
      </c>
      <c r="M26" t="s">
        <v>62</v>
      </c>
      <c r="N26" t="s">
        <v>14</v>
      </c>
      <c r="O26">
        <v>16</v>
      </c>
      <c r="P26" t="s">
        <v>74</v>
      </c>
      <c r="Q26" t="s">
        <v>28</v>
      </c>
      <c r="R26" t="str" cm="1">
        <f t="array" ref="R26">_xlfn.IFS(B26&lt;31,"Young-Adult",B26&lt;41,"Adult",B26&lt;61,"Middle-aged",B26&gt;=61,"Senior")</f>
        <v>Young-Adult</v>
      </c>
      <c r="S26" cm="1">
        <f t="array" ref="S26">_xlfn.IFS(Q26 ="Fortnightly",14,Q26="Weekly",7,Q26="Monthly",30,Q26="Quarterly",90,Q26="Bi-Weekly",14,Q26="Annually",365,Q26="Every 3 Months",90,TRUE,"NOT FOUND")</f>
        <v>7</v>
      </c>
    </row>
    <row r="27" spans="1:19" x14ac:dyDescent="0.35">
      <c r="A27">
        <v>26</v>
      </c>
      <c r="B27">
        <v>18</v>
      </c>
      <c r="C27" t="s">
        <v>7</v>
      </c>
      <c r="D27" t="s">
        <v>92</v>
      </c>
      <c r="E27" t="s">
        <v>9</v>
      </c>
      <c r="F27">
        <v>25</v>
      </c>
      <c r="G27" t="s">
        <v>93</v>
      </c>
      <c r="H27" t="s">
        <v>32</v>
      </c>
      <c r="I27" t="s">
        <v>53</v>
      </c>
      <c r="J27" t="s">
        <v>41</v>
      </c>
      <c r="K27">
        <v>3.6</v>
      </c>
      <c r="L27" t="s">
        <v>14</v>
      </c>
      <c r="M27" t="s">
        <v>15</v>
      </c>
      <c r="N27" t="s">
        <v>14</v>
      </c>
      <c r="O27">
        <v>14</v>
      </c>
      <c r="P27" t="s">
        <v>34</v>
      </c>
      <c r="Q27" t="s">
        <v>37</v>
      </c>
      <c r="R27" t="str" cm="1">
        <f t="array" ref="R27">_xlfn.IFS(B27&lt;31,"Young-Adult",B27&lt;41,"Adult",B27&lt;61,"Middle-aged",B27&gt;=61,"Senior")</f>
        <v>Young-Adult</v>
      </c>
      <c r="S27" cm="1">
        <f t="array" ref="S27">_xlfn.IFS(Q27 ="Fortnightly",14,Q27="Weekly",7,Q27="Monthly",30,Q27="Quarterly",90,Q27="Bi-Weekly",14,Q27="Annually",365,Q27="Every 3 Months",90,TRUE,"NOT FOUND")</f>
        <v>365</v>
      </c>
    </row>
    <row r="28" spans="1:19" x14ac:dyDescent="0.35">
      <c r="A28">
        <v>27</v>
      </c>
      <c r="B28">
        <v>38</v>
      </c>
      <c r="C28" t="s">
        <v>7</v>
      </c>
      <c r="D28" t="s">
        <v>94</v>
      </c>
      <c r="E28" t="s">
        <v>55</v>
      </c>
      <c r="F28">
        <v>20</v>
      </c>
      <c r="G28" t="s">
        <v>95</v>
      </c>
      <c r="H28" t="s">
        <v>32</v>
      </c>
      <c r="I28" t="s">
        <v>96</v>
      </c>
      <c r="J28" t="s">
        <v>25</v>
      </c>
      <c r="K28">
        <v>3.6</v>
      </c>
      <c r="L28" t="s">
        <v>14</v>
      </c>
      <c r="M28" t="s">
        <v>33</v>
      </c>
      <c r="N28" t="s">
        <v>14</v>
      </c>
      <c r="O28">
        <v>13</v>
      </c>
      <c r="P28" t="s">
        <v>27</v>
      </c>
      <c r="Q28" t="s">
        <v>37</v>
      </c>
      <c r="R28" t="str" cm="1">
        <f t="array" ref="R28">_xlfn.IFS(B28&lt;31,"Young-Adult",B28&lt;41,"Adult",B28&lt;61,"Middle-aged",B28&gt;=61,"Senior")</f>
        <v>Adult</v>
      </c>
      <c r="S28" cm="1">
        <f t="array" ref="S28">_xlfn.IFS(Q28 ="Fortnightly",14,Q28="Weekly",7,Q28="Monthly",30,Q28="Quarterly",90,Q28="Bi-Weekly",14,Q28="Annually",365,Q28="Every 3 Months",90,TRUE,"NOT FOUND")</f>
        <v>365</v>
      </c>
    </row>
    <row r="29" spans="1:19" x14ac:dyDescent="0.35">
      <c r="A29">
        <v>28</v>
      </c>
      <c r="B29">
        <v>56</v>
      </c>
      <c r="C29" t="s">
        <v>7</v>
      </c>
      <c r="D29" t="s">
        <v>47</v>
      </c>
      <c r="E29" t="s">
        <v>9</v>
      </c>
      <c r="F29">
        <v>56</v>
      </c>
      <c r="G29" t="s">
        <v>10</v>
      </c>
      <c r="H29" t="s">
        <v>11</v>
      </c>
      <c r="I29" t="s">
        <v>97</v>
      </c>
      <c r="J29" t="s">
        <v>41</v>
      </c>
      <c r="K29">
        <v>5</v>
      </c>
      <c r="L29" t="s">
        <v>14</v>
      </c>
      <c r="M29" t="s">
        <v>33</v>
      </c>
      <c r="N29" t="s">
        <v>14</v>
      </c>
      <c r="O29">
        <v>7</v>
      </c>
      <c r="P29" t="s">
        <v>63</v>
      </c>
      <c r="Q29" t="s">
        <v>85</v>
      </c>
      <c r="R29" t="str" cm="1">
        <f t="array" ref="R29">_xlfn.IFS(B29&lt;31,"Young-Adult",B29&lt;41,"Adult",B29&lt;61,"Middle-aged",B29&gt;=61,"Senior")</f>
        <v>Middle-aged</v>
      </c>
      <c r="S29" cm="1">
        <f t="array" ref="S29">_xlfn.IFS(Q29 ="Fortnightly",14,Q29="Weekly",7,Q29="Monthly",30,Q29="Quarterly",90,Q29="Bi-Weekly",14,Q29="Annually",365,Q29="Every 3 Months",90,TRUE,"NOT FOUND")</f>
        <v>90</v>
      </c>
    </row>
    <row r="30" spans="1:19" x14ac:dyDescent="0.35">
      <c r="A30">
        <v>29</v>
      </c>
      <c r="B30">
        <v>54</v>
      </c>
      <c r="C30" t="s">
        <v>7</v>
      </c>
      <c r="D30" t="s">
        <v>54</v>
      </c>
      <c r="E30" t="s">
        <v>55</v>
      </c>
      <c r="F30">
        <v>94</v>
      </c>
      <c r="G30" t="s">
        <v>86</v>
      </c>
      <c r="H30" t="s">
        <v>32</v>
      </c>
      <c r="I30" t="s">
        <v>12</v>
      </c>
      <c r="J30" t="s">
        <v>45</v>
      </c>
      <c r="K30">
        <v>4.4000000000000004</v>
      </c>
      <c r="L30" t="s">
        <v>14</v>
      </c>
      <c r="M30" t="s">
        <v>26</v>
      </c>
      <c r="N30" t="s">
        <v>14</v>
      </c>
      <c r="O30">
        <v>41</v>
      </c>
      <c r="P30" t="s">
        <v>34</v>
      </c>
      <c r="Q30" t="s">
        <v>85</v>
      </c>
      <c r="R30" t="str" cm="1">
        <f t="array" ref="R30">_xlfn.IFS(B30&lt;31,"Young-Adult",B30&lt;41,"Adult",B30&lt;61,"Middle-aged",B30&gt;=61,"Senior")</f>
        <v>Middle-aged</v>
      </c>
      <c r="S30" cm="1">
        <f t="array" ref="S30">_xlfn.IFS(Q30 ="Fortnightly",14,Q30="Weekly",7,Q30="Monthly",30,Q30="Quarterly",90,Q30="Bi-Weekly",14,Q30="Annually",365,Q30="Every 3 Months",90,TRUE,"NOT FOUND")</f>
        <v>90</v>
      </c>
    </row>
    <row r="31" spans="1:19" x14ac:dyDescent="0.35">
      <c r="A31">
        <v>30</v>
      </c>
      <c r="B31">
        <v>31</v>
      </c>
      <c r="C31" t="s">
        <v>7</v>
      </c>
      <c r="D31" t="s">
        <v>69</v>
      </c>
      <c r="E31" t="s">
        <v>9</v>
      </c>
      <c r="F31">
        <v>48</v>
      </c>
      <c r="G31" t="s">
        <v>39</v>
      </c>
      <c r="H31" t="s">
        <v>24</v>
      </c>
      <c r="I31" t="s">
        <v>82</v>
      </c>
      <c r="J31" t="s">
        <v>45</v>
      </c>
      <c r="K31">
        <v>4.0999999999999996</v>
      </c>
      <c r="L31" t="s">
        <v>14</v>
      </c>
      <c r="M31" t="s">
        <v>62</v>
      </c>
      <c r="N31" t="s">
        <v>14</v>
      </c>
      <c r="O31">
        <v>14</v>
      </c>
      <c r="P31" t="s">
        <v>27</v>
      </c>
      <c r="Q31" t="s">
        <v>28</v>
      </c>
      <c r="R31" t="str" cm="1">
        <f t="array" ref="R31">_xlfn.IFS(B31&lt;31,"Young-Adult",B31&lt;41,"Adult",B31&lt;61,"Middle-aged",B31&gt;=61,"Senior")</f>
        <v>Adult</v>
      </c>
      <c r="S31" cm="1">
        <f t="array" ref="S31">_xlfn.IFS(Q31 ="Fortnightly",14,Q31="Weekly",7,Q31="Monthly",30,Q31="Quarterly",90,Q31="Bi-Weekly",14,Q31="Annually",365,Q31="Every 3 Months",90,TRUE,"NOT FOUND")</f>
        <v>7</v>
      </c>
    </row>
    <row r="32" spans="1:19" x14ac:dyDescent="0.35">
      <c r="A32">
        <v>31</v>
      </c>
      <c r="B32">
        <v>57</v>
      </c>
      <c r="C32" t="s">
        <v>7</v>
      </c>
      <c r="D32" t="s">
        <v>94</v>
      </c>
      <c r="E32" t="s">
        <v>55</v>
      </c>
      <c r="F32">
        <v>31</v>
      </c>
      <c r="G32" t="s">
        <v>86</v>
      </c>
      <c r="H32" t="s">
        <v>11</v>
      </c>
      <c r="I32" t="s">
        <v>82</v>
      </c>
      <c r="J32" t="s">
        <v>13</v>
      </c>
      <c r="K32">
        <v>4.7</v>
      </c>
      <c r="L32" t="s">
        <v>14</v>
      </c>
      <c r="M32" t="s">
        <v>42</v>
      </c>
      <c r="N32" t="s">
        <v>14</v>
      </c>
      <c r="O32">
        <v>16</v>
      </c>
      <c r="P32" t="s">
        <v>27</v>
      </c>
      <c r="Q32" t="s">
        <v>76</v>
      </c>
      <c r="R32" t="str" cm="1">
        <f t="array" ref="R32">_xlfn.IFS(B32&lt;31,"Young-Adult",B32&lt;41,"Adult",B32&lt;61,"Middle-aged",B32&gt;=61,"Senior")</f>
        <v>Middle-aged</v>
      </c>
      <c r="S32" cm="1">
        <f t="array" ref="S32">_xlfn.IFS(Q32 ="Fortnightly",14,Q32="Weekly",7,Q32="Monthly",30,Q32="Quarterly",90,Q32="Bi-Weekly",14,Q32="Annually",365,Q32="Every 3 Months",90,TRUE,"NOT FOUND")</f>
        <v>30</v>
      </c>
    </row>
    <row r="33" spans="1:19" x14ac:dyDescent="0.35">
      <c r="A33">
        <v>32</v>
      </c>
      <c r="B33">
        <v>33</v>
      </c>
      <c r="C33" t="s">
        <v>7</v>
      </c>
      <c r="D33" t="s">
        <v>69</v>
      </c>
      <c r="E33" t="s">
        <v>9</v>
      </c>
      <c r="F33">
        <v>79</v>
      </c>
      <c r="G33" t="s">
        <v>52</v>
      </c>
      <c r="H33" t="s">
        <v>11</v>
      </c>
      <c r="I33" t="s">
        <v>98</v>
      </c>
      <c r="J33" t="s">
        <v>13</v>
      </c>
      <c r="K33">
        <v>4.7</v>
      </c>
      <c r="L33" t="s">
        <v>14</v>
      </c>
      <c r="M33" t="s">
        <v>62</v>
      </c>
      <c r="N33" t="s">
        <v>14</v>
      </c>
      <c r="O33">
        <v>45</v>
      </c>
      <c r="P33" t="s">
        <v>16</v>
      </c>
      <c r="Q33" t="s">
        <v>76</v>
      </c>
      <c r="R33" t="str" cm="1">
        <f t="array" ref="R33">_xlfn.IFS(B33&lt;31,"Young-Adult",B33&lt;41,"Adult",B33&lt;61,"Middle-aged",B33&gt;=61,"Senior")</f>
        <v>Adult</v>
      </c>
      <c r="S33" cm="1">
        <f t="array" ref="S33">_xlfn.IFS(Q33 ="Fortnightly",14,Q33="Weekly",7,Q33="Monthly",30,Q33="Quarterly",90,Q33="Bi-Weekly",14,Q33="Annually",365,Q33="Every 3 Months",90,TRUE,"NOT FOUND")</f>
        <v>30</v>
      </c>
    </row>
    <row r="34" spans="1:19" x14ac:dyDescent="0.35">
      <c r="A34">
        <v>33</v>
      </c>
      <c r="B34">
        <v>36</v>
      </c>
      <c r="C34" t="s">
        <v>7</v>
      </c>
      <c r="D34" t="s">
        <v>90</v>
      </c>
      <c r="E34" t="s">
        <v>51</v>
      </c>
      <c r="F34">
        <v>67</v>
      </c>
      <c r="G34" t="s">
        <v>99</v>
      </c>
      <c r="H34" t="s">
        <v>32</v>
      </c>
      <c r="I34" t="s">
        <v>53</v>
      </c>
      <c r="J34" t="s">
        <v>41</v>
      </c>
      <c r="K34">
        <v>4.9000000000000004</v>
      </c>
      <c r="L34" t="s">
        <v>14</v>
      </c>
      <c r="M34" t="s">
        <v>26</v>
      </c>
      <c r="N34" t="s">
        <v>14</v>
      </c>
      <c r="O34">
        <v>37</v>
      </c>
      <c r="P34" t="s">
        <v>16</v>
      </c>
      <c r="Q34" t="s">
        <v>37</v>
      </c>
      <c r="R34" t="str" cm="1">
        <f t="array" ref="R34">_xlfn.IFS(B34&lt;31,"Young-Adult",B34&lt;41,"Adult",B34&lt;61,"Middle-aged",B34&gt;=61,"Senior")</f>
        <v>Adult</v>
      </c>
      <c r="S34" cm="1">
        <f t="array" ref="S34">_xlfn.IFS(Q34 ="Fortnightly",14,Q34="Weekly",7,Q34="Monthly",30,Q34="Quarterly",90,Q34="Bi-Weekly",14,Q34="Annually",365,Q34="Every 3 Months",90,TRUE,"NOT FOUND")</f>
        <v>365</v>
      </c>
    </row>
    <row r="35" spans="1:19" x14ac:dyDescent="0.35">
      <c r="A35">
        <v>34</v>
      </c>
      <c r="B35">
        <v>54</v>
      </c>
      <c r="C35" t="s">
        <v>7</v>
      </c>
      <c r="D35" t="s">
        <v>83</v>
      </c>
      <c r="E35" t="s">
        <v>9</v>
      </c>
      <c r="F35">
        <v>38</v>
      </c>
      <c r="G35" t="s">
        <v>100</v>
      </c>
      <c r="H35" t="s">
        <v>11</v>
      </c>
      <c r="I35" t="s">
        <v>84</v>
      </c>
      <c r="J35" t="s">
        <v>41</v>
      </c>
      <c r="K35">
        <v>3.3</v>
      </c>
      <c r="L35" t="s">
        <v>14</v>
      </c>
      <c r="M35" t="s">
        <v>62</v>
      </c>
      <c r="N35" t="s">
        <v>14</v>
      </c>
      <c r="O35">
        <v>45</v>
      </c>
      <c r="P35" t="s">
        <v>21</v>
      </c>
      <c r="Q35" t="s">
        <v>46</v>
      </c>
      <c r="R35" t="str" cm="1">
        <f t="array" ref="R35">_xlfn.IFS(B35&lt;31,"Young-Adult",B35&lt;41,"Adult",B35&lt;61,"Middle-aged",B35&gt;=61,"Senior")</f>
        <v>Middle-aged</v>
      </c>
      <c r="S35" cm="1">
        <f t="array" ref="S35">_xlfn.IFS(Q35 ="Fortnightly",14,Q35="Weekly",7,Q35="Monthly",30,Q35="Quarterly",90,Q35="Bi-Weekly",14,Q35="Annually",365,Q35="Every 3 Months",90,TRUE,"NOT FOUND")</f>
        <v>90</v>
      </c>
    </row>
    <row r="36" spans="1:19" x14ac:dyDescent="0.35">
      <c r="A36">
        <v>35</v>
      </c>
      <c r="B36">
        <v>36</v>
      </c>
      <c r="C36" t="s">
        <v>7</v>
      </c>
      <c r="D36" t="s">
        <v>101</v>
      </c>
      <c r="E36" t="s">
        <v>9</v>
      </c>
      <c r="F36">
        <v>91</v>
      </c>
      <c r="G36" t="s">
        <v>102</v>
      </c>
      <c r="H36" t="s">
        <v>11</v>
      </c>
      <c r="I36" t="s">
        <v>71</v>
      </c>
      <c r="J36" t="s">
        <v>25</v>
      </c>
      <c r="K36">
        <v>4.5999999999999996</v>
      </c>
      <c r="L36" t="s">
        <v>14</v>
      </c>
      <c r="M36" t="s">
        <v>58</v>
      </c>
      <c r="N36" t="s">
        <v>14</v>
      </c>
      <c r="O36">
        <v>38</v>
      </c>
      <c r="P36" t="s">
        <v>34</v>
      </c>
      <c r="Q36" t="s">
        <v>46</v>
      </c>
      <c r="R36" t="str" cm="1">
        <f t="array" ref="R36">_xlfn.IFS(B36&lt;31,"Young-Adult",B36&lt;41,"Adult",B36&lt;61,"Middle-aged",B36&gt;=61,"Senior")</f>
        <v>Adult</v>
      </c>
      <c r="S36" cm="1">
        <f t="array" ref="S36">_xlfn.IFS(Q36 ="Fortnightly",14,Q36="Weekly",7,Q36="Monthly",30,Q36="Quarterly",90,Q36="Bi-Weekly",14,Q36="Annually",365,Q36="Every 3 Months",90,TRUE,"NOT FOUND")</f>
        <v>90</v>
      </c>
    </row>
    <row r="37" spans="1:19" x14ac:dyDescent="0.35">
      <c r="A37">
        <v>36</v>
      </c>
      <c r="B37">
        <v>54</v>
      </c>
      <c r="C37" t="s">
        <v>7</v>
      </c>
      <c r="D37" t="s">
        <v>8</v>
      </c>
      <c r="E37" t="s">
        <v>9</v>
      </c>
      <c r="F37">
        <v>33</v>
      </c>
      <c r="G37" t="s">
        <v>23</v>
      </c>
      <c r="H37" t="s">
        <v>32</v>
      </c>
      <c r="I37" t="s">
        <v>97</v>
      </c>
      <c r="J37" t="s">
        <v>41</v>
      </c>
      <c r="K37">
        <v>4</v>
      </c>
      <c r="L37" t="s">
        <v>14</v>
      </c>
      <c r="M37" t="s">
        <v>58</v>
      </c>
      <c r="N37" t="s">
        <v>14</v>
      </c>
      <c r="O37">
        <v>48</v>
      </c>
      <c r="P37" t="s">
        <v>27</v>
      </c>
      <c r="Q37" t="s">
        <v>64</v>
      </c>
      <c r="R37" t="str" cm="1">
        <f t="array" ref="R37">_xlfn.IFS(B37&lt;31,"Young-Adult",B37&lt;41,"Adult",B37&lt;61,"Middle-aged",B37&gt;=61,"Senior")</f>
        <v>Middle-aged</v>
      </c>
      <c r="S37" cm="1">
        <f t="array" ref="S37">_xlfn.IFS(Q37 ="Fortnightly",14,Q37="Weekly",7,Q37="Monthly",30,Q37="Quarterly",90,Q37="Bi-Weekly",14,Q37="Annually",365,Q37="Every 3 Months",90,TRUE,"NOT FOUND")</f>
        <v>14</v>
      </c>
    </row>
    <row r="38" spans="1:19" x14ac:dyDescent="0.35">
      <c r="A38">
        <v>37</v>
      </c>
      <c r="B38">
        <v>35</v>
      </c>
      <c r="C38" t="s">
        <v>7</v>
      </c>
      <c r="D38" t="s">
        <v>101</v>
      </c>
      <c r="E38" t="s">
        <v>9</v>
      </c>
      <c r="F38">
        <v>69</v>
      </c>
      <c r="G38" t="s">
        <v>103</v>
      </c>
      <c r="H38" t="s">
        <v>32</v>
      </c>
      <c r="I38" t="s">
        <v>20</v>
      </c>
      <c r="J38" t="s">
        <v>13</v>
      </c>
      <c r="K38">
        <v>4.5999999999999996</v>
      </c>
      <c r="L38" t="s">
        <v>14</v>
      </c>
      <c r="M38" t="s">
        <v>26</v>
      </c>
      <c r="N38" t="s">
        <v>14</v>
      </c>
      <c r="O38">
        <v>44</v>
      </c>
      <c r="P38" t="s">
        <v>34</v>
      </c>
      <c r="Q38" t="s">
        <v>17</v>
      </c>
      <c r="R38" t="str" cm="1">
        <f t="array" ref="R38">_xlfn.IFS(B38&lt;31,"Young-Adult",B38&lt;41,"Adult",B38&lt;61,"Middle-aged",B38&gt;=61,"Senior")</f>
        <v>Adult</v>
      </c>
      <c r="S38" cm="1">
        <f t="array" ref="S38">_xlfn.IFS(Q38 ="Fortnightly",14,Q38="Weekly",7,Q38="Monthly",30,Q38="Quarterly",90,Q38="Bi-Weekly",14,Q38="Annually",365,Q38="Every 3 Months",90,TRUE,"NOT FOUND")</f>
        <v>14</v>
      </c>
    </row>
    <row r="39" spans="1:19" x14ac:dyDescent="0.35">
      <c r="A39">
        <v>38</v>
      </c>
      <c r="B39">
        <v>35</v>
      </c>
      <c r="C39" t="s">
        <v>7</v>
      </c>
      <c r="D39" t="s">
        <v>22</v>
      </c>
      <c r="E39" t="s">
        <v>9</v>
      </c>
      <c r="F39">
        <v>45</v>
      </c>
      <c r="G39" t="s">
        <v>104</v>
      </c>
      <c r="H39" t="s">
        <v>24</v>
      </c>
      <c r="I39" t="s">
        <v>97</v>
      </c>
      <c r="J39" t="s">
        <v>41</v>
      </c>
      <c r="K39">
        <v>2.8</v>
      </c>
      <c r="L39" t="s">
        <v>14</v>
      </c>
      <c r="M39" t="s">
        <v>62</v>
      </c>
      <c r="N39" t="s">
        <v>14</v>
      </c>
      <c r="O39">
        <v>10</v>
      </c>
      <c r="P39" t="s">
        <v>34</v>
      </c>
      <c r="Q39" t="s">
        <v>28</v>
      </c>
      <c r="R39" t="str" cm="1">
        <f t="array" ref="R39">_xlfn.IFS(B39&lt;31,"Young-Adult",B39&lt;41,"Adult",B39&lt;61,"Middle-aged",B39&gt;=61,"Senior")</f>
        <v>Adult</v>
      </c>
      <c r="S39" cm="1">
        <f t="array" ref="S39">_xlfn.IFS(Q39 ="Fortnightly",14,Q39="Weekly",7,Q39="Monthly",30,Q39="Quarterly",90,Q39="Bi-Weekly",14,Q39="Annually",365,Q39="Every 3 Months",90,TRUE,"NOT FOUND")</f>
        <v>7</v>
      </c>
    </row>
    <row r="40" spans="1:19" x14ac:dyDescent="0.35">
      <c r="A40">
        <v>39</v>
      </c>
      <c r="B40">
        <v>29</v>
      </c>
      <c r="C40" t="s">
        <v>7</v>
      </c>
      <c r="D40" t="s">
        <v>69</v>
      </c>
      <c r="E40" t="s">
        <v>9</v>
      </c>
      <c r="F40">
        <v>37</v>
      </c>
      <c r="G40" t="s">
        <v>91</v>
      </c>
      <c r="H40" t="s">
        <v>32</v>
      </c>
      <c r="I40" t="s">
        <v>96</v>
      </c>
      <c r="J40" t="s">
        <v>13</v>
      </c>
      <c r="K40">
        <v>3.8</v>
      </c>
      <c r="L40" t="s">
        <v>14</v>
      </c>
      <c r="M40" t="s">
        <v>58</v>
      </c>
      <c r="N40" t="s">
        <v>14</v>
      </c>
      <c r="O40">
        <v>44</v>
      </c>
      <c r="P40" t="s">
        <v>16</v>
      </c>
      <c r="Q40" t="s">
        <v>85</v>
      </c>
      <c r="R40" t="str" cm="1">
        <f t="array" ref="R40">_xlfn.IFS(B40&lt;31,"Young-Adult",B40&lt;41,"Adult",B40&lt;61,"Middle-aged",B40&gt;=61,"Senior")</f>
        <v>Young-Adult</v>
      </c>
      <c r="S40" cm="1">
        <f t="array" ref="S40">_xlfn.IFS(Q40 ="Fortnightly",14,Q40="Weekly",7,Q40="Monthly",30,Q40="Quarterly",90,Q40="Bi-Weekly",14,Q40="Annually",365,Q40="Every 3 Months",90,TRUE,"NOT FOUND")</f>
        <v>90</v>
      </c>
    </row>
    <row r="41" spans="1:19" x14ac:dyDescent="0.35">
      <c r="A41">
        <v>40</v>
      </c>
      <c r="B41">
        <v>70</v>
      </c>
      <c r="C41" t="s">
        <v>7</v>
      </c>
      <c r="D41" t="s">
        <v>83</v>
      </c>
      <c r="E41" t="s">
        <v>9</v>
      </c>
      <c r="F41">
        <v>60</v>
      </c>
      <c r="G41" t="s">
        <v>105</v>
      </c>
      <c r="H41" t="s">
        <v>24</v>
      </c>
      <c r="I41" t="s">
        <v>36</v>
      </c>
      <c r="J41" t="s">
        <v>41</v>
      </c>
      <c r="K41">
        <v>4.2</v>
      </c>
      <c r="L41" t="s">
        <v>14</v>
      </c>
      <c r="M41" t="s">
        <v>15</v>
      </c>
      <c r="N41" t="s">
        <v>14</v>
      </c>
      <c r="O41">
        <v>18</v>
      </c>
      <c r="P41" t="s">
        <v>27</v>
      </c>
      <c r="Q41" t="s">
        <v>76</v>
      </c>
      <c r="R41" t="str" cm="1">
        <f t="array" ref="R41">_xlfn.IFS(B41&lt;31,"Young-Adult",B41&lt;41,"Adult",B41&lt;61,"Middle-aged",B41&gt;=61,"Senior")</f>
        <v>Senior</v>
      </c>
      <c r="S41" cm="1">
        <f t="array" ref="S41">_xlfn.IFS(Q41 ="Fortnightly",14,Q41="Weekly",7,Q41="Monthly",30,Q41="Quarterly",90,Q41="Bi-Weekly",14,Q41="Annually",365,Q41="Every 3 Months",90,TRUE,"NOT FOUND")</f>
        <v>30</v>
      </c>
    </row>
    <row r="42" spans="1:19" x14ac:dyDescent="0.35">
      <c r="A42">
        <v>41</v>
      </c>
      <c r="B42">
        <v>69</v>
      </c>
      <c r="C42" t="s">
        <v>7</v>
      </c>
      <c r="D42" t="s">
        <v>54</v>
      </c>
      <c r="E42" t="s">
        <v>55</v>
      </c>
      <c r="F42">
        <v>76</v>
      </c>
      <c r="G42" t="s">
        <v>48</v>
      </c>
      <c r="H42" t="s">
        <v>11</v>
      </c>
      <c r="I42" t="s">
        <v>106</v>
      </c>
      <c r="J42" t="s">
        <v>13</v>
      </c>
      <c r="K42">
        <v>4.5999999999999996</v>
      </c>
      <c r="L42" t="s">
        <v>14</v>
      </c>
      <c r="M42" t="s">
        <v>33</v>
      </c>
      <c r="N42" t="s">
        <v>14</v>
      </c>
      <c r="O42">
        <v>31</v>
      </c>
      <c r="P42" t="s">
        <v>74</v>
      </c>
      <c r="Q42" t="s">
        <v>46</v>
      </c>
      <c r="R42" t="str" cm="1">
        <f t="array" ref="R42">_xlfn.IFS(B42&lt;31,"Young-Adult",B42&lt;41,"Adult",B42&lt;61,"Middle-aged",B42&gt;=61,"Senior")</f>
        <v>Senior</v>
      </c>
      <c r="S42" cm="1">
        <f t="array" ref="S42">_xlfn.IFS(Q42 ="Fortnightly",14,Q42="Weekly",7,Q42="Monthly",30,Q42="Quarterly",90,Q42="Bi-Weekly",14,Q42="Annually",365,Q42="Every 3 Months",90,TRUE,"NOT FOUND")</f>
        <v>90</v>
      </c>
    </row>
    <row r="43" spans="1:19" x14ac:dyDescent="0.35">
      <c r="A43">
        <v>42</v>
      </c>
      <c r="B43">
        <v>67</v>
      </c>
      <c r="C43" t="s">
        <v>7</v>
      </c>
      <c r="D43" t="s">
        <v>107</v>
      </c>
      <c r="E43" t="s">
        <v>55</v>
      </c>
      <c r="F43">
        <v>39</v>
      </c>
      <c r="G43" t="s">
        <v>108</v>
      </c>
      <c r="H43" t="s">
        <v>32</v>
      </c>
      <c r="I43" t="s">
        <v>109</v>
      </c>
      <c r="J43" t="s">
        <v>25</v>
      </c>
      <c r="K43">
        <v>4.5</v>
      </c>
      <c r="L43" t="s">
        <v>14</v>
      </c>
      <c r="M43" t="s">
        <v>42</v>
      </c>
      <c r="N43" t="s">
        <v>14</v>
      </c>
      <c r="O43">
        <v>40</v>
      </c>
      <c r="P43" t="s">
        <v>16</v>
      </c>
      <c r="Q43" t="s">
        <v>37</v>
      </c>
      <c r="R43" t="str" cm="1">
        <f t="array" ref="R43">_xlfn.IFS(B43&lt;31,"Young-Adult",B43&lt;41,"Adult",B43&lt;61,"Middle-aged",B43&gt;=61,"Senior")</f>
        <v>Senior</v>
      </c>
      <c r="S43" cm="1">
        <f t="array" ref="S43">_xlfn.IFS(Q43 ="Fortnightly",14,Q43="Weekly",7,Q43="Monthly",30,Q43="Quarterly",90,Q43="Bi-Weekly",14,Q43="Annually",365,Q43="Every 3 Months",90,TRUE,"NOT FOUND")</f>
        <v>365</v>
      </c>
    </row>
    <row r="44" spans="1:19" x14ac:dyDescent="0.35">
      <c r="A44">
        <v>43</v>
      </c>
      <c r="B44">
        <v>20</v>
      </c>
      <c r="C44" t="s">
        <v>7</v>
      </c>
      <c r="D44" t="s">
        <v>50</v>
      </c>
      <c r="E44" t="s">
        <v>51</v>
      </c>
      <c r="F44">
        <v>100</v>
      </c>
      <c r="G44" t="s">
        <v>110</v>
      </c>
      <c r="H44" t="s">
        <v>32</v>
      </c>
      <c r="I44" t="s">
        <v>106</v>
      </c>
      <c r="J44" t="s">
        <v>25</v>
      </c>
      <c r="K44">
        <v>4.0999999999999996</v>
      </c>
      <c r="L44" t="s">
        <v>14</v>
      </c>
      <c r="M44" t="s">
        <v>26</v>
      </c>
      <c r="N44" t="s">
        <v>14</v>
      </c>
      <c r="O44">
        <v>15</v>
      </c>
      <c r="P44" t="s">
        <v>34</v>
      </c>
      <c r="Q44" t="s">
        <v>37</v>
      </c>
      <c r="R44" t="str" cm="1">
        <f t="array" ref="R44">_xlfn.IFS(B44&lt;31,"Young-Adult",B44&lt;41,"Adult",B44&lt;61,"Middle-aged",B44&gt;=61,"Senior")</f>
        <v>Young-Adult</v>
      </c>
      <c r="S44" cm="1">
        <f t="array" ref="S44">_xlfn.IFS(Q44 ="Fortnightly",14,Q44="Weekly",7,Q44="Monthly",30,Q44="Quarterly",90,Q44="Bi-Weekly",14,Q44="Annually",365,Q44="Every 3 Months",90,TRUE,"NOT FOUND")</f>
        <v>365</v>
      </c>
    </row>
    <row r="45" spans="1:19" x14ac:dyDescent="0.35">
      <c r="A45">
        <v>44</v>
      </c>
      <c r="B45">
        <v>25</v>
      </c>
      <c r="C45" t="s">
        <v>7</v>
      </c>
      <c r="D45" t="s">
        <v>107</v>
      </c>
      <c r="E45" t="s">
        <v>55</v>
      </c>
      <c r="F45">
        <v>69</v>
      </c>
      <c r="G45" t="s">
        <v>111</v>
      </c>
      <c r="H45" t="s">
        <v>11</v>
      </c>
      <c r="I45" t="s">
        <v>81</v>
      </c>
      <c r="J45" t="s">
        <v>45</v>
      </c>
      <c r="K45">
        <v>3.7</v>
      </c>
      <c r="L45" t="s">
        <v>14</v>
      </c>
      <c r="M45" t="s">
        <v>62</v>
      </c>
      <c r="N45" t="s">
        <v>14</v>
      </c>
      <c r="O45">
        <v>19</v>
      </c>
      <c r="P45" t="s">
        <v>34</v>
      </c>
      <c r="Q45" t="s">
        <v>17</v>
      </c>
      <c r="R45" t="str" cm="1">
        <f t="array" ref="R45">_xlfn.IFS(B45&lt;31,"Young-Adult",B45&lt;41,"Adult",B45&lt;61,"Middle-aged",B45&gt;=61,"Senior")</f>
        <v>Young-Adult</v>
      </c>
      <c r="S45" cm="1">
        <f t="array" ref="S45">_xlfn.IFS(Q45 ="Fortnightly",14,Q45="Weekly",7,Q45="Monthly",30,Q45="Quarterly",90,Q45="Bi-Weekly",14,Q45="Annually",365,Q45="Every 3 Months",90,TRUE,"NOT FOUND")</f>
        <v>14</v>
      </c>
    </row>
    <row r="46" spans="1:19" x14ac:dyDescent="0.35">
      <c r="A46">
        <v>45</v>
      </c>
      <c r="B46">
        <v>39</v>
      </c>
      <c r="C46" t="s">
        <v>7</v>
      </c>
      <c r="D46" t="s">
        <v>112</v>
      </c>
      <c r="E46" t="s">
        <v>55</v>
      </c>
      <c r="F46">
        <v>53</v>
      </c>
      <c r="G46" t="s">
        <v>10</v>
      </c>
      <c r="H46" t="s">
        <v>24</v>
      </c>
      <c r="I46" t="s">
        <v>53</v>
      </c>
      <c r="J46" t="s">
        <v>41</v>
      </c>
      <c r="K46">
        <v>4.5999999999999996</v>
      </c>
      <c r="L46" t="s">
        <v>14</v>
      </c>
      <c r="M46" t="s">
        <v>26</v>
      </c>
      <c r="N46" t="s">
        <v>14</v>
      </c>
      <c r="O46">
        <v>45</v>
      </c>
      <c r="P46" t="s">
        <v>34</v>
      </c>
      <c r="Q46" t="s">
        <v>28</v>
      </c>
      <c r="R46" t="str" cm="1">
        <f t="array" ref="R46">_xlfn.IFS(B46&lt;31,"Young-Adult",B46&lt;41,"Adult",B46&lt;61,"Middle-aged",B46&gt;=61,"Senior")</f>
        <v>Adult</v>
      </c>
      <c r="S46" cm="1">
        <f t="array" ref="S46">_xlfn.IFS(Q46 ="Fortnightly",14,Q46="Weekly",7,Q46="Monthly",30,Q46="Quarterly",90,Q46="Bi-Weekly",14,Q46="Annually",365,Q46="Every 3 Months",90,TRUE,"NOT FOUND")</f>
        <v>7</v>
      </c>
    </row>
    <row r="47" spans="1:19" x14ac:dyDescent="0.35">
      <c r="A47">
        <v>46</v>
      </c>
      <c r="B47">
        <v>50</v>
      </c>
      <c r="C47" t="s">
        <v>7</v>
      </c>
      <c r="D47" t="s">
        <v>113</v>
      </c>
      <c r="E47" t="s">
        <v>9</v>
      </c>
      <c r="F47">
        <v>21</v>
      </c>
      <c r="G47" t="s">
        <v>110</v>
      </c>
      <c r="H47" t="s">
        <v>80</v>
      </c>
      <c r="I47" t="s">
        <v>114</v>
      </c>
      <c r="J47" t="s">
        <v>45</v>
      </c>
      <c r="K47">
        <v>2.9</v>
      </c>
      <c r="L47" t="s">
        <v>14</v>
      </c>
      <c r="M47" t="s">
        <v>58</v>
      </c>
      <c r="N47" t="s">
        <v>14</v>
      </c>
      <c r="O47">
        <v>25</v>
      </c>
      <c r="P47" t="s">
        <v>34</v>
      </c>
      <c r="Q47" t="s">
        <v>37</v>
      </c>
      <c r="R47" t="str" cm="1">
        <f t="array" ref="R47">_xlfn.IFS(B47&lt;31,"Young-Adult",B47&lt;41,"Adult",B47&lt;61,"Middle-aged",B47&gt;=61,"Senior")</f>
        <v>Middle-aged</v>
      </c>
      <c r="S47" cm="1">
        <f t="array" ref="S47">_xlfn.IFS(Q47 ="Fortnightly",14,Q47="Weekly",7,Q47="Monthly",30,Q47="Quarterly",90,Q47="Bi-Weekly",14,Q47="Annually",365,Q47="Every 3 Months",90,TRUE,"NOT FOUND")</f>
        <v>365</v>
      </c>
    </row>
    <row r="48" spans="1:19" x14ac:dyDescent="0.35">
      <c r="A48">
        <v>47</v>
      </c>
      <c r="B48">
        <v>57</v>
      </c>
      <c r="C48" t="s">
        <v>7</v>
      </c>
      <c r="D48" t="s">
        <v>43</v>
      </c>
      <c r="E48" t="s">
        <v>9</v>
      </c>
      <c r="F48">
        <v>43</v>
      </c>
      <c r="G48" t="s">
        <v>87</v>
      </c>
      <c r="H48" t="s">
        <v>11</v>
      </c>
      <c r="I48" t="s">
        <v>40</v>
      </c>
      <c r="J48" t="s">
        <v>41</v>
      </c>
      <c r="K48">
        <v>2.9</v>
      </c>
      <c r="L48" t="s">
        <v>14</v>
      </c>
      <c r="M48" t="s">
        <v>62</v>
      </c>
      <c r="N48" t="s">
        <v>14</v>
      </c>
      <c r="O48">
        <v>45</v>
      </c>
      <c r="P48" t="s">
        <v>21</v>
      </c>
      <c r="Q48" t="s">
        <v>46</v>
      </c>
      <c r="R48" t="str" cm="1">
        <f t="array" ref="R48">_xlfn.IFS(B48&lt;31,"Young-Adult",B48&lt;41,"Adult",B48&lt;61,"Middle-aged",B48&gt;=61,"Senior")</f>
        <v>Middle-aged</v>
      </c>
      <c r="S48" cm="1">
        <f t="array" ref="S48">_xlfn.IFS(Q48 ="Fortnightly",14,Q48="Weekly",7,Q48="Monthly",30,Q48="Quarterly",90,Q48="Bi-Weekly",14,Q48="Annually",365,Q48="Every 3 Months",90,TRUE,"NOT FOUND")</f>
        <v>90</v>
      </c>
    </row>
    <row r="49" spans="1:19" x14ac:dyDescent="0.35">
      <c r="A49">
        <v>48</v>
      </c>
      <c r="B49">
        <v>55</v>
      </c>
      <c r="C49" t="s">
        <v>7</v>
      </c>
      <c r="D49" t="s">
        <v>94</v>
      </c>
      <c r="E49" t="s">
        <v>55</v>
      </c>
      <c r="F49">
        <v>54</v>
      </c>
      <c r="G49" t="s">
        <v>44</v>
      </c>
      <c r="H49" t="s">
        <v>32</v>
      </c>
      <c r="I49" t="s">
        <v>49</v>
      </c>
      <c r="J49" t="s">
        <v>13</v>
      </c>
      <c r="K49">
        <v>4.5</v>
      </c>
      <c r="L49" t="s">
        <v>14</v>
      </c>
      <c r="M49" t="s">
        <v>26</v>
      </c>
      <c r="N49" t="s">
        <v>14</v>
      </c>
      <c r="O49">
        <v>36</v>
      </c>
      <c r="P49" t="s">
        <v>21</v>
      </c>
      <c r="Q49" t="s">
        <v>28</v>
      </c>
      <c r="R49" t="str" cm="1">
        <f t="array" ref="R49">_xlfn.IFS(B49&lt;31,"Young-Adult",B49&lt;41,"Adult",B49&lt;61,"Middle-aged",B49&gt;=61,"Senior")</f>
        <v>Middle-aged</v>
      </c>
      <c r="S49" cm="1">
        <f t="array" ref="S49">_xlfn.IFS(Q49 ="Fortnightly",14,Q49="Weekly",7,Q49="Monthly",30,Q49="Quarterly",90,Q49="Bi-Weekly",14,Q49="Annually",365,Q49="Every 3 Months",90,TRUE,"NOT FOUND")</f>
        <v>7</v>
      </c>
    </row>
    <row r="50" spans="1:19" x14ac:dyDescent="0.35">
      <c r="A50">
        <v>49</v>
      </c>
      <c r="B50">
        <v>42</v>
      </c>
      <c r="C50" t="s">
        <v>7</v>
      </c>
      <c r="D50" t="s">
        <v>43</v>
      </c>
      <c r="E50" t="s">
        <v>9</v>
      </c>
      <c r="F50">
        <v>55</v>
      </c>
      <c r="G50" t="s">
        <v>95</v>
      </c>
      <c r="H50" t="s">
        <v>32</v>
      </c>
      <c r="I50" t="s">
        <v>109</v>
      </c>
      <c r="J50" t="s">
        <v>41</v>
      </c>
      <c r="K50">
        <v>2.7</v>
      </c>
      <c r="L50" t="s">
        <v>14</v>
      </c>
      <c r="M50" t="s">
        <v>62</v>
      </c>
      <c r="N50" t="s">
        <v>14</v>
      </c>
      <c r="O50">
        <v>38</v>
      </c>
      <c r="P50" t="s">
        <v>21</v>
      </c>
      <c r="Q50" t="s">
        <v>76</v>
      </c>
      <c r="R50" t="str" cm="1">
        <f t="array" ref="R50">_xlfn.IFS(B50&lt;31,"Young-Adult",B50&lt;41,"Adult",B50&lt;61,"Middle-aged",B50&gt;=61,"Senior")</f>
        <v>Middle-aged</v>
      </c>
      <c r="S50" cm="1">
        <f t="array" ref="S50">_xlfn.IFS(Q50 ="Fortnightly",14,Q50="Weekly",7,Q50="Monthly",30,Q50="Quarterly",90,Q50="Bi-Weekly",14,Q50="Annually",365,Q50="Every 3 Months",90,TRUE,"NOT FOUND")</f>
        <v>30</v>
      </c>
    </row>
    <row r="51" spans="1:19" x14ac:dyDescent="0.35">
      <c r="A51">
        <v>50</v>
      </c>
      <c r="B51">
        <v>68</v>
      </c>
      <c r="C51" t="s">
        <v>7</v>
      </c>
      <c r="D51" t="s">
        <v>92</v>
      </c>
      <c r="E51" t="s">
        <v>9</v>
      </c>
      <c r="F51">
        <v>30</v>
      </c>
      <c r="G51" t="s">
        <v>115</v>
      </c>
      <c r="H51" t="s">
        <v>24</v>
      </c>
      <c r="I51" t="s">
        <v>114</v>
      </c>
      <c r="J51" t="s">
        <v>25</v>
      </c>
      <c r="K51">
        <v>4.5999999999999996</v>
      </c>
      <c r="L51" t="s">
        <v>14</v>
      </c>
      <c r="M51" t="s">
        <v>33</v>
      </c>
      <c r="N51" t="s">
        <v>14</v>
      </c>
      <c r="O51">
        <v>34</v>
      </c>
      <c r="P51" t="s">
        <v>74</v>
      </c>
      <c r="Q51" t="s">
        <v>64</v>
      </c>
      <c r="R51" t="str" cm="1">
        <f t="array" ref="R51">_xlfn.IFS(B51&lt;31,"Young-Adult",B51&lt;41,"Adult",B51&lt;61,"Middle-aged",B51&gt;=61,"Senior")</f>
        <v>Senior</v>
      </c>
      <c r="S51" cm="1">
        <f t="array" ref="S51">_xlfn.IFS(Q51 ="Fortnightly",14,Q51="Weekly",7,Q51="Monthly",30,Q51="Quarterly",90,Q51="Bi-Weekly",14,Q51="Annually",365,Q51="Every 3 Months",90,TRUE,"NOT FOUND")</f>
        <v>14</v>
      </c>
    </row>
    <row r="52" spans="1:19" x14ac:dyDescent="0.35">
      <c r="A52">
        <v>51</v>
      </c>
      <c r="B52">
        <v>49</v>
      </c>
      <c r="C52" t="s">
        <v>7</v>
      </c>
      <c r="D52" t="s">
        <v>8</v>
      </c>
      <c r="E52" t="s">
        <v>9</v>
      </c>
      <c r="F52">
        <v>28</v>
      </c>
      <c r="G52" t="s">
        <v>116</v>
      </c>
      <c r="H52" t="s">
        <v>32</v>
      </c>
      <c r="I52" t="s">
        <v>96</v>
      </c>
      <c r="J52" t="s">
        <v>25</v>
      </c>
      <c r="K52">
        <v>3.8</v>
      </c>
      <c r="L52" t="s">
        <v>14</v>
      </c>
      <c r="M52" t="s">
        <v>62</v>
      </c>
      <c r="N52" t="s">
        <v>14</v>
      </c>
      <c r="O52">
        <v>39</v>
      </c>
      <c r="P52" t="s">
        <v>74</v>
      </c>
      <c r="Q52" t="s">
        <v>64</v>
      </c>
      <c r="R52" t="str" cm="1">
        <f t="array" ref="R52">_xlfn.IFS(B52&lt;31,"Young-Adult",B52&lt;41,"Adult",B52&lt;61,"Middle-aged",B52&gt;=61,"Senior")</f>
        <v>Middle-aged</v>
      </c>
      <c r="S52" cm="1">
        <f t="array" ref="S52">_xlfn.IFS(Q52 ="Fortnightly",14,Q52="Weekly",7,Q52="Monthly",30,Q52="Quarterly",90,Q52="Bi-Weekly",14,Q52="Annually",365,Q52="Every 3 Months",90,TRUE,"NOT FOUND")</f>
        <v>14</v>
      </c>
    </row>
    <row r="53" spans="1:19" x14ac:dyDescent="0.35">
      <c r="A53">
        <v>52</v>
      </c>
      <c r="B53">
        <v>59</v>
      </c>
      <c r="C53" t="s">
        <v>7</v>
      </c>
      <c r="D53" t="s">
        <v>75</v>
      </c>
      <c r="E53" t="s">
        <v>9</v>
      </c>
      <c r="F53">
        <v>59</v>
      </c>
      <c r="G53" t="s">
        <v>117</v>
      </c>
      <c r="H53" t="s">
        <v>80</v>
      </c>
      <c r="I53" t="s">
        <v>12</v>
      </c>
      <c r="J53" t="s">
        <v>13</v>
      </c>
      <c r="K53">
        <v>4.7</v>
      </c>
      <c r="L53" t="s">
        <v>14</v>
      </c>
      <c r="M53" t="s">
        <v>58</v>
      </c>
      <c r="N53" t="s">
        <v>14</v>
      </c>
      <c r="O53">
        <v>7</v>
      </c>
      <c r="P53" t="s">
        <v>27</v>
      </c>
      <c r="Q53" t="s">
        <v>46</v>
      </c>
      <c r="R53" t="str" cm="1">
        <f t="array" ref="R53">_xlfn.IFS(B53&lt;31,"Young-Adult",B53&lt;41,"Adult",B53&lt;61,"Middle-aged",B53&gt;=61,"Senior")</f>
        <v>Middle-aged</v>
      </c>
      <c r="S53" cm="1">
        <f t="array" ref="S53">_xlfn.IFS(Q53 ="Fortnightly",14,Q53="Weekly",7,Q53="Monthly",30,Q53="Quarterly",90,Q53="Bi-Weekly",14,Q53="Annually",365,Q53="Every 3 Months",90,TRUE,"NOT FOUND")</f>
        <v>90</v>
      </c>
    </row>
    <row r="54" spans="1:19" x14ac:dyDescent="0.35">
      <c r="A54">
        <v>53</v>
      </c>
      <c r="B54">
        <v>42</v>
      </c>
      <c r="C54" t="s">
        <v>7</v>
      </c>
      <c r="D54" t="s">
        <v>101</v>
      </c>
      <c r="E54" t="s">
        <v>9</v>
      </c>
      <c r="F54">
        <v>20</v>
      </c>
      <c r="G54" t="s">
        <v>108</v>
      </c>
      <c r="H54" t="s">
        <v>32</v>
      </c>
      <c r="I54" t="s">
        <v>84</v>
      </c>
      <c r="J54" t="s">
        <v>41</v>
      </c>
      <c r="K54">
        <v>2.6</v>
      </c>
      <c r="L54" t="s">
        <v>14</v>
      </c>
      <c r="M54" t="s">
        <v>26</v>
      </c>
      <c r="N54" t="s">
        <v>14</v>
      </c>
      <c r="O54">
        <v>26</v>
      </c>
      <c r="P54" t="s">
        <v>27</v>
      </c>
      <c r="Q54" t="s">
        <v>28</v>
      </c>
      <c r="R54" t="str" cm="1">
        <f t="array" ref="R54">_xlfn.IFS(B54&lt;31,"Young-Adult",B54&lt;41,"Adult",B54&lt;61,"Middle-aged",B54&gt;=61,"Senior")</f>
        <v>Middle-aged</v>
      </c>
      <c r="S54" cm="1">
        <f t="array" ref="S54">_xlfn.IFS(Q54 ="Fortnightly",14,Q54="Weekly",7,Q54="Monthly",30,Q54="Quarterly",90,Q54="Bi-Weekly",14,Q54="Annually",365,Q54="Every 3 Months",90,TRUE,"NOT FOUND")</f>
        <v>7</v>
      </c>
    </row>
    <row r="55" spans="1:19" x14ac:dyDescent="0.35">
      <c r="A55">
        <v>54</v>
      </c>
      <c r="B55">
        <v>29</v>
      </c>
      <c r="C55" t="s">
        <v>7</v>
      </c>
      <c r="D55" t="s">
        <v>75</v>
      </c>
      <c r="E55" t="s">
        <v>9</v>
      </c>
      <c r="F55">
        <v>24</v>
      </c>
      <c r="G55" t="s">
        <v>79</v>
      </c>
      <c r="H55" t="s">
        <v>24</v>
      </c>
      <c r="I55" t="s">
        <v>88</v>
      </c>
      <c r="J55" t="s">
        <v>13</v>
      </c>
      <c r="K55">
        <v>3.9</v>
      </c>
      <c r="L55" t="s">
        <v>14</v>
      </c>
      <c r="M55" t="s">
        <v>33</v>
      </c>
      <c r="N55" t="s">
        <v>14</v>
      </c>
      <c r="O55">
        <v>35</v>
      </c>
      <c r="P55" t="s">
        <v>27</v>
      </c>
      <c r="Q55" t="s">
        <v>28</v>
      </c>
      <c r="R55" t="str" cm="1">
        <f t="array" ref="R55">_xlfn.IFS(B55&lt;31,"Young-Adult",B55&lt;41,"Adult",B55&lt;61,"Middle-aged",B55&gt;=61,"Senior")</f>
        <v>Young-Adult</v>
      </c>
      <c r="S55" cm="1">
        <f t="array" ref="S55">_xlfn.IFS(Q55 ="Fortnightly",14,Q55="Weekly",7,Q55="Monthly",30,Q55="Quarterly",90,Q55="Bi-Weekly",14,Q55="Annually",365,Q55="Every 3 Months",90,TRUE,"NOT FOUND")</f>
        <v>7</v>
      </c>
    </row>
    <row r="56" spans="1:19" x14ac:dyDescent="0.35">
      <c r="A56">
        <v>55</v>
      </c>
      <c r="B56">
        <v>47</v>
      </c>
      <c r="C56" t="s">
        <v>7</v>
      </c>
      <c r="D56" t="s">
        <v>50</v>
      </c>
      <c r="E56" t="s">
        <v>51</v>
      </c>
      <c r="F56">
        <v>94</v>
      </c>
      <c r="G56" t="s">
        <v>118</v>
      </c>
      <c r="H56" t="s">
        <v>32</v>
      </c>
      <c r="I56" t="s">
        <v>98</v>
      </c>
      <c r="J56" t="s">
        <v>41</v>
      </c>
      <c r="K56">
        <v>4.2</v>
      </c>
      <c r="L56" t="s">
        <v>14</v>
      </c>
      <c r="M56" t="s">
        <v>33</v>
      </c>
      <c r="N56" t="s">
        <v>14</v>
      </c>
      <c r="O56">
        <v>35</v>
      </c>
      <c r="P56" t="s">
        <v>74</v>
      </c>
      <c r="Q56" t="s">
        <v>64</v>
      </c>
      <c r="R56" t="str" cm="1">
        <f t="array" ref="R56">_xlfn.IFS(B56&lt;31,"Young-Adult",B56&lt;41,"Adult",B56&lt;61,"Middle-aged",B56&gt;=61,"Senior")</f>
        <v>Middle-aged</v>
      </c>
      <c r="S56" cm="1">
        <f t="array" ref="S56">_xlfn.IFS(Q56 ="Fortnightly",14,Q56="Weekly",7,Q56="Monthly",30,Q56="Quarterly",90,Q56="Bi-Weekly",14,Q56="Annually",365,Q56="Every 3 Months",90,TRUE,"NOT FOUND")</f>
        <v>14</v>
      </c>
    </row>
    <row r="57" spans="1:19" x14ac:dyDescent="0.35">
      <c r="A57">
        <v>56</v>
      </c>
      <c r="B57">
        <v>40</v>
      </c>
      <c r="C57" t="s">
        <v>7</v>
      </c>
      <c r="D57" t="s">
        <v>90</v>
      </c>
      <c r="E57" t="s">
        <v>51</v>
      </c>
      <c r="F57">
        <v>28</v>
      </c>
      <c r="G57" t="s">
        <v>119</v>
      </c>
      <c r="H57" t="s">
        <v>32</v>
      </c>
      <c r="I57" t="s">
        <v>81</v>
      </c>
      <c r="J57" t="s">
        <v>13</v>
      </c>
      <c r="K57">
        <v>3</v>
      </c>
      <c r="L57" t="s">
        <v>14</v>
      </c>
      <c r="M57" t="s">
        <v>58</v>
      </c>
      <c r="N57" t="s">
        <v>14</v>
      </c>
      <c r="O57">
        <v>49</v>
      </c>
      <c r="P57" t="s">
        <v>27</v>
      </c>
      <c r="Q57" t="s">
        <v>37</v>
      </c>
      <c r="R57" t="str" cm="1">
        <f t="array" ref="R57">_xlfn.IFS(B57&lt;31,"Young-Adult",B57&lt;41,"Adult",B57&lt;61,"Middle-aged",B57&gt;=61,"Senior")</f>
        <v>Adult</v>
      </c>
      <c r="S57" cm="1">
        <f t="array" ref="S57">_xlfn.IFS(Q57 ="Fortnightly",14,Q57="Weekly",7,Q57="Monthly",30,Q57="Quarterly",90,Q57="Bi-Weekly",14,Q57="Annually",365,Q57="Every 3 Months",90,TRUE,"NOT FOUND")</f>
        <v>365</v>
      </c>
    </row>
    <row r="58" spans="1:19" x14ac:dyDescent="0.35">
      <c r="A58">
        <v>57</v>
      </c>
      <c r="B58">
        <v>41</v>
      </c>
      <c r="C58" t="s">
        <v>7</v>
      </c>
      <c r="D58" t="s">
        <v>120</v>
      </c>
      <c r="E58" t="s">
        <v>55</v>
      </c>
      <c r="F58">
        <v>73</v>
      </c>
      <c r="G58" t="s">
        <v>79</v>
      </c>
      <c r="H58" t="s">
        <v>80</v>
      </c>
      <c r="I58" t="s">
        <v>98</v>
      </c>
      <c r="J58" t="s">
        <v>41</v>
      </c>
      <c r="K58">
        <v>4.7</v>
      </c>
      <c r="L58" t="s">
        <v>14</v>
      </c>
      <c r="M58" t="s">
        <v>62</v>
      </c>
      <c r="N58" t="s">
        <v>14</v>
      </c>
      <c r="O58">
        <v>46</v>
      </c>
      <c r="P58" t="s">
        <v>27</v>
      </c>
      <c r="Q58" t="s">
        <v>28</v>
      </c>
      <c r="R58" t="str" cm="1">
        <f t="array" ref="R58">_xlfn.IFS(B58&lt;31,"Young-Adult",B58&lt;41,"Adult",B58&lt;61,"Middle-aged",B58&gt;=61,"Senior")</f>
        <v>Middle-aged</v>
      </c>
      <c r="S58" cm="1">
        <f t="array" ref="S58">_xlfn.IFS(Q58 ="Fortnightly",14,Q58="Weekly",7,Q58="Monthly",30,Q58="Quarterly",90,Q58="Bi-Weekly",14,Q58="Annually",365,Q58="Every 3 Months",90,TRUE,"NOT FOUND")</f>
        <v>7</v>
      </c>
    </row>
    <row r="59" spans="1:19" x14ac:dyDescent="0.35">
      <c r="A59">
        <v>58</v>
      </c>
      <c r="B59">
        <v>21</v>
      </c>
      <c r="C59" t="s">
        <v>7</v>
      </c>
      <c r="D59" t="s">
        <v>50</v>
      </c>
      <c r="E59" t="s">
        <v>51</v>
      </c>
      <c r="F59">
        <v>64</v>
      </c>
      <c r="G59" t="s">
        <v>52</v>
      </c>
      <c r="H59" t="s">
        <v>32</v>
      </c>
      <c r="I59" t="s">
        <v>40</v>
      </c>
      <c r="J59" t="s">
        <v>41</v>
      </c>
      <c r="K59">
        <v>4.4000000000000004</v>
      </c>
      <c r="L59" t="s">
        <v>14</v>
      </c>
      <c r="M59" t="s">
        <v>62</v>
      </c>
      <c r="N59" t="s">
        <v>14</v>
      </c>
      <c r="O59">
        <v>17</v>
      </c>
      <c r="P59" t="s">
        <v>74</v>
      </c>
      <c r="Q59" t="s">
        <v>17</v>
      </c>
      <c r="R59" t="str" cm="1">
        <f t="array" ref="R59">_xlfn.IFS(B59&lt;31,"Young-Adult",B59&lt;41,"Adult",B59&lt;61,"Middle-aged",B59&gt;=61,"Senior")</f>
        <v>Young-Adult</v>
      </c>
      <c r="S59" cm="1">
        <f t="array" ref="S59">_xlfn.IFS(Q59 ="Fortnightly",14,Q59="Weekly",7,Q59="Monthly",30,Q59="Quarterly",90,Q59="Bi-Weekly",14,Q59="Annually",365,Q59="Every 3 Months",90,TRUE,"NOT FOUND")</f>
        <v>14</v>
      </c>
    </row>
    <row r="60" spans="1:19" x14ac:dyDescent="0.35">
      <c r="A60">
        <v>59</v>
      </c>
      <c r="B60">
        <v>69</v>
      </c>
      <c r="C60" t="s">
        <v>7</v>
      </c>
      <c r="D60" t="s">
        <v>92</v>
      </c>
      <c r="E60" t="s">
        <v>9</v>
      </c>
      <c r="F60">
        <v>54</v>
      </c>
      <c r="G60" t="s">
        <v>56</v>
      </c>
      <c r="H60" t="s">
        <v>32</v>
      </c>
      <c r="I60" t="s">
        <v>49</v>
      </c>
      <c r="J60" t="s">
        <v>41</v>
      </c>
      <c r="K60">
        <v>4.2</v>
      </c>
      <c r="L60" t="s">
        <v>14</v>
      </c>
      <c r="M60" t="s">
        <v>26</v>
      </c>
      <c r="N60" t="s">
        <v>14</v>
      </c>
      <c r="O60">
        <v>29</v>
      </c>
      <c r="P60" t="s">
        <v>16</v>
      </c>
      <c r="Q60" t="s">
        <v>76</v>
      </c>
      <c r="R60" t="str" cm="1">
        <f t="array" ref="R60">_xlfn.IFS(B60&lt;31,"Young-Adult",B60&lt;41,"Adult",B60&lt;61,"Middle-aged",B60&gt;=61,"Senior")</f>
        <v>Senior</v>
      </c>
      <c r="S60" cm="1">
        <f t="array" ref="S60">_xlfn.IFS(Q60 ="Fortnightly",14,Q60="Weekly",7,Q60="Monthly",30,Q60="Quarterly",90,Q60="Bi-Weekly",14,Q60="Annually",365,Q60="Every 3 Months",90,TRUE,"NOT FOUND")</f>
        <v>30</v>
      </c>
    </row>
    <row r="61" spans="1:19" x14ac:dyDescent="0.35">
      <c r="A61">
        <v>60</v>
      </c>
      <c r="B61">
        <v>63</v>
      </c>
      <c r="C61" t="s">
        <v>7</v>
      </c>
      <c r="D61" t="s">
        <v>121</v>
      </c>
      <c r="E61" t="s">
        <v>55</v>
      </c>
      <c r="F61">
        <v>79</v>
      </c>
      <c r="G61" t="s">
        <v>48</v>
      </c>
      <c r="H61" t="s">
        <v>11</v>
      </c>
      <c r="I61" t="s">
        <v>122</v>
      </c>
      <c r="J61" t="s">
        <v>25</v>
      </c>
      <c r="K61">
        <v>4.5999999999999996</v>
      </c>
      <c r="L61" t="s">
        <v>14</v>
      </c>
      <c r="M61" t="s">
        <v>42</v>
      </c>
      <c r="N61" t="s">
        <v>14</v>
      </c>
      <c r="O61">
        <v>4</v>
      </c>
      <c r="P61" t="s">
        <v>74</v>
      </c>
      <c r="Q61" t="s">
        <v>28</v>
      </c>
      <c r="R61" t="str" cm="1">
        <f t="array" ref="R61">_xlfn.IFS(B61&lt;31,"Young-Adult",B61&lt;41,"Adult",B61&lt;61,"Middle-aged",B61&gt;=61,"Senior")</f>
        <v>Senior</v>
      </c>
      <c r="S61" cm="1">
        <f t="array" ref="S61">_xlfn.IFS(Q61 ="Fortnightly",14,Q61="Weekly",7,Q61="Monthly",30,Q61="Quarterly",90,Q61="Bi-Weekly",14,Q61="Annually",365,Q61="Every 3 Months",90,TRUE,"NOT FOUND")</f>
        <v>7</v>
      </c>
    </row>
    <row r="62" spans="1:19" x14ac:dyDescent="0.35">
      <c r="A62">
        <v>61</v>
      </c>
      <c r="B62">
        <v>50</v>
      </c>
      <c r="C62" t="s">
        <v>7</v>
      </c>
      <c r="D62" t="s">
        <v>18</v>
      </c>
      <c r="E62" t="s">
        <v>9</v>
      </c>
      <c r="F62">
        <v>37</v>
      </c>
      <c r="G62" t="s">
        <v>123</v>
      </c>
      <c r="H62" t="s">
        <v>11</v>
      </c>
      <c r="I62" t="s">
        <v>98</v>
      </c>
      <c r="J62" t="s">
        <v>41</v>
      </c>
      <c r="K62">
        <v>4</v>
      </c>
      <c r="L62" t="s">
        <v>14</v>
      </c>
      <c r="M62" t="s">
        <v>15</v>
      </c>
      <c r="N62" t="s">
        <v>14</v>
      </c>
      <c r="O62">
        <v>17</v>
      </c>
      <c r="P62" t="s">
        <v>21</v>
      </c>
      <c r="Q62" t="s">
        <v>28</v>
      </c>
      <c r="R62" t="str" cm="1">
        <f t="array" ref="R62">_xlfn.IFS(B62&lt;31,"Young-Adult",B62&lt;41,"Adult",B62&lt;61,"Middle-aged",B62&gt;=61,"Senior")</f>
        <v>Middle-aged</v>
      </c>
      <c r="S62" cm="1">
        <f t="array" ref="S62">_xlfn.IFS(Q62 ="Fortnightly",14,Q62="Weekly",7,Q62="Monthly",30,Q62="Quarterly",90,Q62="Bi-Weekly",14,Q62="Annually",365,Q62="Every 3 Months",90,TRUE,"NOT FOUND")</f>
        <v>7</v>
      </c>
    </row>
    <row r="63" spans="1:19" x14ac:dyDescent="0.35">
      <c r="A63">
        <v>62</v>
      </c>
      <c r="B63">
        <v>55</v>
      </c>
      <c r="C63" t="s">
        <v>7</v>
      </c>
      <c r="D63" t="s">
        <v>107</v>
      </c>
      <c r="E63" t="s">
        <v>55</v>
      </c>
      <c r="F63">
        <v>68</v>
      </c>
      <c r="G63" t="s">
        <v>93</v>
      </c>
      <c r="H63" t="s">
        <v>32</v>
      </c>
      <c r="I63" t="s">
        <v>109</v>
      </c>
      <c r="J63" t="s">
        <v>13</v>
      </c>
      <c r="K63">
        <v>4.7</v>
      </c>
      <c r="L63" t="s">
        <v>14</v>
      </c>
      <c r="M63" t="s">
        <v>62</v>
      </c>
      <c r="N63" t="s">
        <v>14</v>
      </c>
      <c r="O63">
        <v>21</v>
      </c>
      <c r="P63" t="s">
        <v>27</v>
      </c>
      <c r="Q63" t="s">
        <v>85</v>
      </c>
      <c r="R63" t="str" cm="1">
        <f t="array" ref="R63">_xlfn.IFS(B63&lt;31,"Young-Adult",B63&lt;41,"Adult",B63&lt;61,"Middle-aged",B63&gt;=61,"Senior")</f>
        <v>Middle-aged</v>
      </c>
      <c r="S63" cm="1">
        <f t="array" ref="S63">_xlfn.IFS(Q63 ="Fortnightly",14,Q63="Weekly",7,Q63="Monthly",30,Q63="Quarterly",90,Q63="Bi-Weekly",14,Q63="Annually",365,Q63="Every 3 Months",90,TRUE,"NOT FOUND")</f>
        <v>90</v>
      </c>
    </row>
    <row r="64" spans="1:19" x14ac:dyDescent="0.35">
      <c r="A64">
        <v>63</v>
      </c>
      <c r="B64">
        <v>30</v>
      </c>
      <c r="C64" t="s">
        <v>7</v>
      </c>
      <c r="D64" t="s">
        <v>38</v>
      </c>
      <c r="E64" t="s">
        <v>30</v>
      </c>
      <c r="F64">
        <v>21</v>
      </c>
      <c r="G64" t="s">
        <v>79</v>
      </c>
      <c r="H64" t="s">
        <v>24</v>
      </c>
      <c r="I64" t="s">
        <v>124</v>
      </c>
      <c r="J64" t="s">
        <v>25</v>
      </c>
      <c r="K64">
        <v>3.8</v>
      </c>
      <c r="L64" t="s">
        <v>14</v>
      </c>
      <c r="M64" t="s">
        <v>26</v>
      </c>
      <c r="N64" t="s">
        <v>14</v>
      </c>
      <c r="O64">
        <v>31</v>
      </c>
      <c r="P64" t="s">
        <v>27</v>
      </c>
      <c r="Q64" t="s">
        <v>17</v>
      </c>
      <c r="R64" t="str" cm="1">
        <f t="array" ref="R64">_xlfn.IFS(B64&lt;31,"Young-Adult",B64&lt;41,"Adult",B64&lt;61,"Middle-aged",B64&gt;=61,"Senior")</f>
        <v>Young-Adult</v>
      </c>
      <c r="S64" cm="1">
        <f t="array" ref="S64">_xlfn.IFS(Q64 ="Fortnightly",14,Q64="Weekly",7,Q64="Monthly",30,Q64="Quarterly",90,Q64="Bi-Weekly",14,Q64="Annually",365,Q64="Every 3 Months",90,TRUE,"NOT FOUND")</f>
        <v>14</v>
      </c>
    </row>
    <row r="65" spans="1:19" x14ac:dyDescent="0.35">
      <c r="A65">
        <v>64</v>
      </c>
      <c r="B65">
        <v>33</v>
      </c>
      <c r="C65" t="s">
        <v>7</v>
      </c>
      <c r="D65" t="s">
        <v>77</v>
      </c>
      <c r="E65" t="s">
        <v>55</v>
      </c>
      <c r="F65">
        <v>79</v>
      </c>
      <c r="G65" t="s">
        <v>105</v>
      </c>
      <c r="H65" t="s">
        <v>11</v>
      </c>
      <c r="I65" t="s">
        <v>81</v>
      </c>
      <c r="J65" t="s">
        <v>13</v>
      </c>
      <c r="K65">
        <v>2.7</v>
      </c>
      <c r="L65" t="s">
        <v>14</v>
      </c>
      <c r="M65" t="s">
        <v>58</v>
      </c>
      <c r="N65" t="s">
        <v>14</v>
      </c>
      <c r="O65">
        <v>43</v>
      </c>
      <c r="P65" t="s">
        <v>27</v>
      </c>
      <c r="Q65" t="s">
        <v>28</v>
      </c>
      <c r="R65" t="str" cm="1">
        <f t="array" ref="R65">_xlfn.IFS(B65&lt;31,"Young-Adult",B65&lt;41,"Adult",B65&lt;61,"Middle-aged",B65&gt;=61,"Senior")</f>
        <v>Adult</v>
      </c>
      <c r="S65" cm="1">
        <f t="array" ref="S65">_xlfn.IFS(Q65 ="Fortnightly",14,Q65="Weekly",7,Q65="Monthly",30,Q65="Quarterly",90,Q65="Bi-Weekly",14,Q65="Annually",365,Q65="Every 3 Months",90,TRUE,"NOT FOUND")</f>
        <v>7</v>
      </c>
    </row>
    <row r="66" spans="1:19" x14ac:dyDescent="0.35">
      <c r="A66">
        <v>65</v>
      </c>
      <c r="B66">
        <v>65</v>
      </c>
      <c r="C66" t="s">
        <v>7</v>
      </c>
      <c r="D66" t="s">
        <v>125</v>
      </c>
      <c r="E66" t="s">
        <v>30</v>
      </c>
      <c r="F66">
        <v>83</v>
      </c>
      <c r="G66" t="s">
        <v>78</v>
      </c>
      <c r="H66" t="s">
        <v>24</v>
      </c>
      <c r="I66" t="s">
        <v>84</v>
      </c>
      <c r="J66" t="s">
        <v>45</v>
      </c>
      <c r="K66">
        <v>4.8</v>
      </c>
      <c r="L66" t="s">
        <v>14</v>
      </c>
      <c r="M66" t="s">
        <v>42</v>
      </c>
      <c r="N66" t="s">
        <v>14</v>
      </c>
      <c r="O66">
        <v>18</v>
      </c>
      <c r="P66" t="s">
        <v>74</v>
      </c>
      <c r="Q66" t="s">
        <v>17</v>
      </c>
      <c r="R66" t="str" cm="1">
        <f t="array" ref="R66">_xlfn.IFS(B66&lt;31,"Young-Adult",B66&lt;41,"Adult",B66&lt;61,"Middle-aged",B66&gt;=61,"Senior")</f>
        <v>Senior</v>
      </c>
      <c r="S66" cm="1">
        <f t="array" ref="S66">_xlfn.IFS(Q66 ="Fortnightly",14,Q66="Weekly",7,Q66="Monthly",30,Q66="Quarterly",90,Q66="Bi-Weekly",14,Q66="Annually",365,Q66="Every 3 Months",90,TRUE,"NOT FOUND")</f>
        <v>14</v>
      </c>
    </row>
    <row r="67" spans="1:19" x14ac:dyDescent="0.35">
      <c r="A67">
        <v>66</v>
      </c>
      <c r="B67">
        <v>65</v>
      </c>
      <c r="C67" t="s">
        <v>7</v>
      </c>
      <c r="D67" t="s">
        <v>120</v>
      </c>
      <c r="E67" t="s">
        <v>55</v>
      </c>
      <c r="F67">
        <v>36</v>
      </c>
      <c r="G67" t="s">
        <v>115</v>
      </c>
      <c r="H67" t="s">
        <v>32</v>
      </c>
      <c r="I67" t="s">
        <v>61</v>
      </c>
      <c r="J67" t="s">
        <v>25</v>
      </c>
      <c r="K67">
        <v>4.8</v>
      </c>
      <c r="L67" t="s">
        <v>14</v>
      </c>
      <c r="M67" t="s">
        <v>58</v>
      </c>
      <c r="N67" t="s">
        <v>14</v>
      </c>
      <c r="O67">
        <v>44</v>
      </c>
      <c r="P67" t="s">
        <v>16</v>
      </c>
      <c r="Q67" t="s">
        <v>85</v>
      </c>
      <c r="R67" t="str" cm="1">
        <f t="array" ref="R67">_xlfn.IFS(B67&lt;31,"Young-Adult",B67&lt;41,"Adult",B67&lt;61,"Middle-aged",B67&gt;=61,"Senior")</f>
        <v>Senior</v>
      </c>
      <c r="S67" cm="1">
        <f t="array" ref="S67">_xlfn.IFS(Q67 ="Fortnightly",14,Q67="Weekly",7,Q67="Monthly",30,Q67="Quarterly",90,Q67="Bi-Weekly",14,Q67="Annually",365,Q67="Every 3 Months",90,TRUE,"NOT FOUND")</f>
        <v>90</v>
      </c>
    </row>
    <row r="68" spans="1:19" x14ac:dyDescent="0.35">
      <c r="A68">
        <v>67</v>
      </c>
      <c r="B68">
        <v>31</v>
      </c>
      <c r="C68" t="s">
        <v>7</v>
      </c>
      <c r="D68" t="s">
        <v>8</v>
      </c>
      <c r="E68" t="s">
        <v>9</v>
      </c>
      <c r="F68">
        <v>94</v>
      </c>
      <c r="G68" t="s">
        <v>126</v>
      </c>
      <c r="H68" t="s">
        <v>24</v>
      </c>
      <c r="I68" t="s">
        <v>124</v>
      </c>
      <c r="J68" t="s">
        <v>13</v>
      </c>
      <c r="K68">
        <v>4.7</v>
      </c>
      <c r="L68" t="s">
        <v>14</v>
      </c>
      <c r="M68" t="s">
        <v>58</v>
      </c>
      <c r="N68" t="s">
        <v>14</v>
      </c>
      <c r="O68">
        <v>3</v>
      </c>
      <c r="P68" t="s">
        <v>16</v>
      </c>
      <c r="Q68" t="s">
        <v>85</v>
      </c>
      <c r="R68" t="str" cm="1">
        <f t="array" ref="R68">_xlfn.IFS(B68&lt;31,"Young-Adult",B68&lt;41,"Adult",B68&lt;61,"Middle-aged",B68&gt;=61,"Senior")</f>
        <v>Adult</v>
      </c>
      <c r="S68" cm="1">
        <f t="array" ref="S68">_xlfn.IFS(Q68 ="Fortnightly",14,Q68="Weekly",7,Q68="Monthly",30,Q68="Quarterly",90,Q68="Bi-Weekly",14,Q68="Annually",365,Q68="Every 3 Months",90,TRUE,"NOT FOUND")</f>
        <v>90</v>
      </c>
    </row>
    <row r="69" spans="1:19" x14ac:dyDescent="0.35">
      <c r="A69">
        <v>68</v>
      </c>
      <c r="B69">
        <v>45</v>
      </c>
      <c r="C69" t="s">
        <v>7</v>
      </c>
      <c r="D69" t="s">
        <v>50</v>
      </c>
      <c r="E69" t="s">
        <v>51</v>
      </c>
      <c r="F69">
        <v>33</v>
      </c>
      <c r="G69" t="s">
        <v>127</v>
      </c>
      <c r="H69" t="s">
        <v>11</v>
      </c>
      <c r="I69" t="s">
        <v>12</v>
      </c>
      <c r="J69" t="s">
        <v>13</v>
      </c>
      <c r="K69">
        <v>4.4000000000000004</v>
      </c>
      <c r="L69" t="s">
        <v>14</v>
      </c>
      <c r="M69" t="s">
        <v>62</v>
      </c>
      <c r="N69" t="s">
        <v>14</v>
      </c>
      <c r="O69">
        <v>49</v>
      </c>
      <c r="P69" t="s">
        <v>74</v>
      </c>
      <c r="Q69" t="s">
        <v>76</v>
      </c>
      <c r="R69" t="str" cm="1">
        <f t="array" ref="R69">_xlfn.IFS(B69&lt;31,"Young-Adult",B69&lt;41,"Adult",B69&lt;61,"Middle-aged",B69&gt;=61,"Senior")</f>
        <v>Middle-aged</v>
      </c>
      <c r="S69" cm="1">
        <f t="array" ref="S69">_xlfn.IFS(Q69 ="Fortnightly",14,Q69="Weekly",7,Q69="Monthly",30,Q69="Quarterly",90,Q69="Bi-Weekly",14,Q69="Annually",365,Q69="Every 3 Months",90,TRUE,"NOT FOUND")</f>
        <v>30</v>
      </c>
    </row>
    <row r="70" spans="1:19" x14ac:dyDescent="0.35">
      <c r="A70">
        <v>69</v>
      </c>
      <c r="B70">
        <v>57</v>
      </c>
      <c r="C70" t="s">
        <v>7</v>
      </c>
      <c r="D70" t="s">
        <v>54</v>
      </c>
      <c r="E70" t="s">
        <v>55</v>
      </c>
      <c r="F70">
        <v>46</v>
      </c>
      <c r="G70" t="s">
        <v>128</v>
      </c>
      <c r="H70" t="s">
        <v>11</v>
      </c>
      <c r="I70" t="s">
        <v>53</v>
      </c>
      <c r="J70" t="s">
        <v>41</v>
      </c>
      <c r="K70">
        <v>3.9</v>
      </c>
      <c r="L70" t="s">
        <v>14</v>
      </c>
      <c r="M70" t="s">
        <v>33</v>
      </c>
      <c r="N70" t="s">
        <v>14</v>
      </c>
      <c r="O70">
        <v>21</v>
      </c>
      <c r="P70" t="s">
        <v>21</v>
      </c>
      <c r="Q70" t="s">
        <v>85</v>
      </c>
      <c r="R70" t="str" cm="1">
        <f t="array" ref="R70">_xlfn.IFS(B70&lt;31,"Young-Adult",B70&lt;41,"Adult",B70&lt;61,"Middle-aged",B70&gt;=61,"Senior")</f>
        <v>Middle-aged</v>
      </c>
      <c r="S70" cm="1">
        <f t="array" ref="S70">_xlfn.IFS(Q70 ="Fortnightly",14,Q70="Weekly",7,Q70="Monthly",30,Q70="Quarterly",90,Q70="Bi-Weekly",14,Q70="Annually",365,Q70="Every 3 Months",90,TRUE,"NOT FOUND")</f>
        <v>90</v>
      </c>
    </row>
    <row r="71" spans="1:19" x14ac:dyDescent="0.35">
      <c r="A71">
        <v>70</v>
      </c>
      <c r="B71">
        <v>48</v>
      </c>
      <c r="C71" t="s">
        <v>7</v>
      </c>
      <c r="D71" t="s">
        <v>121</v>
      </c>
      <c r="E71" t="s">
        <v>55</v>
      </c>
      <c r="F71">
        <v>70</v>
      </c>
      <c r="G71" t="s">
        <v>110</v>
      </c>
      <c r="H71" t="s">
        <v>24</v>
      </c>
      <c r="I71" t="s">
        <v>97</v>
      </c>
      <c r="J71" t="s">
        <v>41</v>
      </c>
      <c r="K71">
        <v>4.4000000000000004</v>
      </c>
      <c r="L71" t="s">
        <v>14</v>
      </c>
      <c r="M71" t="s">
        <v>15</v>
      </c>
      <c r="N71" t="s">
        <v>14</v>
      </c>
      <c r="O71">
        <v>5</v>
      </c>
      <c r="P71" t="s">
        <v>21</v>
      </c>
      <c r="Q71" t="s">
        <v>28</v>
      </c>
      <c r="R71" t="str" cm="1">
        <f t="array" ref="R71">_xlfn.IFS(B71&lt;31,"Young-Adult",B71&lt;41,"Adult",B71&lt;61,"Middle-aged",B71&gt;=61,"Senior")</f>
        <v>Middle-aged</v>
      </c>
      <c r="S71" cm="1">
        <f t="array" ref="S71">_xlfn.IFS(Q71 ="Fortnightly",14,Q71="Weekly",7,Q71="Monthly",30,Q71="Quarterly",90,Q71="Bi-Weekly",14,Q71="Annually",365,Q71="Every 3 Months",90,TRUE,"NOT FOUND")</f>
        <v>7</v>
      </c>
    </row>
    <row r="72" spans="1:19" x14ac:dyDescent="0.35">
      <c r="A72">
        <v>71</v>
      </c>
      <c r="B72">
        <v>22</v>
      </c>
      <c r="C72" t="s">
        <v>7</v>
      </c>
      <c r="D72" t="s">
        <v>121</v>
      </c>
      <c r="E72" t="s">
        <v>55</v>
      </c>
      <c r="F72">
        <v>29</v>
      </c>
      <c r="G72" t="s">
        <v>78</v>
      </c>
      <c r="H72" t="s">
        <v>32</v>
      </c>
      <c r="I72" t="s">
        <v>124</v>
      </c>
      <c r="J72" t="s">
        <v>45</v>
      </c>
      <c r="K72">
        <v>4.2</v>
      </c>
      <c r="L72" t="s">
        <v>14</v>
      </c>
      <c r="M72" t="s">
        <v>15</v>
      </c>
      <c r="N72" t="s">
        <v>14</v>
      </c>
      <c r="O72">
        <v>32</v>
      </c>
      <c r="P72" t="s">
        <v>74</v>
      </c>
      <c r="Q72" t="s">
        <v>85</v>
      </c>
      <c r="R72" t="str" cm="1">
        <f t="array" ref="R72">_xlfn.IFS(B72&lt;31,"Young-Adult",B72&lt;41,"Adult",B72&lt;61,"Middle-aged",B72&gt;=61,"Senior")</f>
        <v>Young-Adult</v>
      </c>
      <c r="S72" cm="1">
        <f t="array" ref="S72">_xlfn.IFS(Q72 ="Fortnightly",14,Q72="Weekly",7,Q72="Monthly",30,Q72="Quarterly",90,Q72="Bi-Weekly",14,Q72="Annually",365,Q72="Every 3 Months",90,TRUE,"NOT FOUND")</f>
        <v>90</v>
      </c>
    </row>
    <row r="73" spans="1:19" x14ac:dyDescent="0.35">
      <c r="A73">
        <v>72</v>
      </c>
      <c r="B73">
        <v>36</v>
      </c>
      <c r="C73" t="s">
        <v>7</v>
      </c>
      <c r="D73" t="s">
        <v>69</v>
      </c>
      <c r="E73" t="s">
        <v>9</v>
      </c>
      <c r="F73">
        <v>48</v>
      </c>
      <c r="G73" t="s">
        <v>129</v>
      </c>
      <c r="H73" t="s">
        <v>11</v>
      </c>
      <c r="I73" t="s">
        <v>68</v>
      </c>
      <c r="J73" t="s">
        <v>41</v>
      </c>
      <c r="K73">
        <v>2.9</v>
      </c>
      <c r="L73" t="s">
        <v>14</v>
      </c>
      <c r="M73" t="s">
        <v>15</v>
      </c>
      <c r="N73" t="s">
        <v>14</v>
      </c>
      <c r="O73">
        <v>34</v>
      </c>
      <c r="P73" t="s">
        <v>63</v>
      </c>
      <c r="Q73" t="s">
        <v>37</v>
      </c>
      <c r="R73" t="str" cm="1">
        <f t="array" ref="R73">_xlfn.IFS(B73&lt;31,"Young-Adult",B73&lt;41,"Adult",B73&lt;61,"Middle-aged",B73&gt;=61,"Senior")</f>
        <v>Adult</v>
      </c>
      <c r="S73" cm="1">
        <f t="array" ref="S73">_xlfn.IFS(Q73 ="Fortnightly",14,Q73="Weekly",7,Q73="Monthly",30,Q73="Quarterly",90,Q73="Bi-Weekly",14,Q73="Annually",365,Q73="Every 3 Months",90,TRUE,"NOT FOUND")</f>
        <v>365</v>
      </c>
    </row>
    <row r="74" spans="1:19" x14ac:dyDescent="0.35">
      <c r="A74">
        <v>73</v>
      </c>
      <c r="B74">
        <v>18</v>
      </c>
      <c r="C74" t="s">
        <v>7</v>
      </c>
      <c r="D74" t="s">
        <v>69</v>
      </c>
      <c r="E74" t="s">
        <v>9</v>
      </c>
      <c r="F74">
        <v>26</v>
      </c>
      <c r="G74" t="s">
        <v>130</v>
      </c>
      <c r="H74" t="s">
        <v>32</v>
      </c>
      <c r="I74" t="s">
        <v>66</v>
      </c>
      <c r="J74" t="s">
        <v>13</v>
      </c>
      <c r="K74">
        <v>2.9</v>
      </c>
      <c r="L74" t="s">
        <v>14</v>
      </c>
      <c r="M74" t="s">
        <v>62</v>
      </c>
      <c r="N74" t="s">
        <v>14</v>
      </c>
      <c r="O74">
        <v>21</v>
      </c>
      <c r="P74" t="s">
        <v>63</v>
      </c>
      <c r="Q74" t="s">
        <v>85</v>
      </c>
      <c r="R74" t="str" cm="1">
        <f t="array" ref="R74">_xlfn.IFS(B74&lt;31,"Young-Adult",B74&lt;41,"Adult",B74&lt;61,"Middle-aged",B74&gt;=61,"Senior")</f>
        <v>Young-Adult</v>
      </c>
      <c r="S74" cm="1">
        <f t="array" ref="S74">_xlfn.IFS(Q74 ="Fortnightly",14,Q74="Weekly",7,Q74="Monthly",30,Q74="Quarterly",90,Q74="Bi-Weekly",14,Q74="Annually",365,Q74="Every 3 Months",90,TRUE,"NOT FOUND")</f>
        <v>90</v>
      </c>
    </row>
    <row r="75" spans="1:19" x14ac:dyDescent="0.35">
      <c r="A75">
        <v>74</v>
      </c>
      <c r="B75">
        <v>48</v>
      </c>
      <c r="C75" t="s">
        <v>7</v>
      </c>
      <c r="D75" t="s">
        <v>83</v>
      </c>
      <c r="E75" t="s">
        <v>9</v>
      </c>
      <c r="F75">
        <v>85</v>
      </c>
      <c r="G75" t="s">
        <v>65</v>
      </c>
      <c r="H75" t="s">
        <v>32</v>
      </c>
      <c r="I75" t="s">
        <v>73</v>
      </c>
      <c r="J75" t="s">
        <v>25</v>
      </c>
      <c r="K75">
        <v>2.7</v>
      </c>
      <c r="L75" t="s">
        <v>14</v>
      </c>
      <c r="M75" t="s">
        <v>26</v>
      </c>
      <c r="N75" t="s">
        <v>14</v>
      </c>
      <c r="O75">
        <v>43</v>
      </c>
      <c r="P75" t="s">
        <v>63</v>
      </c>
      <c r="Q75" t="s">
        <v>64</v>
      </c>
      <c r="R75" t="str" cm="1">
        <f t="array" ref="R75">_xlfn.IFS(B75&lt;31,"Young-Adult",B75&lt;41,"Adult",B75&lt;61,"Middle-aged",B75&gt;=61,"Senior")</f>
        <v>Middle-aged</v>
      </c>
      <c r="S75" cm="1">
        <f t="array" ref="S75">_xlfn.IFS(Q75 ="Fortnightly",14,Q75="Weekly",7,Q75="Monthly",30,Q75="Quarterly",90,Q75="Bi-Weekly",14,Q75="Annually",365,Q75="Every 3 Months",90,TRUE,"NOT FOUND")</f>
        <v>14</v>
      </c>
    </row>
    <row r="76" spans="1:19" x14ac:dyDescent="0.35">
      <c r="A76">
        <v>75</v>
      </c>
      <c r="B76">
        <v>49</v>
      </c>
      <c r="C76" t="s">
        <v>7</v>
      </c>
      <c r="D76" t="s">
        <v>131</v>
      </c>
      <c r="E76" t="s">
        <v>55</v>
      </c>
      <c r="F76">
        <v>58</v>
      </c>
      <c r="G76" t="s">
        <v>104</v>
      </c>
      <c r="H76" t="s">
        <v>11</v>
      </c>
      <c r="I76" t="s">
        <v>71</v>
      </c>
      <c r="J76" t="s">
        <v>25</v>
      </c>
      <c r="K76">
        <v>4.5</v>
      </c>
      <c r="L76" t="s">
        <v>14</v>
      </c>
      <c r="M76" t="s">
        <v>15</v>
      </c>
      <c r="N76" t="s">
        <v>14</v>
      </c>
      <c r="O76">
        <v>3</v>
      </c>
      <c r="P76" t="s">
        <v>21</v>
      </c>
      <c r="Q76" t="s">
        <v>76</v>
      </c>
      <c r="R76" t="str" cm="1">
        <f t="array" ref="R76">_xlfn.IFS(B76&lt;31,"Young-Adult",B76&lt;41,"Adult",B76&lt;61,"Middle-aged",B76&gt;=61,"Senior")</f>
        <v>Middle-aged</v>
      </c>
      <c r="S76" cm="1">
        <f t="array" ref="S76">_xlfn.IFS(Q76 ="Fortnightly",14,Q76="Weekly",7,Q76="Monthly",30,Q76="Quarterly",90,Q76="Bi-Weekly",14,Q76="Annually",365,Q76="Every 3 Months",90,TRUE,"NOT FOUND")</f>
        <v>30</v>
      </c>
    </row>
    <row r="77" spans="1:19" x14ac:dyDescent="0.35">
      <c r="A77">
        <v>76</v>
      </c>
      <c r="B77">
        <v>64</v>
      </c>
      <c r="C77" t="s">
        <v>7</v>
      </c>
      <c r="D77" t="s">
        <v>107</v>
      </c>
      <c r="E77" t="s">
        <v>55</v>
      </c>
      <c r="F77">
        <v>85</v>
      </c>
      <c r="G77" t="s">
        <v>128</v>
      </c>
      <c r="H77" t="s">
        <v>32</v>
      </c>
      <c r="I77" t="s">
        <v>132</v>
      </c>
      <c r="J77" t="s">
        <v>41</v>
      </c>
      <c r="K77">
        <v>2.7</v>
      </c>
      <c r="L77" t="s">
        <v>14</v>
      </c>
      <c r="M77" t="s">
        <v>26</v>
      </c>
      <c r="N77" t="s">
        <v>14</v>
      </c>
      <c r="O77">
        <v>21</v>
      </c>
      <c r="P77" t="s">
        <v>27</v>
      </c>
      <c r="Q77" t="s">
        <v>37</v>
      </c>
      <c r="R77" t="str" cm="1">
        <f t="array" ref="R77">_xlfn.IFS(B77&lt;31,"Young-Adult",B77&lt;41,"Adult",B77&lt;61,"Middle-aged",B77&gt;=61,"Senior")</f>
        <v>Senior</v>
      </c>
      <c r="S77" cm="1">
        <f t="array" ref="S77">_xlfn.IFS(Q77 ="Fortnightly",14,Q77="Weekly",7,Q77="Monthly",30,Q77="Quarterly",90,Q77="Bi-Weekly",14,Q77="Annually",365,Q77="Every 3 Months",90,TRUE,"NOT FOUND")</f>
        <v>365</v>
      </c>
    </row>
    <row r="78" spans="1:19" x14ac:dyDescent="0.35">
      <c r="A78">
        <v>77</v>
      </c>
      <c r="B78">
        <v>50</v>
      </c>
      <c r="C78" t="s">
        <v>7</v>
      </c>
      <c r="D78" t="s">
        <v>112</v>
      </c>
      <c r="E78" t="s">
        <v>55</v>
      </c>
      <c r="F78">
        <v>43</v>
      </c>
      <c r="G78" t="s">
        <v>67</v>
      </c>
      <c r="H78" t="s">
        <v>24</v>
      </c>
      <c r="I78" t="s">
        <v>73</v>
      </c>
      <c r="J78" t="s">
        <v>41</v>
      </c>
      <c r="K78">
        <v>4.2</v>
      </c>
      <c r="L78" t="s">
        <v>14</v>
      </c>
      <c r="M78" t="s">
        <v>26</v>
      </c>
      <c r="N78" t="s">
        <v>14</v>
      </c>
      <c r="O78">
        <v>32</v>
      </c>
      <c r="P78" t="s">
        <v>16</v>
      </c>
      <c r="Q78" t="s">
        <v>76</v>
      </c>
      <c r="R78" t="str" cm="1">
        <f t="array" ref="R78">_xlfn.IFS(B78&lt;31,"Young-Adult",B78&lt;41,"Adult",B78&lt;61,"Middle-aged",B78&gt;=61,"Senior")</f>
        <v>Middle-aged</v>
      </c>
      <c r="S78" cm="1">
        <f t="array" ref="S78">_xlfn.IFS(Q78 ="Fortnightly",14,Q78="Weekly",7,Q78="Monthly",30,Q78="Quarterly",90,Q78="Bi-Weekly",14,Q78="Annually",365,Q78="Every 3 Months",90,TRUE,"NOT FOUND")</f>
        <v>30</v>
      </c>
    </row>
    <row r="79" spans="1:19" x14ac:dyDescent="0.35">
      <c r="A79">
        <v>78</v>
      </c>
      <c r="B79">
        <v>22</v>
      </c>
      <c r="C79" t="s">
        <v>7</v>
      </c>
      <c r="D79" t="s">
        <v>69</v>
      </c>
      <c r="E79" t="s">
        <v>9</v>
      </c>
      <c r="F79">
        <v>53</v>
      </c>
      <c r="G79" t="s">
        <v>67</v>
      </c>
      <c r="H79" t="s">
        <v>11</v>
      </c>
      <c r="I79" t="s">
        <v>68</v>
      </c>
      <c r="J79" t="s">
        <v>41</v>
      </c>
      <c r="K79">
        <v>3.3</v>
      </c>
      <c r="L79" t="s">
        <v>14</v>
      </c>
      <c r="M79" t="s">
        <v>33</v>
      </c>
      <c r="N79" t="s">
        <v>14</v>
      </c>
      <c r="O79">
        <v>36</v>
      </c>
      <c r="P79" t="s">
        <v>74</v>
      </c>
      <c r="Q79" t="s">
        <v>17</v>
      </c>
      <c r="R79" t="str" cm="1">
        <f t="array" ref="R79">_xlfn.IFS(B79&lt;31,"Young-Adult",B79&lt;41,"Adult",B79&lt;61,"Middle-aged",B79&gt;=61,"Senior")</f>
        <v>Young-Adult</v>
      </c>
      <c r="S79" cm="1">
        <f t="array" ref="S79">_xlfn.IFS(Q79 ="Fortnightly",14,Q79="Weekly",7,Q79="Monthly",30,Q79="Quarterly",90,Q79="Bi-Weekly",14,Q79="Annually",365,Q79="Every 3 Months",90,TRUE,"NOT FOUND")</f>
        <v>14</v>
      </c>
    </row>
    <row r="80" spans="1:19" x14ac:dyDescent="0.35">
      <c r="A80">
        <v>79</v>
      </c>
      <c r="B80">
        <v>50</v>
      </c>
      <c r="C80" t="s">
        <v>7</v>
      </c>
      <c r="D80" t="s">
        <v>75</v>
      </c>
      <c r="E80" t="s">
        <v>9</v>
      </c>
      <c r="F80">
        <v>91</v>
      </c>
      <c r="G80" t="s">
        <v>133</v>
      </c>
      <c r="H80" t="s">
        <v>32</v>
      </c>
      <c r="I80" t="s">
        <v>20</v>
      </c>
      <c r="J80" t="s">
        <v>25</v>
      </c>
      <c r="K80">
        <v>4.7</v>
      </c>
      <c r="L80" t="s">
        <v>14</v>
      </c>
      <c r="M80" t="s">
        <v>26</v>
      </c>
      <c r="N80" t="s">
        <v>14</v>
      </c>
      <c r="O80">
        <v>50</v>
      </c>
      <c r="P80" t="s">
        <v>16</v>
      </c>
      <c r="Q80" t="s">
        <v>17</v>
      </c>
      <c r="R80" t="str" cm="1">
        <f t="array" ref="R80">_xlfn.IFS(B80&lt;31,"Young-Adult",B80&lt;41,"Adult",B80&lt;61,"Middle-aged",B80&gt;=61,"Senior")</f>
        <v>Middle-aged</v>
      </c>
      <c r="S80" cm="1">
        <f t="array" ref="S80">_xlfn.IFS(Q80 ="Fortnightly",14,Q80="Weekly",7,Q80="Monthly",30,Q80="Quarterly",90,Q80="Bi-Weekly",14,Q80="Annually",365,Q80="Every 3 Months",90,TRUE,"NOT FOUND")</f>
        <v>14</v>
      </c>
    </row>
    <row r="81" spans="1:19" x14ac:dyDescent="0.35">
      <c r="A81">
        <v>80</v>
      </c>
      <c r="B81">
        <v>38</v>
      </c>
      <c r="C81" t="s">
        <v>7</v>
      </c>
      <c r="D81" t="s">
        <v>90</v>
      </c>
      <c r="E81" t="s">
        <v>51</v>
      </c>
      <c r="F81">
        <v>96</v>
      </c>
      <c r="G81" t="s">
        <v>134</v>
      </c>
      <c r="H81" t="s">
        <v>32</v>
      </c>
      <c r="I81" t="s">
        <v>66</v>
      </c>
      <c r="J81" t="s">
        <v>13</v>
      </c>
      <c r="K81">
        <v>2.6</v>
      </c>
      <c r="L81" t="s">
        <v>14</v>
      </c>
      <c r="M81" t="s">
        <v>58</v>
      </c>
      <c r="N81" t="s">
        <v>14</v>
      </c>
      <c r="O81">
        <v>43</v>
      </c>
      <c r="P81" t="s">
        <v>63</v>
      </c>
      <c r="Q81" t="s">
        <v>85</v>
      </c>
      <c r="R81" t="str" cm="1">
        <f t="array" ref="R81">_xlfn.IFS(B81&lt;31,"Young-Adult",B81&lt;41,"Adult",B81&lt;61,"Middle-aged",B81&gt;=61,"Senior")</f>
        <v>Adult</v>
      </c>
      <c r="S81" cm="1">
        <f t="array" ref="S81">_xlfn.IFS(Q81 ="Fortnightly",14,Q81="Weekly",7,Q81="Monthly",30,Q81="Quarterly",90,Q81="Bi-Weekly",14,Q81="Annually",365,Q81="Every 3 Months",90,TRUE,"NOT FOUND")</f>
        <v>90</v>
      </c>
    </row>
    <row r="82" spans="1:19" x14ac:dyDescent="0.35">
      <c r="A82">
        <v>81</v>
      </c>
      <c r="B82">
        <v>19</v>
      </c>
      <c r="C82" t="s">
        <v>7</v>
      </c>
      <c r="D82" t="s">
        <v>29</v>
      </c>
      <c r="E82" t="s">
        <v>30</v>
      </c>
      <c r="F82">
        <v>72</v>
      </c>
      <c r="G82" t="s">
        <v>72</v>
      </c>
      <c r="H82" t="s">
        <v>80</v>
      </c>
      <c r="I82" t="s">
        <v>132</v>
      </c>
      <c r="J82" t="s">
        <v>41</v>
      </c>
      <c r="K82">
        <v>3.8</v>
      </c>
      <c r="L82" t="s">
        <v>14</v>
      </c>
      <c r="M82" t="s">
        <v>62</v>
      </c>
      <c r="N82" t="s">
        <v>14</v>
      </c>
      <c r="O82">
        <v>24</v>
      </c>
      <c r="P82" t="s">
        <v>27</v>
      </c>
      <c r="Q82" t="s">
        <v>85</v>
      </c>
      <c r="R82" t="str" cm="1">
        <f t="array" ref="R82">_xlfn.IFS(B82&lt;31,"Young-Adult",B82&lt;41,"Adult",B82&lt;61,"Middle-aged",B82&gt;=61,"Senior")</f>
        <v>Young-Adult</v>
      </c>
      <c r="S82" cm="1">
        <f t="array" ref="S82">_xlfn.IFS(Q82 ="Fortnightly",14,Q82="Weekly",7,Q82="Monthly",30,Q82="Quarterly",90,Q82="Bi-Weekly",14,Q82="Annually",365,Q82="Every 3 Months",90,TRUE,"NOT FOUND")</f>
        <v>90</v>
      </c>
    </row>
    <row r="83" spans="1:19" x14ac:dyDescent="0.35">
      <c r="A83">
        <v>82</v>
      </c>
      <c r="B83">
        <v>67</v>
      </c>
      <c r="C83" t="s">
        <v>7</v>
      </c>
      <c r="D83" t="s">
        <v>59</v>
      </c>
      <c r="E83" t="s">
        <v>30</v>
      </c>
      <c r="F83">
        <v>96</v>
      </c>
      <c r="G83" t="s">
        <v>129</v>
      </c>
      <c r="H83" t="s">
        <v>11</v>
      </c>
      <c r="I83" t="s">
        <v>20</v>
      </c>
      <c r="J83" t="s">
        <v>41</v>
      </c>
      <c r="K83">
        <v>2.6</v>
      </c>
      <c r="L83" t="s">
        <v>14</v>
      </c>
      <c r="M83" t="s">
        <v>15</v>
      </c>
      <c r="N83" t="s">
        <v>14</v>
      </c>
      <c r="O83">
        <v>36</v>
      </c>
      <c r="P83" t="s">
        <v>27</v>
      </c>
      <c r="Q83" t="s">
        <v>85</v>
      </c>
      <c r="R83" t="str" cm="1">
        <f t="array" ref="R83">_xlfn.IFS(B83&lt;31,"Young-Adult",B83&lt;41,"Adult",B83&lt;61,"Middle-aged",B83&gt;=61,"Senior")</f>
        <v>Senior</v>
      </c>
      <c r="S83" cm="1">
        <f t="array" ref="S83">_xlfn.IFS(Q83 ="Fortnightly",14,Q83="Weekly",7,Q83="Monthly",30,Q83="Quarterly",90,Q83="Bi-Weekly",14,Q83="Annually",365,Q83="Every 3 Months",90,TRUE,"NOT FOUND")</f>
        <v>90</v>
      </c>
    </row>
    <row r="84" spans="1:19" x14ac:dyDescent="0.35">
      <c r="A84">
        <v>83</v>
      </c>
      <c r="B84">
        <v>19</v>
      </c>
      <c r="C84" t="s">
        <v>7</v>
      </c>
      <c r="D84" t="s">
        <v>83</v>
      </c>
      <c r="E84" t="s">
        <v>9</v>
      </c>
      <c r="F84">
        <v>28</v>
      </c>
      <c r="G84" t="s">
        <v>130</v>
      </c>
      <c r="H84" t="s">
        <v>24</v>
      </c>
      <c r="I84" t="s">
        <v>66</v>
      </c>
      <c r="J84" t="s">
        <v>25</v>
      </c>
      <c r="K84">
        <v>4</v>
      </c>
      <c r="L84" t="s">
        <v>14</v>
      </c>
      <c r="M84" t="s">
        <v>58</v>
      </c>
      <c r="N84" t="s">
        <v>14</v>
      </c>
      <c r="O84">
        <v>21</v>
      </c>
      <c r="P84" t="s">
        <v>27</v>
      </c>
      <c r="Q84" t="s">
        <v>85</v>
      </c>
      <c r="R84" t="str" cm="1">
        <f t="array" ref="R84">_xlfn.IFS(B84&lt;31,"Young-Adult",B84&lt;41,"Adult",B84&lt;61,"Middle-aged",B84&gt;=61,"Senior")</f>
        <v>Young-Adult</v>
      </c>
      <c r="S84" cm="1">
        <f t="array" ref="S84">_xlfn.IFS(Q84 ="Fortnightly",14,Q84="Weekly",7,Q84="Monthly",30,Q84="Quarterly",90,Q84="Bi-Weekly",14,Q84="Annually",365,Q84="Every 3 Months",90,TRUE,"NOT FOUND")</f>
        <v>90</v>
      </c>
    </row>
    <row r="85" spans="1:19" x14ac:dyDescent="0.35">
      <c r="A85">
        <v>84</v>
      </c>
      <c r="B85">
        <v>36</v>
      </c>
      <c r="C85" t="s">
        <v>7</v>
      </c>
      <c r="D85" t="s">
        <v>69</v>
      </c>
      <c r="E85" t="s">
        <v>9</v>
      </c>
      <c r="F85">
        <v>40</v>
      </c>
      <c r="G85" t="s">
        <v>93</v>
      </c>
      <c r="H85" t="s">
        <v>32</v>
      </c>
      <c r="I85" t="s">
        <v>36</v>
      </c>
      <c r="J85" t="s">
        <v>41</v>
      </c>
      <c r="K85">
        <v>4.0999999999999996</v>
      </c>
      <c r="L85" t="s">
        <v>14</v>
      </c>
      <c r="M85" t="s">
        <v>42</v>
      </c>
      <c r="N85" t="s">
        <v>14</v>
      </c>
      <c r="O85">
        <v>34</v>
      </c>
      <c r="P85" t="s">
        <v>63</v>
      </c>
      <c r="Q85" t="s">
        <v>28</v>
      </c>
      <c r="R85" t="str" cm="1">
        <f t="array" ref="R85">_xlfn.IFS(B85&lt;31,"Young-Adult",B85&lt;41,"Adult",B85&lt;61,"Middle-aged",B85&gt;=61,"Senior")</f>
        <v>Adult</v>
      </c>
      <c r="S85" cm="1">
        <f t="array" ref="S85">_xlfn.IFS(Q85 ="Fortnightly",14,Q85="Weekly",7,Q85="Monthly",30,Q85="Quarterly",90,Q85="Bi-Weekly",14,Q85="Annually",365,Q85="Every 3 Months",90,TRUE,"NOT FOUND")</f>
        <v>7</v>
      </c>
    </row>
    <row r="86" spans="1:19" x14ac:dyDescent="0.35">
      <c r="A86">
        <v>85</v>
      </c>
      <c r="B86">
        <v>52</v>
      </c>
      <c r="C86" t="s">
        <v>7</v>
      </c>
      <c r="D86" t="s">
        <v>50</v>
      </c>
      <c r="E86" t="s">
        <v>51</v>
      </c>
      <c r="F86">
        <v>32</v>
      </c>
      <c r="G86" t="s">
        <v>105</v>
      </c>
      <c r="H86" t="s">
        <v>24</v>
      </c>
      <c r="I86" t="s">
        <v>88</v>
      </c>
      <c r="J86" t="s">
        <v>25</v>
      </c>
      <c r="K86">
        <v>4.4000000000000004</v>
      </c>
      <c r="L86" t="s">
        <v>14</v>
      </c>
      <c r="M86" t="s">
        <v>42</v>
      </c>
      <c r="N86" t="s">
        <v>14</v>
      </c>
      <c r="O86">
        <v>42</v>
      </c>
      <c r="P86" t="s">
        <v>63</v>
      </c>
      <c r="Q86" t="s">
        <v>85</v>
      </c>
      <c r="R86" t="str" cm="1">
        <f t="array" ref="R86">_xlfn.IFS(B86&lt;31,"Young-Adult",B86&lt;41,"Adult",B86&lt;61,"Middle-aged",B86&gt;=61,"Senior")</f>
        <v>Middle-aged</v>
      </c>
      <c r="S86" cm="1">
        <f t="array" ref="S86">_xlfn.IFS(Q86 ="Fortnightly",14,Q86="Weekly",7,Q86="Monthly",30,Q86="Quarterly",90,Q86="Bi-Weekly",14,Q86="Annually",365,Q86="Every 3 Months",90,TRUE,"NOT FOUND")</f>
        <v>90</v>
      </c>
    </row>
    <row r="87" spans="1:19" x14ac:dyDescent="0.35">
      <c r="A87">
        <v>86</v>
      </c>
      <c r="B87">
        <v>53</v>
      </c>
      <c r="C87" t="s">
        <v>7</v>
      </c>
      <c r="D87" t="s">
        <v>77</v>
      </c>
      <c r="E87" t="s">
        <v>55</v>
      </c>
      <c r="F87">
        <v>95</v>
      </c>
      <c r="G87" t="s">
        <v>118</v>
      </c>
      <c r="H87" t="s">
        <v>32</v>
      </c>
      <c r="I87" t="s">
        <v>49</v>
      </c>
      <c r="J87" t="s">
        <v>13</v>
      </c>
      <c r="K87">
        <v>4.5</v>
      </c>
      <c r="L87" t="s">
        <v>14</v>
      </c>
      <c r="M87" t="s">
        <v>33</v>
      </c>
      <c r="N87" t="s">
        <v>14</v>
      </c>
      <c r="O87">
        <v>2</v>
      </c>
      <c r="P87" t="s">
        <v>74</v>
      </c>
      <c r="Q87" t="s">
        <v>64</v>
      </c>
      <c r="R87" t="str" cm="1">
        <f t="array" ref="R87">_xlfn.IFS(B87&lt;31,"Young-Adult",B87&lt;41,"Adult",B87&lt;61,"Middle-aged",B87&gt;=61,"Senior")</f>
        <v>Middle-aged</v>
      </c>
      <c r="S87" cm="1">
        <f t="array" ref="S87">_xlfn.IFS(Q87 ="Fortnightly",14,Q87="Weekly",7,Q87="Monthly",30,Q87="Quarterly",90,Q87="Bi-Weekly",14,Q87="Annually",365,Q87="Every 3 Months",90,TRUE,"NOT FOUND")</f>
        <v>14</v>
      </c>
    </row>
    <row r="88" spans="1:19" x14ac:dyDescent="0.35">
      <c r="A88">
        <v>87</v>
      </c>
      <c r="B88">
        <v>24</v>
      </c>
      <c r="C88" t="s">
        <v>7</v>
      </c>
      <c r="D88" t="s">
        <v>92</v>
      </c>
      <c r="E88" t="s">
        <v>9</v>
      </c>
      <c r="F88">
        <v>41</v>
      </c>
      <c r="G88" t="s">
        <v>95</v>
      </c>
      <c r="H88" t="s">
        <v>11</v>
      </c>
      <c r="I88" t="s">
        <v>57</v>
      </c>
      <c r="J88" t="s">
        <v>25</v>
      </c>
      <c r="K88">
        <v>3.7</v>
      </c>
      <c r="L88" t="s">
        <v>14</v>
      </c>
      <c r="M88" t="s">
        <v>58</v>
      </c>
      <c r="N88" t="s">
        <v>14</v>
      </c>
      <c r="O88">
        <v>47</v>
      </c>
      <c r="P88" t="s">
        <v>21</v>
      </c>
      <c r="Q88" t="s">
        <v>64</v>
      </c>
      <c r="R88" t="str" cm="1">
        <f t="array" ref="R88">_xlfn.IFS(B88&lt;31,"Young-Adult",B88&lt;41,"Adult",B88&lt;61,"Middle-aged",B88&gt;=61,"Senior")</f>
        <v>Young-Adult</v>
      </c>
      <c r="S88" cm="1">
        <f t="array" ref="S88">_xlfn.IFS(Q88 ="Fortnightly",14,Q88="Weekly",7,Q88="Monthly",30,Q88="Quarterly",90,Q88="Bi-Weekly",14,Q88="Annually",365,Q88="Every 3 Months",90,TRUE,"NOT FOUND")</f>
        <v>14</v>
      </c>
    </row>
    <row r="89" spans="1:19" x14ac:dyDescent="0.35">
      <c r="A89">
        <v>88</v>
      </c>
      <c r="B89">
        <v>52</v>
      </c>
      <c r="C89" t="s">
        <v>7</v>
      </c>
      <c r="D89" t="s">
        <v>59</v>
      </c>
      <c r="E89" t="s">
        <v>30</v>
      </c>
      <c r="F89">
        <v>53</v>
      </c>
      <c r="G89" t="s">
        <v>111</v>
      </c>
      <c r="H89" t="s">
        <v>32</v>
      </c>
      <c r="I89" t="s">
        <v>84</v>
      </c>
      <c r="J89" t="s">
        <v>45</v>
      </c>
      <c r="K89">
        <v>3.7</v>
      </c>
      <c r="L89" t="s">
        <v>14</v>
      </c>
      <c r="M89" t="s">
        <v>58</v>
      </c>
      <c r="N89" t="s">
        <v>14</v>
      </c>
      <c r="O89">
        <v>44</v>
      </c>
      <c r="P89" t="s">
        <v>74</v>
      </c>
      <c r="Q89" t="s">
        <v>17</v>
      </c>
      <c r="R89" t="str" cm="1">
        <f t="array" ref="R89">_xlfn.IFS(B89&lt;31,"Young-Adult",B89&lt;41,"Adult",B89&lt;61,"Middle-aged",B89&gt;=61,"Senior")</f>
        <v>Middle-aged</v>
      </c>
      <c r="S89" cm="1">
        <f t="array" ref="S89">_xlfn.IFS(Q89 ="Fortnightly",14,Q89="Weekly",7,Q89="Monthly",30,Q89="Quarterly",90,Q89="Bi-Weekly",14,Q89="Annually",365,Q89="Every 3 Months",90,TRUE,"NOT FOUND")</f>
        <v>14</v>
      </c>
    </row>
    <row r="90" spans="1:19" x14ac:dyDescent="0.35">
      <c r="A90">
        <v>89</v>
      </c>
      <c r="B90">
        <v>33</v>
      </c>
      <c r="C90" t="s">
        <v>7</v>
      </c>
      <c r="D90" t="s">
        <v>101</v>
      </c>
      <c r="E90" t="s">
        <v>9</v>
      </c>
      <c r="F90">
        <v>47</v>
      </c>
      <c r="G90" t="s">
        <v>39</v>
      </c>
      <c r="H90" t="s">
        <v>32</v>
      </c>
      <c r="I90" t="s">
        <v>109</v>
      </c>
      <c r="J90" t="s">
        <v>45</v>
      </c>
      <c r="K90">
        <v>3.5</v>
      </c>
      <c r="L90" t="s">
        <v>14</v>
      </c>
      <c r="M90" t="s">
        <v>26</v>
      </c>
      <c r="N90" t="s">
        <v>14</v>
      </c>
      <c r="O90">
        <v>35</v>
      </c>
      <c r="P90" t="s">
        <v>27</v>
      </c>
      <c r="Q90" t="s">
        <v>76</v>
      </c>
      <c r="R90" t="str" cm="1">
        <f t="array" ref="R90">_xlfn.IFS(B90&lt;31,"Young-Adult",B90&lt;41,"Adult",B90&lt;61,"Middle-aged",B90&gt;=61,"Senior")</f>
        <v>Adult</v>
      </c>
      <c r="S90" cm="1">
        <f t="array" ref="S90">_xlfn.IFS(Q90 ="Fortnightly",14,Q90="Weekly",7,Q90="Monthly",30,Q90="Quarterly",90,Q90="Bi-Weekly",14,Q90="Annually",365,Q90="Every 3 Months",90,TRUE,"NOT FOUND")</f>
        <v>30</v>
      </c>
    </row>
    <row r="91" spans="1:19" x14ac:dyDescent="0.35">
      <c r="A91">
        <v>90</v>
      </c>
      <c r="B91">
        <v>47</v>
      </c>
      <c r="C91" t="s">
        <v>7</v>
      </c>
      <c r="D91" t="s">
        <v>90</v>
      </c>
      <c r="E91" t="s">
        <v>51</v>
      </c>
      <c r="F91">
        <v>83</v>
      </c>
      <c r="G91" t="s">
        <v>87</v>
      </c>
      <c r="H91" t="s">
        <v>80</v>
      </c>
      <c r="I91" t="s">
        <v>57</v>
      </c>
      <c r="J91" t="s">
        <v>45</v>
      </c>
      <c r="K91">
        <v>3.6</v>
      </c>
      <c r="L91" t="s">
        <v>14</v>
      </c>
      <c r="M91" t="s">
        <v>33</v>
      </c>
      <c r="N91" t="s">
        <v>14</v>
      </c>
      <c r="O91">
        <v>15</v>
      </c>
      <c r="P91" t="s">
        <v>21</v>
      </c>
      <c r="Q91" t="s">
        <v>46</v>
      </c>
      <c r="R91" t="str" cm="1">
        <f t="array" ref="R91">_xlfn.IFS(B91&lt;31,"Young-Adult",B91&lt;41,"Adult",B91&lt;61,"Middle-aged",B91&gt;=61,"Senior")</f>
        <v>Middle-aged</v>
      </c>
      <c r="S91" cm="1">
        <f t="array" ref="S91">_xlfn.IFS(Q91 ="Fortnightly",14,Q91="Weekly",7,Q91="Monthly",30,Q91="Quarterly",90,Q91="Bi-Weekly",14,Q91="Annually",365,Q91="Every 3 Months",90,TRUE,"NOT FOUND")</f>
        <v>90</v>
      </c>
    </row>
    <row r="92" spans="1:19" x14ac:dyDescent="0.35">
      <c r="A92">
        <v>91</v>
      </c>
      <c r="B92">
        <v>25</v>
      </c>
      <c r="C92" t="s">
        <v>7</v>
      </c>
      <c r="D92" t="s">
        <v>112</v>
      </c>
      <c r="E92" t="s">
        <v>55</v>
      </c>
      <c r="F92">
        <v>48</v>
      </c>
      <c r="G92" t="s">
        <v>119</v>
      </c>
      <c r="H92" t="s">
        <v>11</v>
      </c>
      <c r="I92" t="s">
        <v>71</v>
      </c>
      <c r="J92" t="s">
        <v>41</v>
      </c>
      <c r="K92">
        <v>2.9</v>
      </c>
      <c r="L92" t="s">
        <v>14</v>
      </c>
      <c r="M92" t="s">
        <v>15</v>
      </c>
      <c r="N92" t="s">
        <v>14</v>
      </c>
      <c r="O92">
        <v>29</v>
      </c>
      <c r="P92" t="s">
        <v>27</v>
      </c>
      <c r="Q92" t="s">
        <v>76</v>
      </c>
      <c r="R92" t="str" cm="1">
        <f t="array" ref="R92">_xlfn.IFS(B92&lt;31,"Young-Adult",B92&lt;41,"Adult",B92&lt;61,"Middle-aged",B92&gt;=61,"Senior")</f>
        <v>Young-Adult</v>
      </c>
      <c r="S92" cm="1">
        <f t="array" ref="S92">_xlfn.IFS(Q92 ="Fortnightly",14,Q92="Weekly",7,Q92="Monthly",30,Q92="Quarterly",90,Q92="Bi-Weekly",14,Q92="Annually",365,Q92="Every 3 Months",90,TRUE,"NOT FOUND")</f>
        <v>30</v>
      </c>
    </row>
    <row r="93" spans="1:19" x14ac:dyDescent="0.35">
      <c r="A93">
        <v>92</v>
      </c>
      <c r="B93">
        <v>44</v>
      </c>
      <c r="C93" t="s">
        <v>7</v>
      </c>
      <c r="D93" t="s">
        <v>107</v>
      </c>
      <c r="E93" t="s">
        <v>55</v>
      </c>
      <c r="F93">
        <v>99</v>
      </c>
      <c r="G93" t="s">
        <v>119</v>
      </c>
      <c r="H93" t="s">
        <v>24</v>
      </c>
      <c r="I93" t="s">
        <v>84</v>
      </c>
      <c r="J93" t="s">
        <v>13</v>
      </c>
      <c r="K93">
        <v>4.5999999999999996</v>
      </c>
      <c r="L93" t="s">
        <v>14</v>
      </c>
      <c r="M93" t="s">
        <v>42</v>
      </c>
      <c r="N93" t="s">
        <v>14</v>
      </c>
      <c r="O93">
        <v>18</v>
      </c>
      <c r="P93" t="s">
        <v>27</v>
      </c>
      <c r="Q93" t="s">
        <v>85</v>
      </c>
      <c r="R93" t="str" cm="1">
        <f t="array" ref="R93">_xlfn.IFS(B93&lt;31,"Young-Adult",B93&lt;41,"Adult",B93&lt;61,"Middle-aged",B93&gt;=61,"Senior")</f>
        <v>Middle-aged</v>
      </c>
      <c r="S93" cm="1">
        <f t="array" ref="S93">_xlfn.IFS(Q93 ="Fortnightly",14,Q93="Weekly",7,Q93="Monthly",30,Q93="Quarterly",90,Q93="Bi-Weekly",14,Q93="Annually",365,Q93="Every 3 Months",90,TRUE,"NOT FOUND")</f>
        <v>90</v>
      </c>
    </row>
    <row r="94" spans="1:19" x14ac:dyDescent="0.35">
      <c r="A94">
        <v>93</v>
      </c>
      <c r="B94">
        <v>61</v>
      </c>
      <c r="C94" t="s">
        <v>7</v>
      </c>
      <c r="D94" t="s">
        <v>90</v>
      </c>
      <c r="E94" t="s">
        <v>51</v>
      </c>
      <c r="F94">
        <v>87</v>
      </c>
      <c r="G94" t="s">
        <v>93</v>
      </c>
      <c r="H94" t="s">
        <v>32</v>
      </c>
      <c r="I94" t="s">
        <v>66</v>
      </c>
      <c r="J94" t="s">
        <v>13</v>
      </c>
      <c r="K94">
        <v>4.4000000000000004</v>
      </c>
      <c r="L94" t="s">
        <v>14</v>
      </c>
      <c r="M94" t="s">
        <v>58</v>
      </c>
      <c r="N94" t="s">
        <v>14</v>
      </c>
      <c r="O94">
        <v>13</v>
      </c>
      <c r="P94" t="s">
        <v>16</v>
      </c>
      <c r="Q94" t="s">
        <v>85</v>
      </c>
      <c r="R94" t="str" cm="1">
        <f t="array" ref="R94">_xlfn.IFS(B94&lt;31,"Young-Adult",B94&lt;41,"Adult",B94&lt;61,"Middle-aged",B94&gt;=61,"Senior")</f>
        <v>Senior</v>
      </c>
      <c r="S94" cm="1">
        <f t="array" ref="S94">_xlfn.IFS(Q94 ="Fortnightly",14,Q94="Weekly",7,Q94="Monthly",30,Q94="Quarterly",90,Q94="Bi-Weekly",14,Q94="Annually",365,Q94="Every 3 Months",90,TRUE,"NOT FOUND")</f>
        <v>90</v>
      </c>
    </row>
    <row r="95" spans="1:19" x14ac:dyDescent="0.35">
      <c r="A95">
        <v>94</v>
      </c>
      <c r="B95">
        <v>37</v>
      </c>
      <c r="C95" t="s">
        <v>7</v>
      </c>
      <c r="D95" t="s">
        <v>18</v>
      </c>
      <c r="E95" t="s">
        <v>9</v>
      </c>
      <c r="F95">
        <v>62</v>
      </c>
      <c r="G95" t="s">
        <v>91</v>
      </c>
      <c r="H95" t="s">
        <v>32</v>
      </c>
      <c r="I95" t="s">
        <v>61</v>
      </c>
      <c r="J95" t="s">
        <v>45</v>
      </c>
      <c r="K95">
        <v>4.5</v>
      </c>
      <c r="L95" t="s">
        <v>14</v>
      </c>
      <c r="M95" t="s">
        <v>42</v>
      </c>
      <c r="N95" t="s">
        <v>14</v>
      </c>
      <c r="O95">
        <v>46</v>
      </c>
      <c r="P95" t="s">
        <v>27</v>
      </c>
      <c r="Q95" t="s">
        <v>28</v>
      </c>
      <c r="R95" t="str" cm="1">
        <f t="array" ref="R95">_xlfn.IFS(B95&lt;31,"Young-Adult",B95&lt;41,"Adult",B95&lt;61,"Middle-aged",B95&gt;=61,"Senior")</f>
        <v>Adult</v>
      </c>
      <c r="S95" cm="1">
        <f t="array" ref="S95">_xlfn.IFS(Q95 ="Fortnightly",14,Q95="Weekly",7,Q95="Monthly",30,Q95="Quarterly",90,Q95="Bi-Weekly",14,Q95="Annually",365,Q95="Every 3 Months",90,TRUE,"NOT FOUND")</f>
        <v>7</v>
      </c>
    </row>
    <row r="96" spans="1:19" x14ac:dyDescent="0.35">
      <c r="A96">
        <v>95</v>
      </c>
      <c r="B96">
        <v>58</v>
      </c>
      <c r="C96" t="s">
        <v>7</v>
      </c>
      <c r="D96" t="s">
        <v>75</v>
      </c>
      <c r="E96" t="s">
        <v>9</v>
      </c>
      <c r="F96">
        <v>76</v>
      </c>
      <c r="G96" t="s">
        <v>95</v>
      </c>
      <c r="H96" t="s">
        <v>24</v>
      </c>
      <c r="I96" t="s">
        <v>53</v>
      </c>
      <c r="J96" t="s">
        <v>25</v>
      </c>
      <c r="K96">
        <v>4.5999999999999996</v>
      </c>
      <c r="L96" t="s">
        <v>14</v>
      </c>
      <c r="M96" t="s">
        <v>26</v>
      </c>
      <c r="N96" t="s">
        <v>14</v>
      </c>
      <c r="O96">
        <v>28</v>
      </c>
      <c r="P96" t="s">
        <v>27</v>
      </c>
      <c r="Q96" t="s">
        <v>28</v>
      </c>
      <c r="R96" t="str" cm="1">
        <f t="array" ref="R96">_xlfn.IFS(B96&lt;31,"Young-Adult",B96&lt;41,"Adult",B96&lt;61,"Middle-aged",B96&gt;=61,"Senior")</f>
        <v>Middle-aged</v>
      </c>
      <c r="S96" cm="1">
        <f t="array" ref="S96">_xlfn.IFS(Q96 ="Fortnightly",14,Q96="Weekly",7,Q96="Monthly",30,Q96="Quarterly",90,Q96="Bi-Weekly",14,Q96="Annually",365,Q96="Every 3 Months",90,TRUE,"NOT FOUND")</f>
        <v>7</v>
      </c>
    </row>
    <row r="97" spans="1:19" x14ac:dyDescent="0.35">
      <c r="A97">
        <v>96</v>
      </c>
      <c r="B97">
        <v>37</v>
      </c>
      <c r="C97" t="s">
        <v>7</v>
      </c>
      <c r="D97" t="s">
        <v>38</v>
      </c>
      <c r="E97" t="s">
        <v>30</v>
      </c>
      <c r="F97">
        <v>100</v>
      </c>
      <c r="G97" t="s">
        <v>56</v>
      </c>
      <c r="H97" t="s">
        <v>11</v>
      </c>
      <c r="I97" t="s">
        <v>57</v>
      </c>
      <c r="J97" t="s">
        <v>45</v>
      </c>
      <c r="K97">
        <v>3.8</v>
      </c>
      <c r="L97" t="s">
        <v>14</v>
      </c>
      <c r="M97" t="s">
        <v>26</v>
      </c>
      <c r="N97" t="s">
        <v>14</v>
      </c>
      <c r="O97">
        <v>48</v>
      </c>
      <c r="P97" t="s">
        <v>34</v>
      </c>
      <c r="Q97" t="s">
        <v>76</v>
      </c>
      <c r="R97" t="str" cm="1">
        <f t="array" ref="R97">_xlfn.IFS(B97&lt;31,"Young-Adult",B97&lt;41,"Adult",B97&lt;61,"Middle-aged",B97&gt;=61,"Senior")</f>
        <v>Adult</v>
      </c>
      <c r="S97" cm="1">
        <f t="array" ref="S97">_xlfn.IFS(Q97 ="Fortnightly",14,Q97="Weekly",7,Q97="Monthly",30,Q97="Quarterly",90,Q97="Bi-Weekly",14,Q97="Annually",365,Q97="Every 3 Months",90,TRUE,"NOT FOUND")</f>
        <v>30</v>
      </c>
    </row>
    <row r="98" spans="1:19" x14ac:dyDescent="0.35">
      <c r="A98">
        <v>97</v>
      </c>
      <c r="B98">
        <v>32</v>
      </c>
      <c r="C98" t="s">
        <v>7</v>
      </c>
      <c r="D98" t="s">
        <v>131</v>
      </c>
      <c r="E98" t="s">
        <v>55</v>
      </c>
      <c r="F98">
        <v>73</v>
      </c>
      <c r="G98" t="s">
        <v>67</v>
      </c>
      <c r="H98" t="s">
        <v>24</v>
      </c>
      <c r="I98" t="s">
        <v>68</v>
      </c>
      <c r="J98" t="s">
        <v>25</v>
      </c>
      <c r="K98">
        <v>3.8</v>
      </c>
      <c r="L98" t="s">
        <v>14</v>
      </c>
      <c r="M98" t="s">
        <v>15</v>
      </c>
      <c r="N98" t="s">
        <v>14</v>
      </c>
      <c r="O98">
        <v>43</v>
      </c>
      <c r="P98" t="s">
        <v>16</v>
      </c>
      <c r="Q98" t="s">
        <v>85</v>
      </c>
      <c r="R98" t="str" cm="1">
        <f t="array" ref="R98">_xlfn.IFS(B98&lt;31,"Young-Adult",B98&lt;41,"Adult",B98&lt;61,"Middle-aged",B98&gt;=61,"Senior")</f>
        <v>Adult</v>
      </c>
      <c r="S98" cm="1">
        <f t="array" ref="S98">_xlfn.IFS(Q98 ="Fortnightly",14,Q98="Weekly",7,Q98="Monthly",30,Q98="Quarterly",90,Q98="Bi-Weekly",14,Q98="Annually",365,Q98="Every 3 Months",90,TRUE,"NOT FOUND")</f>
        <v>90</v>
      </c>
    </row>
    <row r="99" spans="1:19" x14ac:dyDescent="0.35">
      <c r="A99">
        <v>98</v>
      </c>
      <c r="B99">
        <v>21</v>
      </c>
      <c r="C99" t="s">
        <v>7</v>
      </c>
      <c r="D99" t="s">
        <v>59</v>
      </c>
      <c r="E99" t="s">
        <v>30</v>
      </c>
      <c r="F99">
        <v>92</v>
      </c>
      <c r="G99" t="s">
        <v>129</v>
      </c>
      <c r="H99" t="s">
        <v>32</v>
      </c>
      <c r="I99" t="s">
        <v>73</v>
      </c>
      <c r="J99" t="s">
        <v>13</v>
      </c>
      <c r="K99">
        <v>4.8</v>
      </c>
      <c r="L99" t="s">
        <v>14</v>
      </c>
      <c r="M99" t="s">
        <v>62</v>
      </c>
      <c r="N99" t="s">
        <v>14</v>
      </c>
      <c r="O99">
        <v>37</v>
      </c>
      <c r="P99" t="s">
        <v>21</v>
      </c>
      <c r="Q99" t="s">
        <v>37</v>
      </c>
      <c r="R99" t="str" cm="1">
        <f t="array" ref="R99">_xlfn.IFS(B99&lt;31,"Young-Adult",B99&lt;41,"Adult",B99&lt;61,"Middle-aged",B99&gt;=61,"Senior")</f>
        <v>Young-Adult</v>
      </c>
      <c r="S99" cm="1">
        <f t="array" ref="S99">_xlfn.IFS(Q99 ="Fortnightly",14,Q99="Weekly",7,Q99="Monthly",30,Q99="Quarterly",90,Q99="Bi-Weekly",14,Q99="Annually",365,Q99="Every 3 Months",90,TRUE,"NOT FOUND")</f>
        <v>365</v>
      </c>
    </row>
    <row r="100" spans="1:19" x14ac:dyDescent="0.35">
      <c r="A100">
        <v>99</v>
      </c>
      <c r="B100">
        <v>20</v>
      </c>
      <c r="C100" t="s">
        <v>7</v>
      </c>
      <c r="D100" t="s">
        <v>22</v>
      </c>
      <c r="E100" t="s">
        <v>9</v>
      </c>
      <c r="F100">
        <v>67</v>
      </c>
      <c r="G100" t="s">
        <v>72</v>
      </c>
      <c r="H100" t="s">
        <v>80</v>
      </c>
      <c r="I100" t="s">
        <v>73</v>
      </c>
      <c r="J100" t="s">
        <v>25</v>
      </c>
      <c r="K100">
        <v>2.6</v>
      </c>
      <c r="L100" t="s">
        <v>14</v>
      </c>
      <c r="M100" t="s">
        <v>33</v>
      </c>
      <c r="N100" t="s">
        <v>14</v>
      </c>
      <c r="O100">
        <v>20</v>
      </c>
      <c r="P100" t="s">
        <v>63</v>
      </c>
      <c r="Q100" t="s">
        <v>37</v>
      </c>
      <c r="R100" t="str" cm="1">
        <f t="array" ref="R100">_xlfn.IFS(B100&lt;31,"Young-Adult",B100&lt;41,"Adult",B100&lt;61,"Middle-aged",B100&gt;=61,"Senior")</f>
        <v>Young-Adult</v>
      </c>
      <c r="S100" cm="1">
        <f t="array" ref="S100">_xlfn.IFS(Q100 ="Fortnightly",14,Q100="Weekly",7,Q100="Monthly",30,Q100="Quarterly",90,Q100="Bi-Weekly",14,Q100="Annually",365,Q100="Every 3 Months",90,TRUE,"NOT FOUND")</f>
        <v>365</v>
      </c>
    </row>
    <row r="101" spans="1:19" x14ac:dyDescent="0.35">
      <c r="A101">
        <v>100</v>
      </c>
      <c r="B101">
        <v>26</v>
      </c>
      <c r="C101" t="s">
        <v>7</v>
      </c>
      <c r="D101" t="s">
        <v>92</v>
      </c>
      <c r="E101" t="s">
        <v>9</v>
      </c>
      <c r="F101">
        <v>40</v>
      </c>
      <c r="G101" t="s">
        <v>56</v>
      </c>
      <c r="H101" t="s">
        <v>80</v>
      </c>
      <c r="I101" t="s">
        <v>114</v>
      </c>
      <c r="J101" t="s">
        <v>41</v>
      </c>
      <c r="K101">
        <v>3.7</v>
      </c>
      <c r="L101" t="s">
        <v>14</v>
      </c>
      <c r="M101" t="s">
        <v>15</v>
      </c>
      <c r="N101" t="s">
        <v>14</v>
      </c>
      <c r="O101">
        <v>33</v>
      </c>
      <c r="P101" t="s">
        <v>74</v>
      </c>
      <c r="Q101" t="s">
        <v>46</v>
      </c>
      <c r="R101" t="str" cm="1">
        <f t="array" ref="R101">_xlfn.IFS(B101&lt;31,"Young-Adult",B101&lt;41,"Adult",B101&lt;61,"Middle-aged",B101&gt;=61,"Senior")</f>
        <v>Young-Adult</v>
      </c>
      <c r="S101" cm="1">
        <f t="array" ref="S101">_xlfn.IFS(Q101 ="Fortnightly",14,Q101="Weekly",7,Q101="Monthly",30,Q101="Quarterly",90,Q101="Bi-Weekly",14,Q101="Annually",365,Q101="Every 3 Months",90,TRUE,"NOT FOUND")</f>
        <v>90</v>
      </c>
    </row>
    <row r="102" spans="1:19" x14ac:dyDescent="0.35">
      <c r="A102">
        <v>101</v>
      </c>
      <c r="B102">
        <v>62</v>
      </c>
      <c r="C102" t="s">
        <v>7</v>
      </c>
      <c r="D102" t="s">
        <v>77</v>
      </c>
      <c r="E102" t="s">
        <v>55</v>
      </c>
      <c r="F102">
        <v>98</v>
      </c>
      <c r="G102" t="s">
        <v>135</v>
      </c>
      <c r="H102" t="s">
        <v>32</v>
      </c>
      <c r="I102" t="s">
        <v>20</v>
      </c>
      <c r="J102" t="s">
        <v>45</v>
      </c>
      <c r="K102">
        <v>2.7</v>
      </c>
      <c r="L102" t="s">
        <v>14</v>
      </c>
      <c r="M102" t="s">
        <v>15</v>
      </c>
      <c r="N102" t="s">
        <v>14</v>
      </c>
      <c r="O102">
        <v>31</v>
      </c>
      <c r="P102" t="s">
        <v>21</v>
      </c>
      <c r="Q102" t="s">
        <v>17</v>
      </c>
      <c r="R102" t="str" cm="1">
        <f t="array" ref="R102">_xlfn.IFS(B102&lt;31,"Young-Adult",B102&lt;41,"Adult",B102&lt;61,"Middle-aged",B102&gt;=61,"Senior")</f>
        <v>Senior</v>
      </c>
      <c r="S102" cm="1">
        <f t="array" ref="S102">_xlfn.IFS(Q102 ="Fortnightly",14,Q102="Weekly",7,Q102="Monthly",30,Q102="Quarterly",90,Q102="Bi-Weekly",14,Q102="Annually",365,Q102="Every 3 Months",90,TRUE,"NOT FOUND")</f>
        <v>14</v>
      </c>
    </row>
    <row r="103" spans="1:19" x14ac:dyDescent="0.35">
      <c r="A103">
        <v>102</v>
      </c>
      <c r="B103">
        <v>27</v>
      </c>
      <c r="C103" t="s">
        <v>7</v>
      </c>
      <c r="D103" t="s">
        <v>50</v>
      </c>
      <c r="E103" t="s">
        <v>51</v>
      </c>
      <c r="F103">
        <v>85</v>
      </c>
      <c r="G103" t="s">
        <v>102</v>
      </c>
      <c r="H103" t="s">
        <v>80</v>
      </c>
      <c r="I103" t="s">
        <v>40</v>
      </c>
      <c r="J103" t="s">
        <v>25</v>
      </c>
      <c r="K103">
        <v>4.5999999999999996</v>
      </c>
      <c r="L103" t="s">
        <v>14</v>
      </c>
      <c r="M103" t="s">
        <v>15</v>
      </c>
      <c r="N103" t="s">
        <v>14</v>
      </c>
      <c r="O103">
        <v>50</v>
      </c>
      <c r="P103" t="s">
        <v>27</v>
      </c>
      <c r="Q103" t="s">
        <v>64</v>
      </c>
      <c r="R103" t="str" cm="1">
        <f t="array" ref="R103">_xlfn.IFS(B103&lt;31,"Young-Adult",B103&lt;41,"Adult",B103&lt;61,"Middle-aged",B103&gt;=61,"Senior")</f>
        <v>Young-Adult</v>
      </c>
      <c r="S103" cm="1">
        <f t="array" ref="S103">_xlfn.IFS(Q103 ="Fortnightly",14,Q103="Weekly",7,Q103="Monthly",30,Q103="Quarterly",90,Q103="Bi-Weekly",14,Q103="Annually",365,Q103="Every 3 Months",90,TRUE,"NOT FOUND")</f>
        <v>14</v>
      </c>
    </row>
    <row r="104" spans="1:19" x14ac:dyDescent="0.35">
      <c r="A104">
        <v>103</v>
      </c>
      <c r="B104">
        <v>51</v>
      </c>
      <c r="C104" t="s">
        <v>7</v>
      </c>
      <c r="D104" t="s">
        <v>113</v>
      </c>
      <c r="E104" t="s">
        <v>9</v>
      </c>
      <c r="F104">
        <v>67</v>
      </c>
      <c r="G104" t="s">
        <v>89</v>
      </c>
      <c r="H104" t="s">
        <v>11</v>
      </c>
      <c r="I104" t="s">
        <v>71</v>
      </c>
      <c r="J104" t="s">
        <v>13</v>
      </c>
      <c r="K104">
        <v>4.8</v>
      </c>
      <c r="L104" t="s">
        <v>14</v>
      </c>
      <c r="M104" t="s">
        <v>33</v>
      </c>
      <c r="N104" t="s">
        <v>14</v>
      </c>
      <c r="O104">
        <v>35</v>
      </c>
      <c r="P104" t="s">
        <v>27</v>
      </c>
      <c r="Q104" t="s">
        <v>46</v>
      </c>
      <c r="R104" t="str" cm="1">
        <f t="array" ref="R104">_xlfn.IFS(B104&lt;31,"Young-Adult",B104&lt;41,"Adult",B104&lt;61,"Middle-aged",B104&gt;=61,"Senior")</f>
        <v>Middle-aged</v>
      </c>
      <c r="S104" cm="1">
        <f t="array" ref="S104">_xlfn.IFS(Q104 ="Fortnightly",14,Q104="Weekly",7,Q104="Monthly",30,Q104="Quarterly",90,Q104="Bi-Weekly",14,Q104="Annually",365,Q104="Every 3 Months",90,TRUE,"NOT FOUND")</f>
        <v>90</v>
      </c>
    </row>
    <row r="105" spans="1:19" x14ac:dyDescent="0.35">
      <c r="A105">
        <v>104</v>
      </c>
      <c r="B105">
        <v>54</v>
      </c>
      <c r="C105" t="s">
        <v>7</v>
      </c>
      <c r="D105" t="s">
        <v>125</v>
      </c>
      <c r="E105" t="s">
        <v>30</v>
      </c>
      <c r="F105">
        <v>89</v>
      </c>
      <c r="G105" t="s">
        <v>52</v>
      </c>
      <c r="H105" t="s">
        <v>11</v>
      </c>
      <c r="I105" t="s">
        <v>96</v>
      </c>
      <c r="J105" t="s">
        <v>13</v>
      </c>
      <c r="K105">
        <v>4</v>
      </c>
      <c r="L105" t="s">
        <v>14</v>
      </c>
      <c r="M105" t="s">
        <v>33</v>
      </c>
      <c r="N105" t="s">
        <v>14</v>
      </c>
      <c r="O105">
        <v>22</v>
      </c>
      <c r="P105" t="s">
        <v>16</v>
      </c>
      <c r="Q105" t="s">
        <v>64</v>
      </c>
      <c r="R105" t="str" cm="1">
        <f t="array" ref="R105">_xlfn.IFS(B105&lt;31,"Young-Adult",B105&lt;41,"Adult",B105&lt;61,"Middle-aged",B105&gt;=61,"Senior")</f>
        <v>Middle-aged</v>
      </c>
      <c r="S105" cm="1">
        <f t="array" ref="S105">_xlfn.IFS(Q105 ="Fortnightly",14,Q105="Weekly",7,Q105="Monthly",30,Q105="Quarterly",90,Q105="Bi-Weekly",14,Q105="Annually",365,Q105="Every 3 Months",90,TRUE,"NOT FOUND")</f>
        <v>14</v>
      </c>
    </row>
    <row r="106" spans="1:19" x14ac:dyDescent="0.35">
      <c r="A106">
        <v>105</v>
      </c>
      <c r="B106">
        <v>55</v>
      </c>
      <c r="C106" t="s">
        <v>7</v>
      </c>
      <c r="D106" t="s">
        <v>77</v>
      </c>
      <c r="E106" t="s">
        <v>55</v>
      </c>
      <c r="F106">
        <v>24</v>
      </c>
      <c r="G106" t="s">
        <v>70</v>
      </c>
      <c r="H106" t="s">
        <v>11</v>
      </c>
      <c r="I106" t="s">
        <v>57</v>
      </c>
      <c r="J106" t="s">
        <v>25</v>
      </c>
      <c r="K106">
        <v>4.4000000000000004</v>
      </c>
      <c r="L106" t="s">
        <v>14</v>
      </c>
      <c r="M106" t="s">
        <v>58</v>
      </c>
      <c r="N106" t="s">
        <v>14</v>
      </c>
      <c r="O106">
        <v>1</v>
      </c>
      <c r="P106" t="s">
        <v>34</v>
      </c>
      <c r="Q106" t="s">
        <v>76</v>
      </c>
      <c r="R106" t="str" cm="1">
        <f t="array" ref="R106">_xlfn.IFS(B106&lt;31,"Young-Adult",B106&lt;41,"Adult",B106&lt;61,"Middle-aged",B106&gt;=61,"Senior")</f>
        <v>Middle-aged</v>
      </c>
      <c r="S106" cm="1">
        <f t="array" ref="S106">_xlfn.IFS(Q106 ="Fortnightly",14,Q106="Weekly",7,Q106="Monthly",30,Q106="Quarterly",90,Q106="Bi-Weekly",14,Q106="Annually",365,Q106="Every 3 Months",90,TRUE,"NOT FOUND")</f>
        <v>30</v>
      </c>
    </row>
    <row r="107" spans="1:19" x14ac:dyDescent="0.35">
      <c r="A107">
        <v>106</v>
      </c>
      <c r="B107">
        <v>69</v>
      </c>
      <c r="C107" t="s">
        <v>7</v>
      </c>
      <c r="D107" t="s">
        <v>120</v>
      </c>
      <c r="E107" t="s">
        <v>55</v>
      </c>
      <c r="F107">
        <v>96</v>
      </c>
      <c r="G107" t="s">
        <v>72</v>
      </c>
      <c r="H107" t="s">
        <v>32</v>
      </c>
      <c r="I107" t="s">
        <v>49</v>
      </c>
      <c r="J107" t="s">
        <v>45</v>
      </c>
      <c r="K107">
        <v>3.6</v>
      </c>
      <c r="L107" t="s">
        <v>14</v>
      </c>
      <c r="M107" t="s">
        <v>33</v>
      </c>
      <c r="N107" t="s">
        <v>14</v>
      </c>
      <c r="O107">
        <v>4</v>
      </c>
      <c r="P107" t="s">
        <v>63</v>
      </c>
      <c r="Q107" t="s">
        <v>37</v>
      </c>
      <c r="R107" t="str" cm="1">
        <f t="array" ref="R107">_xlfn.IFS(B107&lt;31,"Young-Adult",B107&lt;41,"Adult",B107&lt;61,"Middle-aged",B107&gt;=61,"Senior")</f>
        <v>Senior</v>
      </c>
      <c r="S107" cm="1">
        <f t="array" ref="S107">_xlfn.IFS(Q107 ="Fortnightly",14,Q107="Weekly",7,Q107="Monthly",30,Q107="Quarterly",90,Q107="Bi-Weekly",14,Q107="Annually",365,Q107="Every 3 Months",90,TRUE,"NOT FOUND")</f>
        <v>365</v>
      </c>
    </row>
    <row r="108" spans="1:19" x14ac:dyDescent="0.35">
      <c r="A108">
        <v>107</v>
      </c>
      <c r="B108">
        <v>64</v>
      </c>
      <c r="C108" t="s">
        <v>7</v>
      </c>
      <c r="D108" t="s">
        <v>90</v>
      </c>
      <c r="E108" t="s">
        <v>51</v>
      </c>
      <c r="F108">
        <v>35</v>
      </c>
      <c r="G108" t="s">
        <v>136</v>
      </c>
      <c r="H108" t="s">
        <v>11</v>
      </c>
      <c r="I108" t="s">
        <v>40</v>
      </c>
      <c r="J108" t="s">
        <v>41</v>
      </c>
      <c r="K108">
        <v>3.7</v>
      </c>
      <c r="L108" t="s">
        <v>14</v>
      </c>
      <c r="M108" t="s">
        <v>42</v>
      </c>
      <c r="N108" t="s">
        <v>14</v>
      </c>
      <c r="O108">
        <v>31</v>
      </c>
      <c r="P108" t="s">
        <v>27</v>
      </c>
      <c r="Q108" t="s">
        <v>76</v>
      </c>
      <c r="R108" t="str" cm="1">
        <f t="array" ref="R108">_xlfn.IFS(B108&lt;31,"Young-Adult",B108&lt;41,"Adult",B108&lt;61,"Middle-aged",B108&gt;=61,"Senior")</f>
        <v>Senior</v>
      </c>
      <c r="S108" cm="1">
        <f t="array" ref="S108">_xlfn.IFS(Q108 ="Fortnightly",14,Q108="Weekly",7,Q108="Monthly",30,Q108="Quarterly",90,Q108="Bi-Weekly",14,Q108="Annually",365,Q108="Every 3 Months",90,TRUE,"NOT FOUND")</f>
        <v>30</v>
      </c>
    </row>
    <row r="109" spans="1:19" x14ac:dyDescent="0.35">
      <c r="A109">
        <v>108</v>
      </c>
      <c r="B109">
        <v>28</v>
      </c>
      <c r="C109" t="s">
        <v>7</v>
      </c>
      <c r="D109" t="s">
        <v>38</v>
      </c>
      <c r="E109" t="s">
        <v>30</v>
      </c>
      <c r="F109">
        <v>67</v>
      </c>
      <c r="G109" t="s">
        <v>116</v>
      </c>
      <c r="H109" t="s">
        <v>11</v>
      </c>
      <c r="I109" t="s">
        <v>66</v>
      </c>
      <c r="J109" t="s">
        <v>13</v>
      </c>
      <c r="K109">
        <v>3.1</v>
      </c>
      <c r="L109" t="s">
        <v>14</v>
      </c>
      <c r="M109" t="s">
        <v>33</v>
      </c>
      <c r="N109" t="s">
        <v>14</v>
      </c>
      <c r="O109">
        <v>46</v>
      </c>
      <c r="P109" t="s">
        <v>34</v>
      </c>
      <c r="Q109" t="s">
        <v>17</v>
      </c>
      <c r="R109" t="str" cm="1">
        <f t="array" ref="R109">_xlfn.IFS(B109&lt;31,"Young-Adult",B109&lt;41,"Adult",B109&lt;61,"Middle-aged",B109&gt;=61,"Senior")</f>
        <v>Young-Adult</v>
      </c>
      <c r="S109" cm="1">
        <f t="array" ref="S109">_xlfn.IFS(Q109 ="Fortnightly",14,Q109="Weekly",7,Q109="Monthly",30,Q109="Quarterly",90,Q109="Bi-Weekly",14,Q109="Annually",365,Q109="Every 3 Months",90,TRUE,"NOT FOUND")</f>
        <v>14</v>
      </c>
    </row>
    <row r="110" spans="1:19" x14ac:dyDescent="0.35">
      <c r="A110">
        <v>109</v>
      </c>
      <c r="B110">
        <v>70</v>
      </c>
      <c r="C110" t="s">
        <v>7</v>
      </c>
      <c r="D110" t="s">
        <v>113</v>
      </c>
      <c r="E110" t="s">
        <v>9</v>
      </c>
      <c r="F110">
        <v>79</v>
      </c>
      <c r="G110" t="s">
        <v>44</v>
      </c>
      <c r="H110" t="s">
        <v>11</v>
      </c>
      <c r="I110" t="s">
        <v>61</v>
      </c>
      <c r="J110" t="s">
        <v>25</v>
      </c>
      <c r="K110">
        <v>3.4</v>
      </c>
      <c r="L110" t="s">
        <v>14</v>
      </c>
      <c r="M110" t="s">
        <v>33</v>
      </c>
      <c r="N110" t="s">
        <v>14</v>
      </c>
      <c r="O110">
        <v>32</v>
      </c>
      <c r="P110" t="s">
        <v>63</v>
      </c>
      <c r="Q110" t="s">
        <v>64</v>
      </c>
      <c r="R110" t="str" cm="1">
        <f t="array" ref="R110">_xlfn.IFS(B110&lt;31,"Young-Adult",B110&lt;41,"Adult",B110&lt;61,"Middle-aged",B110&gt;=61,"Senior")</f>
        <v>Senior</v>
      </c>
      <c r="S110" cm="1">
        <f t="array" ref="S110">_xlfn.IFS(Q110 ="Fortnightly",14,Q110="Weekly",7,Q110="Monthly",30,Q110="Quarterly",90,Q110="Bi-Weekly",14,Q110="Annually",365,Q110="Every 3 Months",90,TRUE,"NOT FOUND")</f>
        <v>14</v>
      </c>
    </row>
    <row r="111" spans="1:19" x14ac:dyDescent="0.35">
      <c r="A111">
        <v>110</v>
      </c>
      <c r="B111">
        <v>58</v>
      </c>
      <c r="C111" t="s">
        <v>7</v>
      </c>
      <c r="D111" t="s">
        <v>101</v>
      </c>
      <c r="E111" t="s">
        <v>9</v>
      </c>
      <c r="F111">
        <v>85</v>
      </c>
      <c r="G111" t="s">
        <v>78</v>
      </c>
      <c r="H111" t="s">
        <v>32</v>
      </c>
      <c r="I111" t="s">
        <v>71</v>
      </c>
      <c r="J111" t="s">
        <v>25</v>
      </c>
      <c r="K111">
        <v>2.6</v>
      </c>
      <c r="L111" t="s">
        <v>14</v>
      </c>
      <c r="M111" t="s">
        <v>33</v>
      </c>
      <c r="N111" t="s">
        <v>14</v>
      </c>
      <c r="O111">
        <v>43</v>
      </c>
      <c r="P111" t="s">
        <v>63</v>
      </c>
      <c r="Q111" t="s">
        <v>17</v>
      </c>
      <c r="R111" t="str" cm="1">
        <f t="array" ref="R111">_xlfn.IFS(B111&lt;31,"Young-Adult",B111&lt;41,"Adult",B111&lt;61,"Middle-aged",B111&gt;=61,"Senior")</f>
        <v>Middle-aged</v>
      </c>
      <c r="S111" cm="1">
        <f t="array" ref="S111">_xlfn.IFS(Q111 ="Fortnightly",14,Q111="Weekly",7,Q111="Monthly",30,Q111="Quarterly",90,Q111="Bi-Weekly",14,Q111="Annually",365,Q111="Every 3 Months",90,TRUE,"NOT FOUND")</f>
        <v>14</v>
      </c>
    </row>
    <row r="112" spans="1:19" x14ac:dyDescent="0.35">
      <c r="A112">
        <v>111</v>
      </c>
      <c r="B112">
        <v>56</v>
      </c>
      <c r="C112" t="s">
        <v>7</v>
      </c>
      <c r="D112" t="s">
        <v>120</v>
      </c>
      <c r="E112" t="s">
        <v>55</v>
      </c>
      <c r="F112">
        <v>26</v>
      </c>
      <c r="G112" t="s">
        <v>72</v>
      </c>
      <c r="H112" t="s">
        <v>32</v>
      </c>
      <c r="I112" t="s">
        <v>82</v>
      </c>
      <c r="J112" t="s">
        <v>41</v>
      </c>
      <c r="K112">
        <v>4</v>
      </c>
      <c r="L112" t="s">
        <v>14</v>
      </c>
      <c r="M112" t="s">
        <v>42</v>
      </c>
      <c r="N112" t="s">
        <v>14</v>
      </c>
      <c r="O112">
        <v>26</v>
      </c>
      <c r="P112" t="s">
        <v>16</v>
      </c>
      <c r="Q112" t="s">
        <v>17</v>
      </c>
      <c r="R112" t="str" cm="1">
        <f t="array" ref="R112">_xlfn.IFS(B112&lt;31,"Young-Adult",B112&lt;41,"Adult",B112&lt;61,"Middle-aged",B112&gt;=61,"Senior")</f>
        <v>Middle-aged</v>
      </c>
      <c r="S112" cm="1">
        <f t="array" ref="S112">_xlfn.IFS(Q112 ="Fortnightly",14,Q112="Weekly",7,Q112="Monthly",30,Q112="Quarterly",90,Q112="Bi-Weekly",14,Q112="Annually",365,Q112="Every 3 Months",90,TRUE,"NOT FOUND")</f>
        <v>14</v>
      </c>
    </row>
    <row r="113" spans="1:19" x14ac:dyDescent="0.35">
      <c r="A113">
        <v>112</v>
      </c>
      <c r="B113">
        <v>26</v>
      </c>
      <c r="C113" t="s">
        <v>7</v>
      </c>
      <c r="D113" t="s">
        <v>121</v>
      </c>
      <c r="E113" t="s">
        <v>55</v>
      </c>
      <c r="F113">
        <v>75</v>
      </c>
      <c r="G113" t="s">
        <v>23</v>
      </c>
      <c r="H113" t="s">
        <v>11</v>
      </c>
      <c r="I113" t="s">
        <v>61</v>
      </c>
      <c r="J113" t="s">
        <v>41</v>
      </c>
      <c r="K113">
        <v>5</v>
      </c>
      <c r="L113" t="s">
        <v>14</v>
      </c>
      <c r="M113" t="s">
        <v>26</v>
      </c>
      <c r="N113" t="s">
        <v>14</v>
      </c>
      <c r="O113">
        <v>9</v>
      </c>
      <c r="P113" t="s">
        <v>27</v>
      </c>
      <c r="Q113" t="s">
        <v>37</v>
      </c>
      <c r="R113" t="str" cm="1">
        <f t="array" ref="R113">_xlfn.IFS(B113&lt;31,"Young-Adult",B113&lt;41,"Adult",B113&lt;61,"Middle-aged",B113&gt;=61,"Senior")</f>
        <v>Young-Adult</v>
      </c>
      <c r="S113" cm="1">
        <f t="array" ref="S113">_xlfn.IFS(Q113 ="Fortnightly",14,Q113="Weekly",7,Q113="Monthly",30,Q113="Quarterly",90,Q113="Bi-Weekly",14,Q113="Annually",365,Q113="Every 3 Months",90,TRUE,"NOT FOUND")</f>
        <v>365</v>
      </c>
    </row>
    <row r="114" spans="1:19" x14ac:dyDescent="0.35">
      <c r="A114">
        <v>113</v>
      </c>
      <c r="B114">
        <v>37</v>
      </c>
      <c r="C114" t="s">
        <v>7</v>
      </c>
      <c r="D114" t="s">
        <v>131</v>
      </c>
      <c r="E114" t="s">
        <v>55</v>
      </c>
      <c r="F114">
        <v>65</v>
      </c>
      <c r="G114" t="s">
        <v>91</v>
      </c>
      <c r="H114" t="s">
        <v>32</v>
      </c>
      <c r="I114" t="s">
        <v>96</v>
      </c>
      <c r="J114" t="s">
        <v>25</v>
      </c>
      <c r="K114">
        <v>4.3</v>
      </c>
      <c r="L114" t="s">
        <v>14</v>
      </c>
      <c r="M114" t="s">
        <v>26</v>
      </c>
      <c r="N114" t="s">
        <v>14</v>
      </c>
      <c r="O114">
        <v>28</v>
      </c>
      <c r="P114" t="s">
        <v>34</v>
      </c>
      <c r="Q114" t="s">
        <v>64</v>
      </c>
      <c r="R114" t="str" cm="1">
        <f t="array" ref="R114">_xlfn.IFS(B114&lt;31,"Young-Adult",B114&lt;41,"Adult",B114&lt;61,"Middle-aged",B114&gt;=61,"Senior")</f>
        <v>Adult</v>
      </c>
      <c r="S114" cm="1">
        <f t="array" ref="S114">_xlfn.IFS(Q114 ="Fortnightly",14,Q114="Weekly",7,Q114="Monthly",30,Q114="Quarterly",90,Q114="Bi-Weekly",14,Q114="Annually",365,Q114="Every 3 Months",90,TRUE,"NOT FOUND")</f>
        <v>14</v>
      </c>
    </row>
    <row r="115" spans="1:19" x14ac:dyDescent="0.35">
      <c r="A115">
        <v>114</v>
      </c>
      <c r="B115">
        <v>44</v>
      </c>
      <c r="C115" t="s">
        <v>7</v>
      </c>
      <c r="D115" t="s">
        <v>112</v>
      </c>
      <c r="E115" t="s">
        <v>55</v>
      </c>
      <c r="F115">
        <v>54</v>
      </c>
      <c r="G115" t="s">
        <v>115</v>
      </c>
      <c r="H115" t="s">
        <v>11</v>
      </c>
      <c r="I115" t="s">
        <v>20</v>
      </c>
      <c r="J115" t="s">
        <v>13</v>
      </c>
      <c r="K115">
        <v>3.1</v>
      </c>
      <c r="L115" t="s">
        <v>14</v>
      </c>
      <c r="M115" t="s">
        <v>33</v>
      </c>
      <c r="N115" t="s">
        <v>14</v>
      </c>
      <c r="O115">
        <v>20</v>
      </c>
      <c r="P115" t="s">
        <v>34</v>
      </c>
      <c r="Q115" t="s">
        <v>46</v>
      </c>
      <c r="R115" t="str" cm="1">
        <f t="array" ref="R115">_xlfn.IFS(B115&lt;31,"Young-Adult",B115&lt;41,"Adult",B115&lt;61,"Middle-aged",B115&gt;=61,"Senior")</f>
        <v>Middle-aged</v>
      </c>
      <c r="S115" cm="1">
        <f t="array" ref="S115">_xlfn.IFS(Q115 ="Fortnightly",14,Q115="Weekly",7,Q115="Monthly",30,Q115="Quarterly",90,Q115="Bi-Weekly",14,Q115="Annually",365,Q115="Every 3 Months",90,TRUE,"NOT FOUND")</f>
        <v>90</v>
      </c>
    </row>
    <row r="116" spans="1:19" x14ac:dyDescent="0.35">
      <c r="A116">
        <v>115</v>
      </c>
      <c r="B116">
        <v>70</v>
      </c>
      <c r="C116" t="s">
        <v>7</v>
      </c>
      <c r="D116" t="s">
        <v>50</v>
      </c>
      <c r="E116" t="s">
        <v>51</v>
      </c>
      <c r="F116">
        <v>95</v>
      </c>
      <c r="G116" t="s">
        <v>23</v>
      </c>
      <c r="H116" t="s">
        <v>24</v>
      </c>
      <c r="I116" t="s">
        <v>132</v>
      </c>
      <c r="J116" t="s">
        <v>41</v>
      </c>
      <c r="K116">
        <v>3.7</v>
      </c>
      <c r="L116" t="s">
        <v>14</v>
      </c>
      <c r="M116" t="s">
        <v>62</v>
      </c>
      <c r="N116" t="s">
        <v>14</v>
      </c>
      <c r="O116">
        <v>9</v>
      </c>
      <c r="P116" t="s">
        <v>21</v>
      </c>
      <c r="Q116" t="s">
        <v>28</v>
      </c>
      <c r="R116" t="str" cm="1">
        <f t="array" ref="R116">_xlfn.IFS(B116&lt;31,"Young-Adult",B116&lt;41,"Adult",B116&lt;61,"Middle-aged",B116&gt;=61,"Senior")</f>
        <v>Senior</v>
      </c>
      <c r="S116" cm="1">
        <f t="array" ref="S116">_xlfn.IFS(Q116 ="Fortnightly",14,Q116="Weekly",7,Q116="Monthly",30,Q116="Quarterly",90,Q116="Bi-Weekly",14,Q116="Annually",365,Q116="Every 3 Months",90,TRUE,"NOT FOUND")</f>
        <v>7</v>
      </c>
    </row>
    <row r="117" spans="1:19" x14ac:dyDescent="0.35">
      <c r="A117">
        <v>116</v>
      </c>
      <c r="B117">
        <v>53</v>
      </c>
      <c r="C117" t="s">
        <v>7</v>
      </c>
      <c r="D117" t="s">
        <v>75</v>
      </c>
      <c r="E117" t="s">
        <v>9</v>
      </c>
      <c r="F117">
        <v>94</v>
      </c>
      <c r="G117" t="s">
        <v>39</v>
      </c>
      <c r="H117" t="s">
        <v>32</v>
      </c>
      <c r="I117" t="s">
        <v>12</v>
      </c>
      <c r="J117" t="s">
        <v>25</v>
      </c>
      <c r="K117">
        <v>3.8</v>
      </c>
      <c r="L117" t="s">
        <v>14</v>
      </c>
      <c r="M117" t="s">
        <v>42</v>
      </c>
      <c r="N117" t="s">
        <v>14</v>
      </c>
      <c r="O117">
        <v>48</v>
      </c>
      <c r="P117" t="s">
        <v>74</v>
      </c>
      <c r="Q117" t="s">
        <v>85</v>
      </c>
      <c r="R117" t="str" cm="1">
        <f t="array" ref="R117">_xlfn.IFS(B117&lt;31,"Young-Adult",B117&lt;41,"Adult",B117&lt;61,"Middle-aged",B117&gt;=61,"Senior")</f>
        <v>Middle-aged</v>
      </c>
      <c r="S117" cm="1">
        <f t="array" ref="S117">_xlfn.IFS(Q117 ="Fortnightly",14,Q117="Weekly",7,Q117="Monthly",30,Q117="Quarterly",90,Q117="Bi-Weekly",14,Q117="Annually",365,Q117="Every 3 Months",90,TRUE,"NOT FOUND")</f>
        <v>90</v>
      </c>
    </row>
    <row r="118" spans="1:19" x14ac:dyDescent="0.35">
      <c r="A118">
        <v>117</v>
      </c>
      <c r="B118">
        <v>55</v>
      </c>
      <c r="C118" t="s">
        <v>7</v>
      </c>
      <c r="D118" t="s">
        <v>59</v>
      </c>
      <c r="E118" t="s">
        <v>30</v>
      </c>
      <c r="F118">
        <v>86</v>
      </c>
      <c r="G118" t="s">
        <v>129</v>
      </c>
      <c r="H118" t="s">
        <v>24</v>
      </c>
      <c r="I118" t="s">
        <v>132</v>
      </c>
      <c r="J118" t="s">
        <v>25</v>
      </c>
      <c r="K118">
        <v>3.4</v>
      </c>
      <c r="L118" t="s">
        <v>14</v>
      </c>
      <c r="M118" t="s">
        <v>26</v>
      </c>
      <c r="N118" t="s">
        <v>14</v>
      </c>
      <c r="O118">
        <v>12</v>
      </c>
      <c r="P118" t="s">
        <v>16</v>
      </c>
      <c r="Q118" t="s">
        <v>37</v>
      </c>
      <c r="R118" t="str" cm="1">
        <f t="array" ref="R118">_xlfn.IFS(B118&lt;31,"Young-Adult",B118&lt;41,"Adult",B118&lt;61,"Middle-aged",B118&gt;=61,"Senior")</f>
        <v>Middle-aged</v>
      </c>
      <c r="S118" cm="1">
        <f t="array" ref="S118">_xlfn.IFS(Q118 ="Fortnightly",14,Q118="Weekly",7,Q118="Monthly",30,Q118="Quarterly",90,Q118="Bi-Weekly",14,Q118="Annually",365,Q118="Every 3 Months",90,TRUE,"NOT FOUND")</f>
        <v>365</v>
      </c>
    </row>
    <row r="119" spans="1:19" x14ac:dyDescent="0.35">
      <c r="A119">
        <v>118</v>
      </c>
      <c r="B119">
        <v>50</v>
      </c>
      <c r="C119" t="s">
        <v>7</v>
      </c>
      <c r="D119" t="s">
        <v>29</v>
      </c>
      <c r="E119" t="s">
        <v>30</v>
      </c>
      <c r="F119">
        <v>32</v>
      </c>
      <c r="G119" t="s">
        <v>135</v>
      </c>
      <c r="H119" t="s">
        <v>11</v>
      </c>
      <c r="I119" t="s">
        <v>122</v>
      </c>
      <c r="J119" t="s">
        <v>41</v>
      </c>
      <c r="K119">
        <v>4.5999999999999996</v>
      </c>
      <c r="L119" t="s">
        <v>14</v>
      </c>
      <c r="M119" t="s">
        <v>15</v>
      </c>
      <c r="N119" t="s">
        <v>14</v>
      </c>
      <c r="O119">
        <v>29</v>
      </c>
      <c r="P119" t="s">
        <v>21</v>
      </c>
      <c r="Q119" t="s">
        <v>17</v>
      </c>
      <c r="R119" t="str" cm="1">
        <f t="array" ref="R119">_xlfn.IFS(B119&lt;31,"Young-Adult",B119&lt;41,"Adult",B119&lt;61,"Middle-aged",B119&gt;=61,"Senior")</f>
        <v>Middle-aged</v>
      </c>
      <c r="S119" cm="1">
        <f t="array" ref="S119">_xlfn.IFS(Q119 ="Fortnightly",14,Q119="Weekly",7,Q119="Monthly",30,Q119="Quarterly",90,Q119="Bi-Weekly",14,Q119="Annually",365,Q119="Every 3 Months",90,TRUE,"NOT FOUND")</f>
        <v>14</v>
      </c>
    </row>
    <row r="120" spans="1:19" x14ac:dyDescent="0.35">
      <c r="A120">
        <v>119</v>
      </c>
      <c r="B120">
        <v>50</v>
      </c>
      <c r="C120" t="s">
        <v>7</v>
      </c>
      <c r="D120" t="s">
        <v>18</v>
      </c>
      <c r="E120" t="s">
        <v>9</v>
      </c>
      <c r="F120">
        <v>45</v>
      </c>
      <c r="G120" t="s">
        <v>10</v>
      </c>
      <c r="H120" t="s">
        <v>11</v>
      </c>
      <c r="I120" t="s">
        <v>109</v>
      </c>
      <c r="J120" t="s">
        <v>45</v>
      </c>
      <c r="K120">
        <v>4.8</v>
      </c>
      <c r="L120" t="s">
        <v>14</v>
      </c>
      <c r="M120" t="s">
        <v>58</v>
      </c>
      <c r="N120" t="s">
        <v>14</v>
      </c>
      <c r="O120">
        <v>27</v>
      </c>
      <c r="P120" t="s">
        <v>21</v>
      </c>
      <c r="Q120" t="s">
        <v>64</v>
      </c>
      <c r="R120" t="str" cm="1">
        <f t="array" ref="R120">_xlfn.IFS(B120&lt;31,"Young-Adult",B120&lt;41,"Adult",B120&lt;61,"Middle-aged",B120&gt;=61,"Senior")</f>
        <v>Middle-aged</v>
      </c>
      <c r="S120" cm="1">
        <f t="array" ref="S120">_xlfn.IFS(Q120 ="Fortnightly",14,Q120="Weekly",7,Q120="Monthly",30,Q120="Quarterly",90,Q120="Bi-Weekly",14,Q120="Annually",365,Q120="Every 3 Months",90,TRUE,"NOT FOUND")</f>
        <v>14</v>
      </c>
    </row>
    <row r="121" spans="1:19" x14ac:dyDescent="0.35">
      <c r="A121">
        <v>120</v>
      </c>
      <c r="B121">
        <v>38</v>
      </c>
      <c r="C121" t="s">
        <v>7</v>
      </c>
      <c r="D121" t="s">
        <v>50</v>
      </c>
      <c r="E121" t="s">
        <v>51</v>
      </c>
      <c r="F121">
        <v>76</v>
      </c>
      <c r="G121" t="s">
        <v>39</v>
      </c>
      <c r="H121" t="s">
        <v>32</v>
      </c>
      <c r="I121" t="s">
        <v>109</v>
      </c>
      <c r="J121" t="s">
        <v>45</v>
      </c>
      <c r="K121">
        <v>4.3</v>
      </c>
      <c r="L121" t="s">
        <v>14</v>
      </c>
      <c r="M121" t="s">
        <v>15</v>
      </c>
      <c r="N121" t="s">
        <v>14</v>
      </c>
      <c r="O121">
        <v>44</v>
      </c>
      <c r="P121" t="s">
        <v>21</v>
      </c>
      <c r="Q121" t="s">
        <v>37</v>
      </c>
      <c r="R121" t="str" cm="1">
        <f t="array" ref="R121">_xlfn.IFS(B121&lt;31,"Young-Adult",B121&lt;41,"Adult",B121&lt;61,"Middle-aged",B121&gt;=61,"Senior")</f>
        <v>Adult</v>
      </c>
      <c r="S121" cm="1">
        <f t="array" ref="S121">_xlfn.IFS(Q121 ="Fortnightly",14,Q121="Weekly",7,Q121="Monthly",30,Q121="Quarterly",90,Q121="Bi-Weekly",14,Q121="Annually",365,Q121="Every 3 Months",90,TRUE,"NOT FOUND")</f>
        <v>365</v>
      </c>
    </row>
    <row r="122" spans="1:19" x14ac:dyDescent="0.35">
      <c r="A122">
        <v>121</v>
      </c>
      <c r="B122">
        <v>64</v>
      </c>
      <c r="C122" t="s">
        <v>7</v>
      </c>
      <c r="D122" t="s">
        <v>112</v>
      </c>
      <c r="E122" t="s">
        <v>55</v>
      </c>
      <c r="F122">
        <v>84</v>
      </c>
      <c r="G122" t="s">
        <v>52</v>
      </c>
      <c r="H122" t="s">
        <v>11</v>
      </c>
      <c r="I122" t="s">
        <v>96</v>
      </c>
      <c r="J122" t="s">
        <v>41</v>
      </c>
      <c r="K122">
        <v>4</v>
      </c>
      <c r="L122" t="s">
        <v>14</v>
      </c>
      <c r="M122" t="s">
        <v>15</v>
      </c>
      <c r="N122" t="s">
        <v>14</v>
      </c>
      <c r="O122">
        <v>32</v>
      </c>
      <c r="P122" t="s">
        <v>63</v>
      </c>
      <c r="Q122" t="s">
        <v>37</v>
      </c>
      <c r="R122" t="str" cm="1">
        <f t="array" ref="R122">_xlfn.IFS(B122&lt;31,"Young-Adult",B122&lt;41,"Adult",B122&lt;61,"Middle-aged",B122&gt;=61,"Senior")</f>
        <v>Senior</v>
      </c>
      <c r="S122" cm="1">
        <f t="array" ref="S122">_xlfn.IFS(Q122 ="Fortnightly",14,Q122="Weekly",7,Q122="Monthly",30,Q122="Quarterly",90,Q122="Bi-Weekly",14,Q122="Annually",365,Q122="Every 3 Months",90,TRUE,"NOT FOUND")</f>
        <v>365</v>
      </c>
    </row>
    <row r="123" spans="1:19" x14ac:dyDescent="0.35">
      <c r="A123">
        <v>122</v>
      </c>
      <c r="B123">
        <v>19</v>
      </c>
      <c r="C123" t="s">
        <v>7</v>
      </c>
      <c r="D123" t="s">
        <v>47</v>
      </c>
      <c r="E123" t="s">
        <v>9</v>
      </c>
      <c r="F123">
        <v>72</v>
      </c>
      <c r="G123" t="s">
        <v>129</v>
      </c>
      <c r="H123" t="s">
        <v>32</v>
      </c>
      <c r="I123" t="s">
        <v>66</v>
      </c>
      <c r="J123" t="s">
        <v>13</v>
      </c>
      <c r="K123">
        <v>4.2</v>
      </c>
      <c r="L123" t="s">
        <v>14</v>
      </c>
      <c r="M123" t="s">
        <v>42</v>
      </c>
      <c r="N123" t="s">
        <v>14</v>
      </c>
      <c r="O123">
        <v>11</v>
      </c>
      <c r="P123" t="s">
        <v>21</v>
      </c>
      <c r="Q123" t="s">
        <v>17</v>
      </c>
      <c r="R123" t="str" cm="1">
        <f t="array" ref="R123">_xlfn.IFS(B123&lt;31,"Young-Adult",B123&lt;41,"Adult",B123&lt;61,"Middle-aged",B123&gt;=61,"Senior")</f>
        <v>Young-Adult</v>
      </c>
      <c r="S123" cm="1">
        <f t="array" ref="S123">_xlfn.IFS(Q123 ="Fortnightly",14,Q123="Weekly",7,Q123="Monthly",30,Q123="Quarterly",90,Q123="Bi-Weekly",14,Q123="Annually",365,Q123="Every 3 Months",90,TRUE,"NOT FOUND")</f>
        <v>14</v>
      </c>
    </row>
    <row r="124" spans="1:19" x14ac:dyDescent="0.35">
      <c r="A124">
        <v>123</v>
      </c>
      <c r="B124">
        <v>40</v>
      </c>
      <c r="C124" t="s">
        <v>7</v>
      </c>
      <c r="D124" t="s">
        <v>120</v>
      </c>
      <c r="E124" t="s">
        <v>55</v>
      </c>
      <c r="F124">
        <v>40</v>
      </c>
      <c r="G124" t="s">
        <v>137</v>
      </c>
      <c r="H124" t="s">
        <v>11</v>
      </c>
      <c r="I124" t="s">
        <v>98</v>
      </c>
      <c r="J124" t="s">
        <v>25</v>
      </c>
      <c r="K124">
        <v>4.8</v>
      </c>
      <c r="L124" t="s">
        <v>14</v>
      </c>
      <c r="M124" t="s">
        <v>58</v>
      </c>
      <c r="N124" t="s">
        <v>14</v>
      </c>
      <c r="O124">
        <v>44</v>
      </c>
      <c r="P124" t="s">
        <v>21</v>
      </c>
      <c r="Q124" t="s">
        <v>17</v>
      </c>
      <c r="R124" t="str" cm="1">
        <f t="array" ref="R124">_xlfn.IFS(B124&lt;31,"Young-Adult",B124&lt;41,"Adult",B124&lt;61,"Middle-aged",B124&gt;=61,"Senior")</f>
        <v>Adult</v>
      </c>
      <c r="S124" cm="1">
        <f t="array" ref="S124">_xlfn.IFS(Q124 ="Fortnightly",14,Q124="Weekly",7,Q124="Monthly",30,Q124="Quarterly",90,Q124="Bi-Weekly",14,Q124="Annually",365,Q124="Every 3 Months",90,TRUE,"NOT FOUND")</f>
        <v>14</v>
      </c>
    </row>
    <row r="125" spans="1:19" x14ac:dyDescent="0.35">
      <c r="A125">
        <v>124</v>
      </c>
      <c r="B125">
        <v>57</v>
      </c>
      <c r="C125" t="s">
        <v>7</v>
      </c>
      <c r="D125" t="s">
        <v>18</v>
      </c>
      <c r="E125" t="s">
        <v>9</v>
      </c>
      <c r="F125">
        <v>89</v>
      </c>
      <c r="G125" t="s">
        <v>48</v>
      </c>
      <c r="H125" t="s">
        <v>11</v>
      </c>
      <c r="I125" t="s">
        <v>98</v>
      </c>
      <c r="J125" t="s">
        <v>45</v>
      </c>
      <c r="K125">
        <v>3.1</v>
      </c>
      <c r="L125" t="s">
        <v>14</v>
      </c>
      <c r="M125" t="s">
        <v>26</v>
      </c>
      <c r="N125" t="s">
        <v>14</v>
      </c>
      <c r="O125">
        <v>46</v>
      </c>
      <c r="P125" t="s">
        <v>21</v>
      </c>
      <c r="Q125" t="s">
        <v>28</v>
      </c>
      <c r="R125" t="str" cm="1">
        <f t="array" ref="R125">_xlfn.IFS(B125&lt;31,"Young-Adult",B125&lt;41,"Adult",B125&lt;61,"Middle-aged",B125&gt;=61,"Senior")</f>
        <v>Middle-aged</v>
      </c>
      <c r="S125" cm="1">
        <f t="array" ref="S125">_xlfn.IFS(Q125 ="Fortnightly",14,Q125="Weekly",7,Q125="Monthly",30,Q125="Quarterly",90,Q125="Bi-Weekly",14,Q125="Annually",365,Q125="Every 3 Months",90,TRUE,"NOT FOUND")</f>
        <v>7</v>
      </c>
    </row>
    <row r="126" spans="1:19" x14ac:dyDescent="0.35">
      <c r="A126">
        <v>125</v>
      </c>
      <c r="B126">
        <v>44</v>
      </c>
      <c r="C126" t="s">
        <v>7</v>
      </c>
      <c r="D126" t="s">
        <v>18</v>
      </c>
      <c r="E126" t="s">
        <v>9</v>
      </c>
      <c r="F126">
        <v>86</v>
      </c>
      <c r="G126" t="s">
        <v>95</v>
      </c>
      <c r="H126" t="s">
        <v>32</v>
      </c>
      <c r="I126" t="s">
        <v>12</v>
      </c>
      <c r="J126" t="s">
        <v>25</v>
      </c>
      <c r="K126">
        <v>3.1</v>
      </c>
      <c r="L126" t="s">
        <v>14</v>
      </c>
      <c r="M126" t="s">
        <v>33</v>
      </c>
      <c r="N126" t="s">
        <v>14</v>
      </c>
      <c r="O126">
        <v>50</v>
      </c>
      <c r="P126" t="s">
        <v>34</v>
      </c>
      <c r="Q126" t="s">
        <v>37</v>
      </c>
      <c r="R126" t="str" cm="1">
        <f t="array" ref="R126">_xlfn.IFS(B126&lt;31,"Young-Adult",B126&lt;41,"Adult",B126&lt;61,"Middle-aged",B126&gt;=61,"Senior")</f>
        <v>Middle-aged</v>
      </c>
      <c r="S126" cm="1">
        <f t="array" ref="S126">_xlfn.IFS(Q126 ="Fortnightly",14,Q126="Weekly",7,Q126="Monthly",30,Q126="Quarterly",90,Q126="Bi-Weekly",14,Q126="Annually",365,Q126="Every 3 Months",90,TRUE,"NOT FOUND")</f>
        <v>365</v>
      </c>
    </row>
    <row r="127" spans="1:19" x14ac:dyDescent="0.35">
      <c r="A127">
        <v>126</v>
      </c>
      <c r="B127">
        <v>49</v>
      </c>
      <c r="C127" t="s">
        <v>7</v>
      </c>
      <c r="D127" t="s">
        <v>47</v>
      </c>
      <c r="E127" t="s">
        <v>9</v>
      </c>
      <c r="F127">
        <v>54</v>
      </c>
      <c r="G127" t="s">
        <v>87</v>
      </c>
      <c r="H127" t="s">
        <v>32</v>
      </c>
      <c r="I127" t="s">
        <v>114</v>
      </c>
      <c r="J127" t="s">
        <v>13</v>
      </c>
      <c r="K127">
        <v>3.6</v>
      </c>
      <c r="L127" t="s">
        <v>14</v>
      </c>
      <c r="M127" t="s">
        <v>33</v>
      </c>
      <c r="N127" t="s">
        <v>14</v>
      </c>
      <c r="O127">
        <v>45</v>
      </c>
      <c r="P127" t="s">
        <v>16</v>
      </c>
      <c r="Q127" t="s">
        <v>85</v>
      </c>
      <c r="R127" t="str" cm="1">
        <f t="array" ref="R127">_xlfn.IFS(B127&lt;31,"Young-Adult",B127&lt;41,"Adult",B127&lt;61,"Middle-aged",B127&gt;=61,"Senior")</f>
        <v>Middle-aged</v>
      </c>
      <c r="S127" cm="1">
        <f t="array" ref="S127">_xlfn.IFS(Q127 ="Fortnightly",14,Q127="Weekly",7,Q127="Monthly",30,Q127="Quarterly",90,Q127="Bi-Weekly",14,Q127="Annually",365,Q127="Every 3 Months",90,TRUE,"NOT FOUND")</f>
        <v>90</v>
      </c>
    </row>
    <row r="128" spans="1:19" x14ac:dyDescent="0.35">
      <c r="A128">
        <v>127</v>
      </c>
      <c r="B128">
        <v>43</v>
      </c>
      <c r="C128" t="s">
        <v>7</v>
      </c>
      <c r="D128" t="s">
        <v>47</v>
      </c>
      <c r="E128" t="s">
        <v>9</v>
      </c>
      <c r="F128">
        <v>36</v>
      </c>
      <c r="G128" t="s">
        <v>79</v>
      </c>
      <c r="H128" t="s">
        <v>11</v>
      </c>
      <c r="I128" t="s">
        <v>57</v>
      </c>
      <c r="J128" t="s">
        <v>25</v>
      </c>
      <c r="K128">
        <v>3.9</v>
      </c>
      <c r="L128" t="s">
        <v>14</v>
      </c>
      <c r="M128" t="s">
        <v>62</v>
      </c>
      <c r="N128" t="s">
        <v>14</v>
      </c>
      <c r="O128">
        <v>48</v>
      </c>
      <c r="P128" t="s">
        <v>21</v>
      </c>
      <c r="Q128" t="s">
        <v>85</v>
      </c>
      <c r="R128" t="str" cm="1">
        <f t="array" ref="R128">_xlfn.IFS(B128&lt;31,"Young-Adult",B128&lt;41,"Adult",B128&lt;61,"Middle-aged",B128&gt;=61,"Senior")</f>
        <v>Middle-aged</v>
      </c>
      <c r="S128" cm="1">
        <f t="array" ref="S128">_xlfn.IFS(Q128 ="Fortnightly",14,Q128="Weekly",7,Q128="Monthly",30,Q128="Quarterly",90,Q128="Bi-Weekly",14,Q128="Annually",365,Q128="Every 3 Months",90,TRUE,"NOT FOUND")</f>
        <v>90</v>
      </c>
    </row>
    <row r="129" spans="1:19" x14ac:dyDescent="0.35">
      <c r="A129">
        <v>128</v>
      </c>
      <c r="B129">
        <v>24</v>
      </c>
      <c r="C129" t="s">
        <v>7</v>
      </c>
      <c r="D129" t="s">
        <v>18</v>
      </c>
      <c r="E129" t="s">
        <v>9</v>
      </c>
      <c r="F129">
        <v>89</v>
      </c>
      <c r="G129" t="s">
        <v>79</v>
      </c>
      <c r="H129" t="s">
        <v>32</v>
      </c>
      <c r="I129" t="s">
        <v>12</v>
      </c>
      <c r="J129" t="s">
        <v>13</v>
      </c>
      <c r="K129">
        <v>4.8</v>
      </c>
      <c r="L129" t="s">
        <v>14</v>
      </c>
      <c r="M129" t="s">
        <v>33</v>
      </c>
      <c r="N129" t="s">
        <v>14</v>
      </c>
      <c r="O129">
        <v>26</v>
      </c>
      <c r="P129" t="s">
        <v>27</v>
      </c>
      <c r="Q129" t="s">
        <v>28</v>
      </c>
      <c r="R129" t="str" cm="1">
        <f t="array" ref="R129">_xlfn.IFS(B129&lt;31,"Young-Adult",B129&lt;41,"Adult",B129&lt;61,"Middle-aged",B129&gt;=61,"Senior")</f>
        <v>Young-Adult</v>
      </c>
      <c r="S129" cm="1">
        <f t="array" ref="S129">_xlfn.IFS(Q129 ="Fortnightly",14,Q129="Weekly",7,Q129="Monthly",30,Q129="Quarterly",90,Q129="Bi-Weekly",14,Q129="Annually",365,Q129="Every 3 Months",90,TRUE,"NOT FOUND")</f>
        <v>7</v>
      </c>
    </row>
    <row r="130" spans="1:19" x14ac:dyDescent="0.35">
      <c r="A130">
        <v>129</v>
      </c>
      <c r="B130">
        <v>20</v>
      </c>
      <c r="C130" t="s">
        <v>7</v>
      </c>
      <c r="D130" t="s">
        <v>107</v>
      </c>
      <c r="E130" t="s">
        <v>55</v>
      </c>
      <c r="F130">
        <v>32</v>
      </c>
      <c r="G130" t="s">
        <v>87</v>
      </c>
      <c r="H130" t="s">
        <v>32</v>
      </c>
      <c r="I130" t="s">
        <v>68</v>
      </c>
      <c r="J130" t="s">
        <v>25</v>
      </c>
      <c r="K130">
        <v>4.7</v>
      </c>
      <c r="L130" t="s">
        <v>14</v>
      </c>
      <c r="M130" t="s">
        <v>42</v>
      </c>
      <c r="N130" t="s">
        <v>14</v>
      </c>
      <c r="O130">
        <v>21</v>
      </c>
      <c r="P130" t="s">
        <v>27</v>
      </c>
      <c r="Q130" t="s">
        <v>17</v>
      </c>
      <c r="R130" t="str" cm="1">
        <f t="array" ref="R130">_xlfn.IFS(B130&lt;31,"Young-Adult",B130&lt;41,"Adult",B130&lt;61,"Middle-aged",B130&gt;=61,"Senior")</f>
        <v>Young-Adult</v>
      </c>
      <c r="S130" cm="1">
        <f t="array" ref="S130">_xlfn.IFS(Q130 ="Fortnightly",14,Q130="Weekly",7,Q130="Monthly",30,Q130="Quarterly",90,Q130="Bi-Weekly",14,Q130="Annually",365,Q130="Every 3 Months",90,TRUE,"NOT FOUND")</f>
        <v>14</v>
      </c>
    </row>
    <row r="131" spans="1:19" x14ac:dyDescent="0.35">
      <c r="A131">
        <v>130</v>
      </c>
      <c r="B131">
        <v>24</v>
      </c>
      <c r="C131" t="s">
        <v>7</v>
      </c>
      <c r="D131" t="s">
        <v>69</v>
      </c>
      <c r="E131" t="s">
        <v>9</v>
      </c>
      <c r="F131">
        <v>67</v>
      </c>
      <c r="G131" t="s">
        <v>126</v>
      </c>
      <c r="H131" t="s">
        <v>80</v>
      </c>
      <c r="I131" t="s">
        <v>66</v>
      </c>
      <c r="J131" t="s">
        <v>41</v>
      </c>
      <c r="K131">
        <v>4.2</v>
      </c>
      <c r="L131" t="s">
        <v>14</v>
      </c>
      <c r="M131" t="s">
        <v>58</v>
      </c>
      <c r="N131" t="s">
        <v>14</v>
      </c>
      <c r="O131">
        <v>49</v>
      </c>
      <c r="P131" t="s">
        <v>34</v>
      </c>
      <c r="Q131" t="s">
        <v>64</v>
      </c>
      <c r="R131" t="str" cm="1">
        <f t="array" ref="R131">_xlfn.IFS(B131&lt;31,"Young-Adult",B131&lt;41,"Adult",B131&lt;61,"Middle-aged",B131&gt;=61,"Senior")</f>
        <v>Young-Adult</v>
      </c>
      <c r="S131" cm="1">
        <f t="array" ref="S131">_xlfn.IFS(Q131 ="Fortnightly",14,Q131="Weekly",7,Q131="Monthly",30,Q131="Quarterly",90,Q131="Bi-Weekly",14,Q131="Annually",365,Q131="Every 3 Months",90,TRUE,"NOT FOUND")</f>
        <v>14</v>
      </c>
    </row>
    <row r="132" spans="1:19" x14ac:dyDescent="0.35">
      <c r="A132">
        <v>131</v>
      </c>
      <c r="B132">
        <v>44</v>
      </c>
      <c r="C132" t="s">
        <v>7</v>
      </c>
      <c r="D132" t="s">
        <v>107</v>
      </c>
      <c r="E132" t="s">
        <v>55</v>
      </c>
      <c r="F132">
        <v>39</v>
      </c>
      <c r="G132" t="s">
        <v>10</v>
      </c>
      <c r="H132" t="s">
        <v>11</v>
      </c>
      <c r="I132" t="s">
        <v>71</v>
      </c>
      <c r="J132" t="s">
        <v>45</v>
      </c>
      <c r="K132">
        <v>3.7</v>
      </c>
      <c r="L132" t="s">
        <v>14</v>
      </c>
      <c r="M132" t="s">
        <v>33</v>
      </c>
      <c r="N132" t="s">
        <v>14</v>
      </c>
      <c r="O132">
        <v>13</v>
      </c>
      <c r="P132" t="s">
        <v>34</v>
      </c>
      <c r="Q132" t="s">
        <v>17</v>
      </c>
      <c r="R132" t="str" cm="1">
        <f t="array" ref="R132">_xlfn.IFS(B132&lt;31,"Young-Adult",B132&lt;41,"Adult",B132&lt;61,"Middle-aged",B132&gt;=61,"Senior")</f>
        <v>Middle-aged</v>
      </c>
      <c r="S132" cm="1">
        <f t="array" ref="S132">_xlfn.IFS(Q132 ="Fortnightly",14,Q132="Weekly",7,Q132="Monthly",30,Q132="Quarterly",90,Q132="Bi-Weekly",14,Q132="Annually",365,Q132="Every 3 Months",90,TRUE,"NOT FOUND")</f>
        <v>14</v>
      </c>
    </row>
    <row r="133" spans="1:19" x14ac:dyDescent="0.35">
      <c r="A133">
        <v>132</v>
      </c>
      <c r="B133">
        <v>28</v>
      </c>
      <c r="C133" t="s">
        <v>7</v>
      </c>
      <c r="D133" t="s">
        <v>75</v>
      </c>
      <c r="E133" t="s">
        <v>9</v>
      </c>
      <c r="F133">
        <v>29</v>
      </c>
      <c r="G133" t="s">
        <v>19</v>
      </c>
      <c r="H133" t="s">
        <v>11</v>
      </c>
      <c r="I133" t="s">
        <v>114</v>
      </c>
      <c r="J133" t="s">
        <v>41</v>
      </c>
      <c r="K133">
        <v>3.9</v>
      </c>
      <c r="L133" t="s">
        <v>14</v>
      </c>
      <c r="M133" t="s">
        <v>42</v>
      </c>
      <c r="N133" t="s">
        <v>14</v>
      </c>
      <c r="O133">
        <v>46</v>
      </c>
      <c r="P133" t="s">
        <v>27</v>
      </c>
      <c r="Q133" t="s">
        <v>28</v>
      </c>
      <c r="R133" t="str" cm="1">
        <f t="array" ref="R133">_xlfn.IFS(B133&lt;31,"Young-Adult",B133&lt;41,"Adult",B133&lt;61,"Middle-aged",B133&gt;=61,"Senior")</f>
        <v>Young-Adult</v>
      </c>
      <c r="S133" cm="1">
        <f t="array" ref="S133">_xlfn.IFS(Q133 ="Fortnightly",14,Q133="Weekly",7,Q133="Monthly",30,Q133="Quarterly",90,Q133="Bi-Weekly",14,Q133="Annually",365,Q133="Every 3 Months",90,TRUE,"NOT FOUND")</f>
        <v>7</v>
      </c>
    </row>
    <row r="134" spans="1:19" x14ac:dyDescent="0.35">
      <c r="A134">
        <v>133</v>
      </c>
      <c r="B134">
        <v>30</v>
      </c>
      <c r="C134" t="s">
        <v>7</v>
      </c>
      <c r="D134" t="s">
        <v>120</v>
      </c>
      <c r="E134" t="s">
        <v>55</v>
      </c>
      <c r="F134">
        <v>58</v>
      </c>
      <c r="G134" t="s">
        <v>118</v>
      </c>
      <c r="H134" t="s">
        <v>32</v>
      </c>
      <c r="I134" t="s">
        <v>109</v>
      </c>
      <c r="J134" t="s">
        <v>45</v>
      </c>
      <c r="K134">
        <v>4.7</v>
      </c>
      <c r="L134" t="s">
        <v>14</v>
      </c>
      <c r="M134" t="s">
        <v>58</v>
      </c>
      <c r="N134" t="s">
        <v>14</v>
      </c>
      <c r="O134">
        <v>42</v>
      </c>
      <c r="P134" t="s">
        <v>34</v>
      </c>
      <c r="Q134" t="s">
        <v>28</v>
      </c>
      <c r="R134" t="str" cm="1">
        <f t="array" ref="R134">_xlfn.IFS(B134&lt;31,"Young-Adult",B134&lt;41,"Adult",B134&lt;61,"Middle-aged",B134&gt;=61,"Senior")</f>
        <v>Young-Adult</v>
      </c>
      <c r="S134" cm="1">
        <f t="array" ref="S134">_xlfn.IFS(Q134 ="Fortnightly",14,Q134="Weekly",7,Q134="Monthly",30,Q134="Quarterly",90,Q134="Bi-Weekly",14,Q134="Annually",365,Q134="Every 3 Months",90,TRUE,"NOT FOUND")</f>
        <v>7</v>
      </c>
    </row>
    <row r="135" spans="1:19" x14ac:dyDescent="0.35">
      <c r="A135">
        <v>134</v>
      </c>
      <c r="B135">
        <v>52</v>
      </c>
      <c r="C135" t="s">
        <v>7</v>
      </c>
      <c r="D135" t="s">
        <v>18</v>
      </c>
      <c r="E135" t="s">
        <v>9</v>
      </c>
      <c r="F135">
        <v>65</v>
      </c>
      <c r="G135" t="s">
        <v>44</v>
      </c>
      <c r="H135" t="s">
        <v>32</v>
      </c>
      <c r="I135" t="s">
        <v>71</v>
      </c>
      <c r="J135" t="s">
        <v>13</v>
      </c>
      <c r="K135">
        <v>2.5</v>
      </c>
      <c r="L135" t="s">
        <v>14</v>
      </c>
      <c r="M135" t="s">
        <v>33</v>
      </c>
      <c r="N135" t="s">
        <v>14</v>
      </c>
      <c r="O135">
        <v>25</v>
      </c>
      <c r="P135" t="s">
        <v>16</v>
      </c>
      <c r="Q135" t="s">
        <v>37</v>
      </c>
      <c r="R135" t="str" cm="1">
        <f t="array" ref="R135">_xlfn.IFS(B135&lt;31,"Young-Adult",B135&lt;41,"Adult",B135&lt;61,"Middle-aged",B135&gt;=61,"Senior")</f>
        <v>Middle-aged</v>
      </c>
      <c r="S135" cm="1">
        <f t="array" ref="S135">_xlfn.IFS(Q135 ="Fortnightly",14,Q135="Weekly",7,Q135="Monthly",30,Q135="Quarterly",90,Q135="Bi-Weekly",14,Q135="Annually",365,Q135="Every 3 Months",90,TRUE,"NOT FOUND")</f>
        <v>365</v>
      </c>
    </row>
    <row r="136" spans="1:19" x14ac:dyDescent="0.35">
      <c r="A136">
        <v>135</v>
      </c>
      <c r="B136">
        <v>43</v>
      </c>
      <c r="C136" t="s">
        <v>7</v>
      </c>
      <c r="D136" t="s">
        <v>112</v>
      </c>
      <c r="E136" t="s">
        <v>55</v>
      </c>
      <c r="F136">
        <v>94</v>
      </c>
      <c r="G136" t="s">
        <v>93</v>
      </c>
      <c r="H136" t="s">
        <v>11</v>
      </c>
      <c r="I136" t="s">
        <v>12</v>
      </c>
      <c r="J136" t="s">
        <v>45</v>
      </c>
      <c r="K136">
        <v>4.9000000000000004</v>
      </c>
      <c r="L136" t="s">
        <v>14</v>
      </c>
      <c r="M136" t="s">
        <v>62</v>
      </c>
      <c r="N136" t="s">
        <v>14</v>
      </c>
      <c r="O136">
        <v>25</v>
      </c>
      <c r="P136" t="s">
        <v>21</v>
      </c>
      <c r="Q136" t="s">
        <v>76</v>
      </c>
      <c r="R136" t="str" cm="1">
        <f t="array" ref="R136">_xlfn.IFS(B136&lt;31,"Young-Adult",B136&lt;41,"Adult",B136&lt;61,"Middle-aged",B136&gt;=61,"Senior")</f>
        <v>Middle-aged</v>
      </c>
      <c r="S136" cm="1">
        <f t="array" ref="S136">_xlfn.IFS(Q136 ="Fortnightly",14,Q136="Weekly",7,Q136="Monthly",30,Q136="Quarterly",90,Q136="Bi-Weekly",14,Q136="Annually",365,Q136="Every 3 Months",90,TRUE,"NOT FOUND")</f>
        <v>30</v>
      </c>
    </row>
    <row r="137" spans="1:19" x14ac:dyDescent="0.35">
      <c r="A137">
        <v>136</v>
      </c>
      <c r="B137">
        <v>43</v>
      </c>
      <c r="C137" t="s">
        <v>7</v>
      </c>
      <c r="D137" t="s">
        <v>29</v>
      </c>
      <c r="E137" t="s">
        <v>30</v>
      </c>
      <c r="F137">
        <v>81</v>
      </c>
      <c r="G137" t="s">
        <v>99</v>
      </c>
      <c r="H137" t="s">
        <v>32</v>
      </c>
      <c r="I137" t="s">
        <v>61</v>
      </c>
      <c r="J137" t="s">
        <v>45</v>
      </c>
      <c r="K137">
        <v>4.0999999999999996</v>
      </c>
      <c r="L137" t="s">
        <v>14</v>
      </c>
      <c r="M137" t="s">
        <v>15</v>
      </c>
      <c r="N137" t="s">
        <v>14</v>
      </c>
      <c r="O137">
        <v>12</v>
      </c>
      <c r="P137" t="s">
        <v>34</v>
      </c>
      <c r="Q137" t="s">
        <v>46</v>
      </c>
      <c r="R137" t="str" cm="1">
        <f t="array" ref="R137">_xlfn.IFS(B137&lt;31,"Young-Adult",B137&lt;41,"Adult",B137&lt;61,"Middle-aged",B137&gt;=61,"Senior")</f>
        <v>Middle-aged</v>
      </c>
      <c r="S137" cm="1">
        <f t="array" ref="S137">_xlfn.IFS(Q137 ="Fortnightly",14,Q137="Weekly",7,Q137="Monthly",30,Q137="Quarterly",90,Q137="Bi-Weekly",14,Q137="Annually",365,Q137="Every 3 Months",90,TRUE,"NOT FOUND")</f>
        <v>90</v>
      </c>
    </row>
    <row r="138" spans="1:19" x14ac:dyDescent="0.35">
      <c r="A138">
        <v>137</v>
      </c>
      <c r="B138">
        <v>39</v>
      </c>
      <c r="C138" t="s">
        <v>7</v>
      </c>
      <c r="D138" t="s">
        <v>8</v>
      </c>
      <c r="E138" t="s">
        <v>9</v>
      </c>
      <c r="F138">
        <v>86</v>
      </c>
      <c r="G138" t="s">
        <v>119</v>
      </c>
      <c r="H138" t="s">
        <v>32</v>
      </c>
      <c r="I138" t="s">
        <v>40</v>
      </c>
      <c r="J138" t="s">
        <v>13</v>
      </c>
      <c r="K138">
        <v>3.3</v>
      </c>
      <c r="L138" t="s">
        <v>14</v>
      </c>
      <c r="M138" t="s">
        <v>26</v>
      </c>
      <c r="N138" t="s">
        <v>14</v>
      </c>
      <c r="O138">
        <v>4</v>
      </c>
      <c r="P138" t="s">
        <v>74</v>
      </c>
      <c r="Q138" t="s">
        <v>46</v>
      </c>
      <c r="R138" t="str" cm="1">
        <f t="array" ref="R138">_xlfn.IFS(B138&lt;31,"Young-Adult",B138&lt;41,"Adult",B138&lt;61,"Middle-aged",B138&gt;=61,"Senior")</f>
        <v>Adult</v>
      </c>
      <c r="S138" cm="1">
        <f t="array" ref="S138">_xlfn.IFS(Q138 ="Fortnightly",14,Q138="Weekly",7,Q138="Monthly",30,Q138="Quarterly",90,Q138="Bi-Weekly",14,Q138="Annually",365,Q138="Every 3 Months",90,TRUE,"NOT FOUND")</f>
        <v>90</v>
      </c>
    </row>
    <row r="139" spans="1:19" x14ac:dyDescent="0.35">
      <c r="A139">
        <v>138</v>
      </c>
      <c r="B139">
        <v>68</v>
      </c>
      <c r="C139" t="s">
        <v>7</v>
      </c>
      <c r="D139" t="s">
        <v>38</v>
      </c>
      <c r="E139" t="s">
        <v>30</v>
      </c>
      <c r="F139">
        <v>43</v>
      </c>
      <c r="G139" t="s">
        <v>100</v>
      </c>
      <c r="H139" t="s">
        <v>32</v>
      </c>
      <c r="I139" t="s">
        <v>36</v>
      </c>
      <c r="J139" t="s">
        <v>25</v>
      </c>
      <c r="K139">
        <v>4.7</v>
      </c>
      <c r="L139" t="s">
        <v>14</v>
      </c>
      <c r="M139" t="s">
        <v>26</v>
      </c>
      <c r="N139" t="s">
        <v>14</v>
      </c>
      <c r="O139">
        <v>38</v>
      </c>
      <c r="P139" t="s">
        <v>34</v>
      </c>
      <c r="Q139" t="s">
        <v>28</v>
      </c>
      <c r="R139" t="str" cm="1">
        <f t="array" ref="R139">_xlfn.IFS(B139&lt;31,"Young-Adult",B139&lt;41,"Adult",B139&lt;61,"Middle-aged",B139&gt;=61,"Senior")</f>
        <v>Senior</v>
      </c>
      <c r="S139" cm="1">
        <f t="array" ref="S139">_xlfn.IFS(Q139 ="Fortnightly",14,Q139="Weekly",7,Q139="Monthly",30,Q139="Quarterly",90,Q139="Bi-Weekly",14,Q139="Annually",365,Q139="Every 3 Months",90,TRUE,"NOT FOUND")</f>
        <v>7</v>
      </c>
    </row>
    <row r="140" spans="1:19" x14ac:dyDescent="0.35">
      <c r="A140">
        <v>139</v>
      </c>
      <c r="B140">
        <v>68</v>
      </c>
      <c r="C140" t="s">
        <v>7</v>
      </c>
      <c r="D140" t="s">
        <v>75</v>
      </c>
      <c r="E140" t="s">
        <v>9</v>
      </c>
      <c r="F140">
        <v>29</v>
      </c>
      <c r="G140" t="s">
        <v>130</v>
      </c>
      <c r="H140" t="s">
        <v>32</v>
      </c>
      <c r="I140" t="s">
        <v>20</v>
      </c>
      <c r="J140" t="s">
        <v>13</v>
      </c>
      <c r="K140">
        <v>4.4000000000000004</v>
      </c>
      <c r="L140" t="s">
        <v>14</v>
      </c>
      <c r="M140" t="s">
        <v>62</v>
      </c>
      <c r="N140" t="s">
        <v>14</v>
      </c>
      <c r="O140">
        <v>42</v>
      </c>
      <c r="P140" t="s">
        <v>63</v>
      </c>
      <c r="Q140" t="s">
        <v>28</v>
      </c>
      <c r="R140" t="str" cm="1">
        <f t="array" ref="R140">_xlfn.IFS(B140&lt;31,"Young-Adult",B140&lt;41,"Adult",B140&lt;61,"Middle-aged",B140&gt;=61,"Senior")</f>
        <v>Senior</v>
      </c>
      <c r="S140" cm="1">
        <f t="array" ref="S140">_xlfn.IFS(Q140 ="Fortnightly",14,Q140="Weekly",7,Q140="Monthly",30,Q140="Quarterly",90,Q140="Bi-Weekly",14,Q140="Annually",365,Q140="Every 3 Months",90,TRUE,"NOT FOUND")</f>
        <v>7</v>
      </c>
    </row>
    <row r="141" spans="1:19" x14ac:dyDescent="0.35">
      <c r="A141">
        <v>140</v>
      </c>
      <c r="B141">
        <v>49</v>
      </c>
      <c r="C141" t="s">
        <v>7</v>
      </c>
      <c r="D141" t="s">
        <v>50</v>
      </c>
      <c r="E141" t="s">
        <v>51</v>
      </c>
      <c r="F141">
        <v>95</v>
      </c>
      <c r="G141" t="s">
        <v>91</v>
      </c>
      <c r="H141" t="s">
        <v>32</v>
      </c>
      <c r="I141" t="s">
        <v>40</v>
      </c>
      <c r="J141" t="s">
        <v>45</v>
      </c>
      <c r="K141">
        <v>3.8</v>
      </c>
      <c r="L141" t="s">
        <v>14</v>
      </c>
      <c r="M141" t="s">
        <v>62</v>
      </c>
      <c r="N141" t="s">
        <v>14</v>
      </c>
      <c r="O141">
        <v>30</v>
      </c>
      <c r="P141" t="s">
        <v>16</v>
      </c>
      <c r="Q141" t="s">
        <v>37</v>
      </c>
      <c r="R141" t="str" cm="1">
        <f t="array" ref="R141">_xlfn.IFS(B141&lt;31,"Young-Adult",B141&lt;41,"Adult",B141&lt;61,"Middle-aged",B141&gt;=61,"Senior")</f>
        <v>Middle-aged</v>
      </c>
      <c r="S141" cm="1">
        <f t="array" ref="S141">_xlfn.IFS(Q141 ="Fortnightly",14,Q141="Weekly",7,Q141="Monthly",30,Q141="Quarterly",90,Q141="Bi-Weekly",14,Q141="Annually",365,Q141="Every 3 Months",90,TRUE,"NOT FOUND")</f>
        <v>365</v>
      </c>
    </row>
    <row r="142" spans="1:19" x14ac:dyDescent="0.35">
      <c r="A142">
        <v>141</v>
      </c>
      <c r="B142">
        <v>63</v>
      </c>
      <c r="C142" t="s">
        <v>7</v>
      </c>
      <c r="D142" t="s">
        <v>43</v>
      </c>
      <c r="E142" t="s">
        <v>9</v>
      </c>
      <c r="F142">
        <v>28</v>
      </c>
      <c r="G142" t="s">
        <v>86</v>
      </c>
      <c r="H142" t="s">
        <v>11</v>
      </c>
      <c r="I142" t="s">
        <v>122</v>
      </c>
      <c r="J142" t="s">
        <v>45</v>
      </c>
      <c r="K142">
        <v>3.9</v>
      </c>
      <c r="L142" t="s">
        <v>14</v>
      </c>
      <c r="M142" t="s">
        <v>58</v>
      </c>
      <c r="N142" t="s">
        <v>14</v>
      </c>
      <c r="O142">
        <v>50</v>
      </c>
      <c r="P142" t="s">
        <v>27</v>
      </c>
      <c r="Q142" t="s">
        <v>28</v>
      </c>
      <c r="R142" t="str" cm="1">
        <f t="array" ref="R142">_xlfn.IFS(B142&lt;31,"Young-Adult",B142&lt;41,"Adult",B142&lt;61,"Middle-aged",B142&gt;=61,"Senior")</f>
        <v>Senior</v>
      </c>
      <c r="S142" cm="1">
        <f t="array" ref="S142">_xlfn.IFS(Q142 ="Fortnightly",14,Q142="Weekly",7,Q142="Monthly",30,Q142="Quarterly",90,Q142="Bi-Weekly",14,Q142="Annually",365,Q142="Every 3 Months",90,TRUE,"NOT FOUND")</f>
        <v>7</v>
      </c>
    </row>
    <row r="143" spans="1:19" x14ac:dyDescent="0.35">
      <c r="A143">
        <v>142</v>
      </c>
      <c r="B143">
        <v>56</v>
      </c>
      <c r="C143" t="s">
        <v>7</v>
      </c>
      <c r="D143" t="s">
        <v>131</v>
      </c>
      <c r="E143" t="s">
        <v>55</v>
      </c>
      <c r="F143">
        <v>46</v>
      </c>
      <c r="G143" t="s">
        <v>129</v>
      </c>
      <c r="H143" t="s">
        <v>32</v>
      </c>
      <c r="I143" t="s">
        <v>36</v>
      </c>
      <c r="J143" t="s">
        <v>45</v>
      </c>
      <c r="K143">
        <v>4.9000000000000004</v>
      </c>
      <c r="L143" t="s">
        <v>14</v>
      </c>
      <c r="M143" t="s">
        <v>26</v>
      </c>
      <c r="N143" t="s">
        <v>14</v>
      </c>
      <c r="O143">
        <v>45</v>
      </c>
      <c r="P143" t="s">
        <v>34</v>
      </c>
      <c r="Q143" t="s">
        <v>28</v>
      </c>
      <c r="R143" t="str" cm="1">
        <f t="array" ref="R143">_xlfn.IFS(B143&lt;31,"Young-Adult",B143&lt;41,"Adult",B143&lt;61,"Middle-aged",B143&gt;=61,"Senior")</f>
        <v>Middle-aged</v>
      </c>
      <c r="S143" cm="1">
        <f t="array" ref="S143">_xlfn.IFS(Q143 ="Fortnightly",14,Q143="Weekly",7,Q143="Monthly",30,Q143="Quarterly",90,Q143="Bi-Weekly",14,Q143="Annually",365,Q143="Every 3 Months",90,TRUE,"NOT FOUND")</f>
        <v>7</v>
      </c>
    </row>
    <row r="144" spans="1:19" x14ac:dyDescent="0.35">
      <c r="A144">
        <v>143</v>
      </c>
      <c r="B144">
        <v>37</v>
      </c>
      <c r="C144" t="s">
        <v>7</v>
      </c>
      <c r="D144" t="s">
        <v>90</v>
      </c>
      <c r="E144" t="s">
        <v>51</v>
      </c>
      <c r="F144">
        <v>58</v>
      </c>
      <c r="G144" t="s">
        <v>133</v>
      </c>
      <c r="H144" t="s">
        <v>11</v>
      </c>
      <c r="I144" t="s">
        <v>71</v>
      </c>
      <c r="J144" t="s">
        <v>45</v>
      </c>
      <c r="K144">
        <v>3.1</v>
      </c>
      <c r="L144" t="s">
        <v>14</v>
      </c>
      <c r="M144" t="s">
        <v>26</v>
      </c>
      <c r="N144" t="s">
        <v>14</v>
      </c>
      <c r="O144">
        <v>33</v>
      </c>
      <c r="P144" t="s">
        <v>27</v>
      </c>
      <c r="Q144" t="s">
        <v>17</v>
      </c>
      <c r="R144" t="str" cm="1">
        <f t="array" ref="R144">_xlfn.IFS(B144&lt;31,"Young-Adult",B144&lt;41,"Adult",B144&lt;61,"Middle-aged",B144&gt;=61,"Senior")</f>
        <v>Adult</v>
      </c>
      <c r="S144" cm="1">
        <f t="array" ref="S144">_xlfn.IFS(Q144 ="Fortnightly",14,Q144="Weekly",7,Q144="Monthly",30,Q144="Quarterly",90,Q144="Bi-Weekly",14,Q144="Annually",365,Q144="Every 3 Months",90,TRUE,"NOT FOUND")</f>
        <v>14</v>
      </c>
    </row>
    <row r="145" spans="1:19" x14ac:dyDescent="0.35">
      <c r="A145">
        <v>144</v>
      </c>
      <c r="B145">
        <v>30</v>
      </c>
      <c r="C145" t="s">
        <v>7</v>
      </c>
      <c r="D145" t="s">
        <v>50</v>
      </c>
      <c r="E145" t="s">
        <v>51</v>
      </c>
      <c r="F145">
        <v>48</v>
      </c>
      <c r="G145" t="s">
        <v>56</v>
      </c>
      <c r="H145" t="s">
        <v>32</v>
      </c>
      <c r="I145" t="s">
        <v>106</v>
      </c>
      <c r="J145" t="s">
        <v>45</v>
      </c>
      <c r="K145">
        <v>2.7</v>
      </c>
      <c r="L145" t="s">
        <v>14</v>
      </c>
      <c r="M145" t="s">
        <v>62</v>
      </c>
      <c r="N145" t="s">
        <v>14</v>
      </c>
      <c r="O145">
        <v>25</v>
      </c>
      <c r="P145" t="s">
        <v>34</v>
      </c>
      <c r="Q145" t="s">
        <v>46</v>
      </c>
      <c r="R145" t="str" cm="1">
        <f t="array" ref="R145">_xlfn.IFS(B145&lt;31,"Young-Adult",B145&lt;41,"Adult",B145&lt;61,"Middle-aged",B145&gt;=61,"Senior")</f>
        <v>Young-Adult</v>
      </c>
      <c r="S145" cm="1">
        <f t="array" ref="S145">_xlfn.IFS(Q145 ="Fortnightly",14,Q145="Weekly",7,Q145="Monthly",30,Q145="Quarterly",90,Q145="Bi-Weekly",14,Q145="Annually",365,Q145="Every 3 Months",90,TRUE,"NOT FOUND")</f>
        <v>90</v>
      </c>
    </row>
    <row r="146" spans="1:19" x14ac:dyDescent="0.35">
      <c r="A146">
        <v>145</v>
      </c>
      <c r="B146">
        <v>19</v>
      </c>
      <c r="C146" t="s">
        <v>7</v>
      </c>
      <c r="D146" t="s">
        <v>59</v>
      </c>
      <c r="E146" t="s">
        <v>30</v>
      </c>
      <c r="F146">
        <v>43</v>
      </c>
      <c r="G146" t="s">
        <v>115</v>
      </c>
      <c r="H146" t="s">
        <v>32</v>
      </c>
      <c r="I146" t="s">
        <v>53</v>
      </c>
      <c r="J146" t="s">
        <v>45</v>
      </c>
      <c r="K146">
        <v>3.2</v>
      </c>
      <c r="L146" t="s">
        <v>14</v>
      </c>
      <c r="M146" t="s">
        <v>15</v>
      </c>
      <c r="N146" t="s">
        <v>14</v>
      </c>
      <c r="O146">
        <v>25</v>
      </c>
      <c r="P146" t="s">
        <v>21</v>
      </c>
      <c r="Q146" t="s">
        <v>76</v>
      </c>
      <c r="R146" t="str" cm="1">
        <f t="array" ref="R146">_xlfn.IFS(B146&lt;31,"Young-Adult",B146&lt;41,"Adult",B146&lt;61,"Middle-aged",B146&gt;=61,"Senior")</f>
        <v>Young-Adult</v>
      </c>
      <c r="S146" cm="1">
        <f t="array" ref="S146">_xlfn.IFS(Q146 ="Fortnightly",14,Q146="Weekly",7,Q146="Monthly",30,Q146="Quarterly",90,Q146="Bi-Weekly",14,Q146="Annually",365,Q146="Every 3 Months",90,TRUE,"NOT FOUND")</f>
        <v>30</v>
      </c>
    </row>
    <row r="147" spans="1:19" x14ac:dyDescent="0.35">
      <c r="A147">
        <v>146</v>
      </c>
      <c r="B147">
        <v>24</v>
      </c>
      <c r="C147" t="s">
        <v>7</v>
      </c>
      <c r="D147" t="s">
        <v>94</v>
      </c>
      <c r="E147" t="s">
        <v>55</v>
      </c>
      <c r="F147">
        <v>95</v>
      </c>
      <c r="G147" t="s">
        <v>56</v>
      </c>
      <c r="H147" t="s">
        <v>32</v>
      </c>
      <c r="I147" t="s">
        <v>73</v>
      </c>
      <c r="J147" t="s">
        <v>45</v>
      </c>
      <c r="K147">
        <v>4.5</v>
      </c>
      <c r="L147" t="s">
        <v>14</v>
      </c>
      <c r="M147" t="s">
        <v>42</v>
      </c>
      <c r="N147" t="s">
        <v>14</v>
      </c>
      <c r="O147">
        <v>44</v>
      </c>
      <c r="P147" t="s">
        <v>74</v>
      </c>
      <c r="Q147" t="s">
        <v>46</v>
      </c>
      <c r="R147" t="str" cm="1">
        <f t="array" ref="R147">_xlfn.IFS(B147&lt;31,"Young-Adult",B147&lt;41,"Adult",B147&lt;61,"Middle-aged",B147&gt;=61,"Senior")</f>
        <v>Young-Adult</v>
      </c>
      <c r="S147" cm="1">
        <f t="array" ref="S147">_xlfn.IFS(Q147 ="Fortnightly",14,Q147="Weekly",7,Q147="Monthly",30,Q147="Quarterly",90,Q147="Bi-Weekly",14,Q147="Annually",365,Q147="Every 3 Months",90,TRUE,"NOT FOUND")</f>
        <v>90</v>
      </c>
    </row>
    <row r="148" spans="1:19" x14ac:dyDescent="0.35">
      <c r="A148">
        <v>147</v>
      </c>
      <c r="B148">
        <v>52</v>
      </c>
      <c r="C148" t="s">
        <v>7</v>
      </c>
      <c r="D148" t="s">
        <v>75</v>
      </c>
      <c r="E148" t="s">
        <v>9</v>
      </c>
      <c r="F148">
        <v>30</v>
      </c>
      <c r="G148" t="s">
        <v>100</v>
      </c>
      <c r="H148" t="s">
        <v>24</v>
      </c>
      <c r="I148" t="s">
        <v>82</v>
      </c>
      <c r="J148" t="s">
        <v>45</v>
      </c>
      <c r="K148">
        <v>4</v>
      </c>
      <c r="L148" t="s">
        <v>14</v>
      </c>
      <c r="M148" t="s">
        <v>42</v>
      </c>
      <c r="N148" t="s">
        <v>14</v>
      </c>
      <c r="O148">
        <v>21</v>
      </c>
      <c r="P148" t="s">
        <v>16</v>
      </c>
      <c r="Q148" t="s">
        <v>17</v>
      </c>
      <c r="R148" t="str" cm="1">
        <f t="array" ref="R148">_xlfn.IFS(B148&lt;31,"Young-Adult",B148&lt;41,"Adult",B148&lt;61,"Middle-aged",B148&gt;=61,"Senior")</f>
        <v>Middle-aged</v>
      </c>
      <c r="S148" cm="1">
        <f t="array" ref="S148">_xlfn.IFS(Q148 ="Fortnightly",14,Q148="Weekly",7,Q148="Monthly",30,Q148="Quarterly",90,Q148="Bi-Weekly",14,Q148="Annually",365,Q148="Every 3 Months",90,TRUE,"NOT FOUND")</f>
        <v>14</v>
      </c>
    </row>
    <row r="149" spans="1:19" x14ac:dyDescent="0.35">
      <c r="A149">
        <v>148</v>
      </c>
      <c r="B149">
        <v>63</v>
      </c>
      <c r="C149" t="s">
        <v>7</v>
      </c>
      <c r="D149" t="s">
        <v>59</v>
      </c>
      <c r="E149" t="s">
        <v>30</v>
      </c>
      <c r="F149">
        <v>64</v>
      </c>
      <c r="G149" t="s">
        <v>123</v>
      </c>
      <c r="H149" t="s">
        <v>32</v>
      </c>
      <c r="I149" t="s">
        <v>61</v>
      </c>
      <c r="J149" t="s">
        <v>41</v>
      </c>
      <c r="K149">
        <v>3.5</v>
      </c>
      <c r="L149" t="s">
        <v>14</v>
      </c>
      <c r="M149" t="s">
        <v>58</v>
      </c>
      <c r="N149" t="s">
        <v>14</v>
      </c>
      <c r="O149">
        <v>31</v>
      </c>
      <c r="P149" t="s">
        <v>63</v>
      </c>
      <c r="Q149" t="s">
        <v>17</v>
      </c>
      <c r="R149" t="str" cm="1">
        <f t="array" ref="R149">_xlfn.IFS(B149&lt;31,"Young-Adult",B149&lt;41,"Adult",B149&lt;61,"Middle-aged",B149&gt;=61,"Senior")</f>
        <v>Senior</v>
      </c>
      <c r="S149" cm="1">
        <f t="array" ref="S149">_xlfn.IFS(Q149 ="Fortnightly",14,Q149="Weekly",7,Q149="Monthly",30,Q149="Quarterly",90,Q149="Bi-Weekly",14,Q149="Annually",365,Q149="Every 3 Months",90,TRUE,"NOT FOUND")</f>
        <v>14</v>
      </c>
    </row>
    <row r="150" spans="1:19" x14ac:dyDescent="0.35">
      <c r="A150">
        <v>149</v>
      </c>
      <c r="B150">
        <v>37</v>
      </c>
      <c r="C150" t="s">
        <v>7</v>
      </c>
      <c r="D150" t="s">
        <v>131</v>
      </c>
      <c r="E150" t="s">
        <v>55</v>
      </c>
      <c r="F150">
        <v>90</v>
      </c>
      <c r="G150" t="s">
        <v>39</v>
      </c>
      <c r="H150" t="s">
        <v>32</v>
      </c>
      <c r="I150" t="s">
        <v>12</v>
      </c>
      <c r="J150" t="s">
        <v>45</v>
      </c>
      <c r="K150">
        <v>2.6</v>
      </c>
      <c r="L150" t="s">
        <v>14</v>
      </c>
      <c r="M150" t="s">
        <v>62</v>
      </c>
      <c r="N150" t="s">
        <v>14</v>
      </c>
      <c r="O150">
        <v>47</v>
      </c>
      <c r="P150" t="s">
        <v>74</v>
      </c>
      <c r="Q150" t="s">
        <v>37</v>
      </c>
      <c r="R150" t="str" cm="1">
        <f t="array" ref="R150">_xlfn.IFS(B150&lt;31,"Young-Adult",B150&lt;41,"Adult",B150&lt;61,"Middle-aged",B150&gt;=61,"Senior")</f>
        <v>Adult</v>
      </c>
      <c r="S150" cm="1">
        <f t="array" ref="S150">_xlfn.IFS(Q150 ="Fortnightly",14,Q150="Weekly",7,Q150="Monthly",30,Q150="Quarterly",90,Q150="Bi-Weekly",14,Q150="Annually",365,Q150="Every 3 Months",90,TRUE,"NOT FOUND")</f>
        <v>365</v>
      </c>
    </row>
    <row r="151" spans="1:19" x14ac:dyDescent="0.35">
      <c r="A151">
        <v>150</v>
      </c>
      <c r="B151">
        <v>38</v>
      </c>
      <c r="C151" t="s">
        <v>7</v>
      </c>
      <c r="D151" t="s">
        <v>83</v>
      </c>
      <c r="E151" t="s">
        <v>9</v>
      </c>
      <c r="F151">
        <v>76</v>
      </c>
      <c r="G151" t="s">
        <v>67</v>
      </c>
      <c r="H151" t="s">
        <v>32</v>
      </c>
      <c r="I151" t="s">
        <v>40</v>
      </c>
      <c r="J151" t="s">
        <v>41</v>
      </c>
      <c r="K151">
        <v>3.2</v>
      </c>
      <c r="L151" t="s">
        <v>14</v>
      </c>
      <c r="M151" t="s">
        <v>26</v>
      </c>
      <c r="N151" t="s">
        <v>14</v>
      </c>
      <c r="O151">
        <v>14</v>
      </c>
      <c r="P151" t="s">
        <v>34</v>
      </c>
      <c r="Q151" t="s">
        <v>76</v>
      </c>
      <c r="R151" t="str" cm="1">
        <f t="array" ref="R151">_xlfn.IFS(B151&lt;31,"Young-Adult",B151&lt;41,"Adult",B151&lt;61,"Middle-aged",B151&gt;=61,"Senior")</f>
        <v>Adult</v>
      </c>
      <c r="S151" cm="1">
        <f t="array" ref="S151">_xlfn.IFS(Q151 ="Fortnightly",14,Q151="Weekly",7,Q151="Monthly",30,Q151="Quarterly",90,Q151="Bi-Weekly",14,Q151="Annually",365,Q151="Every 3 Months",90,TRUE,"NOT FOUND")</f>
        <v>30</v>
      </c>
    </row>
    <row r="152" spans="1:19" x14ac:dyDescent="0.35">
      <c r="A152">
        <v>151</v>
      </c>
      <c r="B152">
        <v>35</v>
      </c>
      <c r="C152" t="s">
        <v>7</v>
      </c>
      <c r="D152" t="s">
        <v>125</v>
      </c>
      <c r="E152" t="s">
        <v>30</v>
      </c>
      <c r="F152">
        <v>96</v>
      </c>
      <c r="G152" t="s">
        <v>87</v>
      </c>
      <c r="H152" t="s">
        <v>11</v>
      </c>
      <c r="I152" t="s">
        <v>97</v>
      </c>
      <c r="J152" t="s">
        <v>45</v>
      </c>
      <c r="K152">
        <v>4.9000000000000004</v>
      </c>
      <c r="L152" t="s">
        <v>14</v>
      </c>
      <c r="M152" t="s">
        <v>42</v>
      </c>
      <c r="N152" t="s">
        <v>14</v>
      </c>
      <c r="O152">
        <v>17</v>
      </c>
      <c r="P152" t="s">
        <v>74</v>
      </c>
      <c r="Q152" t="s">
        <v>85</v>
      </c>
      <c r="R152" t="str" cm="1">
        <f t="array" ref="R152">_xlfn.IFS(B152&lt;31,"Young-Adult",B152&lt;41,"Adult",B152&lt;61,"Middle-aged",B152&gt;=61,"Senior")</f>
        <v>Adult</v>
      </c>
      <c r="S152" cm="1">
        <f t="array" ref="S152">_xlfn.IFS(Q152 ="Fortnightly",14,Q152="Weekly",7,Q152="Monthly",30,Q152="Quarterly",90,Q152="Bi-Weekly",14,Q152="Annually",365,Q152="Every 3 Months",90,TRUE,"NOT FOUND")</f>
        <v>90</v>
      </c>
    </row>
    <row r="153" spans="1:19" x14ac:dyDescent="0.35">
      <c r="A153">
        <v>152</v>
      </c>
      <c r="B153">
        <v>28</v>
      </c>
      <c r="C153" t="s">
        <v>7</v>
      </c>
      <c r="D153" t="s">
        <v>77</v>
      </c>
      <c r="E153" t="s">
        <v>55</v>
      </c>
      <c r="F153">
        <v>47</v>
      </c>
      <c r="G153" t="s">
        <v>102</v>
      </c>
      <c r="H153" t="s">
        <v>11</v>
      </c>
      <c r="I153" t="s">
        <v>36</v>
      </c>
      <c r="J153" t="s">
        <v>45</v>
      </c>
      <c r="K153">
        <v>4.5</v>
      </c>
      <c r="L153" t="s">
        <v>14</v>
      </c>
      <c r="M153" t="s">
        <v>33</v>
      </c>
      <c r="N153" t="s">
        <v>14</v>
      </c>
      <c r="O153">
        <v>3</v>
      </c>
      <c r="P153" t="s">
        <v>16</v>
      </c>
      <c r="Q153" t="s">
        <v>37</v>
      </c>
      <c r="R153" t="str" cm="1">
        <f t="array" ref="R153">_xlfn.IFS(B153&lt;31,"Young-Adult",B153&lt;41,"Adult",B153&lt;61,"Middle-aged",B153&gt;=61,"Senior")</f>
        <v>Young-Adult</v>
      </c>
      <c r="S153" cm="1">
        <f t="array" ref="S153">_xlfn.IFS(Q153 ="Fortnightly",14,Q153="Weekly",7,Q153="Monthly",30,Q153="Quarterly",90,Q153="Bi-Weekly",14,Q153="Annually",365,Q153="Every 3 Months",90,TRUE,"NOT FOUND")</f>
        <v>365</v>
      </c>
    </row>
    <row r="154" spans="1:19" x14ac:dyDescent="0.35">
      <c r="A154">
        <v>153</v>
      </c>
      <c r="B154">
        <v>30</v>
      </c>
      <c r="C154" t="s">
        <v>7</v>
      </c>
      <c r="D154" t="s">
        <v>43</v>
      </c>
      <c r="E154" t="s">
        <v>9</v>
      </c>
      <c r="F154">
        <v>85</v>
      </c>
      <c r="G154" t="s">
        <v>119</v>
      </c>
      <c r="H154" t="s">
        <v>24</v>
      </c>
      <c r="I154" t="s">
        <v>98</v>
      </c>
      <c r="J154" t="s">
        <v>41</v>
      </c>
      <c r="K154">
        <v>4.3</v>
      </c>
      <c r="L154" t="s">
        <v>14</v>
      </c>
      <c r="M154" t="s">
        <v>15</v>
      </c>
      <c r="N154" t="s">
        <v>14</v>
      </c>
      <c r="O154">
        <v>42</v>
      </c>
      <c r="P154" t="s">
        <v>16</v>
      </c>
      <c r="Q154" t="s">
        <v>37</v>
      </c>
      <c r="R154" t="str" cm="1">
        <f t="array" ref="R154">_xlfn.IFS(B154&lt;31,"Young-Adult",B154&lt;41,"Adult",B154&lt;61,"Middle-aged",B154&gt;=61,"Senior")</f>
        <v>Young-Adult</v>
      </c>
      <c r="S154" cm="1">
        <f t="array" ref="S154">_xlfn.IFS(Q154 ="Fortnightly",14,Q154="Weekly",7,Q154="Monthly",30,Q154="Quarterly",90,Q154="Bi-Weekly",14,Q154="Annually",365,Q154="Every 3 Months",90,TRUE,"NOT FOUND")</f>
        <v>365</v>
      </c>
    </row>
    <row r="155" spans="1:19" x14ac:dyDescent="0.35">
      <c r="A155">
        <v>154</v>
      </c>
      <c r="B155">
        <v>69</v>
      </c>
      <c r="C155" t="s">
        <v>7</v>
      </c>
      <c r="D155" t="s">
        <v>92</v>
      </c>
      <c r="E155" t="s">
        <v>9</v>
      </c>
      <c r="F155">
        <v>55</v>
      </c>
      <c r="G155" t="s">
        <v>86</v>
      </c>
      <c r="H155" t="s">
        <v>32</v>
      </c>
      <c r="I155" t="s">
        <v>20</v>
      </c>
      <c r="J155" t="s">
        <v>13</v>
      </c>
      <c r="K155">
        <v>3.2</v>
      </c>
      <c r="L155" t="s">
        <v>14</v>
      </c>
      <c r="M155" t="s">
        <v>42</v>
      </c>
      <c r="N155" t="s">
        <v>14</v>
      </c>
      <c r="O155">
        <v>22</v>
      </c>
      <c r="P155" t="s">
        <v>74</v>
      </c>
      <c r="Q155" t="s">
        <v>37</v>
      </c>
      <c r="R155" t="str" cm="1">
        <f t="array" ref="R155">_xlfn.IFS(B155&lt;31,"Young-Adult",B155&lt;41,"Adult",B155&lt;61,"Middle-aged",B155&gt;=61,"Senior")</f>
        <v>Senior</v>
      </c>
      <c r="S155" cm="1">
        <f t="array" ref="S155">_xlfn.IFS(Q155 ="Fortnightly",14,Q155="Weekly",7,Q155="Monthly",30,Q155="Quarterly",90,Q155="Bi-Weekly",14,Q155="Annually",365,Q155="Every 3 Months",90,TRUE,"NOT FOUND")</f>
        <v>365</v>
      </c>
    </row>
    <row r="156" spans="1:19" x14ac:dyDescent="0.35">
      <c r="A156">
        <v>155</v>
      </c>
      <c r="B156">
        <v>41</v>
      </c>
      <c r="C156" t="s">
        <v>7</v>
      </c>
      <c r="D156" t="s">
        <v>69</v>
      </c>
      <c r="E156" t="s">
        <v>9</v>
      </c>
      <c r="F156">
        <v>98</v>
      </c>
      <c r="G156" t="s">
        <v>89</v>
      </c>
      <c r="H156" t="s">
        <v>32</v>
      </c>
      <c r="I156" t="s">
        <v>49</v>
      </c>
      <c r="J156" t="s">
        <v>45</v>
      </c>
      <c r="K156">
        <v>3.6</v>
      </c>
      <c r="L156" t="s">
        <v>14</v>
      </c>
      <c r="M156" t="s">
        <v>33</v>
      </c>
      <c r="N156" t="s">
        <v>14</v>
      </c>
      <c r="O156">
        <v>21</v>
      </c>
      <c r="P156" t="s">
        <v>16</v>
      </c>
      <c r="Q156" t="s">
        <v>46</v>
      </c>
      <c r="R156" t="str" cm="1">
        <f t="array" ref="R156">_xlfn.IFS(B156&lt;31,"Young-Adult",B156&lt;41,"Adult",B156&lt;61,"Middle-aged",B156&gt;=61,"Senior")</f>
        <v>Middle-aged</v>
      </c>
      <c r="S156" cm="1">
        <f t="array" ref="S156">_xlfn.IFS(Q156 ="Fortnightly",14,Q156="Weekly",7,Q156="Monthly",30,Q156="Quarterly",90,Q156="Bi-Weekly",14,Q156="Annually",365,Q156="Every 3 Months",90,TRUE,"NOT FOUND")</f>
        <v>90</v>
      </c>
    </row>
    <row r="157" spans="1:19" x14ac:dyDescent="0.35">
      <c r="A157">
        <v>156</v>
      </c>
      <c r="B157">
        <v>63</v>
      </c>
      <c r="C157" t="s">
        <v>7</v>
      </c>
      <c r="D157" t="s">
        <v>113</v>
      </c>
      <c r="E157" t="s">
        <v>9</v>
      </c>
      <c r="F157">
        <v>77</v>
      </c>
      <c r="G157" t="s">
        <v>19</v>
      </c>
      <c r="H157" t="s">
        <v>24</v>
      </c>
      <c r="I157" t="s">
        <v>66</v>
      </c>
      <c r="J157" t="s">
        <v>25</v>
      </c>
      <c r="K157">
        <v>4.3</v>
      </c>
      <c r="L157" t="s">
        <v>14</v>
      </c>
      <c r="M157" t="s">
        <v>26</v>
      </c>
      <c r="N157" t="s">
        <v>14</v>
      </c>
      <c r="O157">
        <v>21</v>
      </c>
      <c r="P157" t="s">
        <v>63</v>
      </c>
      <c r="Q157" t="s">
        <v>46</v>
      </c>
      <c r="R157" t="str" cm="1">
        <f t="array" ref="R157">_xlfn.IFS(B157&lt;31,"Young-Adult",B157&lt;41,"Adult",B157&lt;61,"Middle-aged",B157&gt;=61,"Senior")</f>
        <v>Senior</v>
      </c>
      <c r="S157" cm="1">
        <f t="array" ref="S157">_xlfn.IFS(Q157 ="Fortnightly",14,Q157="Weekly",7,Q157="Monthly",30,Q157="Quarterly",90,Q157="Bi-Weekly",14,Q157="Annually",365,Q157="Every 3 Months",90,TRUE,"NOT FOUND")</f>
        <v>90</v>
      </c>
    </row>
    <row r="158" spans="1:19" x14ac:dyDescent="0.35">
      <c r="A158">
        <v>157</v>
      </c>
      <c r="B158">
        <v>35</v>
      </c>
      <c r="C158" t="s">
        <v>7</v>
      </c>
      <c r="D158" t="s">
        <v>47</v>
      </c>
      <c r="E158" t="s">
        <v>9</v>
      </c>
      <c r="F158">
        <v>26</v>
      </c>
      <c r="G158" t="s">
        <v>56</v>
      </c>
      <c r="H158" t="s">
        <v>32</v>
      </c>
      <c r="I158" t="s">
        <v>81</v>
      </c>
      <c r="J158" t="s">
        <v>45</v>
      </c>
      <c r="K158">
        <v>4</v>
      </c>
      <c r="L158" t="s">
        <v>14</v>
      </c>
      <c r="M158" t="s">
        <v>42</v>
      </c>
      <c r="N158" t="s">
        <v>14</v>
      </c>
      <c r="O158">
        <v>40</v>
      </c>
      <c r="P158" t="s">
        <v>74</v>
      </c>
      <c r="Q158" t="s">
        <v>37</v>
      </c>
      <c r="R158" t="str" cm="1">
        <f t="array" ref="R158">_xlfn.IFS(B158&lt;31,"Young-Adult",B158&lt;41,"Adult",B158&lt;61,"Middle-aged",B158&gt;=61,"Senior")</f>
        <v>Adult</v>
      </c>
      <c r="S158" cm="1">
        <f t="array" ref="S158">_xlfn.IFS(Q158 ="Fortnightly",14,Q158="Weekly",7,Q158="Monthly",30,Q158="Quarterly",90,Q158="Bi-Weekly",14,Q158="Annually",365,Q158="Every 3 Months",90,TRUE,"NOT FOUND")</f>
        <v>365</v>
      </c>
    </row>
    <row r="159" spans="1:19" x14ac:dyDescent="0.35">
      <c r="A159">
        <v>158</v>
      </c>
      <c r="B159">
        <v>36</v>
      </c>
      <c r="C159" t="s">
        <v>7</v>
      </c>
      <c r="D159" t="s">
        <v>112</v>
      </c>
      <c r="E159" t="s">
        <v>55</v>
      </c>
      <c r="F159">
        <v>68</v>
      </c>
      <c r="G159" t="s">
        <v>117</v>
      </c>
      <c r="H159" t="s">
        <v>24</v>
      </c>
      <c r="I159" t="s">
        <v>122</v>
      </c>
      <c r="J159" t="s">
        <v>45</v>
      </c>
      <c r="K159">
        <v>3</v>
      </c>
      <c r="L159" t="s">
        <v>14</v>
      </c>
      <c r="M159" t="s">
        <v>33</v>
      </c>
      <c r="N159" t="s">
        <v>14</v>
      </c>
      <c r="O159">
        <v>1</v>
      </c>
      <c r="P159" t="s">
        <v>63</v>
      </c>
      <c r="Q159" t="s">
        <v>17</v>
      </c>
      <c r="R159" t="str" cm="1">
        <f t="array" ref="R159">_xlfn.IFS(B159&lt;31,"Young-Adult",B159&lt;41,"Adult",B159&lt;61,"Middle-aged",B159&gt;=61,"Senior")</f>
        <v>Adult</v>
      </c>
      <c r="S159" cm="1">
        <f t="array" ref="S159">_xlfn.IFS(Q159 ="Fortnightly",14,Q159="Weekly",7,Q159="Monthly",30,Q159="Quarterly",90,Q159="Bi-Weekly",14,Q159="Annually",365,Q159="Every 3 Months",90,TRUE,"NOT FOUND")</f>
        <v>14</v>
      </c>
    </row>
    <row r="160" spans="1:19" x14ac:dyDescent="0.35">
      <c r="A160">
        <v>159</v>
      </c>
      <c r="B160">
        <v>25</v>
      </c>
      <c r="C160" t="s">
        <v>7</v>
      </c>
      <c r="D160" t="s">
        <v>43</v>
      </c>
      <c r="E160" t="s">
        <v>9</v>
      </c>
      <c r="F160">
        <v>73</v>
      </c>
      <c r="G160" t="s">
        <v>127</v>
      </c>
      <c r="H160" t="s">
        <v>80</v>
      </c>
      <c r="I160" t="s">
        <v>73</v>
      </c>
      <c r="J160" t="s">
        <v>45</v>
      </c>
      <c r="K160">
        <v>4.0999999999999996</v>
      </c>
      <c r="L160" t="s">
        <v>14</v>
      </c>
      <c r="M160" t="s">
        <v>42</v>
      </c>
      <c r="N160" t="s">
        <v>14</v>
      </c>
      <c r="O160">
        <v>50</v>
      </c>
      <c r="P160" t="s">
        <v>63</v>
      </c>
      <c r="Q160" t="s">
        <v>76</v>
      </c>
      <c r="R160" t="str" cm="1">
        <f t="array" ref="R160">_xlfn.IFS(B160&lt;31,"Young-Adult",B160&lt;41,"Adult",B160&lt;61,"Middle-aged",B160&gt;=61,"Senior")</f>
        <v>Young-Adult</v>
      </c>
      <c r="S160" cm="1">
        <f t="array" ref="S160">_xlfn.IFS(Q160 ="Fortnightly",14,Q160="Weekly",7,Q160="Monthly",30,Q160="Quarterly",90,Q160="Bi-Weekly",14,Q160="Annually",365,Q160="Every 3 Months",90,TRUE,"NOT FOUND")</f>
        <v>30</v>
      </c>
    </row>
    <row r="161" spans="1:19" x14ac:dyDescent="0.35">
      <c r="A161">
        <v>160</v>
      </c>
      <c r="B161">
        <v>58</v>
      </c>
      <c r="C161" t="s">
        <v>7</v>
      </c>
      <c r="D161" t="s">
        <v>131</v>
      </c>
      <c r="E161" t="s">
        <v>55</v>
      </c>
      <c r="F161">
        <v>27</v>
      </c>
      <c r="G161" t="s">
        <v>70</v>
      </c>
      <c r="H161" t="s">
        <v>32</v>
      </c>
      <c r="I161" t="s">
        <v>49</v>
      </c>
      <c r="J161" t="s">
        <v>45</v>
      </c>
      <c r="K161">
        <v>3.8</v>
      </c>
      <c r="L161" t="s">
        <v>14</v>
      </c>
      <c r="M161" t="s">
        <v>62</v>
      </c>
      <c r="N161" t="s">
        <v>14</v>
      </c>
      <c r="O161">
        <v>39</v>
      </c>
      <c r="P161" t="s">
        <v>63</v>
      </c>
      <c r="Q161" t="s">
        <v>85</v>
      </c>
      <c r="R161" t="str" cm="1">
        <f t="array" ref="R161">_xlfn.IFS(B161&lt;31,"Young-Adult",B161&lt;41,"Adult",B161&lt;61,"Middle-aged",B161&gt;=61,"Senior")</f>
        <v>Middle-aged</v>
      </c>
      <c r="S161" cm="1">
        <f t="array" ref="S161">_xlfn.IFS(Q161 ="Fortnightly",14,Q161="Weekly",7,Q161="Monthly",30,Q161="Quarterly",90,Q161="Bi-Weekly",14,Q161="Annually",365,Q161="Every 3 Months",90,TRUE,"NOT FOUND")</f>
        <v>90</v>
      </c>
    </row>
    <row r="162" spans="1:19" x14ac:dyDescent="0.35">
      <c r="A162">
        <v>161</v>
      </c>
      <c r="B162">
        <v>27</v>
      </c>
      <c r="C162" t="s">
        <v>7</v>
      </c>
      <c r="D162" t="s">
        <v>131</v>
      </c>
      <c r="E162" t="s">
        <v>55</v>
      </c>
      <c r="F162">
        <v>23</v>
      </c>
      <c r="G162" t="s">
        <v>93</v>
      </c>
      <c r="H162" t="s">
        <v>32</v>
      </c>
      <c r="I162" t="s">
        <v>109</v>
      </c>
      <c r="J162" t="s">
        <v>41</v>
      </c>
      <c r="K162">
        <v>4.5999999999999996</v>
      </c>
      <c r="L162" t="s">
        <v>14</v>
      </c>
      <c r="M162" t="s">
        <v>26</v>
      </c>
      <c r="N162" t="s">
        <v>14</v>
      </c>
      <c r="O162">
        <v>34</v>
      </c>
      <c r="P162" t="s">
        <v>16</v>
      </c>
      <c r="Q162" t="s">
        <v>76</v>
      </c>
      <c r="R162" t="str" cm="1">
        <f t="array" ref="R162">_xlfn.IFS(B162&lt;31,"Young-Adult",B162&lt;41,"Adult",B162&lt;61,"Middle-aged",B162&gt;=61,"Senior")</f>
        <v>Young-Adult</v>
      </c>
      <c r="S162" cm="1">
        <f t="array" ref="S162">_xlfn.IFS(Q162 ="Fortnightly",14,Q162="Weekly",7,Q162="Monthly",30,Q162="Quarterly",90,Q162="Bi-Weekly",14,Q162="Annually",365,Q162="Every 3 Months",90,TRUE,"NOT FOUND")</f>
        <v>30</v>
      </c>
    </row>
    <row r="163" spans="1:19" x14ac:dyDescent="0.35">
      <c r="A163">
        <v>162</v>
      </c>
      <c r="B163">
        <v>65</v>
      </c>
      <c r="C163" t="s">
        <v>7</v>
      </c>
      <c r="D163" t="s">
        <v>120</v>
      </c>
      <c r="E163" t="s">
        <v>55</v>
      </c>
      <c r="F163">
        <v>49</v>
      </c>
      <c r="G163" t="s">
        <v>102</v>
      </c>
      <c r="H163" t="s">
        <v>32</v>
      </c>
      <c r="I163" t="s">
        <v>66</v>
      </c>
      <c r="J163" t="s">
        <v>45</v>
      </c>
      <c r="K163">
        <v>3</v>
      </c>
      <c r="L163" t="s">
        <v>14</v>
      </c>
      <c r="M163" t="s">
        <v>15</v>
      </c>
      <c r="N163" t="s">
        <v>14</v>
      </c>
      <c r="O163">
        <v>29</v>
      </c>
      <c r="P163" t="s">
        <v>16</v>
      </c>
      <c r="Q163" t="s">
        <v>17</v>
      </c>
      <c r="R163" t="str" cm="1">
        <f t="array" ref="R163">_xlfn.IFS(B163&lt;31,"Young-Adult",B163&lt;41,"Adult",B163&lt;61,"Middle-aged",B163&gt;=61,"Senior")</f>
        <v>Senior</v>
      </c>
      <c r="S163" cm="1">
        <f t="array" ref="S163">_xlfn.IFS(Q163 ="Fortnightly",14,Q163="Weekly",7,Q163="Monthly",30,Q163="Quarterly",90,Q163="Bi-Weekly",14,Q163="Annually",365,Q163="Every 3 Months",90,TRUE,"NOT FOUND")</f>
        <v>14</v>
      </c>
    </row>
    <row r="164" spans="1:19" x14ac:dyDescent="0.35">
      <c r="A164">
        <v>163</v>
      </c>
      <c r="B164">
        <v>54</v>
      </c>
      <c r="C164" t="s">
        <v>7</v>
      </c>
      <c r="D164" t="s">
        <v>77</v>
      </c>
      <c r="E164" t="s">
        <v>55</v>
      </c>
      <c r="F164">
        <v>74</v>
      </c>
      <c r="G164" t="s">
        <v>87</v>
      </c>
      <c r="H164" t="s">
        <v>32</v>
      </c>
      <c r="I164" t="s">
        <v>36</v>
      </c>
      <c r="J164" t="s">
        <v>41</v>
      </c>
      <c r="K164">
        <v>3</v>
      </c>
      <c r="L164" t="s">
        <v>14</v>
      </c>
      <c r="M164" t="s">
        <v>62</v>
      </c>
      <c r="N164" t="s">
        <v>14</v>
      </c>
      <c r="O164">
        <v>31</v>
      </c>
      <c r="P164" t="s">
        <v>34</v>
      </c>
      <c r="Q164" t="s">
        <v>64</v>
      </c>
      <c r="R164" t="str" cm="1">
        <f t="array" ref="R164">_xlfn.IFS(B164&lt;31,"Young-Adult",B164&lt;41,"Adult",B164&lt;61,"Middle-aged",B164&gt;=61,"Senior")</f>
        <v>Middle-aged</v>
      </c>
      <c r="S164" cm="1">
        <f t="array" ref="S164">_xlfn.IFS(Q164 ="Fortnightly",14,Q164="Weekly",7,Q164="Monthly",30,Q164="Quarterly",90,Q164="Bi-Weekly",14,Q164="Annually",365,Q164="Every 3 Months",90,TRUE,"NOT FOUND")</f>
        <v>14</v>
      </c>
    </row>
    <row r="165" spans="1:19" x14ac:dyDescent="0.35">
      <c r="A165">
        <v>164</v>
      </c>
      <c r="B165">
        <v>54</v>
      </c>
      <c r="C165" t="s">
        <v>7</v>
      </c>
      <c r="D165" t="s">
        <v>75</v>
      </c>
      <c r="E165" t="s">
        <v>9</v>
      </c>
      <c r="F165">
        <v>67</v>
      </c>
      <c r="G165" t="s">
        <v>129</v>
      </c>
      <c r="H165" t="s">
        <v>32</v>
      </c>
      <c r="I165" t="s">
        <v>61</v>
      </c>
      <c r="J165" t="s">
        <v>41</v>
      </c>
      <c r="K165">
        <v>3.4</v>
      </c>
      <c r="L165" t="s">
        <v>14</v>
      </c>
      <c r="M165" t="s">
        <v>42</v>
      </c>
      <c r="N165" t="s">
        <v>14</v>
      </c>
      <c r="O165">
        <v>8</v>
      </c>
      <c r="P165" t="s">
        <v>74</v>
      </c>
      <c r="Q165" t="s">
        <v>28</v>
      </c>
      <c r="R165" t="str" cm="1">
        <f t="array" ref="R165">_xlfn.IFS(B165&lt;31,"Young-Adult",B165&lt;41,"Adult",B165&lt;61,"Middle-aged",B165&gt;=61,"Senior")</f>
        <v>Middle-aged</v>
      </c>
      <c r="S165" cm="1">
        <f t="array" ref="S165">_xlfn.IFS(Q165 ="Fortnightly",14,Q165="Weekly",7,Q165="Monthly",30,Q165="Quarterly",90,Q165="Bi-Weekly",14,Q165="Annually",365,Q165="Every 3 Months",90,TRUE,"NOT FOUND")</f>
        <v>7</v>
      </c>
    </row>
    <row r="166" spans="1:19" x14ac:dyDescent="0.35">
      <c r="A166">
        <v>165</v>
      </c>
      <c r="B166">
        <v>59</v>
      </c>
      <c r="C166" t="s">
        <v>7</v>
      </c>
      <c r="D166" t="s">
        <v>54</v>
      </c>
      <c r="E166" t="s">
        <v>55</v>
      </c>
      <c r="F166">
        <v>65</v>
      </c>
      <c r="G166" t="s">
        <v>67</v>
      </c>
      <c r="H166" t="s">
        <v>24</v>
      </c>
      <c r="I166" t="s">
        <v>61</v>
      </c>
      <c r="J166" t="s">
        <v>25</v>
      </c>
      <c r="K166">
        <v>2.6</v>
      </c>
      <c r="L166" t="s">
        <v>14</v>
      </c>
      <c r="M166" t="s">
        <v>26</v>
      </c>
      <c r="N166" t="s">
        <v>14</v>
      </c>
      <c r="O166">
        <v>5</v>
      </c>
      <c r="P166" t="s">
        <v>27</v>
      </c>
      <c r="Q166" t="s">
        <v>17</v>
      </c>
      <c r="R166" t="str" cm="1">
        <f t="array" ref="R166">_xlfn.IFS(B166&lt;31,"Young-Adult",B166&lt;41,"Adult",B166&lt;61,"Middle-aged",B166&gt;=61,"Senior")</f>
        <v>Middle-aged</v>
      </c>
      <c r="S166" cm="1">
        <f t="array" ref="S166">_xlfn.IFS(Q166 ="Fortnightly",14,Q166="Weekly",7,Q166="Monthly",30,Q166="Quarterly",90,Q166="Bi-Weekly",14,Q166="Annually",365,Q166="Every 3 Months",90,TRUE,"NOT FOUND")</f>
        <v>14</v>
      </c>
    </row>
    <row r="167" spans="1:19" x14ac:dyDescent="0.35">
      <c r="A167">
        <v>166</v>
      </c>
      <c r="B167">
        <v>42</v>
      </c>
      <c r="C167" t="s">
        <v>7</v>
      </c>
      <c r="D167" t="s">
        <v>54</v>
      </c>
      <c r="E167" t="s">
        <v>55</v>
      </c>
      <c r="F167">
        <v>60</v>
      </c>
      <c r="G167" t="s">
        <v>10</v>
      </c>
      <c r="H167" t="s">
        <v>24</v>
      </c>
      <c r="I167" t="s">
        <v>122</v>
      </c>
      <c r="J167" t="s">
        <v>13</v>
      </c>
      <c r="K167">
        <v>2.8</v>
      </c>
      <c r="L167" t="s">
        <v>14</v>
      </c>
      <c r="M167" t="s">
        <v>62</v>
      </c>
      <c r="N167" t="s">
        <v>14</v>
      </c>
      <c r="O167">
        <v>7</v>
      </c>
      <c r="P167" t="s">
        <v>21</v>
      </c>
      <c r="Q167" t="s">
        <v>76</v>
      </c>
      <c r="R167" t="str" cm="1">
        <f t="array" ref="R167">_xlfn.IFS(B167&lt;31,"Young-Adult",B167&lt;41,"Adult",B167&lt;61,"Middle-aged",B167&gt;=61,"Senior")</f>
        <v>Middle-aged</v>
      </c>
      <c r="S167" cm="1">
        <f t="array" ref="S167">_xlfn.IFS(Q167 ="Fortnightly",14,Q167="Weekly",7,Q167="Monthly",30,Q167="Quarterly",90,Q167="Bi-Weekly",14,Q167="Annually",365,Q167="Every 3 Months",90,TRUE,"NOT FOUND")</f>
        <v>30</v>
      </c>
    </row>
    <row r="168" spans="1:19" x14ac:dyDescent="0.35">
      <c r="A168">
        <v>167</v>
      </c>
      <c r="B168">
        <v>46</v>
      </c>
      <c r="C168" t="s">
        <v>7</v>
      </c>
      <c r="D168" t="s">
        <v>38</v>
      </c>
      <c r="E168" t="s">
        <v>30</v>
      </c>
      <c r="F168">
        <v>31</v>
      </c>
      <c r="G168" t="s">
        <v>67</v>
      </c>
      <c r="H168" t="s">
        <v>80</v>
      </c>
      <c r="I168" t="s">
        <v>114</v>
      </c>
      <c r="J168" t="s">
        <v>45</v>
      </c>
      <c r="K168">
        <v>4</v>
      </c>
      <c r="L168" t="s">
        <v>14</v>
      </c>
      <c r="M168" t="s">
        <v>62</v>
      </c>
      <c r="N168" t="s">
        <v>14</v>
      </c>
      <c r="O168">
        <v>30</v>
      </c>
      <c r="P168" t="s">
        <v>21</v>
      </c>
      <c r="Q168" t="s">
        <v>76</v>
      </c>
      <c r="R168" t="str" cm="1">
        <f t="array" ref="R168">_xlfn.IFS(B168&lt;31,"Young-Adult",B168&lt;41,"Adult",B168&lt;61,"Middle-aged",B168&gt;=61,"Senior")</f>
        <v>Middle-aged</v>
      </c>
      <c r="S168" cm="1">
        <f t="array" ref="S168">_xlfn.IFS(Q168 ="Fortnightly",14,Q168="Weekly",7,Q168="Monthly",30,Q168="Quarterly",90,Q168="Bi-Weekly",14,Q168="Annually",365,Q168="Every 3 Months",90,TRUE,"NOT FOUND")</f>
        <v>30</v>
      </c>
    </row>
    <row r="169" spans="1:19" x14ac:dyDescent="0.35">
      <c r="A169">
        <v>168</v>
      </c>
      <c r="B169">
        <v>33</v>
      </c>
      <c r="C169" t="s">
        <v>7</v>
      </c>
      <c r="D169" t="s">
        <v>131</v>
      </c>
      <c r="E169" t="s">
        <v>55</v>
      </c>
      <c r="F169">
        <v>27</v>
      </c>
      <c r="G169" t="s">
        <v>60</v>
      </c>
      <c r="H169" t="s">
        <v>32</v>
      </c>
      <c r="I169" t="s">
        <v>84</v>
      </c>
      <c r="J169" t="s">
        <v>45</v>
      </c>
      <c r="K169">
        <v>4</v>
      </c>
      <c r="L169" t="s">
        <v>14</v>
      </c>
      <c r="M169" t="s">
        <v>15</v>
      </c>
      <c r="N169" t="s">
        <v>14</v>
      </c>
      <c r="O169">
        <v>14</v>
      </c>
      <c r="P169" t="s">
        <v>27</v>
      </c>
      <c r="Q169" t="s">
        <v>85</v>
      </c>
      <c r="R169" t="str" cm="1">
        <f t="array" ref="R169">_xlfn.IFS(B169&lt;31,"Young-Adult",B169&lt;41,"Adult",B169&lt;61,"Middle-aged",B169&gt;=61,"Senior")</f>
        <v>Adult</v>
      </c>
      <c r="S169" cm="1">
        <f t="array" ref="S169">_xlfn.IFS(Q169 ="Fortnightly",14,Q169="Weekly",7,Q169="Monthly",30,Q169="Quarterly",90,Q169="Bi-Weekly",14,Q169="Annually",365,Q169="Every 3 Months",90,TRUE,"NOT FOUND")</f>
        <v>90</v>
      </c>
    </row>
    <row r="170" spans="1:19" x14ac:dyDescent="0.35">
      <c r="A170">
        <v>169</v>
      </c>
      <c r="B170">
        <v>34</v>
      </c>
      <c r="C170" t="s">
        <v>7</v>
      </c>
      <c r="D170" t="s">
        <v>59</v>
      </c>
      <c r="E170" t="s">
        <v>30</v>
      </c>
      <c r="F170">
        <v>80</v>
      </c>
      <c r="G170" t="s">
        <v>48</v>
      </c>
      <c r="H170" t="s">
        <v>32</v>
      </c>
      <c r="I170" t="s">
        <v>124</v>
      </c>
      <c r="J170" t="s">
        <v>41</v>
      </c>
      <c r="K170">
        <v>3</v>
      </c>
      <c r="L170" t="s">
        <v>14</v>
      </c>
      <c r="M170" t="s">
        <v>15</v>
      </c>
      <c r="N170" t="s">
        <v>14</v>
      </c>
      <c r="O170">
        <v>5</v>
      </c>
      <c r="P170" t="s">
        <v>21</v>
      </c>
      <c r="Q170" t="s">
        <v>17</v>
      </c>
      <c r="R170" t="str" cm="1">
        <f t="array" ref="R170">_xlfn.IFS(B170&lt;31,"Young-Adult",B170&lt;41,"Adult",B170&lt;61,"Middle-aged",B170&gt;=61,"Senior")</f>
        <v>Adult</v>
      </c>
      <c r="S170" cm="1">
        <f t="array" ref="S170">_xlfn.IFS(Q170 ="Fortnightly",14,Q170="Weekly",7,Q170="Monthly",30,Q170="Quarterly",90,Q170="Bi-Weekly",14,Q170="Annually",365,Q170="Every 3 Months",90,TRUE,"NOT FOUND")</f>
        <v>14</v>
      </c>
    </row>
    <row r="171" spans="1:19" x14ac:dyDescent="0.35">
      <c r="A171">
        <v>170</v>
      </c>
      <c r="B171">
        <v>27</v>
      </c>
      <c r="C171" t="s">
        <v>7</v>
      </c>
      <c r="D171" t="s">
        <v>90</v>
      </c>
      <c r="E171" t="s">
        <v>51</v>
      </c>
      <c r="F171">
        <v>30</v>
      </c>
      <c r="G171" t="s">
        <v>95</v>
      </c>
      <c r="H171" t="s">
        <v>24</v>
      </c>
      <c r="I171" t="s">
        <v>68</v>
      </c>
      <c r="J171" t="s">
        <v>41</v>
      </c>
      <c r="K171">
        <v>3.3</v>
      </c>
      <c r="L171" t="s">
        <v>14</v>
      </c>
      <c r="M171" t="s">
        <v>42</v>
      </c>
      <c r="N171" t="s">
        <v>14</v>
      </c>
      <c r="O171">
        <v>3</v>
      </c>
      <c r="P171" t="s">
        <v>34</v>
      </c>
      <c r="Q171" t="s">
        <v>85</v>
      </c>
      <c r="R171" t="str" cm="1">
        <f t="array" ref="R171">_xlfn.IFS(B171&lt;31,"Young-Adult",B171&lt;41,"Adult",B171&lt;61,"Middle-aged",B171&gt;=61,"Senior")</f>
        <v>Young-Adult</v>
      </c>
      <c r="S171" cm="1">
        <f t="array" ref="S171">_xlfn.IFS(Q171 ="Fortnightly",14,Q171="Weekly",7,Q171="Monthly",30,Q171="Quarterly",90,Q171="Bi-Weekly",14,Q171="Annually",365,Q171="Every 3 Months",90,TRUE,"NOT FOUND")</f>
        <v>90</v>
      </c>
    </row>
    <row r="172" spans="1:19" x14ac:dyDescent="0.35">
      <c r="A172">
        <v>171</v>
      </c>
      <c r="B172">
        <v>52</v>
      </c>
      <c r="C172" t="s">
        <v>7</v>
      </c>
      <c r="D172" t="s">
        <v>43</v>
      </c>
      <c r="E172" t="s">
        <v>9</v>
      </c>
      <c r="F172">
        <v>25</v>
      </c>
      <c r="G172" t="s">
        <v>39</v>
      </c>
      <c r="H172" t="s">
        <v>32</v>
      </c>
      <c r="I172" t="s">
        <v>20</v>
      </c>
      <c r="J172" t="s">
        <v>45</v>
      </c>
      <c r="K172">
        <v>2.6</v>
      </c>
      <c r="L172" t="s">
        <v>14</v>
      </c>
      <c r="M172" t="s">
        <v>62</v>
      </c>
      <c r="N172" t="s">
        <v>14</v>
      </c>
      <c r="O172">
        <v>46</v>
      </c>
      <c r="P172" t="s">
        <v>16</v>
      </c>
      <c r="Q172" t="s">
        <v>64</v>
      </c>
      <c r="R172" t="str" cm="1">
        <f t="array" ref="R172">_xlfn.IFS(B172&lt;31,"Young-Adult",B172&lt;41,"Adult",B172&lt;61,"Middle-aged",B172&gt;=61,"Senior")</f>
        <v>Middle-aged</v>
      </c>
      <c r="S172" cm="1">
        <f t="array" ref="S172">_xlfn.IFS(Q172 ="Fortnightly",14,Q172="Weekly",7,Q172="Monthly",30,Q172="Quarterly",90,Q172="Bi-Weekly",14,Q172="Annually",365,Q172="Every 3 Months",90,TRUE,"NOT FOUND")</f>
        <v>14</v>
      </c>
    </row>
    <row r="173" spans="1:19" x14ac:dyDescent="0.35">
      <c r="A173">
        <v>172</v>
      </c>
      <c r="B173">
        <v>29</v>
      </c>
      <c r="C173" t="s">
        <v>7</v>
      </c>
      <c r="D173" t="s">
        <v>47</v>
      </c>
      <c r="E173" t="s">
        <v>9</v>
      </c>
      <c r="F173">
        <v>35</v>
      </c>
      <c r="G173" t="s">
        <v>129</v>
      </c>
      <c r="H173" t="s">
        <v>32</v>
      </c>
      <c r="I173" t="s">
        <v>132</v>
      </c>
      <c r="J173" t="s">
        <v>41</v>
      </c>
      <c r="K173">
        <v>3.6</v>
      </c>
      <c r="L173" t="s">
        <v>14</v>
      </c>
      <c r="M173" t="s">
        <v>62</v>
      </c>
      <c r="N173" t="s">
        <v>14</v>
      </c>
      <c r="O173">
        <v>4</v>
      </c>
      <c r="P173" t="s">
        <v>27</v>
      </c>
      <c r="Q173" t="s">
        <v>28</v>
      </c>
      <c r="R173" t="str" cm="1">
        <f t="array" ref="R173">_xlfn.IFS(B173&lt;31,"Young-Adult",B173&lt;41,"Adult",B173&lt;61,"Middle-aged",B173&gt;=61,"Senior")</f>
        <v>Young-Adult</v>
      </c>
      <c r="S173" cm="1">
        <f t="array" ref="S173">_xlfn.IFS(Q173 ="Fortnightly",14,Q173="Weekly",7,Q173="Monthly",30,Q173="Quarterly",90,Q173="Bi-Weekly",14,Q173="Annually",365,Q173="Every 3 Months",90,TRUE,"NOT FOUND")</f>
        <v>7</v>
      </c>
    </row>
    <row r="174" spans="1:19" x14ac:dyDescent="0.35">
      <c r="A174">
        <v>173</v>
      </c>
      <c r="B174">
        <v>54</v>
      </c>
      <c r="C174" t="s">
        <v>7</v>
      </c>
      <c r="D174" t="s">
        <v>94</v>
      </c>
      <c r="E174" t="s">
        <v>55</v>
      </c>
      <c r="F174">
        <v>67</v>
      </c>
      <c r="G174" t="s">
        <v>133</v>
      </c>
      <c r="H174" t="s">
        <v>32</v>
      </c>
      <c r="I174" t="s">
        <v>71</v>
      </c>
      <c r="J174" t="s">
        <v>41</v>
      </c>
      <c r="K174">
        <v>3.9</v>
      </c>
      <c r="L174" t="s">
        <v>14</v>
      </c>
      <c r="M174" t="s">
        <v>33</v>
      </c>
      <c r="N174" t="s">
        <v>14</v>
      </c>
      <c r="O174">
        <v>42</v>
      </c>
      <c r="P174" t="s">
        <v>27</v>
      </c>
      <c r="Q174" t="s">
        <v>64</v>
      </c>
      <c r="R174" t="str" cm="1">
        <f t="array" ref="R174">_xlfn.IFS(B174&lt;31,"Young-Adult",B174&lt;41,"Adult",B174&lt;61,"Middle-aged",B174&gt;=61,"Senior")</f>
        <v>Middle-aged</v>
      </c>
      <c r="S174" cm="1">
        <f t="array" ref="S174">_xlfn.IFS(Q174 ="Fortnightly",14,Q174="Weekly",7,Q174="Monthly",30,Q174="Quarterly",90,Q174="Bi-Weekly",14,Q174="Annually",365,Q174="Every 3 Months",90,TRUE,"NOT FOUND")</f>
        <v>14</v>
      </c>
    </row>
    <row r="175" spans="1:19" x14ac:dyDescent="0.35">
      <c r="A175">
        <v>174</v>
      </c>
      <c r="B175">
        <v>25</v>
      </c>
      <c r="C175" t="s">
        <v>7</v>
      </c>
      <c r="D175" t="s">
        <v>112</v>
      </c>
      <c r="E175" t="s">
        <v>55</v>
      </c>
      <c r="F175">
        <v>46</v>
      </c>
      <c r="G175" t="s">
        <v>65</v>
      </c>
      <c r="H175" t="s">
        <v>32</v>
      </c>
      <c r="I175" t="s">
        <v>36</v>
      </c>
      <c r="J175" t="s">
        <v>45</v>
      </c>
      <c r="K175">
        <v>3.4</v>
      </c>
      <c r="L175" t="s">
        <v>14</v>
      </c>
      <c r="M175" t="s">
        <v>42</v>
      </c>
      <c r="N175" t="s">
        <v>14</v>
      </c>
      <c r="O175">
        <v>30</v>
      </c>
      <c r="P175" t="s">
        <v>21</v>
      </c>
      <c r="Q175" t="s">
        <v>37</v>
      </c>
      <c r="R175" t="str" cm="1">
        <f t="array" ref="R175">_xlfn.IFS(B175&lt;31,"Young-Adult",B175&lt;41,"Adult",B175&lt;61,"Middle-aged",B175&gt;=61,"Senior")</f>
        <v>Young-Adult</v>
      </c>
      <c r="S175" cm="1">
        <f t="array" ref="S175">_xlfn.IFS(Q175 ="Fortnightly",14,Q175="Weekly",7,Q175="Monthly",30,Q175="Quarterly",90,Q175="Bi-Weekly",14,Q175="Annually",365,Q175="Every 3 Months",90,TRUE,"NOT FOUND")</f>
        <v>365</v>
      </c>
    </row>
    <row r="176" spans="1:19" x14ac:dyDescent="0.35">
      <c r="A176">
        <v>175</v>
      </c>
      <c r="B176">
        <v>41</v>
      </c>
      <c r="C176" t="s">
        <v>7</v>
      </c>
      <c r="D176" t="s">
        <v>59</v>
      </c>
      <c r="E176" t="s">
        <v>30</v>
      </c>
      <c r="F176">
        <v>35</v>
      </c>
      <c r="G176" t="s">
        <v>117</v>
      </c>
      <c r="H176" t="s">
        <v>11</v>
      </c>
      <c r="I176" t="s">
        <v>98</v>
      </c>
      <c r="J176" t="s">
        <v>13</v>
      </c>
      <c r="K176">
        <v>3.5</v>
      </c>
      <c r="L176" t="s">
        <v>14</v>
      </c>
      <c r="M176" t="s">
        <v>15</v>
      </c>
      <c r="N176" t="s">
        <v>14</v>
      </c>
      <c r="O176">
        <v>37</v>
      </c>
      <c r="P176" t="s">
        <v>16</v>
      </c>
      <c r="Q176" t="s">
        <v>37</v>
      </c>
      <c r="R176" t="str" cm="1">
        <f t="array" ref="R176">_xlfn.IFS(B176&lt;31,"Young-Adult",B176&lt;41,"Adult",B176&lt;61,"Middle-aged",B176&gt;=61,"Senior")</f>
        <v>Middle-aged</v>
      </c>
      <c r="S176" cm="1">
        <f t="array" ref="S176">_xlfn.IFS(Q176 ="Fortnightly",14,Q176="Weekly",7,Q176="Monthly",30,Q176="Quarterly",90,Q176="Bi-Weekly",14,Q176="Annually",365,Q176="Every 3 Months",90,TRUE,"NOT FOUND")</f>
        <v>365</v>
      </c>
    </row>
    <row r="177" spans="1:19" x14ac:dyDescent="0.35">
      <c r="A177">
        <v>176</v>
      </c>
      <c r="B177">
        <v>53</v>
      </c>
      <c r="C177" t="s">
        <v>7</v>
      </c>
      <c r="D177" t="s">
        <v>50</v>
      </c>
      <c r="E177" t="s">
        <v>51</v>
      </c>
      <c r="F177">
        <v>86</v>
      </c>
      <c r="G177" t="s">
        <v>89</v>
      </c>
      <c r="H177" t="s">
        <v>11</v>
      </c>
      <c r="I177" t="s">
        <v>71</v>
      </c>
      <c r="J177" t="s">
        <v>45</v>
      </c>
      <c r="K177">
        <v>2.8</v>
      </c>
      <c r="L177" t="s">
        <v>14</v>
      </c>
      <c r="M177" t="s">
        <v>33</v>
      </c>
      <c r="N177" t="s">
        <v>14</v>
      </c>
      <c r="O177">
        <v>2</v>
      </c>
      <c r="P177" t="s">
        <v>63</v>
      </c>
      <c r="Q177" t="s">
        <v>37</v>
      </c>
      <c r="R177" t="str" cm="1">
        <f t="array" ref="R177">_xlfn.IFS(B177&lt;31,"Young-Adult",B177&lt;41,"Adult",B177&lt;61,"Middle-aged",B177&gt;=61,"Senior")</f>
        <v>Middle-aged</v>
      </c>
      <c r="S177" cm="1">
        <f t="array" ref="S177">_xlfn.IFS(Q177 ="Fortnightly",14,Q177="Weekly",7,Q177="Monthly",30,Q177="Quarterly",90,Q177="Bi-Weekly",14,Q177="Annually",365,Q177="Every 3 Months",90,TRUE,"NOT FOUND")</f>
        <v>365</v>
      </c>
    </row>
    <row r="178" spans="1:19" x14ac:dyDescent="0.35">
      <c r="A178">
        <v>177</v>
      </c>
      <c r="B178">
        <v>53</v>
      </c>
      <c r="C178" t="s">
        <v>7</v>
      </c>
      <c r="D178" t="s">
        <v>120</v>
      </c>
      <c r="E178" t="s">
        <v>55</v>
      </c>
      <c r="F178">
        <v>81</v>
      </c>
      <c r="G178" t="s">
        <v>70</v>
      </c>
      <c r="H178" t="s">
        <v>11</v>
      </c>
      <c r="I178" t="s">
        <v>82</v>
      </c>
      <c r="J178" t="s">
        <v>25</v>
      </c>
      <c r="K178">
        <v>2.7</v>
      </c>
      <c r="L178" t="s">
        <v>14</v>
      </c>
      <c r="M178" t="s">
        <v>33</v>
      </c>
      <c r="N178" t="s">
        <v>14</v>
      </c>
      <c r="O178">
        <v>30</v>
      </c>
      <c r="P178" t="s">
        <v>27</v>
      </c>
      <c r="Q178" t="s">
        <v>46</v>
      </c>
      <c r="R178" t="str" cm="1">
        <f t="array" ref="R178">_xlfn.IFS(B178&lt;31,"Young-Adult",B178&lt;41,"Adult",B178&lt;61,"Middle-aged",B178&gt;=61,"Senior")</f>
        <v>Middle-aged</v>
      </c>
      <c r="S178" cm="1">
        <f t="array" ref="S178">_xlfn.IFS(Q178 ="Fortnightly",14,Q178="Weekly",7,Q178="Monthly",30,Q178="Quarterly",90,Q178="Bi-Weekly",14,Q178="Annually",365,Q178="Every 3 Months",90,TRUE,"NOT FOUND")</f>
        <v>90</v>
      </c>
    </row>
    <row r="179" spans="1:19" x14ac:dyDescent="0.35">
      <c r="A179">
        <v>178</v>
      </c>
      <c r="B179">
        <v>21</v>
      </c>
      <c r="C179" t="s">
        <v>7</v>
      </c>
      <c r="D179" t="s">
        <v>92</v>
      </c>
      <c r="E179" t="s">
        <v>9</v>
      </c>
      <c r="F179">
        <v>42</v>
      </c>
      <c r="G179" t="s">
        <v>99</v>
      </c>
      <c r="H179" t="s">
        <v>11</v>
      </c>
      <c r="I179" t="s">
        <v>124</v>
      </c>
      <c r="J179" t="s">
        <v>45</v>
      </c>
      <c r="K179">
        <v>3.7</v>
      </c>
      <c r="L179" t="s">
        <v>14</v>
      </c>
      <c r="M179" t="s">
        <v>33</v>
      </c>
      <c r="N179" t="s">
        <v>14</v>
      </c>
      <c r="O179">
        <v>47</v>
      </c>
      <c r="P179" t="s">
        <v>63</v>
      </c>
      <c r="Q179" t="s">
        <v>76</v>
      </c>
      <c r="R179" t="str" cm="1">
        <f t="array" ref="R179">_xlfn.IFS(B179&lt;31,"Young-Adult",B179&lt;41,"Adult",B179&lt;61,"Middle-aged",B179&gt;=61,"Senior")</f>
        <v>Young-Adult</v>
      </c>
      <c r="S179" cm="1">
        <f t="array" ref="S179">_xlfn.IFS(Q179 ="Fortnightly",14,Q179="Weekly",7,Q179="Monthly",30,Q179="Quarterly",90,Q179="Bi-Weekly",14,Q179="Annually",365,Q179="Every 3 Months",90,TRUE,"NOT FOUND")</f>
        <v>30</v>
      </c>
    </row>
    <row r="180" spans="1:19" x14ac:dyDescent="0.35">
      <c r="A180">
        <v>179</v>
      </c>
      <c r="B180">
        <v>61</v>
      </c>
      <c r="C180" t="s">
        <v>7</v>
      </c>
      <c r="D180" t="s">
        <v>75</v>
      </c>
      <c r="E180" t="s">
        <v>9</v>
      </c>
      <c r="F180">
        <v>43</v>
      </c>
      <c r="G180" t="s">
        <v>123</v>
      </c>
      <c r="H180" t="s">
        <v>11</v>
      </c>
      <c r="I180" t="s">
        <v>81</v>
      </c>
      <c r="J180" t="s">
        <v>45</v>
      </c>
      <c r="K180">
        <v>4.3</v>
      </c>
      <c r="L180" t="s">
        <v>14</v>
      </c>
      <c r="M180" t="s">
        <v>58</v>
      </c>
      <c r="N180" t="s">
        <v>14</v>
      </c>
      <c r="O180">
        <v>21</v>
      </c>
      <c r="P180" t="s">
        <v>34</v>
      </c>
      <c r="Q180" t="s">
        <v>46</v>
      </c>
      <c r="R180" t="str" cm="1">
        <f t="array" ref="R180">_xlfn.IFS(B180&lt;31,"Young-Adult",B180&lt;41,"Adult",B180&lt;61,"Middle-aged",B180&gt;=61,"Senior")</f>
        <v>Senior</v>
      </c>
      <c r="S180" cm="1">
        <f t="array" ref="S180">_xlfn.IFS(Q180 ="Fortnightly",14,Q180="Weekly",7,Q180="Monthly",30,Q180="Quarterly",90,Q180="Bi-Weekly",14,Q180="Annually",365,Q180="Every 3 Months",90,TRUE,"NOT FOUND")</f>
        <v>90</v>
      </c>
    </row>
    <row r="181" spans="1:19" x14ac:dyDescent="0.35">
      <c r="A181">
        <v>180</v>
      </c>
      <c r="B181">
        <v>64</v>
      </c>
      <c r="C181" t="s">
        <v>7</v>
      </c>
      <c r="D181" t="s">
        <v>125</v>
      </c>
      <c r="E181" t="s">
        <v>30</v>
      </c>
      <c r="F181">
        <v>31</v>
      </c>
      <c r="G181" t="s">
        <v>103</v>
      </c>
      <c r="H181" t="s">
        <v>32</v>
      </c>
      <c r="I181" t="s">
        <v>71</v>
      </c>
      <c r="J181" t="s">
        <v>45</v>
      </c>
      <c r="K181">
        <v>4.9000000000000004</v>
      </c>
      <c r="L181" t="s">
        <v>14</v>
      </c>
      <c r="M181" t="s">
        <v>62</v>
      </c>
      <c r="N181" t="s">
        <v>14</v>
      </c>
      <c r="O181">
        <v>9</v>
      </c>
      <c r="P181" t="s">
        <v>63</v>
      </c>
      <c r="Q181" t="s">
        <v>17</v>
      </c>
      <c r="R181" t="str" cm="1">
        <f t="array" ref="R181">_xlfn.IFS(B181&lt;31,"Young-Adult",B181&lt;41,"Adult",B181&lt;61,"Middle-aged",B181&gt;=61,"Senior")</f>
        <v>Senior</v>
      </c>
      <c r="S181" cm="1">
        <f t="array" ref="S181">_xlfn.IFS(Q181 ="Fortnightly",14,Q181="Weekly",7,Q181="Monthly",30,Q181="Quarterly",90,Q181="Bi-Weekly",14,Q181="Annually",365,Q181="Every 3 Months",90,TRUE,"NOT FOUND")</f>
        <v>14</v>
      </c>
    </row>
    <row r="182" spans="1:19" x14ac:dyDescent="0.35">
      <c r="A182">
        <v>181</v>
      </c>
      <c r="B182">
        <v>51</v>
      </c>
      <c r="C182" t="s">
        <v>7</v>
      </c>
      <c r="D182" t="s">
        <v>29</v>
      </c>
      <c r="E182" t="s">
        <v>30</v>
      </c>
      <c r="F182">
        <v>81</v>
      </c>
      <c r="G182" t="s">
        <v>135</v>
      </c>
      <c r="H182" t="s">
        <v>11</v>
      </c>
      <c r="I182" t="s">
        <v>84</v>
      </c>
      <c r="J182" t="s">
        <v>45</v>
      </c>
      <c r="K182">
        <v>3.3</v>
      </c>
      <c r="L182" t="s">
        <v>14</v>
      </c>
      <c r="M182" t="s">
        <v>62</v>
      </c>
      <c r="N182" t="s">
        <v>14</v>
      </c>
      <c r="O182">
        <v>12</v>
      </c>
      <c r="P182" t="s">
        <v>74</v>
      </c>
      <c r="Q182" t="s">
        <v>17</v>
      </c>
      <c r="R182" t="str" cm="1">
        <f t="array" ref="R182">_xlfn.IFS(B182&lt;31,"Young-Adult",B182&lt;41,"Adult",B182&lt;61,"Middle-aged",B182&gt;=61,"Senior")</f>
        <v>Middle-aged</v>
      </c>
      <c r="S182" cm="1">
        <f t="array" ref="S182">_xlfn.IFS(Q182 ="Fortnightly",14,Q182="Weekly",7,Q182="Monthly",30,Q182="Quarterly",90,Q182="Bi-Weekly",14,Q182="Annually",365,Q182="Every 3 Months",90,TRUE,"NOT FOUND")</f>
        <v>14</v>
      </c>
    </row>
    <row r="183" spans="1:19" x14ac:dyDescent="0.35">
      <c r="A183">
        <v>182</v>
      </c>
      <c r="B183">
        <v>32</v>
      </c>
      <c r="C183" t="s">
        <v>7</v>
      </c>
      <c r="D183" t="s">
        <v>83</v>
      </c>
      <c r="E183" t="s">
        <v>9</v>
      </c>
      <c r="F183">
        <v>61</v>
      </c>
      <c r="G183" t="s">
        <v>23</v>
      </c>
      <c r="H183" t="s">
        <v>32</v>
      </c>
      <c r="I183" t="s">
        <v>106</v>
      </c>
      <c r="J183" t="s">
        <v>41</v>
      </c>
      <c r="K183">
        <v>4.7</v>
      </c>
      <c r="L183" t="s">
        <v>14</v>
      </c>
      <c r="M183" t="s">
        <v>33</v>
      </c>
      <c r="N183" t="s">
        <v>14</v>
      </c>
      <c r="O183">
        <v>4</v>
      </c>
      <c r="P183" t="s">
        <v>63</v>
      </c>
      <c r="Q183" t="s">
        <v>28</v>
      </c>
      <c r="R183" t="str" cm="1">
        <f t="array" ref="R183">_xlfn.IFS(B183&lt;31,"Young-Adult",B183&lt;41,"Adult",B183&lt;61,"Middle-aged",B183&gt;=61,"Senior")</f>
        <v>Adult</v>
      </c>
      <c r="S183" cm="1">
        <f t="array" ref="S183">_xlfn.IFS(Q183 ="Fortnightly",14,Q183="Weekly",7,Q183="Monthly",30,Q183="Quarterly",90,Q183="Bi-Weekly",14,Q183="Annually",365,Q183="Every 3 Months",90,TRUE,"NOT FOUND")</f>
        <v>7</v>
      </c>
    </row>
    <row r="184" spans="1:19" x14ac:dyDescent="0.35">
      <c r="A184">
        <v>183</v>
      </c>
      <c r="B184">
        <v>38</v>
      </c>
      <c r="C184" t="s">
        <v>7</v>
      </c>
      <c r="D184" t="s">
        <v>131</v>
      </c>
      <c r="E184" t="s">
        <v>55</v>
      </c>
      <c r="F184">
        <v>96</v>
      </c>
      <c r="G184" t="s">
        <v>78</v>
      </c>
      <c r="H184" t="s">
        <v>80</v>
      </c>
      <c r="I184" t="s">
        <v>61</v>
      </c>
      <c r="J184" t="s">
        <v>41</v>
      </c>
      <c r="K184">
        <v>2.8</v>
      </c>
      <c r="L184" t="s">
        <v>14</v>
      </c>
      <c r="M184" t="s">
        <v>62</v>
      </c>
      <c r="N184" t="s">
        <v>14</v>
      </c>
      <c r="O184">
        <v>10</v>
      </c>
      <c r="P184" t="s">
        <v>74</v>
      </c>
      <c r="Q184" t="s">
        <v>37</v>
      </c>
      <c r="R184" t="str" cm="1">
        <f t="array" ref="R184">_xlfn.IFS(B184&lt;31,"Young-Adult",B184&lt;41,"Adult",B184&lt;61,"Middle-aged",B184&gt;=61,"Senior")</f>
        <v>Adult</v>
      </c>
      <c r="S184" cm="1">
        <f t="array" ref="S184">_xlfn.IFS(Q184 ="Fortnightly",14,Q184="Weekly",7,Q184="Monthly",30,Q184="Quarterly",90,Q184="Bi-Weekly",14,Q184="Annually",365,Q184="Every 3 Months",90,TRUE,"NOT FOUND")</f>
        <v>365</v>
      </c>
    </row>
    <row r="185" spans="1:19" x14ac:dyDescent="0.35">
      <c r="A185">
        <v>184</v>
      </c>
      <c r="B185">
        <v>58</v>
      </c>
      <c r="C185" t="s">
        <v>7</v>
      </c>
      <c r="D185" t="s">
        <v>75</v>
      </c>
      <c r="E185" t="s">
        <v>9</v>
      </c>
      <c r="F185">
        <v>29</v>
      </c>
      <c r="G185" t="s">
        <v>111</v>
      </c>
      <c r="H185" t="s">
        <v>80</v>
      </c>
      <c r="I185" t="s">
        <v>106</v>
      </c>
      <c r="J185" t="s">
        <v>25</v>
      </c>
      <c r="K185">
        <v>3.6</v>
      </c>
      <c r="L185" t="s">
        <v>14</v>
      </c>
      <c r="M185" t="s">
        <v>58</v>
      </c>
      <c r="N185" t="s">
        <v>14</v>
      </c>
      <c r="O185">
        <v>26</v>
      </c>
      <c r="P185" t="s">
        <v>27</v>
      </c>
      <c r="Q185" t="s">
        <v>28</v>
      </c>
      <c r="R185" t="str" cm="1">
        <f t="array" ref="R185">_xlfn.IFS(B185&lt;31,"Young-Adult",B185&lt;41,"Adult",B185&lt;61,"Middle-aged",B185&gt;=61,"Senior")</f>
        <v>Middle-aged</v>
      </c>
      <c r="S185" cm="1">
        <f t="array" ref="S185">_xlfn.IFS(Q185 ="Fortnightly",14,Q185="Weekly",7,Q185="Monthly",30,Q185="Quarterly",90,Q185="Bi-Weekly",14,Q185="Annually",365,Q185="Every 3 Months",90,TRUE,"NOT FOUND")</f>
        <v>7</v>
      </c>
    </row>
    <row r="186" spans="1:19" x14ac:dyDescent="0.35">
      <c r="A186">
        <v>185</v>
      </c>
      <c r="B186">
        <v>32</v>
      </c>
      <c r="C186" t="s">
        <v>7</v>
      </c>
      <c r="D186" t="s">
        <v>38</v>
      </c>
      <c r="E186" t="s">
        <v>30</v>
      </c>
      <c r="F186">
        <v>33</v>
      </c>
      <c r="G186" t="s">
        <v>65</v>
      </c>
      <c r="H186" t="s">
        <v>11</v>
      </c>
      <c r="I186" t="s">
        <v>97</v>
      </c>
      <c r="J186" t="s">
        <v>25</v>
      </c>
      <c r="K186">
        <v>3</v>
      </c>
      <c r="L186" t="s">
        <v>14</v>
      </c>
      <c r="M186" t="s">
        <v>15</v>
      </c>
      <c r="N186" t="s">
        <v>14</v>
      </c>
      <c r="O186">
        <v>40</v>
      </c>
      <c r="P186" t="s">
        <v>21</v>
      </c>
      <c r="Q186" t="s">
        <v>17</v>
      </c>
      <c r="R186" t="str" cm="1">
        <f t="array" ref="R186">_xlfn.IFS(B186&lt;31,"Young-Adult",B186&lt;41,"Adult",B186&lt;61,"Middle-aged",B186&gt;=61,"Senior")</f>
        <v>Adult</v>
      </c>
      <c r="S186" cm="1">
        <f t="array" ref="S186">_xlfn.IFS(Q186 ="Fortnightly",14,Q186="Weekly",7,Q186="Monthly",30,Q186="Quarterly",90,Q186="Bi-Weekly",14,Q186="Annually",365,Q186="Every 3 Months",90,TRUE,"NOT FOUND")</f>
        <v>14</v>
      </c>
    </row>
    <row r="187" spans="1:19" x14ac:dyDescent="0.35">
      <c r="A187">
        <v>186</v>
      </c>
      <c r="B187">
        <v>46</v>
      </c>
      <c r="C187" t="s">
        <v>7</v>
      </c>
      <c r="D187" t="s">
        <v>101</v>
      </c>
      <c r="E187" t="s">
        <v>9</v>
      </c>
      <c r="F187">
        <v>32</v>
      </c>
      <c r="G187" t="s">
        <v>138</v>
      </c>
      <c r="H187" t="s">
        <v>80</v>
      </c>
      <c r="I187" t="s">
        <v>53</v>
      </c>
      <c r="J187" t="s">
        <v>41</v>
      </c>
      <c r="K187">
        <v>4.5</v>
      </c>
      <c r="L187" t="s">
        <v>14</v>
      </c>
      <c r="M187" t="s">
        <v>62</v>
      </c>
      <c r="N187" t="s">
        <v>14</v>
      </c>
      <c r="O187">
        <v>34</v>
      </c>
      <c r="P187" t="s">
        <v>63</v>
      </c>
      <c r="Q187" t="s">
        <v>17</v>
      </c>
      <c r="R187" t="str" cm="1">
        <f t="array" ref="R187">_xlfn.IFS(B187&lt;31,"Young-Adult",B187&lt;41,"Adult",B187&lt;61,"Middle-aged",B187&gt;=61,"Senior")</f>
        <v>Middle-aged</v>
      </c>
      <c r="S187" cm="1">
        <f t="array" ref="S187">_xlfn.IFS(Q187 ="Fortnightly",14,Q187="Weekly",7,Q187="Monthly",30,Q187="Quarterly",90,Q187="Bi-Weekly",14,Q187="Annually",365,Q187="Every 3 Months",90,TRUE,"NOT FOUND")</f>
        <v>14</v>
      </c>
    </row>
    <row r="188" spans="1:19" x14ac:dyDescent="0.35">
      <c r="A188">
        <v>187</v>
      </c>
      <c r="B188">
        <v>39</v>
      </c>
      <c r="C188" t="s">
        <v>7</v>
      </c>
      <c r="D188" t="s">
        <v>120</v>
      </c>
      <c r="E188" t="s">
        <v>55</v>
      </c>
      <c r="F188">
        <v>56</v>
      </c>
      <c r="G188" t="s">
        <v>136</v>
      </c>
      <c r="H188" t="s">
        <v>24</v>
      </c>
      <c r="I188" t="s">
        <v>81</v>
      </c>
      <c r="J188" t="s">
        <v>41</v>
      </c>
      <c r="K188">
        <v>2.9</v>
      </c>
      <c r="L188" t="s">
        <v>14</v>
      </c>
      <c r="M188" t="s">
        <v>42</v>
      </c>
      <c r="N188" t="s">
        <v>14</v>
      </c>
      <c r="O188">
        <v>31</v>
      </c>
      <c r="P188" t="s">
        <v>74</v>
      </c>
      <c r="Q188" t="s">
        <v>37</v>
      </c>
      <c r="R188" t="str" cm="1">
        <f t="array" ref="R188">_xlfn.IFS(B188&lt;31,"Young-Adult",B188&lt;41,"Adult",B188&lt;61,"Middle-aged",B188&gt;=61,"Senior")</f>
        <v>Adult</v>
      </c>
      <c r="S188" cm="1">
        <f t="array" ref="S188">_xlfn.IFS(Q188 ="Fortnightly",14,Q188="Weekly",7,Q188="Monthly",30,Q188="Quarterly",90,Q188="Bi-Weekly",14,Q188="Annually",365,Q188="Every 3 Months",90,TRUE,"NOT FOUND")</f>
        <v>365</v>
      </c>
    </row>
    <row r="189" spans="1:19" x14ac:dyDescent="0.35">
      <c r="A189">
        <v>188</v>
      </c>
      <c r="B189">
        <v>19</v>
      </c>
      <c r="C189" t="s">
        <v>7</v>
      </c>
      <c r="D189" t="s">
        <v>59</v>
      </c>
      <c r="E189" t="s">
        <v>30</v>
      </c>
      <c r="F189">
        <v>94</v>
      </c>
      <c r="G189" t="s">
        <v>130</v>
      </c>
      <c r="H189" t="s">
        <v>24</v>
      </c>
      <c r="I189" t="s">
        <v>61</v>
      </c>
      <c r="J189" t="s">
        <v>25</v>
      </c>
      <c r="K189">
        <v>3.3</v>
      </c>
      <c r="L189" t="s">
        <v>14</v>
      </c>
      <c r="M189" t="s">
        <v>62</v>
      </c>
      <c r="N189" t="s">
        <v>14</v>
      </c>
      <c r="O189">
        <v>1</v>
      </c>
      <c r="P189" t="s">
        <v>63</v>
      </c>
      <c r="Q189" t="s">
        <v>64</v>
      </c>
      <c r="R189" t="str" cm="1">
        <f t="array" ref="R189">_xlfn.IFS(B189&lt;31,"Young-Adult",B189&lt;41,"Adult",B189&lt;61,"Middle-aged",B189&gt;=61,"Senior")</f>
        <v>Young-Adult</v>
      </c>
      <c r="S189" cm="1">
        <f t="array" ref="S189">_xlfn.IFS(Q189 ="Fortnightly",14,Q189="Weekly",7,Q189="Monthly",30,Q189="Quarterly",90,Q189="Bi-Weekly",14,Q189="Annually",365,Q189="Every 3 Months",90,TRUE,"NOT FOUND")</f>
        <v>14</v>
      </c>
    </row>
    <row r="190" spans="1:19" x14ac:dyDescent="0.35">
      <c r="A190">
        <v>189</v>
      </c>
      <c r="B190">
        <v>50</v>
      </c>
      <c r="C190" t="s">
        <v>7</v>
      </c>
      <c r="D190" t="s">
        <v>92</v>
      </c>
      <c r="E190" t="s">
        <v>9</v>
      </c>
      <c r="F190">
        <v>53</v>
      </c>
      <c r="G190" t="s">
        <v>60</v>
      </c>
      <c r="H190" t="s">
        <v>32</v>
      </c>
      <c r="I190" t="s">
        <v>57</v>
      </c>
      <c r="J190" t="s">
        <v>25</v>
      </c>
      <c r="K190">
        <v>3.1</v>
      </c>
      <c r="L190" t="s">
        <v>14</v>
      </c>
      <c r="M190" t="s">
        <v>15</v>
      </c>
      <c r="N190" t="s">
        <v>14</v>
      </c>
      <c r="O190">
        <v>5</v>
      </c>
      <c r="P190" t="s">
        <v>63</v>
      </c>
      <c r="Q190" t="s">
        <v>64</v>
      </c>
      <c r="R190" t="str" cm="1">
        <f t="array" ref="R190">_xlfn.IFS(B190&lt;31,"Young-Adult",B190&lt;41,"Adult",B190&lt;61,"Middle-aged",B190&gt;=61,"Senior")</f>
        <v>Middle-aged</v>
      </c>
      <c r="S190" cm="1">
        <f t="array" ref="S190">_xlfn.IFS(Q190 ="Fortnightly",14,Q190="Weekly",7,Q190="Monthly",30,Q190="Quarterly",90,Q190="Bi-Weekly",14,Q190="Annually",365,Q190="Every 3 Months",90,TRUE,"NOT FOUND")</f>
        <v>14</v>
      </c>
    </row>
    <row r="191" spans="1:19" x14ac:dyDescent="0.35">
      <c r="A191">
        <v>190</v>
      </c>
      <c r="B191">
        <v>36</v>
      </c>
      <c r="C191" t="s">
        <v>7</v>
      </c>
      <c r="D191" t="s">
        <v>8</v>
      </c>
      <c r="E191" t="s">
        <v>9</v>
      </c>
      <c r="F191">
        <v>82</v>
      </c>
      <c r="G191" t="s">
        <v>52</v>
      </c>
      <c r="H191" t="s">
        <v>32</v>
      </c>
      <c r="I191" t="s">
        <v>20</v>
      </c>
      <c r="J191" t="s">
        <v>45</v>
      </c>
      <c r="K191">
        <v>4.4000000000000004</v>
      </c>
      <c r="L191" t="s">
        <v>14</v>
      </c>
      <c r="M191" t="s">
        <v>33</v>
      </c>
      <c r="N191" t="s">
        <v>14</v>
      </c>
      <c r="O191">
        <v>4</v>
      </c>
      <c r="P191" t="s">
        <v>27</v>
      </c>
      <c r="Q191" t="s">
        <v>28</v>
      </c>
      <c r="R191" t="str" cm="1">
        <f t="array" ref="R191">_xlfn.IFS(B191&lt;31,"Young-Adult",B191&lt;41,"Adult",B191&lt;61,"Middle-aged",B191&gt;=61,"Senior")</f>
        <v>Adult</v>
      </c>
      <c r="S191" cm="1">
        <f t="array" ref="S191">_xlfn.IFS(Q191 ="Fortnightly",14,Q191="Weekly",7,Q191="Monthly",30,Q191="Quarterly",90,Q191="Bi-Weekly",14,Q191="Annually",365,Q191="Every 3 Months",90,TRUE,"NOT FOUND")</f>
        <v>7</v>
      </c>
    </row>
    <row r="192" spans="1:19" x14ac:dyDescent="0.35">
      <c r="A192">
        <v>191</v>
      </c>
      <c r="B192">
        <v>65</v>
      </c>
      <c r="C192" t="s">
        <v>7</v>
      </c>
      <c r="D192" t="s">
        <v>50</v>
      </c>
      <c r="E192" t="s">
        <v>51</v>
      </c>
      <c r="F192">
        <v>70</v>
      </c>
      <c r="G192" t="s">
        <v>104</v>
      </c>
      <c r="H192" t="s">
        <v>80</v>
      </c>
      <c r="I192" t="s">
        <v>106</v>
      </c>
      <c r="J192" t="s">
        <v>45</v>
      </c>
      <c r="K192">
        <v>3</v>
      </c>
      <c r="L192" t="s">
        <v>14</v>
      </c>
      <c r="M192" t="s">
        <v>26</v>
      </c>
      <c r="N192" t="s">
        <v>14</v>
      </c>
      <c r="O192">
        <v>48</v>
      </c>
      <c r="P192" t="s">
        <v>16</v>
      </c>
      <c r="Q192" t="s">
        <v>46</v>
      </c>
      <c r="R192" t="str" cm="1">
        <f t="array" ref="R192">_xlfn.IFS(B192&lt;31,"Young-Adult",B192&lt;41,"Adult",B192&lt;61,"Middle-aged",B192&gt;=61,"Senior")</f>
        <v>Senior</v>
      </c>
      <c r="S192" cm="1">
        <f t="array" ref="S192">_xlfn.IFS(Q192 ="Fortnightly",14,Q192="Weekly",7,Q192="Monthly",30,Q192="Quarterly",90,Q192="Bi-Weekly",14,Q192="Annually",365,Q192="Every 3 Months",90,TRUE,"NOT FOUND")</f>
        <v>90</v>
      </c>
    </row>
    <row r="193" spans="1:19" x14ac:dyDescent="0.35">
      <c r="A193">
        <v>192</v>
      </c>
      <c r="B193">
        <v>64</v>
      </c>
      <c r="C193" t="s">
        <v>7</v>
      </c>
      <c r="D193" t="s">
        <v>112</v>
      </c>
      <c r="E193" t="s">
        <v>55</v>
      </c>
      <c r="F193">
        <v>76</v>
      </c>
      <c r="G193" t="s">
        <v>128</v>
      </c>
      <c r="H193" t="s">
        <v>32</v>
      </c>
      <c r="I193" t="s">
        <v>12</v>
      </c>
      <c r="J193" t="s">
        <v>45</v>
      </c>
      <c r="K193">
        <v>3.9</v>
      </c>
      <c r="L193" t="s">
        <v>14</v>
      </c>
      <c r="M193" t="s">
        <v>26</v>
      </c>
      <c r="N193" t="s">
        <v>14</v>
      </c>
      <c r="O193">
        <v>29</v>
      </c>
      <c r="P193" t="s">
        <v>21</v>
      </c>
      <c r="Q193" t="s">
        <v>85</v>
      </c>
      <c r="R193" t="str" cm="1">
        <f t="array" ref="R193">_xlfn.IFS(B193&lt;31,"Young-Adult",B193&lt;41,"Adult",B193&lt;61,"Middle-aged",B193&gt;=61,"Senior")</f>
        <v>Senior</v>
      </c>
      <c r="S193" cm="1">
        <f t="array" ref="S193">_xlfn.IFS(Q193 ="Fortnightly",14,Q193="Weekly",7,Q193="Monthly",30,Q193="Quarterly",90,Q193="Bi-Weekly",14,Q193="Annually",365,Q193="Every 3 Months",90,TRUE,"NOT FOUND")</f>
        <v>90</v>
      </c>
    </row>
    <row r="194" spans="1:19" x14ac:dyDescent="0.35">
      <c r="A194">
        <v>193</v>
      </c>
      <c r="B194">
        <v>46</v>
      </c>
      <c r="C194" t="s">
        <v>7</v>
      </c>
      <c r="D194" t="s">
        <v>59</v>
      </c>
      <c r="E194" t="s">
        <v>30</v>
      </c>
      <c r="F194">
        <v>29</v>
      </c>
      <c r="G194" t="s">
        <v>133</v>
      </c>
      <c r="H194" t="s">
        <v>11</v>
      </c>
      <c r="I194" t="s">
        <v>36</v>
      </c>
      <c r="J194" t="s">
        <v>41</v>
      </c>
      <c r="K194">
        <v>2.9</v>
      </c>
      <c r="L194" t="s">
        <v>14</v>
      </c>
      <c r="M194" t="s">
        <v>15</v>
      </c>
      <c r="N194" t="s">
        <v>14</v>
      </c>
      <c r="O194">
        <v>12</v>
      </c>
      <c r="P194" t="s">
        <v>34</v>
      </c>
      <c r="Q194" t="s">
        <v>64</v>
      </c>
      <c r="R194" t="str" cm="1">
        <f t="array" ref="R194">_xlfn.IFS(B194&lt;31,"Young-Adult",B194&lt;41,"Adult",B194&lt;61,"Middle-aged",B194&gt;=61,"Senior")</f>
        <v>Middle-aged</v>
      </c>
      <c r="S194" cm="1">
        <f t="array" ref="S194">_xlfn.IFS(Q194 ="Fortnightly",14,Q194="Weekly",7,Q194="Monthly",30,Q194="Quarterly",90,Q194="Bi-Weekly",14,Q194="Annually",365,Q194="Every 3 Months",90,TRUE,"NOT FOUND")</f>
        <v>14</v>
      </c>
    </row>
    <row r="195" spans="1:19" x14ac:dyDescent="0.35">
      <c r="A195">
        <v>194</v>
      </c>
      <c r="B195">
        <v>36</v>
      </c>
      <c r="C195" t="s">
        <v>7</v>
      </c>
      <c r="D195" t="s">
        <v>121</v>
      </c>
      <c r="E195" t="s">
        <v>55</v>
      </c>
      <c r="F195">
        <v>100</v>
      </c>
      <c r="G195" t="s">
        <v>102</v>
      </c>
      <c r="H195" t="s">
        <v>24</v>
      </c>
      <c r="I195" t="s">
        <v>53</v>
      </c>
      <c r="J195" t="s">
        <v>45</v>
      </c>
      <c r="K195">
        <v>3</v>
      </c>
      <c r="L195" t="s">
        <v>14</v>
      </c>
      <c r="M195" t="s">
        <v>42</v>
      </c>
      <c r="N195" t="s">
        <v>14</v>
      </c>
      <c r="O195">
        <v>29</v>
      </c>
      <c r="P195" t="s">
        <v>16</v>
      </c>
      <c r="Q195" t="s">
        <v>37</v>
      </c>
      <c r="R195" t="str" cm="1">
        <f t="array" ref="R195">_xlfn.IFS(B195&lt;31,"Young-Adult",B195&lt;41,"Adult",B195&lt;61,"Middle-aged",B195&gt;=61,"Senior")</f>
        <v>Adult</v>
      </c>
      <c r="S195" cm="1">
        <f t="array" ref="S195">_xlfn.IFS(Q195 ="Fortnightly",14,Q195="Weekly",7,Q195="Monthly",30,Q195="Quarterly",90,Q195="Bi-Weekly",14,Q195="Annually",365,Q195="Every 3 Months",90,TRUE,"NOT FOUND")</f>
        <v>365</v>
      </c>
    </row>
    <row r="196" spans="1:19" x14ac:dyDescent="0.35">
      <c r="A196">
        <v>195</v>
      </c>
      <c r="B196">
        <v>51</v>
      </c>
      <c r="C196" t="s">
        <v>7</v>
      </c>
      <c r="D196" t="s">
        <v>120</v>
      </c>
      <c r="E196" t="s">
        <v>55</v>
      </c>
      <c r="F196">
        <v>94</v>
      </c>
      <c r="G196" t="s">
        <v>56</v>
      </c>
      <c r="H196" t="s">
        <v>32</v>
      </c>
      <c r="I196" t="s">
        <v>66</v>
      </c>
      <c r="J196" t="s">
        <v>25</v>
      </c>
      <c r="K196">
        <v>3.1</v>
      </c>
      <c r="L196" t="s">
        <v>14</v>
      </c>
      <c r="M196" t="s">
        <v>15</v>
      </c>
      <c r="N196" t="s">
        <v>14</v>
      </c>
      <c r="O196">
        <v>15</v>
      </c>
      <c r="P196" t="s">
        <v>74</v>
      </c>
      <c r="Q196" t="s">
        <v>46</v>
      </c>
      <c r="R196" t="str" cm="1">
        <f t="array" ref="R196">_xlfn.IFS(B196&lt;31,"Young-Adult",B196&lt;41,"Adult",B196&lt;61,"Middle-aged",B196&gt;=61,"Senior")</f>
        <v>Middle-aged</v>
      </c>
      <c r="S196" cm="1">
        <f t="array" ref="S196">_xlfn.IFS(Q196 ="Fortnightly",14,Q196="Weekly",7,Q196="Monthly",30,Q196="Quarterly",90,Q196="Bi-Weekly",14,Q196="Annually",365,Q196="Every 3 Months",90,TRUE,"NOT FOUND")</f>
        <v>90</v>
      </c>
    </row>
    <row r="197" spans="1:19" x14ac:dyDescent="0.35">
      <c r="A197">
        <v>196</v>
      </c>
      <c r="B197">
        <v>51</v>
      </c>
      <c r="C197" t="s">
        <v>7</v>
      </c>
      <c r="D197" t="s">
        <v>90</v>
      </c>
      <c r="E197" t="s">
        <v>51</v>
      </c>
      <c r="F197">
        <v>25</v>
      </c>
      <c r="G197" t="s">
        <v>72</v>
      </c>
      <c r="H197" t="s">
        <v>32</v>
      </c>
      <c r="I197" t="s">
        <v>124</v>
      </c>
      <c r="J197" t="s">
        <v>45</v>
      </c>
      <c r="K197">
        <v>4.3</v>
      </c>
      <c r="L197" t="s">
        <v>14</v>
      </c>
      <c r="M197" t="s">
        <v>26</v>
      </c>
      <c r="N197" t="s">
        <v>14</v>
      </c>
      <c r="O197">
        <v>34</v>
      </c>
      <c r="P197" t="s">
        <v>27</v>
      </c>
      <c r="Q197" t="s">
        <v>76</v>
      </c>
      <c r="R197" t="str" cm="1">
        <f t="array" ref="R197">_xlfn.IFS(B197&lt;31,"Young-Adult",B197&lt;41,"Adult",B197&lt;61,"Middle-aged",B197&gt;=61,"Senior")</f>
        <v>Middle-aged</v>
      </c>
      <c r="S197" cm="1">
        <f t="array" ref="S197">_xlfn.IFS(Q197 ="Fortnightly",14,Q197="Weekly",7,Q197="Monthly",30,Q197="Quarterly",90,Q197="Bi-Weekly",14,Q197="Annually",365,Q197="Every 3 Months",90,TRUE,"NOT FOUND")</f>
        <v>30</v>
      </c>
    </row>
    <row r="198" spans="1:19" x14ac:dyDescent="0.35">
      <c r="A198">
        <v>197</v>
      </c>
      <c r="B198">
        <v>38</v>
      </c>
      <c r="C198" t="s">
        <v>7</v>
      </c>
      <c r="D198" t="s">
        <v>125</v>
      </c>
      <c r="E198" t="s">
        <v>30</v>
      </c>
      <c r="F198">
        <v>88</v>
      </c>
      <c r="G198" t="s">
        <v>137</v>
      </c>
      <c r="H198" t="s">
        <v>32</v>
      </c>
      <c r="I198" t="s">
        <v>81</v>
      </c>
      <c r="J198" t="s">
        <v>41</v>
      </c>
      <c r="K198">
        <v>3.9</v>
      </c>
      <c r="L198" t="s">
        <v>14</v>
      </c>
      <c r="M198" t="s">
        <v>33</v>
      </c>
      <c r="N198" t="s">
        <v>14</v>
      </c>
      <c r="O198">
        <v>41</v>
      </c>
      <c r="P198" t="s">
        <v>27</v>
      </c>
      <c r="Q198" t="s">
        <v>17</v>
      </c>
      <c r="R198" t="str" cm="1">
        <f t="array" ref="R198">_xlfn.IFS(B198&lt;31,"Young-Adult",B198&lt;41,"Adult",B198&lt;61,"Middle-aged",B198&gt;=61,"Senior")</f>
        <v>Adult</v>
      </c>
      <c r="S198" cm="1">
        <f t="array" ref="S198">_xlfn.IFS(Q198 ="Fortnightly",14,Q198="Weekly",7,Q198="Monthly",30,Q198="Quarterly",90,Q198="Bi-Weekly",14,Q198="Annually",365,Q198="Every 3 Months",90,TRUE,"NOT FOUND")</f>
        <v>14</v>
      </c>
    </row>
    <row r="199" spans="1:19" x14ac:dyDescent="0.35">
      <c r="A199">
        <v>198</v>
      </c>
      <c r="B199">
        <v>59</v>
      </c>
      <c r="C199" t="s">
        <v>7</v>
      </c>
      <c r="D199" t="s">
        <v>107</v>
      </c>
      <c r="E199" t="s">
        <v>55</v>
      </c>
      <c r="F199">
        <v>78</v>
      </c>
      <c r="G199" t="s">
        <v>119</v>
      </c>
      <c r="H199" t="s">
        <v>32</v>
      </c>
      <c r="I199" t="s">
        <v>82</v>
      </c>
      <c r="J199" t="s">
        <v>45</v>
      </c>
      <c r="K199">
        <v>3.2</v>
      </c>
      <c r="L199" t="s">
        <v>14</v>
      </c>
      <c r="M199" t="s">
        <v>58</v>
      </c>
      <c r="N199" t="s">
        <v>14</v>
      </c>
      <c r="O199">
        <v>41</v>
      </c>
      <c r="P199" t="s">
        <v>27</v>
      </c>
      <c r="Q199" t="s">
        <v>76</v>
      </c>
      <c r="R199" t="str" cm="1">
        <f t="array" ref="R199">_xlfn.IFS(B199&lt;31,"Young-Adult",B199&lt;41,"Adult",B199&lt;61,"Middle-aged",B199&gt;=61,"Senior")</f>
        <v>Middle-aged</v>
      </c>
      <c r="S199" cm="1">
        <f t="array" ref="S199">_xlfn.IFS(Q199 ="Fortnightly",14,Q199="Weekly",7,Q199="Monthly",30,Q199="Quarterly",90,Q199="Bi-Weekly",14,Q199="Annually",365,Q199="Every 3 Months",90,TRUE,"NOT FOUND")</f>
        <v>30</v>
      </c>
    </row>
    <row r="200" spans="1:19" x14ac:dyDescent="0.35">
      <c r="A200">
        <v>199</v>
      </c>
      <c r="B200">
        <v>57</v>
      </c>
      <c r="C200" t="s">
        <v>7</v>
      </c>
      <c r="D200" t="s">
        <v>94</v>
      </c>
      <c r="E200" t="s">
        <v>55</v>
      </c>
      <c r="F200">
        <v>45</v>
      </c>
      <c r="G200" t="s">
        <v>128</v>
      </c>
      <c r="H200" t="s">
        <v>32</v>
      </c>
      <c r="I200" t="s">
        <v>36</v>
      </c>
      <c r="J200" t="s">
        <v>13</v>
      </c>
      <c r="K200">
        <v>4.8</v>
      </c>
      <c r="L200" t="s">
        <v>14</v>
      </c>
      <c r="M200" t="s">
        <v>42</v>
      </c>
      <c r="N200" t="s">
        <v>14</v>
      </c>
      <c r="O200">
        <v>39</v>
      </c>
      <c r="P200" t="s">
        <v>27</v>
      </c>
      <c r="Q200" t="s">
        <v>17</v>
      </c>
      <c r="R200" t="str" cm="1">
        <f t="array" ref="R200">_xlfn.IFS(B200&lt;31,"Young-Adult",B200&lt;41,"Adult",B200&lt;61,"Middle-aged",B200&gt;=61,"Senior")</f>
        <v>Middle-aged</v>
      </c>
      <c r="S200" cm="1">
        <f t="array" ref="S200">_xlfn.IFS(Q200 ="Fortnightly",14,Q200="Weekly",7,Q200="Monthly",30,Q200="Quarterly",90,Q200="Bi-Weekly",14,Q200="Annually",365,Q200="Every 3 Months",90,TRUE,"NOT FOUND")</f>
        <v>14</v>
      </c>
    </row>
    <row r="201" spans="1:19" x14ac:dyDescent="0.35">
      <c r="A201">
        <v>200</v>
      </c>
      <c r="B201">
        <v>54</v>
      </c>
      <c r="C201" t="s">
        <v>7</v>
      </c>
      <c r="D201" t="s">
        <v>112</v>
      </c>
      <c r="E201" t="s">
        <v>55</v>
      </c>
      <c r="F201">
        <v>73</v>
      </c>
      <c r="G201" t="s">
        <v>123</v>
      </c>
      <c r="H201" t="s">
        <v>80</v>
      </c>
      <c r="I201" t="s">
        <v>84</v>
      </c>
      <c r="J201" t="s">
        <v>41</v>
      </c>
      <c r="K201">
        <v>3.8</v>
      </c>
      <c r="L201" t="s">
        <v>14</v>
      </c>
      <c r="M201" t="s">
        <v>15</v>
      </c>
      <c r="N201" t="s">
        <v>14</v>
      </c>
      <c r="O201">
        <v>32</v>
      </c>
      <c r="P201" t="s">
        <v>21</v>
      </c>
      <c r="Q201" t="s">
        <v>28</v>
      </c>
      <c r="R201" t="str" cm="1">
        <f t="array" ref="R201">_xlfn.IFS(B201&lt;31,"Young-Adult",B201&lt;41,"Adult",B201&lt;61,"Middle-aged",B201&gt;=61,"Senior")</f>
        <v>Middle-aged</v>
      </c>
      <c r="S201" cm="1">
        <f t="array" ref="S201">_xlfn.IFS(Q201 ="Fortnightly",14,Q201="Weekly",7,Q201="Monthly",30,Q201="Quarterly",90,Q201="Bi-Weekly",14,Q201="Annually",365,Q201="Every 3 Months",90,TRUE,"NOT FOUND")</f>
        <v>7</v>
      </c>
    </row>
    <row r="202" spans="1:19" x14ac:dyDescent="0.35">
      <c r="A202">
        <v>201</v>
      </c>
      <c r="B202">
        <v>25</v>
      </c>
      <c r="C202" t="s">
        <v>7</v>
      </c>
      <c r="D202" t="s">
        <v>69</v>
      </c>
      <c r="E202" t="s">
        <v>9</v>
      </c>
      <c r="F202">
        <v>61</v>
      </c>
      <c r="G202" t="s">
        <v>126</v>
      </c>
      <c r="H202" t="s">
        <v>24</v>
      </c>
      <c r="I202" t="s">
        <v>73</v>
      </c>
      <c r="J202" t="s">
        <v>41</v>
      </c>
      <c r="K202">
        <v>3.3</v>
      </c>
      <c r="L202" t="s">
        <v>14</v>
      </c>
      <c r="M202" t="s">
        <v>33</v>
      </c>
      <c r="N202" t="s">
        <v>14</v>
      </c>
      <c r="O202">
        <v>29</v>
      </c>
      <c r="P202" t="s">
        <v>16</v>
      </c>
      <c r="Q202" t="s">
        <v>76</v>
      </c>
      <c r="R202" t="str" cm="1">
        <f t="array" ref="R202">_xlfn.IFS(B202&lt;31,"Young-Adult",B202&lt;41,"Adult",B202&lt;61,"Middle-aged",B202&gt;=61,"Senior")</f>
        <v>Young-Adult</v>
      </c>
      <c r="S202" cm="1">
        <f t="array" ref="S202">_xlfn.IFS(Q202 ="Fortnightly",14,Q202="Weekly",7,Q202="Monthly",30,Q202="Quarterly",90,Q202="Bi-Weekly",14,Q202="Annually",365,Q202="Every 3 Months",90,TRUE,"NOT FOUND")</f>
        <v>30</v>
      </c>
    </row>
    <row r="203" spans="1:19" x14ac:dyDescent="0.35">
      <c r="A203">
        <v>202</v>
      </c>
      <c r="B203">
        <v>69</v>
      </c>
      <c r="C203" t="s">
        <v>7</v>
      </c>
      <c r="D203" t="s">
        <v>8</v>
      </c>
      <c r="E203" t="s">
        <v>9</v>
      </c>
      <c r="F203">
        <v>22</v>
      </c>
      <c r="G203" t="s">
        <v>56</v>
      </c>
      <c r="H203" t="s">
        <v>24</v>
      </c>
      <c r="I203" t="s">
        <v>106</v>
      </c>
      <c r="J203" t="s">
        <v>45</v>
      </c>
      <c r="K203">
        <v>4.3</v>
      </c>
      <c r="L203" t="s">
        <v>14</v>
      </c>
      <c r="M203" t="s">
        <v>26</v>
      </c>
      <c r="N203" t="s">
        <v>14</v>
      </c>
      <c r="O203">
        <v>15</v>
      </c>
      <c r="P203" t="s">
        <v>63</v>
      </c>
      <c r="Q203" t="s">
        <v>37</v>
      </c>
      <c r="R203" t="str" cm="1">
        <f t="array" ref="R203">_xlfn.IFS(B203&lt;31,"Young-Adult",B203&lt;41,"Adult",B203&lt;61,"Middle-aged",B203&gt;=61,"Senior")</f>
        <v>Senior</v>
      </c>
      <c r="S203" cm="1">
        <f t="array" ref="S203">_xlfn.IFS(Q203 ="Fortnightly",14,Q203="Weekly",7,Q203="Monthly",30,Q203="Quarterly",90,Q203="Bi-Weekly",14,Q203="Annually",365,Q203="Every 3 Months",90,TRUE,"NOT FOUND")</f>
        <v>365</v>
      </c>
    </row>
    <row r="204" spans="1:19" x14ac:dyDescent="0.35">
      <c r="A204">
        <v>203</v>
      </c>
      <c r="B204">
        <v>57</v>
      </c>
      <c r="C204" t="s">
        <v>7</v>
      </c>
      <c r="D204" t="s">
        <v>112</v>
      </c>
      <c r="E204" t="s">
        <v>55</v>
      </c>
      <c r="F204">
        <v>38</v>
      </c>
      <c r="G204" t="s">
        <v>133</v>
      </c>
      <c r="H204" t="s">
        <v>11</v>
      </c>
      <c r="I204" t="s">
        <v>124</v>
      </c>
      <c r="J204" t="s">
        <v>25</v>
      </c>
      <c r="K204">
        <v>2.7</v>
      </c>
      <c r="L204" t="s">
        <v>14</v>
      </c>
      <c r="M204" t="s">
        <v>15</v>
      </c>
      <c r="N204" t="s">
        <v>14</v>
      </c>
      <c r="O204">
        <v>33</v>
      </c>
      <c r="P204" t="s">
        <v>16</v>
      </c>
      <c r="Q204" t="s">
        <v>37</v>
      </c>
      <c r="R204" t="str" cm="1">
        <f t="array" ref="R204">_xlfn.IFS(B204&lt;31,"Young-Adult",B204&lt;41,"Adult",B204&lt;61,"Middle-aged",B204&gt;=61,"Senior")</f>
        <v>Middle-aged</v>
      </c>
      <c r="S204" cm="1">
        <f t="array" ref="S204">_xlfn.IFS(Q204 ="Fortnightly",14,Q204="Weekly",7,Q204="Monthly",30,Q204="Quarterly",90,Q204="Bi-Weekly",14,Q204="Annually",365,Q204="Every 3 Months",90,TRUE,"NOT FOUND")</f>
        <v>365</v>
      </c>
    </row>
    <row r="205" spans="1:19" x14ac:dyDescent="0.35">
      <c r="A205">
        <v>204</v>
      </c>
      <c r="B205">
        <v>70</v>
      </c>
      <c r="C205" t="s">
        <v>7</v>
      </c>
      <c r="D205" t="s">
        <v>107</v>
      </c>
      <c r="E205" t="s">
        <v>55</v>
      </c>
      <c r="F205">
        <v>38</v>
      </c>
      <c r="G205" t="s">
        <v>104</v>
      </c>
      <c r="H205" t="s">
        <v>24</v>
      </c>
      <c r="I205" t="s">
        <v>122</v>
      </c>
      <c r="J205" t="s">
        <v>45</v>
      </c>
      <c r="K205">
        <v>3.2</v>
      </c>
      <c r="L205" t="s">
        <v>14</v>
      </c>
      <c r="M205" t="s">
        <v>33</v>
      </c>
      <c r="N205" t="s">
        <v>14</v>
      </c>
      <c r="O205">
        <v>18</v>
      </c>
      <c r="P205" t="s">
        <v>63</v>
      </c>
      <c r="Q205" t="s">
        <v>28</v>
      </c>
      <c r="R205" t="str" cm="1">
        <f t="array" ref="R205">_xlfn.IFS(B205&lt;31,"Young-Adult",B205&lt;41,"Adult",B205&lt;61,"Middle-aged",B205&gt;=61,"Senior")</f>
        <v>Senior</v>
      </c>
      <c r="S205" cm="1">
        <f t="array" ref="S205">_xlfn.IFS(Q205 ="Fortnightly",14,Q205="Weekly",7,Q205="Monthly",30,Q205="Quarterly",90,Q205="Bi-Weekly",14,Q205="Annually",365,Q205="Every 3 Months",90,TRUE,"NOT FOUND")</f>
        <v>7</v>
      </c>
    </row>
    <row r="206" spans="1:19" x14ac:dyDescent="0.35">
      <c r="A206">
        <v>205</v>
      </c>
      <c r="B206">
        <v>24</v>
      </c>
      <c r="C206" t="s">
        <v>7</v>
      </c>
      <c r="D206" t="s">
        <v>38</v>
      </c>
      <c r="E206" t="s">
        <v>30</v>
      </c>
      <c r="F206">
        <v>100</v>
      </c>
      <c r="G206" t="s">
        <v>105</v>
      </c>
      <c r="H206" t="s">
        <v>32</v>
      </c>
      <c r="I206" t="s">
        <v>122</v>
      </c>
      <c r="J206" t="s">
        <v>45</v>
      </c>
      <c r="K206">
        <v>4</v>
      </c>
      <c r="L206" t="s">
        <v>14</v>
      </c>
      <c r="M206" t="s">
        <v>62</v>
      </c>
      <c r="N206" t="s">
        <v>14</v>
      </c>
      <c r="O206">
        <v>35</v>
      </c>
      <c r="P206" t="s">
        <v>21</v>
      </c>
      <c r="Q206" t="s">
        <v>64</v>
      </c>
      <c r="R206" t="str" cm="1">
        <f t="array" ref="R206">_xlfn.IFS(B206&lt;31,"Young-Adult",B206&lt;41,"Adult",B206&lt;61,"Middle-aged",B206&gt;=61,"Senior")</f>
        <v>Young-Adult</v>
      </c>
      <c r="S206" cm="1">
        <f t="array" ref="S206">_xlfn.IFS(Q206 ="Fortnightly",14,Q206="Weekly",7,Q206="Monthly",30,Q206="Quarterly",90,Q206="Bi-Weekly",14,Q206="Annually",365,Q206="Every 3 Months",90,TRUE,"NOT FOUND")</f>
        <v>14</v>
      </c>
    </row>
    <row r="207" spans="1:19" x14ac:dyDescent="0.35">
      <c r="A207">
        <v>206</v>
      </c>
      <c r="B207">
        <v>67</v>
      </c>
      <c r="C207" t="s">
        <v>7</v>
      </c>
      <c r="D207" t="s">
        <v>43</v>
      </c>
      <c r="E207" t="s">
        <v>9</v>
      </c>
      <c r="F207">
        <v>64</v>
      </c>
      <c r="G207" t="s">
        <v>65</v>
      </c>
      <c r="H207" t="s">
        <v>32</v>
      </c>
      <c r="I207" t="s">
        <v>53</v>
      </c>
      <c r="J207" t="s">
        <v>13</v>
      </c>
      <c r="K207">
        <v>3</v>
      </c>
      <c r="L207" t="s">
        <v>14</v>
      </c>
      <c r="M207" t="s">
        <v>42</v>
      </c>
      <c r="N207" t="s">
        <v>14</v>
      </c>
      <c r="O207">
        <v>25</v>
      </c>
      <c r="P207" t="s">
        <v>34</v>
      </c>
      <c r="Q207" t="s">
        <v>28</v>
      </c>
      <c r="R207" t="str" cm="1">
        <f t="array" ref="R207">_xlfn.IFS(B207&lt;31,"Young-Adult",B207&lt;41,"Adult",B207&lt;61,"Middle-aged",B207&gt;=61,"Senior")</f>
        <v>Senior</v>
      </c>
      <c r="S207" cm="1">
        <f t="array" ref="S207">_xlfn.IFS(Q207 ="Fortnightly",14,Q207="Weekly",7,Q207="Monthly",30,Q207="Quarterly",90,Q207="Bi-Weekly",14,Q207="Annually",365,Q207="Every 3 Months",90,TRUE,"NOT FOUND")</f>
        <v>7</v>
      </c>
    </row>
    <row r="208" spans="1:19" x14ac:dyDescent="0.35">
      <c r="A208">
        <v>207</v>
      </c>
      <c r="B208">
        <v>24</v>
      </c>
      <c r="C208" t="s">
        <v>7</v>
      </c>
      <c r="D208" t="s">
        <v>101</v>
      </c>
      <c r="E208" t="s">
        <v>9</v>
      </c>
      <c r="F208">
        <v>55</v>
      </c>
      <c r="G208" t="s">
        <v>138</v>
      </c>
      <c r="H208" t="s">
        <v>11</v>
      </c>
      <c r="I208" t="s">
        <v>53</v>
      </c>
      <c r="J208" t="s">
        <v>41</v>
      </c>
      <c r="K208">
        <v>4.2</v>
      </c>
      <c r="L208" t="s">
        <v>14</v>
      </c>
      <c r="M208" t="s">
        <v>26</v>
      </c>
      <c r="N208" t="s">
        <v>14</v>
      </c>
      <c r="O208">
        <v>6</v>
      </c>
      <c r="P208" t="s">
        <v>16</v>
      </c>
      <c r="Q208" t="s">
        <v>17</v>
      </c>
      <c r="R208" t="str" cm="1">
        <f t="array" ref="R208">_xlfn.IFS(B208&lt;31,"Young-Adult",B208&lt;41,"Adult",B208&lt;61,"Middle-aged",B208&gt;=61,"Senior")</f>
        <v>Young-Adult</v>
      </c>
      <c r="S208" cm="1">
        <f t="array" ref="S208">_xlfn.IFS(Q208 ="Fortnightly",14,Q208="Weekly",7,Q208="Monthly",30,Q208="Quarterly",90,Q208="Bi-Weekly",14,Q208="Annually",365,Q208="Every 3 Months",90,TRUE,"NOT FOUND")</f>
        <v>14</v>
      </c>
    </row>
    <row r="209" spans="1:19" x14ac:dyDescent="0.35">
      <c r="A209">
        <v>208</v>
      </c>
      <c r="B209">
        <v>62</v>
      </c>
      <c r="C209" t="s">
        <v>7</v>
      </c>
      <c r="D209" t="s">
        <v>131</v>
      </c>
      <c r="E209" t="s">
        <v>55</v>
      </c>
      <c r="F209">
        <v>91</v>
      </c>
      <c r="G209" t="s">
        <v>31</v>
      </c>
      <c r="H209" t="s">
        <v>32</v>
      </c>
      <c r="I209" t="s">
        <v>53</v>
      </c>
      <c r="J209" t="s">
        <v>41</v>
      </c>
      <c r="K209">
        <v>2.9</v>
      </c>
      <c r="L209" t="s">
        <v>14</v>
      </c>
      <c r="M209" t="s">
        <v>15</v>
      </c>
      <c r="N209" t="s">
        <v>14</v>
      </c>
      <c r="O209">
        <v>17</v>
      </c>
      <c r="P209" t="s">
        <v>63</v>
      </c>
      <c r="Q209" t="s">
        <v>64</v>
      </c>
      <c r="R209" t="str" cm="1">
        <f t="array" ref="R209">_xlfn.IFS(B209&lt;31,"Young-Adult",B209&lt;41,"Adult",B209&lt;61,"Middle-aged",B209&gt;=61,"Senior")</f>
        <v>Senior</v>
      </c>
      <c r="S209" cm="1">
        <f t="array" ref="S209">_xlfn.IFS(Q209 ="Fortnightly",14,Q209="Weekly",7,Q209="Monthly",30,Q209="Quarterly",90,Q209="Bi-Weekly",14,Q209="Annually",365,Q209="Every 3 Months",90,TRUE,"NOT FOUND")</f>
        <v>14</v>
      </c>
    </row>
    <row r="210" spans="1:19" x14ac:dyDescent="0.35">
      <c r="A210">
        <v>209</v>
      </c>
      <c r="B210">
        <v>57</v>
      </c>
      <c r="C210" t="s">
        <v>7</v>
      </c>
      <c r="D210" t="s">
        <v>75</v>
      </c>
      <c r="E210" t="s">
        <v>9</v>
      </c>
      <c r="F210">
        <v>38</v>
      </c>
      <c r="G210" t="s">
        <v>138</v>
      </c>
      <c r="H210" t="s">
        <v>32</v>
      </c>
      <c r="I210" t="s">
        <v>68</v>
      </c>
      <c r="J210" t="s">
        <v>25</v>
      </c>
      <c r="K210">
        <v>4.0999999999999996</v>
      </c>
      <c r="L210" t="s">
        <v>14</v>
      </c>
      <c r="M210" t="s">
        <v>62</v>
      </c>
      <c r="N210" t="s">
        <v>14</v>
      </c>
      <c r="O210">
        <v>17</v>
      </c>
      <c r="P210" t="s">
        <v>27</v>
      </c>
      <c r="Q210" t="s">
        <v>76</v>
      </c>
      <c r="R210" t="str" cm="1">
        <f t="array" ref="R210">_xlfn.IFS(B210&lt;31,"Young-Adult",B210&lt;41,"Adult",B210&lt;61,"Middle-aged",B210&gt;=61,"Senior")</f>
        <v>Middle-aged</v>
      </c>
      <c r="S210" cm="1">
        <f t="array" ref="S210">_xlfn.IFS(Q210 ="Fortnightly",14,Q210="Weekly",7,Q210="Monthly",30,Q210="Quarterly",90,Q210="Bi-Weekly",14,Q210="Annually",365,Q210="Every 3 Months",90,TRUE,"NOT FOUND")</f>
        <v>30</v>
      </c>
    </row>
    <row r="211" spans="1:19" x14ac:dyDescent="0.35">
      <c r="A211">
        <v>210</v>
      </c>
      <c r="B211">
        <v>55</v>
      </c>
      <c r="C211" t="s">
        <v>7</v>
      </c>
      <c r="D211" t="s">
        <v>29</v>
      </c>
      <c r="E211" t="s">
        <v>30</v>
      </c>
      <c r="F211">
        <v>97</v>
      </c>
      <c r="G211" t="s">
        <v>136</v>
      </c>
      <c r="H211" t="s">
        <v>24</v>
      </c>
      <c r="I211" t="s">
        <v>66</v>
      </c>
      <c r="J211" t="s">
        <v>13</v>
      </c>
      <c r="K211">
        <v>3.2</v>
      </c>
      <c r="L211" t="s">
        <v>14</v>
      </c>
      <c r="M211" t="s">
        <v>62</v>
      </c>
      <c r="N211" t="s">
        <v>14</v>
      </c>
      <c r="O211">
        <v>44</v>
      </c>
      <c r="P211" t="s">
        <v>21</v>
      </c>
      <c r="Q211" t="s">
        <v>85</v>
      </c>
      <c r="R211" t="str" cm="1">
        <f t="array" ref="R211">_xlfn.IFS(B211&lt;31,"Young-Adult",B211&lt;41,"Adult",B211&lt;61,"Middle-aged",B211&gt;=61,"Senior")</f>
        <v>Middle-aged</v>
      </c>
      <c r="S211" cm="1">
        <f t="array" ref="S211">_xlfn.IFS(Q211 ="Fortnightly",14,Q211="Weekly",7,Q211="Monthly",30,Q211="Quarterly",90,Q211="Bi-Weekly",14,Q211="Annually",365,Q211="Every 3 Months",90,TRUE,"NOT FOUND")</f>
        <v>90</v>
      </c>
    </row>
    <row r="212" spans="1:19" x14ac:dyDescent="0.35">
      <c r="A212">
        <v>211</v>
      </c>
      <c r="B212">
        <v>45</v>
      </c>
      <c r="C212" t="s">
        <v>7</v>
      </c>
      <c r="D212" t="s">
        <v>90</v>
      </c>
      <c r="E212" t="s">
        <v>51</v>
      </c>
      <c r="F212">
        <v>22</v>
      </c>
      <c r="G212" t="s">
        <v>117</v>
      </c>
      <c r="H212" t="s">
        <v>11</v>
      </c>
      <c r="I212" t="s">
        <v>73</v>
      </c>
      <c r="J212" t="s">
        <v>45</v>
      </c>
      <c r="K212">
        <v>3</v>
      </c>
      <c r="L212" t="s">
        <v>14</v>
      </c>
      <c r="M212" t="s">
        <v>58</v>
      </c>
      <c r="N212" t="s">
        <v>14</v>
      </c>
      <c r="O212">
        <v>6</v>
      </c>
      <c r="P212" t="s">
        <v>34</v>
      </c>
      <c r="Q212" t="s">
        <v>17</v>
      </c>
      <c r="R212" t="str" cm="1">
        <f t="array" ref="R212">_xlfn.IFS(B212&lt;31,"Young-Adult",B212&lt;41,"Adult",B212&lt;61,"Middle-aged",B212&gt;=61,"Senior")</f>
        <v>Middle-aged</v>
      </c>
      <c r="S212" cm="1">
        <f t="array" ref="S212">_xlfn.IFS(Q212 ="Fortnightly",14,Q212="Weekly",7,Q212="Monthly",30,Q212="Quarterly",90,Q212="Bi-Weekly",14,Q212="Annually",365,Q212="Every 3 Months",90,TRUE,"NOT FOUND")</f>
        <v>14</v>
      </c>
    </row>
    <row r="213" spans="1:19" x14ac:dyDescent="0.35">
      <c r="A213">
        <v>212</v>
      </c>
      <c r="B213">
        <v>69</v>
      </c>
      <c r="C213" t="s">
        <v>7</v>
      </c>
      <c r="D213" t="s">
        <v>75</v>
      </c>
      <c r="E213" t="s">
        <v>9</v>
      </c>
      <c r="F213">
        <v>92</v>
      </c>
      <c r="G213" t="s">
        <v>135</v>
      </c>
      <c r="H213" t="s">
        <v>11</v>
      </c>
      <c r="I213" t="s">
        <v>20</v>
      </c>
      <c r="J213" t="s">
        <v>45</v>
      </c>
      <c r="K213">
        <v>4.2</v>
      </c>
      <c r="L213" t="s">
        <v>14</v>
      </c>
      <c r="M213" t="s">
        <v>58</v>
      </c>
      <c r="N213" t="s">
        <v>14</v>
      </c>
      <c r="O213">
        <v>45</v>
      </c>
      <c r="P213" t="s">
        <v>74</v>
      </c>
      <c r="Q213" t="s">
        <v>17</v>
      </c>
      <c r="R213" t="str" cm="1">
        <f t="array" ref="R213">_xlfn.IFS(B213&lt;31,"Young-Adult",B213&lt;41,"Adult",B213&lt;61,"Middle-aged",B213&gt;=61,"Senior")</f>
        <v>Senior</v>
      </c>
      <c r="S213" cm="1">
        <f t="array" ref="S213">_xlfn.IFS(Q213 ="Fortnightly",14,Q213="Weekly",7,Q213="Monthly",30,Q213="Quarterly",90,Q213="Bi-Weekly",14,Q213="Annually",365,Q213="Every 3 Months",90,TRUE,"NOT FOUND")</f>
        <v>14</v>
      </c>
    </row>
    <row r="214" spans="1:19" x14ac:dyDescent="0.35">
      <c r="A214">
        <v>213</v>
      </c>
      <c r="B214">
        <v>67</v>
      </c>
      <c r="C214" t="s">
        <v>7</v>
      </c>
      <c r="D214" t="s">
        <v>54</v>
      </c>
      <c r="E214" t="s">
        <v>55</v>
      </c>
      <c r="F214">
        <v>84</v>
      </c>
      <c r="G214" t="s">
        <v>129</v>
      </c>
      <c r="H214" t="s">
        <v>11</v>
      </c>
      <c r="I214" t="s">
        <v>132</v>
      </c>
      <c r="J214" t="s">
        <v>45</v>
      </c>
      <c r="K214">
        <v>4.2</v>
      </c>
      <c r="L214" t="s">
        <v>14</v>
      </c>
      <c r="M214" t="s">
        <v>15</v>
      </c>
      <c r="N214" t="s">
        <v>14</v>
      </c>
      <c r="O214">
        <v>7</v>
      </c>
      <c r="P214" t="s">
        <v>74</v>
      </c>
      <c r="Q214" t="s">
        <v>37</v>
      </c>
      <c r="R214" t="str" cm="1">
        <f t="array" ref="R214">_xlfn.IFS(B214&lt;31,"Young-Adult",B214&lt;41,"Adult",B214&lt;61,"Middle-aged",B214&gt;=61,"Senior")</f>
        <v>Senior</v>
      </c>
      <c r="S214" cm="1">
        <f t="array" ref="S214">_xlfn.IFS(Q214 ="Fortnightly",14,Q214="Weekly",7,Q214="Monthly",30,Q214="Quarterly",90,Q214="Bi-Weekly",14,Q214="Annually",365,Q214="Every 3 Months",90,TRUE,"NOT FOUND")</f>
        <v>365</v>
      </c>
    </row>
    <row r="215" spans="1:19" x14ac:dyDescent="0.35">
      <c r="A215">
        <v>214</v>
      </c>
      <c r="B215">
        <v>30</v>
      </c>
      <c r="C215" t="s">
        <v>7</v>
      </c>
      <c r="D215" t="s">
        <v>54</v>
      </c>
      <c r="E215" t="s">
        <v>55</v>
      </c>
      <c r="F215">
        <v>93</v>
      </c>
      <c r="G215" t="s">
        <v>95</v>
      </c>
      <c r="H215" t="s">
        <v>11</v>
      </c>
      <c r="I215" t="s">
        <v>88</v>
      </c>
      <c r="J215" t="s">
        <v>45</v>
      </c>
      <c r="K215">
        <v>4.4000000000000004</v>
      </c>
      <c r="L215" t="s">
        <v>14</v>
      </c>
      <c r="M215" t="s">
        <v>62</v>
      </c>
      <c r="N215" t="s">
        <v>14</v>
      </c>
      <c r="O215">
        <v>11</v>
      </c>
      <c r="P215" t="s">
        <v>74</v>
      </c>
      <c r="Q215" t="s">
        <v>85</v>
      </c>
      <c r="R215" t="str" cm="1">
        <f t="array" ref="R215">_xlfn.IFS(B215&lt;31,"Young-Adult",B215&lt;41,"Adult",B215&lt;61,"Middle-aged",B215&gt;=61,"Senior")</f>
        <v>Young-Adult</v>
      </c>
      <c r="S215" cm="1">
        <f t="array" ref="S215">_xlfn.IFS(Q215 ="Fortnightly",14,Q215="Weekly",7,Q215="Monthly",30,Q215="Quarterly",90,Q215="Bi-Weekly",14,Q215="Annually",365,Q215="Every 3 Months",90,TRUE,"NOT FOUND")</f>
        <v>90</v>
      </c>
    </row>
    <row r="216" spans="1:19" x14ac:dyDescent="0.35">
      <c r="A216">
        <v>215</v>
      </c>
      <c r="B216">
        <v>24</v>
      </c>
      <c r="C216" t="s">
        <v>7</v>
      </c>
      <c r="D216" t="s">
        <v>90</v>
      </c>
      <c r="E216" t="s">
        <v>51</v>
      </c>
      <c r="F216">
        <v>50</v>
      </c>
      <c r="G216" t="s">
        <v>65</v>
      </c>
      <c r="H216" t="s">
        <v>11</v>
      </c>
      <c r="I216" t="s">
        <v>132</v>
      </c>
      <c r="J216" t="s">
        <v>41</v>
      </c>
      <c r="K216">
        <v>4.2</v>
      </c>
      <c r="L216" t="s">
        <v>14</v>
      </c>
      <c r="M216" t="s">
        <v>33</v>
      </c>
      <c r="N216" t="s">
        <v>14</v>
      </c>
      <c r="O216">
        <v>41</v>
      </c>
      <c r="P216" t="s">
        <v>21</v>
      </c>
      <c r="Q216" t="s">
        <v>85</v>
      </c>
      <c r="R216" t="str" cm="1">
        <f t="array" ref="R216">_xlfn.IFS(B216&lt;31,"Young-Adult",B216&lt;41,"Adult",B216&lt;61,"Middle-aged",B216&gt;=61,"Senior")</f>
        <v>Young-Adult</v>
      </c>
      <c r="S216" cm="1">
        <f t="array" ref="S216">_xlfn.IFS(Q216 ="Fortnightly",14,Q216="Weekly",7,Q216="Monthly",30,Q216="Quarterly",90,Q216="Bi-Weekly",14,Q216="Annually",365,Q216="Every 3 Months",90,TRUE,"NOT FOUND")</f>
        <v>90</v>
      </c>
    </row>
    <row r="217" spans="1:19" x14ac:dyDescent="0.35">
      <c r="A217">
        <v>216</v>
      </c>
      <c r="B217">
        <v>62</v>
      </c>
      <c r="C217" t="s">
        <v>7</v>
      </c>
      <c r="D217" t="s">
        <v>107</v>
      </c>
      <c r="E217" t="s">
        <v>55</v>
      </c>
      <c r="F217">
        <v>64</v>
      </c>
      <c r="G217" t="s">
        <v>115</v>
      </c>
      <c r="H217" t="s">
        <v>24</v>
      </c>
      <c r="I217" t="s">
        <v>109</v>
      </c>
      <c r="J217" t="s">
        <v>25</v>
      </c>
      <c r="K217">
        <v>2.8</v>
      </c>
      <c r="L217" t="s">
        <v>14</v>
      </c>
      <c r="M217" t="s">
        <v>58</v>
      </c>
      <c r="N217" t="s">
        <v>14</v>
      </c>
      <c r="O217">
        <v>24</v>
      </c>
      <c r="P217" t="s">
        <v>34</v>
      </c>
      <c r="Q217" t="s">
        <v>64</v>
      </c>
      <c r="R217" t="str" cm="1">
        <f t="array" ref="R217">_xlfn.IFS(B217&lt;31,"Young-Adult",B217&lt;41,"Adult",B217&lt;61,"Middle-aged",B217&gt;=61,"Senior")</f>
        <v>Senior</v>
      </c>
      <c r="S217" cm="1">
        <f t="array" ref="S217">_xlfn.IFS(Q217 ="Fortnightly",14,Q217="Weekly",7,Q217="Monthly",30,Q217="Quarterly",90,Q217="Bi-Weekly",14,Q217="Annually",365,Q217="Every 3 Months",90,TRUE,"NOT FOUND")</f>
        <v>14</v>
      </c>
    </row>
    <row r="218" spans="1:19" x14ac:dyDescent="0.35">
      <c r="A218">
        <v>217</v>
      </c>
      <c r="B218">
        <v>43</v>
      </c>
      <c r="C218" t="s">
        <v>7</v>
      </c>
      <c r="D218" t="s">
        <v>47</v>
      </c>
      <c r="E218" t="s">
        <v>9</v>
      </c>
      <c r="F218">
        <v>61</v>
      </c>
      <c r="G218" t="s">
        <v>23</v>
      </c>
      <c r="H218" t="s">
        <v>11</v>
      </c>
      <c r="I218" t="s">
        <v>122</v>
      </c>
      <c r="J218" t="s">
        <v>25</v>
      </c>
      <c r="K218">
        <v>3.7</v>
      </c>
      <c r="L218" t="s">
        <v>14</v>
      </c>
      <c r="M218" t="s">
        <v>26</v>
      </c>
      <c r="N218" t="s">
        <v>14</v>
      </c>
      <c r="O218">
        <v>21</v>
      </c>
      <c r="P218" t="s">
        <v>16</v>
      </c>
      <c r="Q218" t="s">
        <v>28</v>
      </c>
      <c r="R218" t="str" cm="1">
        <f t="array" ref="R218">_xlfn.IFS(B218&lt;31,"Young-Adult",B218&lt;41,"Adult",B218&lt;61,"Middle-aged",B218&gt;=61,"Senior")</f>
        <v>Middle-aged</v>
      </c>
      <c r="S218" cm="1">
        <f t="array" ref="S218">_xlfn.IFS(Q218 ="Fortnightly",14,Q218="Weekly",7,Q218="Monthly",30,Q218="Quarterly",90,Q218="Bi-Weekly",14,Q218="Annually",365,Q218="Every 3 Months",90,TRUE,"NOT FOUND")</f>
        <v>7</v>
      </c>
    </row>
    <row r="219" spans="1:19" x14ac:dyDescent="0.35">
      <c r="A219">
        <v>218</v>
      </c>
      <c r="B219">
        <v>35</v>
      </c>
      <c r="C219" t="s">
        <v>7</v>
      </c>
      <c r="D219" t="s">
        <v>77</v>
      </c>
      <c r="E219" t="s">
        <v>55</v>
      </c>
      <c r="F219">
        <v>48</v>
      </c>
      <c r="G219" t="s">
        <v>89</v>
      </c>
      <c r="H219" t="s">
        <v>32</v>
      </c>
      <c r="I219" t="s">
        <v>61</v>
      </c>
      <c r="J219" t="s">
        <v>13</v>
      </c>
      <c r="K219">
        <v>3.5</v>
      </c>
      <c r="L219" t="s">
        <v>14</v>
      </c>
      <c r="M219" t="s">
        <v>33</v>
      </c>
      <c r="N219" t="s">
        <v>14</v>
      </c>
      <c r="O219">
        <v>24</v>
      </c>
      <c r="P219" t="s">
        <v>63</v>
      </c>
      <c r="Q219" t="s">
        <v>37</v>
      </c>
      <c r="R219" t="str" cm="1">
        <f t="array" ref="R219">_xlfn.IFS(B219&lt;31,"Young-Adult",B219&lt;41,"Adult",B219&lt;61,"Middle-aged",B219&gt;=61,"Senior")</f>
        <v>Adult</v>
      </c>
      <c r="S219" cm="1">
        <f t="array" ref="S219">_xlfn.IFS(Q219 ="Fortnightly",14,Q219="Weekly",7,Q219="Monthly",30,Q219="Quarterly",90,Q219="Bi-Weekly",14,Q219="Annually",365,Q219="Every 3 Months",90,TRUE,"NOT FOUND")</f>
        <v>365</v>
      </c>
    </row>
    <row r="220" spans="1:19" x14ac:dyDescent="0.35">
      <c r="A220">
        <v>219</v>
      </c>
      <c r="B220">
        <v>28</v>
      </c>
      <c r="C220" t="s">
        <v>7</v>
      </c>
      <c r="D220" t="s">
        <v>101</v>
      </c>
      <c r="E220" t="s">
        <v>9</v>
      </c>
      <c r="F220">
        <v>45</v>
      </c>
      <c r="G220" t="s">
        <v>87</v>
      </c>
      <c r="H220" t="s">
        <v>24</v>
      </c>
      <c r="I220" t="s">
        <v>124</v>
      </c>
      <c r="J220" t="s">
        <v>25</v>
      </c>
      <c r="K220">
        <v>2.9</v>
      </c>
      <c r="L220" t="s">
        <v>14</v>
      </c>
      <c r="M220" t="s">
        <v>62</v>
      </c>
      <c r="N220" t="s">
        <v>14</v>
      </c>
      <c r="O220">
        <v>8</v>
      </c>
      <c r="P220" t="s">
        <v>27</v>
      </c>
      <c r="Q220" t="s">
        <v>46</v>
      </c>
      <c r="R220" t="str" cm="1">
        <f t="array" ref="R220">_xlfn.IFS(B220&lt;31,"Young-Adult",B220&lt;41,"Adult",B220&lt;61,"Middle-aged",B220&gt;=61,"Senior")</f>
        <v>Young-Adult</v>
      </c>
      <c r="S220" cm="1">
        <f t="array" ref="S220">_xlfn.IFS(Q220 ="Fortnightly",14,Q220="Weekly",7,Q220="Monthly",30,Q220="Quarterly",90,Q220="Bi-Weekly",14,Q220="Annually",365,Q220="Every 3 Months",90,TRUE,"NOT FOUND")</f>
        <v>90</v>
      </c>
    </row>
    <row r="221" spans="1:19" x14ac:dyDescent="0.35">
      <c r="A221">
        <v>220</v>
      </c>
      <c r="B221">
        <v>32</v>
      </c>
      <c r="C221" t="s">
        <v>7</v>
      </c>
      <c r="D221" t="s">
        <v>121</v>
      </c>
      <c r="E221" t="s">
        <v>55</v>
      </c>
      <c r="F221">
        <v>88</v>
      </c>
      <c r="G221" t="s">
        <v>95</v>
      </c>
      <c r="H221" t="s">
        <v>32</v>
      </c>
      <c r="I221" t="s">
        <v>97</v>
      </c>
      <c r="J221" t="s">
        <v>25</v>
      </c>
      <c r="K221">
        <v>3</v>
      </c>
      <c r="L221" t="s">
        <v>14</v>
      </c>
      <c r="M221" t="s">
        <v>26</v>
      </c>
      <c r="N221" t="s">
        <v>14</v>
      </c>
      <c r="O221">
        <v>12</v>
      </c>
      <c r="P221" t="s">
        <v>21</v>
      </c>
      <c r="Q221" t="s">
        <v>17</v>
      </c>
      <c r="R221" t="str" cm="1">
        <f t="array" ref="R221">_xlfn.IFS(B221&lt;31,"Young-Adult",B221&lt;41,"Adult",B221&lt;61,"Middle-aged",B221&gt;=61,"Senior")</f>
        <v>Adult</v>
      </c>
      <c r="S221" cm="1">
        <f t="array" ref="S221">_xlfn.IFS(Q221 ="Fortnightly",14,Q221="Weekly",7,Q221="Monthly",30,Q221="Quarterly",90,Q221="Bi-Weekly",14,Q221="Annually",365,Q221="Every 3 Months",90,TRUE,"NOT FOUND")</f>
        <v>14</v>
      </c>
    </row>
    <row r="222" spans="1:19" x14ac:dyDescent="0.35">
      <c r="A222">
        <v>221</v>
      </c>
      <c r="B222">
        <v>39</v>
      </c>
      <c r="C222" t="s">
        <v>7</v>
      </c>
      <c r="D222" t="s">
        <v>38</v>
      </c>
      <c r="E222" t="s">
        <v>30</v>
      </c>
      <c r="F222">
        <v>57</v>
      </c>
      <c r="G222" t="s">
        <v>105</v>
      </c>
      <c r="H222" t="s">
        <v>24</v>
      </c>
      <c r="I222" t="s">
        <v>114</v>
      </c>
      <c r="J222" t="s">
        <v>25</v>
      </c>
      <c r="K222">
        <v>3.7</v>
      </c>
      <c r="L222" t="s">
        <v>14</v>
      </c>
      <c r="M222" t="s">
        <v>15</v>
      </c>
      <c r="N222" t="s">
        <v>14</v>
      </c>
      <c r="O222">
        <v>48</v>
      </c>
      <c r="P222" t="s">
        <v>74</v>
      </c>
      <c r="Q222" t="s">
        <v>17</v>
      </c>
      <c r="R222" t="str" cm="1">
        <f t="array" ref="R222">_xlfn.IFS(B222&lt;31,"Young-Adult",B222&lt;41,"Adult",B222&lt;61,"Middle-aged",B222&gt;=61,"Senior")</f>
        <v>Adult</v>
      </c>
      <c r="S222" cm="1">
        <f t="array" ref="S222">_xlfn.IFS(Q222 ="Fortnightly",14,Q222="Weekly",7,Q222="Monthly",30,Q222="Quarterly",90,Q222="Bi-Weekly",14,Q222="Annually",365,Q222="Every 3 Months",90,TRUE,"NOT FOUND")</f>
        <v>14</v>
      </c>
    </row>
    <row r="223" spans="1:19" x14ac:dyDescent="0.35">
      <c r="A223">
        <v>222</v>
      </c>
      <c r="B223">
        <v>28</v>
      </c>
      <c r="C223" t="s">
        <v>7</v>
      </c>
      <c r="D223" t="s">
        <v>112</v>
      </c>
      <c r="E223" t="s">
        <v>55</v>
      </c>
      <c r="F223">
        <v>68</v>
      </c>
      <c r="G223" t="s">
        <v>86</v>
      </c>
      <c r="H223" t="s">
        <v>80</v>
      </c>
      <c r="I223" t="s">
        <v>124</v>
      </c>
      <c r="J223" t="s">
        <v>41</v>
      </c>
      <c r="K223">
        <v>4.4000000000000004</v>
      </c>
      <c r="L223" t="s">
        <v>14</v>
      </c>
      <c r="M223" t="s">
        <v>62</v>
      </c>
      <c r="N223" t="s">
        <v>14</v>
      </c>
      <c r="O223">
        <v>6</v>
      </c>
      <c r="P223" t="s">
        <v>63</v>
      </c>
      <c r="Q223" t="s">
        <v>46</v>
      </c>
      <c r="R223" t="str" cm="1">
        <f t="array" ref="R223">_xlfn.IFS(B223&lt;31,"Young-Adult",B223&lt;41,"Adult",B223&lt;61,"Middle-aged",B223&gt;=61,"Senior")</f>
        <v>Young-Adult</v>
      </c>
      <c r="S223" cm="1">
        <f t="array" ref="S223">_xlfn.IFS(Q223 ="Fortnightly",14,Q223="Weekly",7,Q223="Monthly",30,Q223="Quarterly",90,Q223="Bi-Weekly",14,Q223="Annually",365,Q223="Every 3 Months",90,TRUE,"NOT FOUND")</f>
        <v>90</v>
      </c>
    </row>
    <row r="224" spans="1:19" x14ac:dyDescent="0.35">
      <c r="A224">
        <v>223</v>
      </c>
      <c r="B224">
        <v>47</v>
      </c>
      <c r="C224" t="s">
        <v>7</v>
      </c>
      <c r="D224" t="s">
        <v>131</v>
      </c>
      <c r="E224" t="s">
        <v>55</v>
      </c>
      <c r="F224">
        <v>94</v>
      </c>
      <c r="G224" t="s">
        <v>72</v>
      </c>
      <c r="H224" t="s">
        <v>80</v>
      </c>
      <c r="I224" t="s">
        <v>12</v>
      </c>
      <c r="J224" t="s">
        <v>25</v>
      </c>
      <c r="K224">
        <v>4.5</v>
      </c>
      <c r="L224" t="s">
        <v>14</v>
      </c>
      <c r="M224" t="s">
        <v>58</v>
      </c>
      <c r="N224" t="s">
        <v>14</v>
      </c>
      <c r="O224">
        <v>14</v>
      </c>
      <c r="P224" t="s">
        <v>34</v>
      </c>
      <c r="Q224" t="s">
        <v>17</v>
      </c>
      <c r="R224" t="str" cm="1">
        <f t="array" ref="R224">_xlfn.IFS(B224&lt;31,"Young-Adult",B224&lt;41,"Adult",B224&lt;61,"Middle-aged",B224&gt;=61,"Senior")</f>
        <v>Middle-aged</v>
      </c>
      <c r="S224" cm="1">
        <f t="array" ref="S224">_xlfn.IFS(Q224 ="Fortnightly",14,Q224="Weekly",7,Q224="Monthly",30,Q224="Quarterly",90,Q224="Bi-Weekly",14,Q224="Annually",365,Q224="Every 3 Months",90,TRUE,"NOT FOUND")</f>
        <v>14</v>
      </c>
    </row>
    <row r="225" spans="1:19" x14ac:dyDescent="0.35">
      <c r="A225">
        <v>224</v>
      </c>
      <c r="B225">
        <v>20</v>
      </c>
      <c r="C225" t="s">
        <v>7</v>
      </c>
      <c r="D225" t="s">
        <v>83</v>
      </c>
      <c r="E225" t="s">
        <v>9</v>
      </c>
      <c r="F225">
        <v>41</v>
      </c>
      <c r="G225" t="s">
        <v>39</v>
      </c>
      <c r="H225" t="s">
        <v>32</v>
      </c>
      <c r="I225" t="s">
        <v>36</v>
      </c>
      <c r="J225" t="s">
        <v>25</v>
      </c>
      <c r="K225">
        <v>4.8</v>
      </c>
      <c r="L225" t="s">
        <v>14</v>
      </c>
      <c r="M225" t="s">
        <v>26</v>
      </c>
      <c r="N225" t="s">
        <v>14</v>
      </c>
      <c r="O225">
        <v>34</v>
      </c>
      <c r="P225" t="s">
        <v>34</v>
      </c>
      <c r="Q225" t="s">
        <v>37</v>
      </c>
      <c r="R225" t="str" cm="1">
        <f t="array" ref="R225">_xlfn.IFS(B225&lt;31,"Young-Adult",B225&lt;41,"Adult",B225&lt;61,"Middle-aged",B225&gt;=61,"Senior")</f>
        <v>Young-Adult</v>
      </c>
      <c r="S225" cm="1">
        <f t="array" ref="S225">_xlfn.IFS(Q225 ="Fortnightly",14,Q225="Weekly",7,Q225="Monthly",30,Q225="Quarterly",90,Q225="Bi-Weekly",14,Q225="Annually",365,Q225="Every 3 Months",90,TRUE,"NOT FOUND")</f>
        <v>365</v>
      </c>
    </row>
    <row r="226" spans="1:19" x14ac:dyDescent="0.35">
      <c r="A226">
        <v>225</v>
      </c>
      <c r="B226">
        <v>63</v>
      </c>
      <c r="C226" t="s">
        <v>7</v>
      </c>
      <c r="D226" t="s">
        <v>113</v>
      </c>
      <c r="E226" t="s">
        <v>9</v>
      </c>
      <c r="F226">
        <v>83</v>
      </c>
      <c r="G226" t="s">
        <v>135</v>
      </c>
      <c r="H226" t="s">
        <v>24</v>
      </c>
      <c r="I226" t="s">
        <v>106</v>
      </c>
      <c r="J226" t="s">
        <v>41</v>
      </c>
      <c r="K226">
        <v>2.9</v>
      </c>
      <c r="L226" t="s">
        <v>14</v>
      </c>
      <c r="M226" t="s">
        <v>26</v>
      </c>
      <c r="N226" t="s">
        <v>14</v>
      </c>
      <c r="O226">
        <v>12</v>
      </c>
      <c r="P226" t="s">
        <v>21</v>
      </c>
      <c r="Q226" t="s">
        <v>85</v>
      </c>
      <c r="R226" t="str" cm="1">
        <f t="array" ref="R226">_xlfn.IFS(B226&lt;31,"Young-Adult",B226&lt;41,"Adult",B226&lt;61,"Middle-aged",B226&gt;=61,"Senior")</f>
        <v>Senior</v>
      </c>
      <c r="S226" cm="1">
        <f t="array" ref="S226">_xlfn.IFS(Q226 ="Fortnightly",14,Q226="Weekly",7,Q226="Monthly",30,Q226="Quarterly",90,Q226="Bi-Weekly",14,Q226="Annually",365,Q226="Every 3 Months",90,TRUE,"NOT FOUND")</f>
        <v>90</v>
      </c>
    </row>
    <row r="227" spans="1:19" x14ac:dyDescent="0.35">
      <c r="A227">
        <v>226</v>
      </c>
      <c r="B227">
        <v>25</v>
      </c>
      <c r="C227" t="s">
        <v>7</v>
      </c>
      <c r="D227" t="s">
        <v>90</v>
      </c>
      <c r="E227" t="s">
        <v>51</v>
      </c>
      <c r="F227">
        <v>22</v>
      </c>
      <c r="G227" t="s">
        <v>60</v>
      </c>
      <c r="H227" t="s">
        <v>32</v>
      </c>
      <c r="I227" t="s">
        <v>66</v>
      </c>
      <c r="J227" t="s">
        <v>25</v>
      </c>
      <c r="K227">
        <v>3.2</v>
      </c>
      <c r="L227" t="s">
        <v>14</v>
      </c>
      <c r="M227" t="s">
        <v>33</v>
      </c>
      <c r="N227" t="s">
        <v>14</v>
      </c>
      <c r="O227">
        <v>11</v>
      </c>
      <c r="P227" t="s">
        <v>63</v>
      </c>
      <c r="Q227" t="s">
        <v>37</v>
      </c>
      <c r="R227" t="str" cm="1">
        <f t="array" ref="R227">_xlfn.IFS(B227&lt;31,"Young-Adult",B227&lt;41,"Adult",B227&lt;61,"Middle-aged",B227&gt;=61,"Senior")</f>
        <v>Young-Adult</v>
      </c>
      <c r="S227" cm="1">
        <f t="array" ref="S227">_xlfn.IFS(Q227 ="Fortnightly",14,Q227="Weekly",7,Q227="Monthly",30,Q227="Quarterly",90,Q227="Bi-Weekly",14,Q227="Annually",365,Q227="Every 3 Months",90,TRUE,"NOT FOUND")</f>
        <v>365</v>
      </c>
    </row>
    <row r="228" spans="1:19" x14ac:dyDescent="0.35">
      <c r="A228">
        <v>227</v>
      </c>
      <c r="B228">
        <v>29</v>
      </c>
      <c r="C228" t="s">
        <v>7</v>
      </c>
      <c r="D228" t="s">
        <v>59</v>
      </c>
      <c r="E228" t="s">
        <v>30</v>
      </c>
      <c r="F228">
        <v>74</v>
      </c>
      <c r="G228" t="s">
        <v>93</v>
      </c>
      <c r="H228" t="s">
        <v>11</v>
      </c>
      <c r="I228" t="s">
        <v>71</v>
      </c>
      <c r="J228" t="s">
        <v>25</v>
      </c>
      <c r="K228">
        <v>3.3</v>
      </c>
      <c r="L228" t="s">
        <v>14</v>
      </c>
      <c r="M228" t="s">
        <v>26</v>
      </c>
      <c r="N228" t="s">
        <v>14</v>
      </c>
      <c r="O228">
        <v>5</v>
      </c>
      <c r="P228" t="s">
        <v>34</v>
      </c>
      <c r="Q228" t="s">
        <v>76</v>
      </c>
      <c r="R228" t="str" cm="1">
        <f t="array" ref="R228">_xlfn.IFS(B228&lt;31,"Young-Adult",B228&lt;41,"Adult",B228&lt;61,"Middle-aged",B228&gt;=61,"Senior")</f>
        <v>Young-Adult</v>
      </c>
      <c r="S228" cm="1">
        <f t="array" ref="S228">_xlfn.IFS(Q228 ="Fortnightly",14,Q228="Weekly",7,Q228="Monthly",30,Q228="Quarterly",90,Q228="Bi-Weekly",14,Q228="Annually",365,Q228="Every 3 Months",90,TRUE,"NOT FOUND")</f>
        <v>30</v>
      </c>
    </row>
    <row r="229" spans="1:19" x14ac:dyDescent="0.35">
      <c r="A229">
        <v>228</v>
      </c>
      <c r="B229">
        <v>50</v>
      </c>
      <c r="C229" t="s">
        <v>7</v>
      </c>
      <c r="D229" t="s">
        <v>22</v>
      </c>
      <c r="E229" t="s">
        <v>9</v>
      </c>
      <c r="F229">
        <v>90</v>
      </c>
      <c r="G229" t="s">
        <v>31</v>
      </c>
      <c r="H229" t="s">
        <v>32</v>
      </c>
      <c r="I229" t="s">
        <v>36</v>
      </c>
      <c r="J229" t="s">
        <v>13</v>
      </c>
      <c r="K229">
        <v>4.2</v>
      </c>
      <c r="L229" t="s">
        <v>14</v>
      </c>
      <c r="M229" t="s">
        <v>42</v>
      </c>
      <c r="N229" t="s">
        <v>14</v>
      </c>
      <c r="O229">
        <v>25</v>
      </c>
      <c r="P229" t="s">
        <v>16</v>
      </c>
      <c r="Q229" t="s">
        <v>17</v>
      </c>
      <c r="R229" t="str" cm="1">
        <f t="array" ref="R229">_xlfn.IFS(B229&lt;31,"Young-Adult",B229&lt;41,"Adult",B229&lt;61,"Middle-aged",B229&gt;=61,"Senior")</f>
        <v>Middle-aged</v>
      </c>
      <c r="S229" cm="1">
        <f t="array" ref="S229">_xlfn.IFS(Q229 ="Fortnightly",14,Q229="Weekly",7,Q229="Monthly",30,Q229="Quarterly",90,Q229="Bi-Weekly",14,Q229="Annually",365,Q229="Every 3 Months",90,TRUE,"NOT FOUND")</f>
        <v>14</v>
      </c>
    </row>
    <row r="230" spans="1:19" x14ac:dyDescent="0.35">
      <c r="A230">
        <v>229</v>
      </c>
      <c r="B230">
        <v>18</v>
      </c>
      <c r="C230" t="s">
        <v>7</v>
      </c>
      <c r="D230" t="s">
        <v>113</v>
      </c>
      <c r="E230" t="s">
        <v>9</v>
      </c>
      <c r="F230">
        <v>79</v>
      </c>
      <c r="G230" t="s">
        <v>70</v>
      </c>
      <c r="H230" t="s">
        <v>32</v>
      </c>
      <c r="I230" t="s">
        <v>40</v>
      </c>
      <c r="J230" t="s">
        <v>25</v>
      </c>
      <c r="K230">
        <v>2.9</v>
      </c>
      <c r="L230" t="s">
        <v>14</v>
      </c>
      <c r="M230" t="s">
        <v>62</v>
      </c>
      <c r="N230" t="s">
        <v>14</v>
      </c>
      <c r="O230">
        <v>11</v>
      </c>
      <c r="P230" t="s">
        <v>27</v>
      </c>
      <c r="Q230" t="s">
        <v>37</v>
      </c>
      <c r="R230" t="str" cm="1">
        <f t="array" ref="R230">_xlfn.IFS(B230&lt;31,"Young-Adult",B230&lt;41,"Adult",B230&lt;61,"Middle-aged",B230&gt;=61,"Senior")</f>
        <v>Young-Adult</v>
      </c>
      <c r="S230" cm="1">
        <f t="array" ref="S230">_xlfn.IFS(Q230 ="Fortnightly",14,Q230="Weekly",7,Q230="Monthly",30,Q230="Quarterly",90,Q230="Bi-Weekly",14,Q230="Annually",365,Q230="Every 3 Months",90,TRUE,"NOT FOUND")</f>
        <v>365</v>
      </c>
    </row>
    <row r="231" spans="1:19" x14ac:dyDescent="0.35">
      <c r="A231">
        <v>230</v>
      </c>
      <c r="B231">
        <v>70</v>
      </c>
      <c r="C231" t="s">
        <v>7</v>
      </c>
      <c r="D231" t="s">
        <v>29</v>
      </c>
      <c r="E231" t="s">
        <v>30</v>
      </c>
      <c r="F231">
        <v>28</v>
      </c>
      <c r="G231" t="s">
        <v>111</v>
      </c>
      <c r="H231" t="s">
        <v>24</v>
      </c>
      <c r="I231" t="s">
        <v>53</v>
      </c>
      <c r="J231" t="s">
        <v>25</v>
      </c>
      <c r="K231">
        <v>4.5999999999999996</v>
      </c>
      <c r="L231" t="s">
        <v>14</v>
      </c>
      <c r="M231" t="s">
        <v>33</v>
      </c>
      <c r="N231" t="s">
        <v>14</v>
      </c>
      <c r="O231">
        <v>27</v>
      </c>
      <c r="P231" t="s">
        <v>34</v>
      </c>
      <c r="Q231" t="s">
        <v>85</v>
      </c>
      <c r="R231" t="str" cm="1">
        <f t="array" ref="R231">_xlfn.IFS(B231&lt;31,"Young-Adult",B231&lt;41,"Adult",B231&lt;61,"Middle-aged",B231&gt;=61,"Senior")</f>
        <v>Senior</v>
      </c>
      <c r="S231" cm="1">
        <f t="array" ref="S231">_xlfn.IFS(Q231 ="Fortnightly",14,Q231="Weekly",7,Q231="Monthly",30,Q231="Quarterly",90,Q231="Bi-Weekly",14,Q231="Annually",365,Q231="Every 3 Months",90,TRUE,"NOT FOUND")</f>
        <v>90</v>
      </c>
    </row>
    <row r="232" spans="1:19" x14ac:dyDescent="0.35">
      <c r="A232">
        <v>231</v>
      </c>
      <c r="B232">
        <v>66</v>
      </c>
      <c r="C232" t="s">
        <v>7</v>
      </c>
      <c r="D232" t="s">
        <v>107</v>
      </c>
      <c r="E232" t="s">
        <v>55</v>
      </c>
      <c r="F232">
        <v>88</v>
      </c>
      <c r="G232" t="s">
        <v>128</v>
      </c>
      <c r="H232" t="s">
        <v>11</v>
      </c>
      <c r="I232" t="s">
        <v>66</v>
      </c>
      <c r="J232" t="s">
        <v>45</v>
      </c>
      <c r="K232">
        <v>4.0999999999999996</v>
      </c>
      <c r="L232" t="s">
        <v>14</v>
      </c>
      <c r="M232" t="s">
        <v>42</v>
      </c>
      <c r="N232" t="s">
        <v>14</v>
      </c>
      <c r="O232">
        <v>43</v>
      </c>
      <c r="P232" t="s">
        <v>27</v>
      </c>
      <c r="Q232" t="s">
        <v>37</v>
      </c>
      <c r="R232" t="str" cm="1">
        <f t="array" ref="R232">_xlfn.IFS(B232&lt;31,"Young-Adult",B232&lt;41,"Adult",B232&lt;61,"Middle-aged",B232&gt;=61,"Senior")</f>
        <v>Senior</v>
      </c>
      <c r="S232" cm="1">
        <f t="array" ref="S232">_xlfn.IFS(Q232 ="Fortnightly",14,Q232="Weekly",7,Q232="Monthly",30,Q232="Quarterly",90,Q232="Bi-Weekly",14,Q232="Annually",365,Q232="Every 3 Months",90,TRUE,"NOT FOUND")</f>
        <v>365</v>
      </c>
    </row>
    <row r="233" spans="1:19" x14ac:dyDescent="0.35">
      <c r="A233">
        <v>232</v>
      </c>
      <c r="B233">
        <v>28</v>
      </c>
      <c r="C233" t="s">
        <v>7</v>
      </c>
      <c r="D233" t="s">
        <v>8</v>
      </c>
      <c r="E233" t="s">
        <v>9</v>
      </c>
      <c r="F233">
        <v>26</v>
      </c>
      <c r="G233" t="s">
        <v>110</v>
      </c>
      <c r="H233" t="s">
        <v>32</v>
      </c>
      <c r="I233" t="s">
        <v>132</v>
      </c>
      <c r="J233" t="s">
        <v>25</v>
      </c>
      <c r="K233">
        <v>3.1</v>
      </c>
      <c r="L233" t="s">
        <v>14</v>
      </c>
      <c r="M233" t="s">
        <v>58</v>
      </c>
      <c r="N233" t="s">
        <v>14</v>
      </c>
      <c r="O233">
        <v>18</v>
      </c>
      <c r="P233" t="s">
        <v>74</v>
      </c>
      <c r="Q233" t="s">
        <v>85</v>
      </c>
      <c r="R233" t="str" cm="1">
        <f t="array" ref="R233">_xlfn.IFS(B233&lt;31,"Young-Adult",B233&lt;41,"Adult",B233&lt;61,"Middle-aged",B233&gt;=61,"Senior")</f>
        <v>Young-Adult</v>
      </c>
      <c r="S233" cm="1">
        <f t="array" ref="S233">_xlfn.IFS(Q233 ="Fortnightly",14,Q233="Weekly",7,Q233="Monthly",30,Q233="Quarterly",90,Q233="Bi-Weekly",14,Q233="Annually",365,Q233="Every 3 Months",90,TRUE,"NOT FOUND")</f>
        <v>90</v>
      </c>
    </row>
    <row r="234" spans="1:19" x14ac:dyDescent="0.35">
      <c r="A234">
        <v>233</v>
      </c>
      <c r="B234">
        <v>54</v>
      </c>
      <c r="C234" t="s">
        <v>7</v>
      </c>
      <c r="D234" t="s">
        <v>94</v>
      </c>
      <c r="E234" t="s">
        <v>55</v>
      </c>
      <c r="F234">
        <v>27</v>
      </c>
      <c r="G234" t="s">
        <v>65</v>
      </c>
      <c r="H234" t="s">
        <v>11</v>
      </c>
      <c r="I234" t="s">
        <v>61</v>
      </c>
      <c r="J234" t="s">
        <v>13</v>
      </c>
      <c r="K234">
        <v>4.2</v>
      </c>
      <c r="L234" t="s">
        <v>14</v>
      </c>
      <c r="M234" t="s">
        <v>15</v>
      </c>
      <c r="N234" t="s">
        <v>14</v>
      </c>
      <c r="O234">
        <v>32</v>
      </c>
      <c r="P234" t="s">
        <v>63</v>
      </c>
      <c r="Q234" t="s">
        <v>64</v>
      </c>
      <c r="R234" t="str" cm="1">
        <f t="array" ref="R234">_xlfn.IFS(B234&lt;31,"Young-Adult",B234&lt;41,"Adult",B234&lt;61,"Middle-aged",B234&gt;=61,"Senior")</f>
        <v>Middle-aged</v>
      </c>
      <c r="S234" cm="1">
        <f t="array" ref="S234">_xlfn.IFS(Q234 ="Fortnightly",14,Q234="Weekly",7,Q234="Monthly",30,Q234="Quarterly",90,Q234="Bi-Weekly",14,Q234="Annually",365,Q234="Every 3 Months",90,TRUE,"NOT FOUND")</f>
        <v>14</v>
      </c>
    </row>
    <row r="235" spans="1:19" x14ac:dyDescent="0.35">
      <c r="A235">
        <v>234</v>
      </c>
      <c r="B235">
        <v>19</v>
      </c>
      <c r="C235" t="s">
        <v>7</v>
      </c>
      <c r="D235" t="s">
        <v>18</v>
      </c>
      <c r="E235" t="s">
        <v>9</v>
      </c>
      <c r="F235">
        <v>83</v>
      </c>
      <c r="G235" t="s">
        <v>105</v>
      </c>
      <c r="H235" t="s">
        <v>80</v>
      </c>
      <c r="I235" t="s">
        <v>122</v>
      </c>
      <c r="J235" t="s">
        <v>45</v>
      </c>
      <c r="K235">
        <v>4.5</v>
      </c>
      <c r="L235" t="s">
        <v>14</v>
      </c>
      <c r="M235" t="s">
        <v>33</v>
      </c>
      <c r="N235" t="s">
        <v>14</v>
      </c>
      <c r="O235">
        <v>27</v>
      </c>
      <c r="P235" t="s">
        <v>63</v>
      </c>
      <c r="Q235" t="s">
        <v>85</v>
      </c>
      <c r="R235" t="str" cm="1">
        <f t="array" ref="R235">_xlfn.IFS(B235&lt;31,"Young-Adult",B235&lt;41,"Adult",B235&lt;61,"Middle-aged",B235&gt;=61,"Senior")</f>
        <v>Young-Adult</v>
      </c>
      <c r="S235" cm="1">
        <f t="array" ref="S235">_xlfn.IFS(Q235 ="Fortnightly",14,Q235="Weekly",7,Q235="Monthly",30,Q235="Quarterly",90,Q235="Bi-Weekly",14,Q235="Annually",365,Q235="Every 3 Months",90,TRUE,"NOT FOUND")</f>
        <v>90</v>
      </c>
    </row>
    <row r="236" spans="1:19" x14ac:dyDescent="0.35">
      <c r="A236">
        <v>235</v>
      </c>
      <c r="B236">
        <v>20</v>
      </c>
      <c r="C236" t="s">
        <v>7</v>
      </c>
      <c r="D236" t="s">
        <v>131</v>
      </c>
      <c r="E236" t="s">
        <v>55</v>
      </c>
      <c r="F236">
        <v>39</v>
      </c>
      <c r="G236" t="s">
        <v>135</v>
      </c>
      <c r="H236" t="s">
        <v>24</v>
      </c>
      <c r="I236" t="s">
        <v>53</v>
      </c>
      <c r="J236" t="s">
        <v>41</v>
      </c>
      <c r="K236">
        <v>3.7</v>
      </c>
      <c r="L236" t="s">
        <v>14</v>
      </c>
      <c r="M236" t="s">
        <v>33</v>
      </c>
      <c r="N236" t="s">
        <v>14</v>
      </c>
      <c r="O236">
        <v>24</v>
      </c>
      <c r="P236" t="s">
        <v>27</v>
      </c>
      <c r="Q236" t="s">
        <v>28</v>
      </c>
      <c r="R236" t="str" cm="1">
        <f t="array" ref="R236">_xlfn.IFS(B236&lt;31,"Young-Adult",B236&lt;41,"Adult",B236&lt;61,"Middle-aged",B236&gt;=61,"Senior")</f>
        <v>Young-Adult</v>
      </c>
      <c r="S236" cm="1">
        <f t="array" ref="S236">_xlfn.IFS(Q236 ="Fortnightly",14,Q236="Weekly",7,Q236="Monthly",30,Q236="Quarterly",90,Q236="Bi-Weekly",14,Q236="Annually",365,Q236="Every 3 Months",90,TRUE,"NOT FOUND")</f>
        <v>7</v>
      </c>
    </row>
    <row r="237" spans="1:19" x14ac:dyDescent="0.35">
      <c r="A237">
        <v>236</v>
      </c>
      <c r="B237">
        <v>43</v>
      </c>
      <c r="C237" t="s">
        <v>7</v>
      </c>
      <c r="D237" t="s">
        <v>77</v>
      </c>
      <c r="E237" t="s">
        <v>55</v>
      </c>
      <c r="F237">
        <v>89</v>
      </c>
      <c r="G237" t="s">
        <v>115</v>
      </c>
      <c r="H237" t="s">
        <v>32</v>
      </c>
      <c r="I237" t="s">
        <v>97</v>
      </c>
      <c r="J237" t="s">
        <v>13</v>
      </c>
      <c r="K237">
        <v>3.7</v>
      </c>
      <c r="L237" t="s">
        <v>14</v>
      </c>
      <c r="M237" t="s">
        <v>26</v>
      </c>
      <c r="N237" t="s">
        <v>14</v>
      </c>
      <c r="O237">
        <v>31</v>
      </c>
      <c r="P237" t="s">
        <v>74</v>
      </c>
      <c r="Q237" t="s">
        <v>46</v>
      </c>
      <c r="R237" t="str" cm="1">
        <f t="array" ref="R237">_xlfn.IFS(B237&lt;31,"Young-Adult",B237&lt;41,"Adult",B237&lt;61,"Middle-aged",B237&gt;=61,"Senior")</f>
        <v>Middle-aged</v>
      </c>
      <c r="S237" cm="1">
        <f t="array" ref="S237">_xlfn.IFS(Q237 ="Fortnightly",14,Q237="Weekly",7,Q237="Monthly",30,Q237="Quarterly",90,Q237="Bi-Weekly",14,Q237="Annually",365,Q237="Every 3 Months",90,TRUE,"NOT FOUND")</f>
        <v>90</v>
      </c>
    </row>
    <row r="238" spans="1:19" x14ac:dyDescent="0.35">
      <c r="A238">
        <v>237</v>
      </c>
      <c r="B238">
        <v>38</v>
      </c>
      <c r="C238" t="s">
        <v>7</v>
      </c>
      <c r="D238" t="s">
        <v>50</v>
      </c>
      <c r="E238" t="s">
        <v>51</v>
      </c>
      <c r="F238">
        <v>68</v>
      </c>
      <c r="G238" t="s">
        <v>102</v>
      </c>
      <c r="H238" t="s">
        <v>11</v>
      </c>
      <c r="I238" t="s">
        <v>84</v>
      </c>
      <c r="J238" t="s">
        <v>13</v>
      </c>
      <c r="K238">
        <v>3.4</v>
      </c>
      <c r="L238" t="s">
        <v>14</v>
      </c>
      <c r="M238" t="s">
        <v>33</v>
      </c>
      <c r="N238" t="s">
        <v>14</v>
      </c>
      <c r="O238">
        <v>39</v>
      </c>
      <c r="P238" t="s">
        <v>34</v>
      </c>
      <c r="Q238" t="s">
        <v>17</v>
      </c>
      <c r="R238" t="str" cm="1">
        <f t="array" ref="R238">_xlfn.IFS(B238&lt;31,"Young-Adult",B238&lt;41,"Adult",B238&lt;61,"Middle-aged",B238&gt;=61,"Senior")</f>
        <v>Adult</v>
      </c>
      <c r="S238" cm="1">
        <f t="array" ref="S238">_xlfn.IFS(Q238 ="Fortnightly",14,Q238="Weekly",7,Q238="Monthly",30,Q238="Quarterly",90,Q238="Bi-Weekly",14,Q238="Annually",365,Q238="Every 3 Months",90,TRUE,"NOT FOUND")</f>
        <v>14</v>
      </c>
    </row>
    <row r="239" spans="1:19" x14ac:dyDescent="0.35">
      <c r="A239">
        <v>238</v>
      </c>
      <c r="B239">
        <v>50</v>
      </c>
      <c r="C239" t="s">
        <v>7</v>
      </c>
      <c r="D239" t="s">
        <v>69</v>
      </c>
      <c r="E239" t="s">
        <v>9</v>
      </c>
      <c r="F239">
        <v>90</v>
      </c>
      <c r="G239" t="s">
        <v>134</v>
      </c>
      <c r="H239" t="s">
        <v>32</v>
      </c>
      <c r="I239" t="s">
        <v>106</v>
      </c>
      <c r="J239" t="s">
        <v>41</v>
      </c>
      <c r="K239">
        <v>3</v>
      </c>
      <c r="L239" t="s">
        <v>14</v>
      </c>
      <c r="M239" t="s">
        <v>62</v>
      </c>
      <c r="N239" t="s">
        <v>14</v>
      </c>
      <c r="O239">
        <v>36</v>
      </c>
      <c r="P239" t="s">
        <v>74</v>
      </c>
      <c r="Q239" t="s">
        <v>17</v>
      </c>
      <c r="R239" t="str" cm="1">
        <f t="array" ref="R239">_xlfn.IFS(B239&lt;31,"Young-Adult",B239&lt;41,"Adult",B239&lt;61,"Middle-aged",B239&gt;=61,"Senior")</f>
        <v>Middle-aged</v>
      </c>
      <c r="S239" cm="1">
        <f t="array" ref="S239">_xlfn.IFS(Q239 ="Fortnightly",14,Q239="Weekly",7,Q239="Monthly",30,Q239="Quarterly",90,Q239="Bi-Weekly",14,Q239="Annually",365,Q239="Every 3 Months",90,TRUE,"NOT FOUND")</f>
        <v>14</v>
      </c>
    </row>
    <row r="240" spans="1:19" x14ac:dyDescent="0.35">
      <c r="A240">
        <v>239</v>
      </c>
      <c r="B240">
        <v>64</v>
      </c>
      <c r="C240" t="s">
        <v>7</v>
      </c>
      <c r="D240" t="s">
        <v>75</v>
      </c>
      <c r="E240" t="s">
        <v>9</v>
      </c>
      <c r="F240">
        <v>34</v>
      </c>
      <c r="G240" t="s">
        <v>111</v>
      </c>
      <c r="H240" t="s">
        <v>32</v>
      </c>
      <c r="I240" t="s">
        <v>88</v>
      </c>
      <c r="J240" t="s">
        <v>45</v>
      </c>
      <c r="K240">
        <v>4.2</v>
      </c>
      <c r="L240" t="s">
        <v>14</v>
      </c>
      <c r="M240" t="s">
        <v>26</v>
      </c>
      <c r="N240" t="s">
        <v>14</v>
      </c>
      <c r="O240">
        <v>5</v>
      </c>
      <c r="P240" t="s">
        <v>21</v>
      </c>
      <c r="Q240" t="s">
        <v>37</v>
      </c>
      <c r="R240" t="str" cm="1">
        <f t="array" ref="R240">_xlfn.IFS(B240&lt;31,"Young-Adult",B240&lt;41,"Adult",B240&lt;61,"Middle-aged",B240&gt;=61,"Senior")</f>
        <v>Senior</v>
      </c>
      <c r="S240" cm="1">
        <f t="array" ref="S240">_xlfn.IFS(Q240 ="Fortnightly",14,Q240="Weekly",7,Q240="Monthly",30,Q240="Quarterly",90,Q240="Bi-Weekly",14,Q240="Annually",365,Q240="Every 3 Months",90,TRUE,"NOT FOUND")</f>
        <v>365</v>
      </c>
    </row>
    <row r="241" spans="1:19" x14ac:dyDescent="0.35">
      <c r="A241">
        <v>240</v>
      </c>
      <c r="B241">
        <v>49</v>
      </c>
      <c r="C241" t="s">
        <v>7</v>
      </c>
      <c r="D241" t="s">
        <v>83</v>
      </c>
      <c r="E241" t="s">
        <v>9</v>
      </c>
      <c r="F241">
        <v>51</v>
      </c>
      <c r="G241" t="s">
        <v>117</v>
      </c>
      <c r="H241" t="s">
        <v>11</v>
      </c>
      <c r="I241" t="s">
        <v>122</v>
      </c>
      <c r="J241" t="s">
        <v>41</v>
      </c>
      <c r="K241">
        <v>2.9</v>
      </c>
      <c r="L241" t="s">
        <v>14</v>
      </c>
      <c r="M241" t="s">
        <v>15</v>
      </c>
      <c r="N241" t="s">
        <v>14</v>
      </c>
      <c r="O241">
        <v>47</v>
      </c>
      <c r="P241" t="s">
        <v>27</v>
      </c>
      <c r="Q241" t="s">
        <v>64</v>
      </c>
      <c r="R241" t="str" cm="1">
        <f t="array" ref="R241">_xlfn.IFS(B241&lt;31,"Young-Adult",B241&lt;41,"Adult",B241&lt;61,"Middle-aged",B241&gt;=61,"Senior")</f>
        <v>Middle-aged</v>
      </c>
      <c r="S241" cm="1">
        <f t="array" ref="S241">_xlfn.IFS(Q241 ="Fortnightly",14,Q241="Weekly",7,Q241="Monthly",30,Q241="Quarterly",90,Q241="Bi-Weekly",14,Q241="Annually",365,Q241="Every 3 Months",90,TRUE,"NOT FOUND")</f>
        <v>14</v>
      </c>
    </row>
    <row r="242" spans="1:19" x14ac:dyDescent="0.35">
      <c r="A242">
        <v>241</v>
      </c>
      <c r="B242">
        <v>47</v>
      </c>
      <c r="C242" t="s">
        <v>7</v>
      </c>
      <c r="D242" t="s">
        <v>18</v>
      </c>
      <c r="E242" t="s">
        <v>9</v>
      </c>
      <c r="F242">
        <v>45</v>
      </c>
      <c r="G242" t="s">
        <v>44</v>
      </c>
      <c r="H242" t="s">
        <v>80</v>
      </c>
      <c r="I242" t="s">
        <v>36</v>
      </c>
      <c r="J242" t="s">
        <v>13</v>
      </c>
      <c r="K242">
        <v>3.5</v>
      </c>
      <c r="L242" t="s">
        <v>14</v>
      </c>
      <c r="M242" t="s">
        <v>26</v>
      </c>
      <c r="N242" t="s">
        <v>14</v>
      </c>
      <c r="O242">
        <v>29</v>
      </c>
      <c r="P242" t="s">
        <v>63</v>
      </c>
      <c r="Q242" t="s">
        <v>17</v>
      </c>
      <c r="R242" t="str" cm="1">
        <f t="array" ref="R242">_xlfn.IFS(B242&lt;31,"Young-Adult",B242&lt;41,"Adult",B242&lt;61,"Middle-aged",B242&gt;=61,"Senior")</f>
        <v>Middle-aged</v>
      </c>
      <c r="S242" cm="1">
        <f t="array" ref="S242">_xlfn.IFS(Q242 ="Fortnightly",14,Q242="Weekly",7,Q242="Monthly",30,Q242="Quarterly",90,Q242="Bi-Weekly",14,Q242="Annually",365,Q242="Every 3 Months",90,TRUE,"NOT FOUND")</f>
        <v>14</v>
      </c>
    </row>
    <row r="243" spans="1:19" x14ac:dyDescent="0.35">
      <c r="A243">
        <v>242</v>
      </c>
      <c r="B243">
        <v>36</v>
      </c>
      <c r="C243" t="s">
        <v>7</v>
      </c>
      <c r="D243" t="s">
        <v>92</v>
      </c>
      <c r="E243" t="s">
        <v>9</v>
      </c>
      <c r="F243">
        <v>88</v>
      </c>
      <c r="G243" t="s">
        <v>67</v>
      </c>
      <c r="H243" t="s">
        <v>32</v>
      </c>
      <c r="I243" t="s">
        <v>88</v>
      </c>
      <c r="J243" t="s">
        <v>13</v>
      </c>
      <c r="K243">
        <v>4.0999999999999996</v>
      </c>
      <c r="L243" t="s">
        <v>14</v>
      </c>
      <c r="M243" t="s">
        <v>26</v>
      </c>
      <c r="N243" t="s">
        <v>14</v>
      </c>
      <c r="O243">
        <v>43</v>
      </c>
      <c r="P243" t="s">
        <v>16</v>
      </c>
      <c r="Q243" t="s">
        <v>64</v>
      </c>
      <c r="R243" t="str" cm="1">
        <f t="array" ref="R243">_xlfn.IFS(B243&lt;31,"Young-Adult",B243&lt;41,"Adult",B243&lt;61,"Middle-aged",B243&gt;=61,"Senior")</f>
        <v>Adult</v>
      </c>
      <c r="S243" cm="1">
        <f t="array" ref="S243">_xlfn.IFS(Q243 ="Fortnightly",14,Q243="Weekly",7,Q243="Monthly",30,Q243="Quarterly",90,Q243="Bi-Weekly",14,Q243="Annually",365,Q243="Every 3 Months",90,TRUE,"NOT FOUND")</f>
        <v>14</v>
      </c>
    </row>
    <row r="244" spans="1:19" x14ac:dyDescent="0.35">
      <c r="A244">
        <v>243</v>
      </c>
      <c r="B244">
        <v>55</v>
      </c>
      <c r="C244" t="s">
        <v>7</v>
      </c>
      <c r="D244" t="s">
        <v>50</v>
      </c>
      <c r="E244" t="s">
        <v>51</v>
      </c>
      <c r="F244">
        <v>85</v>
      </c>
      <c r="G244" t="s">
        <v>72</v>
      </c>
      <c r="H244" t="s">
        <v>11</v>
      </c>
      <c r="I244" t="s">
        <v>12</v>
      </c>
      <c r="J244" t="s">
        <v>41</v>
      </c>
      <c r="K244">
        <v>4.3</v>
      </c>
      <c r="L244" t="s">
        <v>14</v>
      </c>
      <c r="M244" t="s">
        <v>62</v>
      </c>
      <c r="N244" t="s">
        <v>14</v>
      </c>
      <c r="O244">
        <v>40</v>
      </c>
      <c r="P244" t="s">
        <v>74</v>
      </c>
      <c r="Q244" t="s">
        <v>85</v>
      </c>
      <c r="R244" t="str" cm="1">
        <f t="array" ref="R244">_xlfn.IFS(B244&lt;31,"Young-Adult",B244&lt;41,"Adult",B244&lt;61,"Middle-aged",B244&gt;=61,"Senior")</f>
        <v>Middle-aged</v>
      </c>
      <c r="S244" cm="1">
        <f t="array" ref="S244">_xlfn.IFS(Q244 ="Fortnightly",14,Q244="Weekly",7,Q244="Monthly",30,Q244="Quarterly",90,Q244="Bi-Weekly",14,Q244="Annually",365,Q244="Every 3 Months",90,TRUE,"NOT FOUND")</f>
        <v>90</v>
      </c>
    </row>
    <row r="245" spans="1:19" x14ac:dyDescent="0.35">
      <c r="A245">
        <v>244</v>
      </c>
      <c r="B245">
        <v>25</v>
      </c>
      <c r="C245" t="s">
        <v>7</v>
      </c>
      <c r="D245" t="s">
        <v>94</v>
      </c>
      <c r="E245" t="s">
        <v>55</v>
      </c>
      <c r="F245">
        <v>100</v>
      </c>
      <c r="G245" t="s">
        <v>10</v>
      </c>
      <c r="H245" t="s">
        <v>32</v>
      </c>
      <c r="I245" t="s">
        <v>66</v>
      </c>
      <c r="J245" t="s">
        <v>13</v>
      </c>
      <c r="K245">
        <v>2.8</v>
      </c>
      <c r="L245" t="s">
        <v>14</v>
      </c>
      <c r="M245" t="s">
        <v>58</v>
      </c>
      <c r="N245" t="s">
        <v>14</v>
      </c>
      <c r="O245">
        <v>4</v>
      </c>
      <c r="P245" t="s">
        <v>74</v>
      </c>
      <c r="Q245" t="s">
        <v>76</v>
      </c>
      <c r="R245" t="str" cm="1">
        <f t="array" ref="R245">_xlfn.IFS(B245&lt;31,"Young-Adult",B245&lt;41,"Adult",B245&lt;61,"Middle-aged",B245&gt;=61,"Senior")</f>
        <v>Young-Adult</v>
      </c>
      <c r="S245" cm="1">
        <f t="array" ref="S245">_xlfn.IFS(Q245 ="Fortnightly",14,Q245="Weekly",7,Q245="Monthly",30,Q245="Quarterly",90,Q245="Bi-Weekly",14,Q245="Annually",365,Q245="Every 3 Months",90,TRUE,"NOT FOUND")</f>
        <v>30</v>
      </c>
    </row>
    <row r="246" spans="1:19" x14ac:dyDescent="0.35">
      <c r="A246">
        <v>245</v>
      </c>
      <c r="B246">
        <v>53</v>
      </c>
      <c r="C246" t="s">
        <v>7</v>
      </c>
      <c r="D246" t="s">
        <v>121</v>
      </c>
      <c r="E246" t="s">
        <v>55</v>
      </c>
      <c r="F246">
        <v>42</v>
      </c>
      <c r="G246" t="s">
        <v>35</v>
      </c>
      <c r="H246" t="s">
        <v>24</v>
      </c>
      <c r="I246" t="s">
        <v>114</v>
      </c>
      <c r="J246" t="s">
        <v>25</v>
      </c>
      <c r="K246">
        <v>4.9000000000000004</v>
      </c>
      <c r="L246" t="s">
        <v>14</v>
      </c>
      <c r="M246" t="s">
        <v>58</v>
      </c>
      <c r="N246" t="s">
        <v>14</v>
      </c>
      <c r="O246">
        <v>39</v>
      </c>
      <c r="P246" t="s">
        <v>34</v>
      </c>
      <c r="Q246" t="s">
        <v>28</v>
      </c>
      <c r="R246" t="str" cm="1">
        <f t="array" ref="R246">_xlfn.IFS(B246&lt;31,"Young-Adult",B246&lt;41,"Adult",B246&lt;61,"Middle-aged",B246&gt;=61,"Senior")</f>
        <v>Middle-aged</v>
      </c>
      <c r="S246" cm="1">
        <f t="array" ref="S246">_xlfn.IFS(Q246 ="Fortnightly",14,Q246="Weekly",7,Q246="Monthly",30,Q246="Quarterly",90,Q246="Bi-Weekly",14,Q246="Annually",365,Q246="Every 3 Months",90,TRUE,"NOT FOUND")</f>
        <v>7</v>
      </c>
    </row>
    <row r="247" spans="1:19" x14ac:dyDescent="0.35">
      <c r="A247">
        <v>246</v>
      </c>
      <c r="B247">
        <v>49</v>
      </c>
      <c r="C247" t="s">
        <v>7</v>
      </c>
      <c r="D247" t="s">
        <v>29</v>
      </c>
      <c r="E247" t="s">
        <v>30</v>
      </c>
      <c r="F247">
        <v>53</v>
      </c>
      <c r="G247" t="s">
        <v>31</v>
      </c>
      <c r="H247" t="s">
        <v>11</v>
      </c>
      <c r="I247" t="s">
        <v>49</v>
      </c>
      <c r="J247" t="s">
        <v>41</v>
      </c>
      <c r="K247">
        <v>3.3</v>
      </c>
      <c r="L247" t="s">
        <v>14</v>
      </c>
      <c r="M247" t="s">
        <v>33</v>
      </c>
      <c r="N247" t="s">
        <v>14</v>
      </c>
      <c r="O247">
        <v>45</v>
      </c>
      <c r="P247" t="s">
        <v>16</v>
      </c>
      <c r="Q247" t="s">
        <v>17</v>
      </c>
      <c r="R247" t="str" cm="1">
        <f t="array" ref="R247">_xlfn.IFS(B247&lt;31,"Young-Adult",B247&lt;41,"Adult",B247&lt;61,"Middle-aged",B247&gt;=61,"Senior")</f>
        <v>Middle-aged</v>
      </c>
      <c r="S247" cm="1">
        <f t="array" ref="S247">_xlfn.IFS(Q247 ="Fortnightly",14,Q247="Weekly",7,Q247="Monthly",30,Q247="Quarterly",90,Q247="Bi-Weekly",14,Q247="Annually",365,Q247="Every 3 Months",90,TRUE,"NOT FOUND")</f>
        <v>14</v>
      </c>
    </row>
    <row r="248" spans="1:19" x14ac:dyDescent="0.35">
      <c r="A248">
        <v>247</v>
      </c>
      <c r="B248">
        <v>35</v>
      </c>
      <c r="C248" t="s">
        <v>7</v>
      </c>
      <c r="D248" t="s">
        <v>77</v>
      </c>
      <c r="E248" t="s">
        <v>55</v>
      </c>
      <c r="F248">
        <v>86</v>
      </c>
      <c r="G248" t="s">
        <v>95</v>
      </c>
      <c r="H248" t="s">
        <v>80</v>
      </c>
      <c r="I248" t="s">
        <v>106</v>
      </c>
      <c r="J248" t="s">
        <v>25</v>
      </c>
      <c r="K248">
        <v>3.2</v>
      </c>
      <c r="L248" t="s">
        <v>14</v>
      </c>
      <c r="M248" t="s">
        <v>15</v>
      </c>
      <c r="N248" t="s">
        <v>14</v>
      </c>
      <c r="O248">
        <v>20</v>
      </c>
      <c r="P248" t="s">
        <v>16</v>
      </c>
      <c r="Q248" t="s">
        <v>64</v>
      </c>
      <c r="R248" t="str" cm="1">
        <f t="array" ref="R248">_xlfn.IFS(B248&lt;31,"Young-Adult",B248&lt;41,"Adult",B248&lt;61,"Middle-aged",B248&gt;=61,"Senior")</f>
        <v>Adult</v>
      </c>
      <c r="S248" cm="1">
        <f t="array" ref="S248">_xlfn.IFS(Q248 ="Fortnightly",14,Q248="Weekly",7,Q248="Monthly",30,Q248="Quarterly",90,Q248="Bi-Weekly",14,Q248="Annually",365,Q248="Every 3 Months",90,TRUE,"NOT FOUND")</f>
        <v>14</v>
      </c>
    </row>
    <row r="249" spans="1:19" x14ac:dyDescent="0.35">
      <c r="A249">
        <v>248</v>
      </c>
      <c r="B249">
        <v>29</v>
      </c>
      <c r="C249" t="s">
        <v>7</v>
      </c>
      <c r="D249" t="s">
        <v>18</v>
      </c>
      <c r="E249" t="s">
        <v>9</v>
      </c>
      <c r="F249">
        <v>66</v>
      </c>
      <c r="G249" t="s">
        <v>44</v>
      </c>
      <c r="H249" t="s">
        <v>80</v>
      </c>
      <c r="I249" t="s">
        <v>98</v>
      </c>
      <c r="J249" t="s">
        <v>25</v>
      </c>
      <c r="K249">
        <v>4.4000000000000004</v>
      </c>
      <c r="L249" t="s">
        <v>14</v>
      </c>
      <c r="M249" t="s">
        <v>42</v>
      </c>
      <c r="N249" t="s">
        <v>14</v>
      </c>
      <c r="O249">
        <v>14</v>
      </c>
      <c r="P249" t="s">
        <v>74</v>
      </c>
      <c r="Q249" t="s">
        <v>28</v>
      </c>
      <c r="R249" t="str" cm="1">
        <f t="array" ref="R249">_xlfn.IFS(B249&lt;31,"Young-Adult",B249&lt;41,"Adult",B249&lt;61,"Middle-aged",B249&gt;=61,"Senior")</f>
        <v>Young-Adult</v>
      </c>
      <c r="S249" cm="1">
        <f t="array" ref="S249">_xlfn.IFS(Q249 ="Fortnightly",14,Q249="Weekly",7,Q249="Monthly",30,Q249="Quarterly",90,Q249="Bi-Weekly",14,Q249="Annually",365,Q249="Every 3 Months",90,TRUE,"NOT FOUND")</f>
        <v>7</v>
      </c>
    </row>
    <row r="250" spans="1:19" x14ac:dyDescent="0.35">
      <c r="A250">
        <v>249</v>
      </c>
      <c r="B250">
        <v>47</v>
      </c>
      <c r="C250" t="s">
        <v>7</v>
      </c>
      <c r="D250" t="s">
        <v>121</v>
      </c>
      <c r="E250" t="s">
        <v>55</v>
      </c>
      <c r="F250">
        <v>100</v>
      </c>
      <c r="G250" t="s">
        <v>126</v>
      </c>
      <c r="H250" t="s">
        <v>32</v>
      </c>
      <c r="I250" t="s">
        <v>132</v>
      </c>
      <c r="J250" t="s">
        <v>13</v>
      </c>
      <c r="K250">
        <v>4.8</v>
      </c>
      <c r="L250" t="s">
        <v>14</v>
      </c>
      <c r="M250" t="s">
        <v>15</v>
      </c>
      <c r="N250" t="s">
        <v>14</v>
      </c>
      <c r="O250">
        <v>33</v>
      </c>
      <c r="P250" t="s">
        <v>34</v>
      </c>
      <c r="Q250" t="s">
        <v>28</v>
      </c>
      <c r="R250" t="str" cm="1">
        <f t="array" ref="R250">_xlfn.IFS(B250&lt;31,"Young-Adult",B250&lt;41,"Adult",B250&lt;61,"Middle-aged",B250&gt;=61,"Senior")</f>
        <v>Middle-aged</v>
      </c>
      <c r="S250" cm="1">
        <f t="array" ref="S250">_xlfn.IFS(Q250 ="Fortnightly",14,Q250="Weekly",7,Q250="Monthly",30,Q250="Quarterly",90,Q250="Bi-Weekly",14,Q250="Annually",365,Q250="Every 3 Months",90,TRUE,"NOT FOUND")</f>
        <v>7</v>
      </c>
    </row>
    <row r="251" spans="1:19" x14ac:dyDescent="0.35">
      <c r="A251">
        <v>250</v>
      </c>
      <c r="B251">
        <v>53</v>
      </c>
      <c r="C251" t="s">
        <v>7</v>
      </c>
      <c r="D251" t="s">
        <v>54</v>
      </c>
      <c r="E251" t="s">
        <v>55</v>
      </c>
      <c r="F251">
        <v>47</v>
      </c>
      <c r="G251" t="s">
        <v>108</v>
      </c>
      <c r="H251" t="s">
        <v>24</v>
      </c>
      <c r="I251" t="s">
        <v>73</v>
      </c>
      <c r="J251" t="s">
        <v>45</v>
      </c>
      <c r="K251">
        <v>4.2</v>
      </c>
      <c r="L251" t="s">
        <v>14</v>
      </c>
      <c r="M251" t="s">
        <v>42</v>
      </c>
      <c r="N251" t="s">
        <v>14</v>
      </c>
      <c r="O251">
        <v>18</v>
      </c>
      <c r="P251" t="s">
        <v>27</v>
      </c>
      <c r="Q251" t="s">
        <v>37</v>
      </c>
      <c r="R251" t="str" cm="1">
        <f t="array" ref="R251">_xlfn.IFS(B251&lt;31,"Young-Adult",B251&lt;41,"Adult",B251&lt;61,"Middle-aged",B251&gt;=61,"Senior")</f>
        <v>Middle-aged</v>
      </c>
      <c r="S251" cm="1">
        <f t="array" ref="S251">_xlfn.IFS(Q251 ="Fortnightly",14,Q251="Weekly",7,Q251="Monthly",30,Q251="Quarterly",90,Q251="Bi-Weekly",14,Q251="Annually",365,Q251="Every 3 Months",90,TRUE,"NOT FOUND")</f>
        <v>365</v>
      </c>
    </row>
    <row r="252" spans="1:19" x14ac:dyDescent="0.35">
      <c r="A252">
        <v>251</v>
      </c>
      <c r="B252">
        <v>33</v>
      </c>
      <c r="C252" t="s">
        <v>7</v>
      </c>
      <c r="D252" t="s">
        <v>75</v>
      </c>
      <c r="E252" t="s">
        <v>9</v>
      </c>
      <c r="F252">
        <v>25</v>
      </c>
      <c r="G252" t="s">
        <v>79</v>
      </c>
      <c r="H252" t="s">
        <v>11</v>
      </c>
      <c r="I252" t="s">
        <v>82</v>
      </c>
      <c r="J252" t="s">
        <v>45</v>
      </c>
      <c r="K252">
        <v>4</v>
      </c>
      <c r="L252" t="s">
        <v>14</v>
      </c>
      <c r="M252" t="s">
        <v>15</v>
      </c>
      <c r="N252" t="s">
        <v>14</v>
      </c>
      <c r="O252">
        <v>9</v>
      </c>
      <c r="P252" t="s">
        <v>63</v>
      </c>
      <c r="Q252" t="s">
        <v>28</v>
      </c>
      <c r="R252" t="str" cm="1">
        <f t="array" ref="R252">_xlfn.IFS(B252&lt;31,"Young-Adult",B252&lt;41,"Adult",B252&lt;61,"Middle-aged",B252&gt;=61,"Senior")</f>
        <v>Adult</v>
      </c>
      <c r="S252" cm="1">
        <f t="array" ref="S252">_xlfn.IFS(Q252 ="Fortnightly",14,Q252="Weekly",7,Q252="Monthly",30,Q252="Quarterly",90,Q252="Bi-Weekly",14,Q252="Annually",365,Q252="Every 3 Months",90,TRUE,"NOT FOUND")</f>
        <v>7</v>
      </c>
    </row>
    <row r="253" spans="1:19" x14ac:dyDescent="0.35">
      <c r="A253">
        <v>252</v>
      </c>
      <c r="B253">
        <v>21</v>
      </c>
      <c r="C253" t="s">
        <v>7</v>
      </c>
      <c r="D253" t="s">
        <v>54</v>
      </c>
      <c r="E253" t="s">
        <v>55</v>
      </c>
      <c r="F253">
        <v>51</v>
      </c>
      <c r="G253" t="s">
        <v>39</v>
      </c>
      <c r="H253" t="s">
        <v>80</v>
      </c>
      <c r="I253" t="s">
        <v>68</v>
      </c>
      <c r="J253" t="s">
        <v>13</v>
      </c>
      <c r="K253">
        <v>2.5</v>
      </c>
      <c r="L253" t="s">
        <v>14</v>
      </c>
      <c r="M253" t="s">
        <v>42</v>
      </c>
      <c r="N253" t="s">
        <v>14</v>
      </c>
      <c r="O253">
        <v>34</v>
      </c>
      <c r="P253" t="s">
        <v>34</v>
      </c>
      <c r="Q253" t="s">
        <v>37</v>
      </c>
      <c r="R253" t="str" cm="1">
        <f t="array" ref="R253">_xlfn.IFS(B253&lt;31,"Young-Adult",B253&lt;41,"Adult",B253&lt;61,"Middle-aged",B253&gt;=61,"Senior")</f>
        <v>Young-Adult</v>
      </c>
      <c r="S253" cm="1">
        <f t="array" ref="S253">_xlfn.IFS(Q253 ="Fortnightly",14,Q253="Weekly",7,Q253="Monthly",30,Q253="Quarterly",90,Q253="Bi-Weekly",14,Q253="Annually",365,Q253="Every 3 Months",90,TRUE,"NOT FOUND")</f>
        <v>365</v>
      </c>
    </row>
    <row r="254" spans="1:19" x14ac:dyDescent="0.35">
      <c r="A254">
        <v>253</v>
      </c>
      <c r="B254">
        <v>32</v>
      </c>
      <c r="C254" t="s">
        <v>7</v>
      </c>
      <c r="D254" t="s">
        <v>47</v>
      </c>
      <c r="E254" t="s">
        <v>9</v>
      </c>
      <c r="F254">
        <v>41</v>
      </c>
      <c r="G254" t="s">
        <v>67</v>
      </c>
      <c r="H254" t="s">
        <v>32</v>
      </c>
      <c r="I254" t="s">
        <v>71</v>
      </c>
      <c r="J254" t="s">
        <v>41</v>
      </c>
      <c r="K254">
        <v>3.9</v>
      </c>
      <c r="L254" t="s">
        <v>14</v>
      </c>
      <c r="M254" t="s">
        <v>26</v>
      </c>
      <c r="N254" t="s">
        <v>14</v>
      </c>
      <c r="O254">
        <v>33</v>
      </c>
      <c r="P254" t="s">
        <v>16</v>
      </c>
      <c r="Q254" t="s">
        <v>17</v>
      </c>
      <c r="R254" t="str" cm="1">
        <f t="array" ref="R254">_xlfn.IFS(B254&lt;31,"Young-Adult",B254&lt;41,"Adult",B254&lt;61,"Middle-aged",B254&gt;=61,"Senior")</f>
        <v>Adult</v>
      </c>
      <c r="S254" cm="1">
        <f t="array" ref="S254">_xlfn.IFS(Q254 ="Fortnightly",14,Q254="Weekly",7,Q254="Monthly",30,Q254="Quarterly",90,Q254="Bi-Weekly",14,Q254="Annually",365,Q254="Every 3 Months",90,TRUE,"NOT FOUND")</f>
        <v>14</v>
      </c>
    </row>
    <row r="255" spans="1:19" x14ac:dyDescent="0.35">
      <c r="A255">
        <v>254</v>
      </c>
      <c r="B255">
        <v>52</v>
      </c>
      <c r="C255" t="s">
        <v>7</v>
      </c>
      <c r="D255" t="s">
        <v>125</v>
      </c>
      <c r="E255" t="s">
        <v>30</v>
      </c>
      <c r="F255">
        <v>73</v>
      </c>
      <c r="G255" t="s">
        <v>89</v>
      </c>
      <c r="H255" t="s">
        <v>11</v>
      </c>
      <c r="I255" t="s">
        <v>97</v>
      </c>
      <c r="J255" t="s">
        <v>13</v>
      </c>
      <c r="K255">
        <v>4.9000000000000004</v>
      </c>
      <c r="L255" t="s">
        <v>14</v>
      </c>
      <c r="M255" t="s">
        <v>58</v>
      </c>
      <c r="N255" t="s">
        <v>14</v>
      </c>
      <c r="O255">
        <v>15</v>
      </c>
      <c r="P255" t="s">
        <v>63</v>
      </c>
      <c r="Q255" t="s">
        <v>64</v>
      </c>
      <c r="R255" t="str" cm="1">
        <f t="array" ref="R255">_xlfn.IFS(B255&lt;31,"Young-Adult",B255&lt;41,"Adult",B255&lt;61,"Middle-aged",B255&gt;=61,"Senior")</f>
        <v>Middle-aged</v>
      </c>
      <c r="S255" cm="1">
        <f t="array" ref="S255">_xlfn.IFS(Q255 ="Fortnightly",14,Q255="Weekly",7,Q255="Monthly",30,Q255="Quarterly",90,Q255="Bi-Weekly",14,Q255="Annually",365,Q255="Every 3 Months",90,TRUE,"NOT FOUND")</f>
        <v>14</v>
      </c>
    </row>
    <row r="256" spans="1:19" x14ac:dyDescent="0.35">
      <c r="A256">
        <v>255</v>
      </c>
      <c r="B256">
        <v>67</v>
      </c>
      <c r="C256" t="s">
        <v>7</v>
      </c>
      <c r="D256" t="s">
        <v>77</v>
      </c>
      <c r="E256" t="s">
        <v>55</v>
      </c>
      <c r="F256">
        <v>42</v>
      </c>
      <c r="G256" t="s">
        <v>104</v>
      </c>
      <c r="H256" t="s">
        <v>32</v>
      </c>
      <c r="I256" t="s">
        <v>40</v>
      </c>
      <c r="J256" t="s">
        <v>13</v>
      </c>
      <c r="K256">
        <v>3.5</v>
      </c>
      <c r="L256" t="s">
        <v>14</v>
      </c>
      <c r="M256" t="s">
        <v>62</v>
      </c>
      <c r="N256" t="s">
        <v>14</v>
      </c>
      <c r="O256">
        <v>4</v>
      </c>
      <c r="P256" t="s">
        <v>34</v>
      </c>
      <c r="Q256" t="s">
        <v>64</v>
      </c>
      <c r="R256" t="str" cm="1">
        <f t="array" ref="R256">_xlfn.IFS(B256&lt;31,"Young-Adult",B256&lt;41,"Adult",B256&lt;61,"Middle-aged",B256&gt;=61,"Senior")</f>
        <v>Senior</v>
      </c>
      <c r="S256" cm="1">
        <f t="array" ref="S256">_xlfn.IFS(Q256 ="Fortnightly",14,Q256="Weekly",7,Q256="Monthly",30,Q256="Quarterly",90,Q256="Bi-Weekly",14,Q256="Annually",365,Q256="Every 3 Months",90,TRUE,"NOT FOUND")</f>
        <v>14</v>
      </c>
    </row>
    <row r="257" spans="1:19" x14ac:dyDescent="0.35">
      <c r="A257">
        <v>256</v>
      </c>
      <c r="B257">
        <v>43</v>
      </c>
      <c r="C257" t="s">
        <v>7</v>
      </c>
      <c r="D257" t="s">
        <v>107</v>
      </c>
      <c r="E257" t="s">
        <v>55</v>
      </c>
      <c r="F257">
        <v>20</v>
      </c>
      <c r="G257" t="s">
        <v>116</v>
      </c>
      <c r="H257" t="s">
        <v>32</v>
      </c>
      <c r="I257" t="s">
        <v>49</v>
      </c>
      <c r="J257" t="s">
        <v>25</v>
      </c>
      <c r="K257">
        <v>4.2</v>
      </c>
      <c r="L257" t="s">
        <v>14</v>
      </c>
      <c r="M257" t="s">
        <v>26</v>
      </c>
      <c r="N257" t="s">
        <v>14</v>
      </c>
      <c r="O257">
        <v>25</v>
      </c>
      <c r="P257" t="s">
        <v>74</v>
      </c>
      <c r="Q257" t="s">
        <v>37</v>
      </c>
      <c r="R257" t="str" cm="1">
        <f t="array" ref="R257">_xlfn.IFS(B257&lt;31,"Young-Adult",B257&lt;41,"Adult",B257&lt;61,"Middle-aged",B257&gt;=61,"Senior")</f>
        <v>Middle-aged</v>
      </c>
      <c r="S257" cm="1">
        <f t="array" ref="S257">_xlfn.IFS(Q257 ="Fortnightly",14,Q257="Weekly",7,Q257="Monthly",30,Q257="Quarterly",90,Q257="Bi-Weekly",14,Q257="Annually",365,Q257="Every 3 Months",90,TRUE,"NOT FOUND")</f>
        <v>365</v>
      </c>
    </row>
    <row r="258" spans="1:19" x14ac:dyDescent="0.35">
      <c r="A258">
        <v>257</v>
      </c>
      <c r="B258">
        <v>58</v>
      </c>
      <c r="C258" t="s">
        <v>7</v>
      </c>
      <c r="D258" t="s">
        <v>94</v>
      </c>
      <c r="E258" t="s">
        <v>55</v>
      </c>
      <c r="F258">
        <v>30</v>
      </c>
      <c r="G258" t="s">
        <v>135</v>
      </c>
      <c r="H258" t="s">
        <v>80</v>
      </c>
      <c r="I258" t="s">
        <v>71</v>
      </c>
      <c r="J258" t="s">
        <v>25</v>
      </c>
      <c r="K258">
        <v>4.7</v>
      </c>
      <c r="L258" t="s">
        <v>14</v>
      </c>
      <c r="M258" t="s">
        <v>15</v>
      </c>
      <c r="N258" t="s">
        <v>14</v>
      </c>
      <c r="O258">
        <v>20</v>
      </c>
      <c r="P258" t="s">
        <v>27</v>
      </c>
      <c r="Q258" t="s">
        <v>85</v>
      </c>
      <c r="R258" t="str" cm="1">
        <f t="array" ref="R258">_xlfn.IFS(B258&lt;31,"Young-Adult",B258&lt;41,"Adult",B258&lt;61,"Middle-aged",B258&gt;=61,"Senior")</f>
        <v>Middle-aged</v>
      </c>
      <c r="S258" cm="1">
        <f t="array" ref="S258">_xlfn.IFS(Q258 ="Fortnightly",14,Q258="Weekly",7,Q258="Monthly",30,Q258="Quarterly",90,Q258="Bi-Weekly",14,Q258="Annually",365,Q258="Every 3 Months",90,TRUE,"NOT FOUND")</f>
        <v>90</v>
      </c>
    </row>
    <row r="259" spans="1:19" x14ac:dyDescent="0.35">
      <c r="A259">
        <v>258</v>
      </c>
      <c r="B259">
        <v>20</v>
      </c>
      <c r="C259" t="s">
        <v>7</v>
      </c>
      <c r="D259" t="s">
        <v>54</v>
      </c>
      <c r="E259" t="s">
        <v>55</v>
      </c>
      <c r="F259">
        <v>53</v>
      </c>
      <c r="G259" t="s">
        <v>52</v>
      </c>
      <c r="H259" t="s">
        <v>32</v>
      </c>
      <c r="I259" t="s">
        <v>96</v>
      </c>
      <c r="J259" t="s">
        <v>41</v>
      </c>
      <c r="K259">
        <v>4.5</v>
      </c>
      <c r="L259" t="s">
        <v>14</v>
      </c>
      <c r="M259" t="s">
        <v>15</v>
      </c>
      <c r="N259" t="s">
        <v>14</v>
      </c>
      <c r="O259">
        <v>5</v>
      </c>
      <c r="P259" t="s">
        <v>27</v>
      </c>
      <c r="Q259" t="s">
        <v>46</v>
      </c>
      <c r="R259" t="str" cm="1">
        <f t="array" ref="R259">_xlfn.IFS(B259&lt;31,"Young-Adult",B259&lt;41,"Adult",B259&lt;61,"Middle-aged",B259&gt;=61,"Senior")</f>
        <v>Young-Adult</v>
      </c>
      <c r="S259" cm="1">
        <f t="array" ref="S259">_xlfn.IFS(Q259 ="Fortnightly",14,Q259="Weekly",7,Q259="Monthly",30,Q259="Quarterly",90,Q259="Bi-Weekly",14,Q259="Annually",365,Q259="Every 3 Months",90,TRUE,"NOT FOUND")</f>
        <v>90</v>
      </c>
    </row>
    <row r="260" spans="1:19" x14ac:dyDescent="0.35">
      <c r="A260">
        <v>259</v>
      </c>
      <c r="B260">
        <v>61</v>
      </c>
      <c r="C260" t="s">
        <v>7</v>
      </c>
      <c r="D260" t="s">
        <v>131</v>
      </c>
      <c r="E260" t="s">
        <v>55</v>
      </c>
      <c r="F260">
        <v>74</v>
      </c>
      <c r="G260" t="s">
        <v>78</v>
      </c>
      <c r="H260" t="s">
        <v>24</v>
      </c>
      <c r="I260" t="s">
        <v>81</v>
      </c>
      <c r="J260" t="s">
        <v>25</v>
      </c>
      <c r="K260">
        <v>2.8</v>
      </c>
      <c r="L260" t="s">
        <v>14</v>
      </c>
      <c r="M260" t="s">
        <v>15</v>
      </c>
      <c r="N260" t="s">
        <v>14</v>
      </c>
      <c r="O260">
        <v>16</v>
      </c>
      <c r="P260" t="s">
        <v>21</v>
      </c>
      <c r="Q260" t="s">
        <v>46</v>
      </c>
      <c r="R260" t="str" cm="1">
        <f t="array" ref="R260">_xlfn.IFS(B260&lt;31,"Young-Adult",B260&lt;41,"Adult",B260&lt;61,"Middle-aged",B260&gt;=61,"Senior")</f>
        <v>Senior</v>
      </c>
      <c r="S260" cm="1">
        <f t="array" ref="S260">_xlfn.IFS(Q260 ="Fortnightly",14,Q260="Weekly",7,Q260="Monthly",30,Q260="Quarterly",90,Q260="Bi-Weekly",14,Q260="Annually",365,Q260="Every 3 Months",90,TRUE,"NOT FOUND")</f>
        <v>90</v>
      </c>
    </row>
    <row r="261" spans="1:19" x14ac:dyDescent="0.35">
      <c r="A261">
        <v>260</v>
      </c>
      <c r="B261">
        <v>32</v>
      </c>
      <c r="C261" t="s">
        <v>7</v>
      </c>
      <c r="D261" t="s">
        <v>22</v>
      </c>
      <c r="E261" t="s">
        <v>9</v>
      </c>
      <c r="F261">
        <v>57</v>
      </c>
      <c r="G261" t="s">
        <v>48</v>
      </c>
      <c r="H261" t="s">
        <v>32</v>
      </c>
      <c r="I261" t="s">
        <v>68</v>
      </c>
      <c r="J261" t="s">
        <v>45</v>
      </c>
      <c r="K261">
        <v>2.9</v>
      </c>
      <c r="L261" t="s">
        <v>14</v>
      </c>
      <c r="M261" t="s">
        <v>42</v>
      </c>
      <c r="N261" t="s">
        <v>14</v>
      </c>
      <c r="O261">
        <v>13</v>
      </c>
      <c r="P261" t="s">
        <v>74</v>
      </c>
      <c r="Q261" t="s">
        <v>37</v>
      </c>
      <c r="R261" t="str" cm="1">
        <f t="array" ref="R261">_xlfn.IFS(B261&lt;31,"Young-Adult",B261&lt;41,"Adult",B261&lt;61,"Middle-aged",B261&gt;=61,"Senior")</f>
        <v>Adult</v>
      </c>
      <c r="S261" cm="1">
        <f t="array" ref="S261">_xlfn.IFS(Q261 ="Fortnightly",14,Q261="Weekly",7,Q261="Monthly",30,Q261="Quarterly",90,Q261="Bi-Weekly",14,Q261="Annually",365,Q261="Every 3 Months",90,TRUE,"NOT FOUND")</f>
        <v>365</v>
      </c>
    </row>
    <row r="262" spans="1:19" x14ac:dyDescent="0.35">
      <c r="A262">
        <v>261</v>
      </c>
      <c r="B262">
        <v>38</v>
      </c>
      <c r="C262" t="s">
        <v>7</v>
      </c>
      <c r="D262" t="s">
        <v>112</v>
      </c>
      <c r="E262" t="s">
        <v>55</v>
      </c>
      <c r="F262">
        <v>57</v>
      </c>
      <c r="G262" t="s">
        <v>44</v>
      </c>
      <c r="H262" t="s">
        <v>24</v>
      </c>
      <c r="I262" t="s">
        <v>96</v>
      </c>
      <c r="J262" t="s">
        <v>13</v>
      </c>
      <c r="K262">
        <v>3.2</v>
      </c>
      <c r="L262" t="s">
        <v>14</v>
      </c>
      <c r="M262" t="s">
        <v>58</v>
      </c>
      <c r="N262" t="s">
        <v>14</v>
      </c>
      <c r="O262">
        <v>11</v>
      </c>
      <c r="P262" t="s">
        <v>27</v>
      </c>
      <c r="Q262" t="s">
        <v>85</v>
      </c>
      <c r="R262" t="str" cm="1">
        <f t="array" ref="R262">_xlfn.IFS(B262&lt;31,"Young-Adult",B262&lt;41,"Adult",B262&lt;61,"Middle-aged",B262&gt;=61,"Senior")</f>
        <v>Adult</v>
      </c>
      <c r="S262" cm="1">
        <f t="array" ref="S262">_xlfn.IFS(Q262 ="Fortnightly",14,Q262="Weekly",7,Q262="Monthly",30,Q262="Quarterly",90,Q262="Bi-Weekly",14,Q262="Annually",365,Q262="Every 3 Months",90,TRUE,"NOT FOUND")</f>
        <v>90</v>
      </c>
    </row>
    <row r="263" spans="1:19" x14ac:dyDescent="0.35">
      <c r="A263">
        <v>262</v>
      </c>
      <c r="B263">
        <v>21</v>
      </c>
      <c r="C263" t="s">
        <v>7</v>
      </c>
      <c r="D263" t="s">
        <v>22</v>
      </c>
      <c r="E263" t="s">
        <v>9</v>
      </c>
      <c r="F263">
        <v>77</v>
      </c>
      <c r="G263" t="s">
        <v>87</v>
      </c>
      <c r="H263" t="s">
        <v>11</v>
      </c>
      <c r="I263" t="s">
        <v>124</v>
      </c>
      <c r="J263" t="s">
        <v>13</v>
      </c>
      <c r="K263">
        <v>4.9000000000000004</v>
      </c>
      <c r="L263" t="s">
        <v>14</v>
      </c>
      <c r="M263" t="s">
        <v>42</v>
      </c>
      <c r="N263" t="s">
        <v>14</v>
      </c>
      <c r="O263">
        <v>21</v>
      </c>
      <c r="P263" t="s">
        <v>27</v>
      </c>
      <c r="Q263" t="s">
        <v>37</v>
      </c>
      <c r="R263" t="str" cm="1">
        <f t="array" ref="R263">_xlfn.IFS(B263&lt;31,"Young-Adult",B263&lt;41,"Adult",B263&lt;61,"Middle-aged",B263&gt;=61,"Senior")</f>
        <v>Young-Adult</v>
      </c>
      <c r="S263" cm="1">
        <f t="array" ref="S263">_xlfn.IFS(Q263 ="Fortnightly",14,Q263="Weekly",7,Q263="Monthly",30,Q263="Quarterly",90,Q263="Bi-Weekly",14,Q263="Annually",365,Q263="Every 3 Months",90,TRUE,"NOT FOUND")</f>
        <v>365</v>
      </c>
    </row>
    <row r="264" spans="1:19" x14ac:dyDescent="0.35">
      <c r="A264">
        <v>263</v>
      </c>
      <c r="B264">
        <v>37</v>
      </c>
      <c r="C264" t="s">
        <v>7</v>
      </c>
      <c r="D264" t="s">
        <v>83</v>
      </c>
      <c r="E264" t="s">
        <v>9</v>
      </c>
      <c r="F264">
        <v>40</v>
      </c>
      <c r="G264" t="s">
        <v>65</v>
      </c>
      <c r="H264" t="s">
        <v>32</v>
      </c>
      <c r="I264" t="s">
        <v>73</v>
      </c>
      <c r="J264" t="s">
        <v>41</v>
      </c>
      <c r="K264">
        <v>3.8</v>
      </c>
      <c r="L264" t="s">
        <v>14</v>
      </c>
      <c r="M264" t="s">
        <v>33</v>
      </c>
      <c r="N264" t="s">
        <v>14</v>
      </c>
      <c r="O264">
        <v>6</v>
      </c>
      <c r="P264" t="s">
        <v>74</v>
      </c>
      <c r="Q264" t="s">
        <v>37</v>
      </c>
      <c r="R264" t="str" cm="1">
        <f t="array" ref="R264">_xlfn.IFS(B264&lt;31,"Young-Adult",B264&lt;41,"Adult",B264&lt;61,"Middle-aged",B264&gt;=61,"Senior")</f>
        <v>Adult</v>
      </c>
      <c r="S264" cm="1">
        <f t="array" ref="S264">_xlfn.IFS(Q264 ="Fortnightly",14,Q264="Weekly",7,Q264="Monthly",30,Q264="Quarterly",90,Q264="Bi-Weekly",14,Q264="Annually",365,Q264="Every 3 Months",90,TRUE,"NOT FOUND")</f>
        <v>365</v>
      </c>
    </row>
    <row r="265" spans="1:19" x14ac:dyDescent="0.35">
      <c r="A265">
        <v>264</v>
      </c>
      <c r="B265">
        <v>27</v>
      </c>
      <c r="C265" t="s">
        <v>7</v>
      </c>
      <c r="D265" t="s">
        <v>47</v>
      </c>
      <c r="E265" t="s">
        <v>9</v>
      </c>
      <c r="F265">
        <v>46</v>
      </c>
      <c r="G265" t="s">
        <v>134</v>
      </c>
      <c r="H265" t="s">
        <v>32</v>
      </c>
      <c r="I265" t="s">
        <v>61</v>
      </c>
      <c r="J265" t="s">
        <v>41</v>
      </c>
      <c r="K265">
        <v>4.3</v>
      </c>
      <c r="L265" t="s">
        <v>14</v>
      </c>
      <c r="M265" t="s">
        <v>62</v>
      </c>
      <c r="N265" t="s">
        <v>14</v>
      </c>
      <c r="O265">
        <v>29</v>
      </c>
      <c r="P265" t="s">
        <v>16</v>
      </c>
      <c r="Q265" t="s">
        <v>76</v>
      </c>
      <c r="R265" t="str" cm="1">
        <f t="array" ref="R265">_xlfn.IFS(B265&lt;31,"Young-Adult",B265&lt;41,"Adult",B265&lt;61,"Middle-aged",B265&gt;=61,"Senior")</f>
        <v>Young-Adult</v>
      </c>
      <c r="S265" cm="1">
        <f t="array" ref="S265">_xlfn.IFS(Q265 ="Fortnightly",14,Q265="Weekly",7,Q265="Monthly",30,Q265="Quarterly",90,Q265="Bi-Weekly",14,Q265="Annually",365,Q265="Every 3 Months",90,TRUE,"NOT FOUND")</f>
        <v>30</v>
      </c>
    </row>
    <row r="266" spans="1:19" x14ac:dyDescent="0.35">
      <c r="A266">
        <v>265</v>
      </c>
      <c r="B266">
        <v>36</v>
      </c>
      <c r="C266" t="s">
        <v>7</v>
      </c>
      <c r="D266" t="s">
        <v>83</v>
      </c>
      <c r="E266" t="s">
        <v>9</v>
      </c>
      <c r="F266">
        <v>78</v>
      </c>
      <c r="G266" t="s">
        <v>100</v>
      </c>
      <c r="H266" t="s">
        <v>24</v>
      </c>
      <c r="I266" t="s">
        <v>49</v>
      </c>
      <c r="J266" t="s">
        <v>45</v>
      </c>
      <c r="K266">
        <v>3.9</v>
      </c>
      <c r="L266" t="s">
        <v>14</v>
      </c>
      <c r="M266" t="s">
        <v>62</v>
      </c>
      <c r="N266" t="s">
        <v>14</v>
      </c>
      <c r="O266">
        <v>15</v>
      </c>
      <c r="P266" t="s">
        <v>21</v>
      </c>
      <c r="Q266" t="s">
        <v>37</v>
      </c>
      <c r="R266" t="str" cm="1">
        <f t="array" ref="R266">_xlfn.IFS(B266&lt;31,"Young-Adult",B266&lt;41,"Adult",B266&lt;61,"Middle-aged",B266&gt;=61,"Senior")</f>
        <v>Adult</v>
      </c>
      <c r="S266" cm="1">
        <f t="array" ref="S266">_xlfn.IFS(Q266 ="Fortnightly",14,Q266="Weekly",7,Q266="Monthly",30,Q266="Quarterly",90,Q266="Bi-Weekly",14,Q266="Annually",365,Q266="Every 3 Months",90,TRUE,"NOT FOUND")</f>
        <v>365</v>
      </c>
    </row>
    <row r="267" spans="1:19" x14ac:dyDescent="0.35">
      <c r="A267">
        <v>266</v>
      </c>
      <c r="B267">
        <v>32</v>
      </c>
      <c r="C267" t="s">
        <v>7</v>
      </c>
      <c r="D267" t="s">
        <v>120</v>
      </c>
      <c r="E267" t="s">
        <v>55</v>
      </c>
      <c r="F267">
        <v>59</v>
      </c>
      <c r="G267" t="s">
        <v>139</v>
      </c>
      <c r="H267" t="s">
        <v>32</v>
      </c>
      <c r="I267" t="s">
        <v>12</v>
      </c>
      <c r="J267" t="s">
        <v>25</v>
      </c>
      <c r="K267">
        <v>3.2</v>
      </c>
      <c r="L267" t="s">
        <v>14</v>
      </c>
      <c r="M267" t="s">
        <v>58</v>
      </c>
      <c r="N267" t="s">
        <v>14</v>
      </c>
      <c r="O267">
        <v>17</v>
      </c>
      <c r="P267" t="s">
        <v>63</v>
      </c>
      <c r="Q267" t="s">
        <v>64</v>
      </c>
      <c r="R267" t="str" cm="1">
        <f t="array" ref="R267">_xlfn.IFS(B267&lt;31,"Young-Adult",B267&lt;41,"Adult",B267&lt;61,"Middle-aged",B267&gt;=61,"Senior")</f>
        <v>Adult</v>
      </c>
      <c r="S267" cm="1">
        <f t="array" ref="S267">_xlfn.IFS(Q267 ="Fortnightly",14,Q267="Weekly",7,Q267="Monthly",30,Q267="Quarterly",90,Q267="Bi-Weekly",14,Q267="Annually",365,Q267="Every 3 Months",90,TRUE,"NOT FOUND")</f>
        <v>14</v>
      </c>
    </row>
    <row r="268" spans="1:19" x14ac:dyDescent="0.35">
      <c r="A268">
        <v>267</v>
      </c>
      <c r="B268">
        <v>51</v>
      </c>
      <c r="C268" t="s">
        <v>7</v>
      </c>
      <c r="D268" t="s">
        <v>94</v>
      </c>
      <c r="E268" t="s">
        <v>55</v>
      </c>
      <c r="F268">
        <v>75</v>
      </c>
      <c r="G268" t="s">
        <v>48</v>
      </c>
      <c r="H268" t="s">
        <v>11</v>
      </c>
      <c r="I268" t="s">
        <v>40</v>
      </c>
      <c r="J268" t="s">
        <v>41</v>
      </c>
      <c r="K268">
        <v>3.1</v>
      </c>
      <c r="L268" t="s">
        <v>14</v>
      </c>
      <c r="M268" t="s">
        <v>15</v>
      </c>
      <c r="N268" t="s">
        <v>14</v>
      </c>
      <c r="O268">
        <v>32</v>
      </c>
      <c r="P268" t="s">
        <v>27</v>
      </c>
      <c r="Q268" t="s">
        <v>28</v>
      </c>
      <c r="R268" t="str" cm="1">
        <f t="array" ref="R268">_xlfn.IFS(B268&lt;31,"Young-Adult",B268&lt;41,"Adult",B268&lt;61,"Middle-aged",B268&gt;=61,"Senior")</f>
        <v>Middle-aged</v>
      </c>
      <c r="S268" cm="1">
        <f t="array" ref="S268">_xlfn.IFS(Q268 ="Fortnightly",14,Q268="Weekly",7,Q268="Monthly",30,Q268="Quarterly",90,Q268="Bi-Weekly",14,Q268="Annually",365,Q268="Every 3 Months",90,TRUE,"NOT FOUND")</f>
        <v>7</v>
      </c>
    </row>
    <row r="269" spans="1:19" x14ac:dyDescent="0.35">
      <c r="A269">
        <v>268</v>
      </c>
      <c r="B269">
        <v>64</v>
      </c>
      <c r="C269" t="s">
        <v>7</v>
      </c>
      <c r="D269" t="s">
        <v>18</v>
      </c>
      <c r="E269" t="s">
        <v>9</v>
      </c>
      <c r="F269">
        <v>54</v>
      </c>
      <c r="G269" t="s">
        <v>116</v>
      </c>
      <c r="H269" t="s">
        <v>32</v>
      </c>
      <c r="I269" t="s">
        <v>66</v>
      </c>
      <c r="J269" t="s">
        <v>25</v>
      </c>
      <c r="K269">
        <v>3.9</v>
      </c>
      <c r="L269" t="s">
        <v>14</v>
      </c>
      <c r="M269" t="s">
        <v>58</v>
      </c>
      <c r="N269" t="s">
        <v>14</v>
      </c>
      <c r="O269">
        <v>42</v>
      </c>
      <c r="P269" t="s">
        <v>16</v>
      </c>
      <c r="Q269" t="s">
        <v>37</v>
      </c>
      <c r="R269" t="str" cm="1">
        <f t="array" ref="R269">_xlfn.IFS(B269&lt;31,"Young-Adult",B269&lt;41,"Adult",B269&lt;61,"Middle-aged",B269&gt;=61,"Senior")</f>
        <v>Senior</v>
      </c>
      <c r="S269" cm="1">
        <f t="array" ref="S269">_xlfn.IFS(Q269 ="Fortnightly",14,Q269="Weekly",7,Q269="Monthly",30,Q269="Quarterly",90,Q269="Bi-Weekly",14,Q269="Annually",365,Q269="Every 3 Months",90,TRUE,"NOT FOUND")</f>
        <v>365</v>
      </c>
    </row>
    <row r="270" spans="1:19" x14ac:dyDescent="0.35">
      <c r="A270">
        <v>269</v>
      </c>
      <c r="B270">
        <v>68</v>
      </c>
      <c r="C270" t="s">
        <v>7</v>
      </c>
      <c r="D270" t="s">
        <v>59</v>
      </c>
      <c r="E270" t="s">
        <v>30</v>
      </c>
      <c r="F270">
        <v>42</v>
      </c>
      <c r="G270" t="s">
        <v>130</v>
      </c>
      <c r="H270" t="s">
        <v>32</v>
      </c>
      <c r="I270" t="s">
        <v>49</v>
      </c>
      <c r="J270" t="s">
        <v>25</v>
      </c>
      <c r="K270">
        <v>2.6</v>
      </c>
      <c r="L270" t="s">
        <v>14</v>
      </c>
      <c r="M270" t="s">
        <v>62</v>
      </c>
      <c r="N270" t="s">
        <v>14</v>
      </c>
      <c r="O270">
        <v>21</v>
      </c>
      <c r="P270" t="s">
        <v>21</v>
      </c>
      <c r="Q270" t="s">
        <v>76</v>
      </c>
      <c r="R270" t="str" cm="1">
        <f t="array" ref="R270">_xlfn.IFS(B270&lt;31,"Young-Adult",B270&lt;41,"Adult",B270&lt;61,"Middle-aged",B270&gt;=61,"Senior")</f>
        <v>Senior</v>
      </c>
      <c r="S270" cm="1">
        <f t="array" ref="S270">_xlfn.IFS(Q270 ="Fortnightly",14,Q270="Weekly",7,Q270="Monthly",30,Q270="Quarterly",90,Q270="Bi-Weekly",14,Q270="Annually",365,Q270="Every 3 Months",90,TRUE,"NOT FOUND")</f>
        <v>30</v>
      </c>
    </row>
    <row r="271" spans="1:19" x14ac:dyDescent="0.35">
      <c r="A271">
        <v>270</v>
      </c>
      <c r="B271">
        <v>68</v>
      </c>
      <c r="C271" t="s">
        <v>7</v>
      </c>
      <c r="D271" t="s">
        <v>8</v>
      </c>
      <c r="E271" t="s">
        <v>9</v>
      </c>
      <c r="F271">
        <v>44</v>
      </c>
      <c r="G271" t="s">
        <v>130</v>
      </c>
      <c r="H271" t="s">
        <v>32</v>
      </c>
      <c r="I271" t="s">
        <v>49</v>
      </c>
      <c r="J271" t="s">
        <v>13</v>
      </c>
      <c r="K271">
        <v>3.3</v>
      </c>
      <c r="L271" t="s">
        <v>14</v>
      </c>
      <c r="M271" t="s">
        <v>33</v>
      </c>
      <c r="N271" t="s">
        <v>14</v>
      </c>
      <c r="O271">
        <v>9</v>
      </c>
      <c r="P271" t="s">
        <v>21</v>
      </c>
      <c r="Q271" t="s">
        <v>64</v>
      </c>
      <c r="R271" t="str" cm="1">
        <f t="array" ref="R271">_xlfn.IFS(B271&lt;31,"Young-Adult",B271&lt;41,"Adult",B271&lt;61,"Middle-aged",B271&gt;=61,"Senior")</f>
        <v>Senior</v>
      </c>
      <c r="S271" cm="1">
        <f t="array" ref="S271">_xlfn.IFS(Q271 ="Fortnightly",14,Q271="Weekly",7,Q271="Monthly",30,Q271="Quarterly",90,Q271="Bi-Weekly",14,Q271="Annually",365,Q271="Every 3 Months",90,TRUE,"NOT FOUND")</f>
        <v>14</v>
      </c>
    </row>
    <row r="272" spans="1:19" x14ac:dyDescent="0.35">
      <c r="A272">
        <v>271</v>
      </c>
      <c r="B272">
        <v>33</v>
      </c>
      <c r="C272" t="s">
        <v>7</v>
      </c>
      <c r="D272" t="s">
        <v>22</v>
      </c>
      <c r="E272" t="s">
        <v>9</v>
      </c>
      <c r="F272">
        <v>52</v>
      </c>
      <c r="G272" t="s">
        <v>102</v>
      </c>
      <c r="H272" t="s">
        <v>80</v>
      </c>
      <c r="I272" t="s">
        <v>109</v>
      </c>
      <c r="J272" t="s">
        <v>45</v>
      </c>
      <c r="K272">
        <v>4.5999999999999996</v>
      </c>
      <c r="L272" t="s">
        <v>14</v>
      </c>
      <c r="M272" t="s">
        <v>26</v>
      </c>
      <c r="N272" t="s">
        <v>14</v>
      </c>
      <c r="O272">
        <v>16</v>
      </c>
      <c r="P272" t="s">
        <v>63</v>
      </c>
      <c r="Q272" t="s">
        <v>37</v>
      </c>
      <c r="R272" t="str" cm="1">
        <f t="array" ref="R272">_xlfn.IFS(B272&lt;31,"Young-Adult",B272&lt;41,"Adult",B272&lt;61,"Middle-aged",B272&gt;=61,"Senior")</f>
        <v>Adult</v>
      </c>
      <c r="S272" cm="1">
        <f t="array" ref="S272">_xlfn.IFS(Q272 ="Fortnightly",14,Q272="Weekly",7,Q272="Monthly",30,Q272="Quarterly",90,Q272="Bi-Weekly",14,Q272="Annually",365,Q272="Every 3 Months",90,TRUE,"NOT FOUND")</f>
        <v>365</v>
      </c>
    </row>
    <row r="273" spans="1:19" x14ac:dyDescent="0.35">
      <c r="A273">
        <v>272</v>
      </c>
      <c r="B273">
        <v>65</v>
      </c>
      <c r="C273" t="s">
        <v>7</v>
      </c>
      <c r="D273" t="s">
        <v>77</v>
      </c>
      <c r="E273" t="s">
        <v>55</v>
      </c>
      <c r="F273">
        <v>69</v>
      </c>
      <c r="G273" t="s">
        <v>116</v>
      </c>
      <c r="H273" t="s">
        <v>80</v>
      </c>
      <c r="I273" t="s">
        <v>122</v>
      </c>
      <c r="J273" t="s">
        <v>41</v>
      </c>
      <c r="K273">
        <v>4.5999999999999996</v>
      </c>
      <c r="L273" t="s">
        <v>14</v>
      </c>
      <c r="M273" t="s">
        <v>15</v>
      </c>
      <c r="N273" t="s">
        <v>14</v>
      </c>
      <c r="O273">
        <v>42</v>
      </c>
      <c r="P273" t="s">
        <v>27</v>
      </c>
      <c r="Q273" t="s">
        <v>17</v>
      </c>
      <c r="R273" t="str" cm="1">
        <f t="array" ref="R273">_xlfn.IFS(B273&lt;31,"Young-Adult",B273&lt;41,"Adult",B273&lt;61,"Middle-aged",B273&gt;=61,"Senior")</f>
        <v>Senior</v>
      </c>
      <c r="S273" cm="1">
        <f t="array" ref="S273">_xlfn.IFS(Q273 ="Fortnightly",14,Q273="Weekly",7,Q273="Monthly",30,Q273="Quarterly",90,Q273="Bi-Weekly",14,Q273="Annually",365,Q273="Every 3 Months",90,TRUE,"NOT FOUND")</f>
        <v>14</v>
      </c>
    </row>
    <row r="274" spans="1:19" x14ac:dyDescent="0.35">
      <c r="A274">
        <v>273</v>
      </c>
      <c r="B274">
        <v>48</v>
      </c>
      <c r="C274" t="s">
        <v>7</v>
      </c>
      <c r="D274" t="s">
        <v>94</v>
      </c>
      <c r="E274" t="s">
        <v>55</v>
      </c>
      <c r="F274">
        <v>26</v>
      </c>
      <c r="G274" t="s">
        <v>35</v>
      </c>
      <c r="H274" t="s">
        <v>32</v>
      </c>
      <c r="I274" t="s">
        <v>106</v>
      </c>
      <c r="J274" t="s">
        <v>41</v>
      </c>
      <c r="K274">
        <v>4.4000000000000004</v>
      </c>
      <c r="L274" t="s">
        <v>14</v>
      </c>
      <c r="M274" t="s">
        <v>58</v>
      </c>
      <c r="N274" t="s">
        <v>14</v>
      </c>
      <c r="O274">
        <v>37</v>
      </c>
      <c r="P274" t="s">
        <v>74</v>
      </c>
      <c r="Q274" t="s">
        <v>64</v>
      </c>
      <c r="R274" t="str" cm="1">
        <f t="array" ref="R274">_xlfn.IFS(B274&lt;31,"Young-Adult",B274&lt;41,"Adult",B274&lt;61,"Middle-aged",B274&gt;=61,"Senior")</f>
        <v>Middle-aged</v>
      </c>
      <c r="S274" cm="1">
        <f t="array" ref="S274">_xlfn.IFS(Q274 ="Fortnightly",14,Q274="Weekly",7,Q274="Monthly",30,Q274="Quarterly",90,Q274="Bi-Weekly",14,Q274="Annually",365,Q274="Every 3 Months",90,TRUE,"NOT FOUND")</f>
        <v>14</v>
      </c>
    </row>
    <row r="275" spans="1:19" x14ac:dyDescent="0.35">
      <c r="A275">
        <v>274</v>
      </c>
      <c r="B275">
        <v>69</v>
      </c>
      <c r="C275" t="s">
        <v>7</v>
      </c>
      <c r="D275" t="s">
        <v>50</v>
      </c>
      <c r="E275" t="s">
        <v>51</v>
      </c>
      <c r="F275">
        <v>33</v>
      </c>
      <c r="G275" t="s">
        <v>102</v>
      </c>
      <c r="H275" t="s">
        <v>24</v>
      </c>
      <c r="I275" t="s">
        <v>53</v>
      </c>
      <c r="J275" t="s">
        <v>25</v>
      </c>
      <c r="K275">
        <v>4.2</v>
      </c>
      <c r="L275" t="s">
        <v>14</v>
      </c>
      <c r="M275" t="s">
        <v>15</v>
      </c>
      <c r="N275" t="s">
        <v>14</v>
      </c>
      <c r="O275">
        <v>32</v>
      </c>
      <c r="P275" t="s">
        <v>74</v>
      </c>
      <c r="Q275" t="s">
        <v>46</v>
      </c>
      <c r="R275" t="str" cm="1">
        <f t="array" ref="R275">_xlfn.IFS(B275&lt;31,"Young-Adult",B275&lt;41,"Adult",B275&lt;61,"Middle-aged",B275&gt;=61,"Senior")</f>
        <v>Senior</v>
      </c>
      <c r="S275" cm="1">
        <f t="array" ref="S275">_xlfn.IFS(Q275 ="Fortnightly",14,Q275="Weekly",7,Q275="Monthly",30,Q275="Quarterly",90,Q275="Bi-Weekly",14,Q275="Annually",365,Q275="Every 3 Months",90,TRUE,"NOT FOUND")</f>
        <v>90</v>
      </c>
    </row>
    <row r="276" spans="1:19" x14ac:dyDescent="0.35">
      <c r="A276">
        <v>275</v>
      </c>
      <c r="B276">
        <v>59</v>
      </c>
      <c r="C276" t="s">
        <v>7</v>
      </c>
      <c r="D276" t="s">
        <v>94</v>
      </c>
      <c r="E276" t="s">
        <v>55</v>
      </c>
      <c r="F276">
        <v>32</v>
      </c>
      <c r="G276" t="s">
        <v>116</v>
      </c>
      <c r="H276" t="s">
        <v>32</v>
      </c>
      <c r="I276" t="s">
        <v>114</v>
      </c>
      <c r="J276" t="s">
        <v>25</v>
      </c>
      <c r="K276">
        <v>3</v>
      </c>
      <c r="L276" t="s">
        <v>14</v>
      </c>
      <c r="M276" t="s">
        <v>15</v>
      </c>
      <c r="N276" t="s">
        <v>14</v>
      </c>
      <c r="O276">
        <v>28</v>
      </c>
      <c r="P276" t="s">
        <v>21</v>
      </c>
      <c r="Q276" t="s">
        <v>64</v>
      </c>
      <c r="R276" t="str" cm="1">
        <f t="array" ref="R276">_xlfn.IFS(B276&lt;31,"Young-Adult",B276&lt;41,"Adult",B276&lt;61,"Middle-aged",B276&gt;=61,"Senior")</f>
        <v>Middle-aged</v>
      </c>
      <c r="S276" cm="1">
        <f t="array" ref="S276">_xlfn.IFS(Q276 ="Fortnightly",14,Q276="Weekly",7,Q276="Monthly",30,Q276="Quarterly",90,Q276="Bi-Weekly",14,Q276="Annually",365,Q276="Every 3 Months",90,TRUE,"NOT FOUND")</f>
        <v>14</v>
      </c>
    </row>
    <row r="277" spans="1:19" x14ac:dyDescent="0.35">
      <c r="A277">
        <v>276</v>
      </c>
      <c r="B277">
        <v>48</v>
      </c>
      <c r="C277" t="s">
        <v>7</v>
      </c>
      <c r="D277" t="s">
        <v>120</v>
      </c>
      <c r="E277" t="s">
        <v>55</v>
      </c>
      <c r="F277">
        <v>85</v>
      </c>
      <c r="G277" t="s">
        <v>129</v>
      </c>
      <c r="H277" t="s">
        <v>80</v>
      </c>
      <c r="I277" t="s">
        <v>81</v>
      </c>
      <c r="J277" t="s">
        <v>13</v>
      </c>
      <c r="K277">
        <v>4</v>
      </c>
      <c r="L277" t="s">
        <v>14</v>
      </c>
      <c r="M277" t="s">
        <v>15</v>
      </c>
      <c r="N277" t="s">
        <v>14</v>
      </c>
      <c r="O277">
        <v>13</v>
      </c>
      <c r="P277" t="s">
        <v>27</v>
      </c>
      <c r="Q277" t="s">
        <v>28</v>
      </c>
      <c r="R277" t="str" cm="1">
        <f t="array" ref="R277">_xlfn.IFS(B277&lt;31,"Young-Adult",B277&lt;41,"Adult",B277&lt;61,"Middle-aged",B277&gt;=61,"Senior")</f>
        <v>Middle-aged</v>
      </c>
      <c r="S277" cm="1">
        <f t="array" ref="S277">_xlfn.IFS(Q277 ="Fortnightly",14,Q277="Weekly",7,Q277="Monthly",30,Q277="Quarterly",90,Q277="Bi-Weekly",14,Q277="Annually",365,Q277="Every 3 Months",90,TRUE,"NOT FOUND")</f>
        <v>7</v>
      </c>
    </row>
    <row r="278" spans="1:19" x14ac:dyDescent="0.35">
      <c r="A278">
        <v>277</v>
      </c>
      <c r="B278">
        <v>25</v>
      </c>
      <c r="C278" t="s">
        <v>7</v>
      </c>
      <c r="D278" t="s">
        <v>75</v>
      </c>
      <c r="E278" t="s">
        <v>9</v>
      </c>
      <c r="F278">
        <v>30</v>
      </c>
      <c r="G278" t="s">
        <v>135</v>
      </c>
      <c r="H278" t="s">
        <v>80</v>
      </c>
      <c r="I278" t="s">
        <v>36</v>
      </c>
      <c r="J278" t="s">
        <v>45</v>
      </c>
      <c r="K278">
        <v>3.5</v>
      </c>
      <c r="L278" t="s">
        <v>14</v>
      </c>
      <c r="M278" t="s">
        <v>15</v>
      </c>
      <c r="N278" t="s">
        <v>14</v>
      </c>
      <c r="O278">
        <v>11</v>
      </c>
      <c r="P278" t="s">
        <v>63</v>
      </c>
      <c r="Q278" t="s">
        <v>17</v>
      </c>
      <c r="R278" t="str" cm="1">
        <f t="array" ref="R278">_xlfn.IFS(B278&lt;31,"Young-Adult",B278&lt;41,"Adult",B278&lt;61,"Middle-aged",B278&gt;=61,"Senior")</f>
        <v>Young-Adult</v>
      </c>
      <c r="S278" cm="1">
        <f t="array" ref="S278">_xlfn.IFS(Q278 ="Fortnightly",14,Q278="Weekly",7,Q278="Monthly",30,Q278="Quarterly",90,Q278="Bi-Weekly",14,Q278="Annually",365,Q278="Every 3 Months",90,TRUE,"NOT FOUND")</f>
        <v>14</v>
      </c>
    </row>
    <row r="279" spans="1:19" x14ac:dyDescent="0.35">
      <c r="A279">
        <v>278</v>
      </c>
      <c r="B279">
        <v>29</v>
      </c>
      <c r="C279" t="s">
        <v>7</v>
      </c>
      <c r="D279" t="s">
        <v>43</v>
      </c>
      <c r="E279" t="s">
        <v>9</v>
      </c>
      <c r="F279">
        <v>29</v>
      </c>
      <c r="G279" t="s">
        <v>130</v>
      </c>
      <c r="H279" t="s">
        <v>32</v>
      </c>
      <c r="I279" t="s">
        <v>84</v>
      </c>
      <c r="J279" t="s">
        <v>13</v>
      </c>
      <c r="K279">
        <v>3</v>
      </c>
      <c r="L279" t="s">
        <v>14</v>
      </c>
      <c r="M279" t="s">
        <v>62</v>
      </c>
      <c r="N279" t="s">
        <v>14</v>
      </c>
      <c r="O279">
        <v>36</v>
      </c>
      <c r="P279" t="s">
        <v>63</v>
      </c>
      <c r="Q279" t="s">
        <v>64</v>
      </c>
      <c r="R279" t="str" cm="1">
        <f t="array" ref="R279">_xlfn.IFS(B279&lt;31,"Young-Adult",B279&lt;41,"Adult",B279&lt;61,"Middle-aged",B279&gt;=61,"Senior")</f>
        <v>Young-Adult</v>
      </c>
      <c r="S279" cm="1">
        <f t="array" ref="S279">_xlfn.IFS(Q279 ="Fortnightly",14,Q279="Weekly",7,Q279="Monthly",30,Q279="Quarterly",90,Q279="Bi-Weekly",14,Q279="Annually",365,Q279="Every 3 Months",90,TRUE,"NOT FOUND")</f>
        <v>14</v>
      </c>
    </row>
    <row r="280" spans="1:19" x14ac:dyDescent="0.35">
      <c r="A280">
        <v>279</v>
      </c>
      <c r="B280">
        <v>57</v>
      </c>
      <c r="C280" t="s">
        <v>7</v>
      </c>
      <c r="D280" t="s">
        <v>18</v>
      </c>
      <c r="E280" t="s">
        <v>9</v>
      </c>
      <c r="F280">
        <v>95</v>
      </c>
      <c r="G280" t="s">
        <v>65</v>
      </c>
      <c r="H280" t="s">
        <v>32</v>
      </c>
      <c r="I280" t="s">
        <v>109</v>
      </c>
      <c r="J280" t="s">
        <v>25</v>
      </c>
      <c r="K280">
        <v>3.7</v>
      </c>
      <c r="L280" t="s">
        <v>14</v>
      </c>
      <c r="M280" t="s">
        <v>15</v>
      </c>
      <c r="N280" t="s">
        <v>14</v>
      </c>
      <c r="O280">
        <v>23</v>
      </c>
      <c r="P280" t="s">
        <v>74</v>
      </c>
      <c r="Q280" t="s">
        <v>37</v>
      </c>
      <c r="R280" t="str" cm="1">
        <f t="array" ref="R280">_xlfn.IFS(B280&lt;31,"Young-Adult",B280&lt;41,"Adult",B280&lt;61,"Middle-aged",B280&gt;=61,"Senior")</f>
        <v>Middle-aged</v>
      </c>
      <c r="S280" cm="1">
        <f t="array" ref="S280">_xlfn.IFS(Q280 ="Fortnightly",14,Q280="Weekly",7,Q280="Monthly",30,Q280="Quarterly",90,Q280="Bi-Weekly",14,Q280="Annually",365,Q280="Every 3 Months",90,TRUE,"NOT FOUND")</f>
        <v>365</v>
      </c>
    </row>
    <row r="281" spans="1:19" x14ac:dyDescent="0.35">
      <c r="A281">
        <v>280</v>
      </c>
      <c r="B281">
        <v>23</v>
      </c>
      <c r="C281" t="s">
        <v>7</v>
      </c>
      <c r="D281" t="s">
        <v>38</v>
      </c>
      <c r="E281" t="s">
        <v>30</v>
      </c>
      <c r="F281">
        <v>69</v>
      </c>
      <c r="G281" t="s">
        <v>60</v>
      </c>
      <c r="H281" t="s">
        <v>11</v>
      </c>
      <c r="I281" t="s">
        <v>36</v>
      </c>
      <c r="J281" t="s">
        <v>41</v>
      </c>
      <c r="K281">
        <v>4</v>
      </c>
      <c r="L281" t="s">
        <v>14</v>
      </c>
      <c r="M281" t="s">
        <v>42</v>
      </c>
      <c r="N281" t="s">
        <v>14</v>
      </c>
      <c r="O281">
        <v>37</v>
      </c>
      <c r="P281" t="s">
        <v>63</v>
      </c>
      <c r="Q281" t="s">
        <v>76</v>
      </c>
      <c r="R281" t="str" cm="1">
        <f t="array" ref="R281">_xlfn.IFS(B281&lt;31,"Young-Adult",B281&lt;41,"Adult",B281&lt;61,"Middle-aged",B281&gt;=61,"Senior")</f>
        <v>Young-Adult</v>
      </c>
      <c r="S281" cm="1">
        <f t="array" ref="S281">_xlfn.IFS(Q281 ="Fortnightly",14,Q281="Weekly",7,Q281="Monthly",30,Q281="Quarterly",90,Q281="Bi-Weekly",14,Q281="Annually",365,Q281="Every 3 Months",90,TRUE,"NOT FOUND")</f>
        <v>30</v>
      </c>
    </row>
    <row r="282" spans="1:19" x14ac:dyDescent="0.35">
      <c r="A282">
        <v>281</v>
      </c>
      <c r="B282">
        <v>45</v>
      </c>
      <c r="C282" t="s">
        <v>7</v>
      </c>
      <c r="D282" t="s">
        <v>29</v>
      </c>
      <c r="E282" t="s">
        <v>30</v>
      </c>
      <c r="F282">
        <v>69</v>
      </c>
      <c r="G282" t="s">
        <v>44</v>
      </c>
      <c r="H282" t="s">
        <v>24</v>
      </c>
      <c r="I282" t="s">
        <v>97</v>
      </c>
      <c r="J282" t="s">
        <v>45</v>
      </c>
      <c r="K282">
        <v>4.2</v>
      </c>
      <c r="L282" t="s">
        <v>14</v>
      </c>
      <c r="M282" t="s">
        <v>58</v>
      </c>
      <c r="N282" t="s">
        <v>14</v>
      </c>
      <c r="O282">
        <v>21</v>
      </c>
      <c r="P282" t="s">
        <v>21</v>
      </c>
      <c r="Q282" t="s">
        <v>64</v>
      </c>
      <c r="R282" t="str" cm="1">
        <f t="array" ref="R282">_xlfn.IFS(B282&lt;31,"Young-Adult",B282&lt;41,"Adult",B282&lt;61,"Middle-aged",B282&gt;=61,"Senior")</f>
        <v>Middle-aged</v>
      </c>
      <c r="S282" cm="1">
        <f t="array" ref="S282">_xlfn.IFS(Q282 ="Fortnightly",14,Q282="Weekly",7,Q282="Monthly",30,Q282="Quarterly",90,Q282="Bi-Weekly",14,Q282="Annually",365,Q282="Every 3 Months",90,TRUE,"NOT FOUND")</f>
        <v>14</v>
      </c>
    </row>
    <row r="283" spans="1:19" x14ac:dyDescent="0.35">
      <c r="A283">
        <v>282</v>
      </c>
      <c r="B283">
        <v>38</v>
      </c>
      <c r="C283" t="s">
        <v>7</v>
      </c>
      <c r="D283" t="s">
        <v>121</v>
      </c>
      <c r="E283" t="s">
        <v>55</v>
      </c>
      <c r="F283">
        <v>61</v>
      </c>
      <c r="G283" t="s">
        <v>89</v>
      </c>
      <c r="H283" t="s">
        <v>80</v>
      </c>
      <c r="I283" t="s">
        <v>49</v>
      </c>
      <c r="J283" t="s">
        <v>25</v>
      </c>
      <c r="K283">
        <v>2.5</v>
      </c>
      <c r="L283" t="s">
        <v>14</v>
      </c>
      <c r="M283" t="s">
        <v>42</v>
      </c>
      <c r="N283" t="s">
        <v>14</v>
      </c>
      <c r="O283">
        <v>22</v>
      </c>
      <c r="P283" t="s">
        <v>74</v>
      </c>
      <c r="Q283" t="s">
        <v>64</v>
      </c>
      <c r="R283" t="str" cm="1">
        <f t="array" ref="R283">_xlfn.IFS(B283&lt;31,"Young-Adult",B283&lt;41,"Adult",B283&lt;61,"Middle-aged",B283&gt;=61,"Senior")</f>
        <v>Adult</v>
      </c>
      <c r="S283" cm="1">
        <f t="array" ref="S283">_xlfn.IFS(Q283 ="Fortnightly",14,Q283="Weekly",7,Q283="Monthly",30,Q283="Quarterly",90,Q283="Bi-Weekly",14,Q283="Annually",365,Q283="Every 3 Months",90,TRUE,"NOT FOUND")</f>
        <v>14</v>
      </c>
    </row>
    <row r="284" spans="1:19" x14ac:dyDescent="0.35">
      <c r="A284">
        <v>283</v>
      </c>
      <c r="B284">
        <v>21</v>
      </c>
      <c r="C284" t="s">
        <v>7</v>
      </c>
      <c r="D284" t="s">
        <v>75</v>
      </c>
      <c r="E284" t="s">
        <v>9</v>
      </c>
      <c r="F284">
        <v>94</v>
      </c>
      <c r="G284" t="s">
        <v>136</v>
      </c>
      <c r="H284" t="s">
        <v>32</v>
      </c>
      <c r="I284" t="s">
        <v>73</v>
      </c>
      <c r="J284" t="s">
        <v>41</v>
      </c>
      <c r="K284">
        <v>3</v>
      </c>
      <c r="L284" t="s">
        <v>14</v>
      </c>
      <c r="M284" t="s">
        <v>58</v>
      </c>
      <c r="N284" t="s">
        <v>14</v>
      </c>
      <c r="O284">
        <v>9</v>
      </c>
      <c r="P284" t="s">
        <v>21</v>
      </c>
      <c r="Q284" t="s">
        <v>76</v>
      </c>
      <c r="R284" t="str" cm="1">
        <f t="array" ref="R284">_xlfn.IFS(B284&lt;31,"Young-Adult",B284&lt;41,"Adult",B284&lt;61,"Middle-aged",B284&gt;=61,"Senior")</f>
        <v>Young-Adult</v>
      </c>
      <c r="S284" cm="1">
        <f t="array" ref="S284">_xlfn.IFS(Q284 ="Fortnightly",14,Q284="Weekly",7,Q284="Monthly",30,Q284="Quarterly",90,Q284="Bi-Weekly",14,Q284="Annually",365,Q284="Every 3 Months",90,TRUE,"NOT FOUND")</f>
        <v>30</v>
      </c>
    </row>
    <row r="285" spans="1:19" x14ac:dyDescent="0.35">
      <c r="A285">
        <v>284</v>
      </c>
      <c r="B285">
        <v>32</v>
      </c>
      <c r="C285" t="s">
        <v>7</v>
      </c>
      <c r="D285" t="s">
        <v>18</v>
      </c>
      <c r="E285" t="s">
        <v>9</v>
      </c>
      <c r="F285">
        <v>30</v>
      </c>
      <c r="G285" t="s">
        <v>44</v>
      </c>
      <c r="H285" t="s">
        <v>24</v>
      </c>
      <c r="I285" t="s">
        <v>20</v>
      </c>
      <c r="J285" t="s">
        <v>45</v>
      </c>
      <c r="K285">
        <v>3.2</v>
      </c>
      <c r="L285" t="s">
        <v>14</v>
      </c>
      <c r="M285" t="s">
        <v>33</v>
      </c>
      <c r="N285" t="s">
        <v>14</v>
      </c>
      <c r="O285">
        <v>16</v>
      </c>
      <c r="P285" t="s">
        <v>16</v>
      </c>
      <c r="Q285" t="s">
        <v>37</v>
      </c>
      <c r="R285" t="str" cm="1">
        <f t="array" ref="R285">_xlfn.IFS(B285&lt;31,"Young-Adult",B285&lt;41,"Adult",B285&lt;61,"Middle-aged",B285&gt;=61,"Senior")</f>
        <v>Adult</v>
      </c>
      <c r="S285" cm="1">
        <f t="array" ref="S285">_xlfn.IFS(Q285 ="Fortnightly",14,Q285="Weekly",7,Q285="Monthly",30,Q285="Quarterly",90,Q285="Bi-Weekly",14,Q285="Annually",365,Q285="Every 3 Months",90,TRUE,"NOT FOUND")</f>
        <v>365</v>
      </c>
    </row>
    <row r="286" spans="1:19" x14ac:dyDescent="0.35">
      <c r="A286">
        <v>285</v>
      </c>
      <c r="B286">
        <v>63</v>
      </c>
      <c r="C286" t="s">
        <v>7</v>
      </c>
      <c r="D286" t="s">
        <v>75</v>
      </c>
      <c r="E286" t="s">
        <v>9</v>
      </c>
      <c r="F286">
        <v>45</v>
      </c>
      <c r="G286" t="s">
        <v>111</v>
      </c>
      <c r="H286" t="s">
        <v>32</v>
      </c>
      <c r="I286" t="s">
        <v>96</v>
      </c>
      <c r="J286" t="s">
        <v>41</v>
      </c>
      <c r="K286">
        <v>3.5</v>
      </c>
      <c r="L286" t="s">
        <v>14</v>
      </c>
      <c r="M286" t="s">
        <v>42</v>
      </c>
      <c r="N286" t="s">
        <v>14</v>
      </c>
      <c r="O286">
        <v>4</v>
      </c>
      <c r="P286" t="s">
        <v>34</v>
      </c>
      <c r="Q286" t="s">
        <v>46</v>
      </c>
      <c r="R286" t="str" cm="1">
        <f t="array" ref="R286">_xlfn.IFS(B286&lt;31,"Young-Adult",B286&lt;41,"Adult",B286&lt;61,"Middle-aged",B286&gt;=61,"Senior")</f>
        <v>Senior</v>
      </c>
      <c r="S286" cm="1">
        <f t="array" ref="S286">_xlfn.IFS(Q286 ="Fortnightly",14,Q286="Weekly",7,Q286="Monthly",30,Q286="Quarterly",90,Q286="Bi-Weekly",14,Q286="Annually",365,Q286="Every 3 Months",90,TRUE,"NOT FOUND")</f>
        <v>90</v>
      </c>
    </row>
    <row r="287" spans="1:19" x14ac:dyDescent="0.35">
      <c r="A287">
        <v>286</v>
      </c>
      <c r="B287">
        <v>29</v>
      </c>
      <c r="C287" t="s">
        <v>7</v>
      </c>
      <c r="D287" t="s">
        <v>54</v>
      </c>
      <c r="E287" t="s">
        <v>55</v>
      </c>
      <c r="F287">
        <v>39</v>
      </c>
      <c r="G287" t="s">
        <v>10</v>
      </c>
      <c r="H287" t="s">
        <v>80</v>
      </c>
      <c r="I287" t="s">
        <v>122</v>
      </c>
      <c r="J287" t="s">
        <v>41</v>
      </c>
      <c r="K287">
        <v>4.8</v>
      </c>
      <c r="L287" t="s">
        <v>14</v>
      </c>
      <c r="M287" t="s">
        <v>15</v>
      </c>
      <c r="N287" t="s">
        <v>14</v>
      </c>
      <c r="O287">
        <v>3</v>
      </c>
      <c r="P287" t="s">
        <v>74</v>
      </c>
      <c r="Q287" t="s">
        <v>64</v>
      </c>
      <c r="R287" t="str" cm="1">
        <f t="array" ref="R287">_xlfn.IFS(B287&lt;31,"Young-Adult",B287&lt;41,"Adult",B287&lt;61,"Middle-aged",B287&gt;=61,"Senior")</f>
        <v>Young-Adult</v>
      </c>
      <c r="S287" cm="1">
        <f t="array" ref="S287">_xlfn.IFS(Q287 ="Fortnightly",14,Q287="Weekly",7,Q287="Monthly",30,Q287="Quarterly",90,Q287="Bi-Weekly",14,Q287="Annually",365,Q287="Every 3 Months",90,TRUE,"NOT FOUND")</f>
        <v>14</v>
      </c>
    </row>
    <row r="288" spans="1:19" x14ac:dyDescent="0.35">
      <c r="A288">
        <v>287</v>
      </c>
      <c r="B288">
        <v>27</v>
      </c>
      <c r="C288" t="s">
        <v>7</v>
      </c>
      <c r="D288" t="s">
        <v>94</v>
      </c>
      <c r="E288" t="s">
        <v>55</v>
      </c>
      <c r="F288">
        <v>51</v>
      </c>
      <c r="G288" t="s">
        <v>133</v>
      </c>
      <c r="H288" t="s">
        <v>11</v>
      </c>
      <c r="I288" t="s">
        <v>12</v>
      </c>
      <c r="J288" t="s">
        <v>41</v>
      </c>
      <c r="K288">
        <v>2.6</v>
      </c>
      <c r="L288" t="s">
        <v>14</v>
      </c>
      <c r="M288" t="s">
        <v>62</v>
      </c>
      <c r="N288" t="s">
        <v>14</v>
      </c>
      <c r="O288">
        <v>6</v>
      </c>
      <c r="P288" t="s">
        <v>74</v>
      </c>
      <c r="Q288" t="s">
        <v>37</v>
      </c>
      <c r="R288" t="str" cm="1">
        <f t="array" ref="R288">_xlfn.IFS(B288&lt;31,"Young-Adult",B288&lt;41,"Adult",B288&lt;61,"Middle-aged",B288&gt;=61,"Senior")</f>
        <v>Young-Adult</v>
      </c>
      <c r="S288" cm="1">
        <f t="array" ref="S288">_xlfn.IFS(Q288 ="Fortnightly",14,Q288="Weekly",7,Q288="Monthly",30,Q288="Quarterly",90,Q288="Bi-Weekly",14,Q288="Annually",365,Q288="Every 3 Months",90,TRUE,"NOT FOUND")</f>
        <v>365</v>
      </c>
    </row>
    <row r="289" spans="1:19" x14ac:dyDescent="0.35">
      <c r="A289">
        <v>288</v>
      </c>
      <c r="B289">
        <v>56</v>
      </c>
      <c r="C289" t="s">
        <v>7</v>
      </c>
      <c r="D289" t="s">
        <v>107</v>
      </c>
      <c r="E289" t="s">
        <v>55</v>
      </c>
      <c r="F289">
        <v>37</v>
      </c>
      <c r="G289" t="s">
        <v>67</v>
      </c>
      <c r="H289" t="s">
        <v>11</v>
      </c>
      <c r="I289" t="s">
        <v>132</v>
      </c>
      <c r="J289" t="s">
        <v>25</v>
      </c>
      <c r="K289">
        <v>3.4</v>
      </c>
      <c r="L289" t="s">
        <v>14</v>
      </c>
      <c r="M289" t="s">
        <v>58</v>
      </c>
      <c r="N289" t="s">
        <v>14</v>
      </c>
      <c r="O289">
        <v>18</v>
      </c>
      <c r="P289" t="s">
        <v>16</v>
      </c>
      <c r="Q289" t="s">
        <v>17</v>
      </c>
      <c r="R289" t="str" cm="1">
        <f t="array" ref="R289">_xlfn.IFS(B289&lt;31,"Young-Adult",B289&lt;41,"Adult",B289&lt;61,"Middle-aged",B289&gt;=61,"Senior")</f>
        <v>Middle-aged</v>
      </c>
      <c r="S289" cm="1">
        <f t="array" ref="S289">_xlfn.IFS(Q289 ="Fortnightly",14,Q289="Weekly",7,Q289="Monthly",30,Q289="Quarterly",90,Q289="Bi-Weekly",14,Q289="Annually",365,Q289="Every 3 Months",90,TRUE,"NOT FOUND")</f>
        <v>14</v>
      </c>
    </row>
    <row r="290" spans="1:19" x14ac:dyDescent="0.35">
      <c r="A290">
        <v>289</v>
      </c>
      <c r="B290">
        <v>30</v>
      </c>
      <c r="C290" t="s">
        <v>7</v>
      </c>
      <c r="D290" t="s">
        <v>101</v>
      </c>
      <c r="E290" t="s">
        <v>9</v>
      </c>
      <c r="F290">
        <v>62</v>
      </c>
      <c r="G290" t="s">
        <v>86</v>
      </c>
      <c r="H290" t="s">
        <v>32</v>
      </c>
      <c r="I290" t="s">
        <v>81</v>
      </c>
      <c r="J290" t="s">
        <v>13</v>
      </c>
      <c r="K290">
        <v>3.7</v>
      </c>
      <c r="L290" t="s">
        <v>14</v>
      </c>
      <c r="M290" t="s">
        <v>58</v>
      </c>
      <c r="N290" t="s">
        <v>14</v>
      </c>
      <c r="O290">
        <v>34</v>
      </c>
      <c r="P290" t="s">
        <v>16</v>
      </c>
      <c r="Q290" t="s">
        <v>64</v>
      </c>
      <c r="R290" t="str" cm="1">
        <f t="array" ref="R290">_xlfn.IFS(B290&lt;31,"Young-Adult",B290&lt;41,"Adult",B290&lt;61,"Middle-aged",B290&gt;=61,"Senior")</f>
        <v>Young-Adult</v>
      </c>
      <c r="S290" cm="1">
        <f t="array" ref="S290">_xlfn.IFS(Q290 ="Fortnightly",14,Q290="Weekly",7,Q290="Monthly",30,Q290="Quarterly",90,Q290="Bi-Weekly",14,Q290="Annually",365,Q290="Every 3 Months",90,TRUE,"NOT FOUND")</f>
        <v>14</v>
      </c>
    </row>
    <row r="291" spans="1:19" x14ac:dyDescent="0.35">
      <c r="A291">
        <v>290</v>
      </c>
      <c r="B291">
        <v>49</v>
      </c>
      <c r="C291" t="s">
        <v>7</v>
      </c>
      <c r="D291" t="s">
        <v>50</v>
      </c>
      <c r="E291" t="s">
        <v>51</v>
      </c>
      <c r="F291">
        <v>85</v>
      </c>
      <c r="G291" t="s">
        <v>72</v>
      </c>
      <c r="H291" t="s">
        <v>32</v>
      </c>
      <c r="I291" t="s">
        <v>122</v>
      </c>
      <c r="J291" t="s">
        <v>45</v>
      </c>
      <c r="K291">
        <v>4.5</v>
      </c>
      <c r="L291" t="s">
        <v>14</v>
      </c>
      <c r="M291" t="s">
        <v>58</v>
      </c>
      <c r="N291" t="s">
        <v>14</v>
      </c>
      <c r="O291">
        <v>26</v>
      </c>
      <c r="P291" t="s">
        <v>27</v>
      </c>
      <c r="Q291" t="s">
        <v>76</v>
      </c>
      <c r="R291" t="str" cm="1">
        <f t="array" ref="R291">_xlfn.IFS(B291&lt;31,"Young-Adult",B291&lt;41,"Adult",B291&lt;61,"Middle-aged",B291&gt;=61,"Senior")</f>
        <v>Middle-aged</v>
      </c>
      <c r="S291" cm="1">
        <f t="array" ref="S291">_xlfn.IFS(Q291 ="Fortnightly",14,Q291="Weekly",7,Q291="Monthly",30,Q291="Quarterly",90,Q291="Bi-Weekly",14,Q291="Annually",365,Q291="Every 3 Months",90,TRUE,"NOT FOUND")</f>
        <v>30</v>
      </c>
    </row>
    <row r="292" spans="1:19" x14ac:dyDescent="0.35">
      <c r="A292">
        <v>291</v>
      </c>
      <c r="B292">
        <v>58</v>
      </c>
      <c r="C292" t="s">
        <v>7</v>
      </c>
      <c r="D292" t="s">
        <v>101</v>
      </c>
      <c r="E292" t="s">
        <v>9</v>
      </c>
      <c r="F292">
        <v>33</v>
      </c>
      <c r="G292" t="s">
        <v>100</v>
      </c>
      <c r="H292" t="s">
        <v>32</v>
      </c>
      <c r="I292" t="s">
        <v>114</v>
      </c>
      <c r="J292" t="s">
        <v>13</v>
      </c>
      <c r="K292">
        <v>3.7</v>
      </c>
      <c r="L292" t="s">
        <v>14</v>
      </c>
      <c r="M292" t="s">
        <v>42</v>
      </c>
      <c r="N292" t="s">
        <v>14</v>
      </c>
      <c r="O292">
        <v>50</v>
      </c>
      <c r="P292" t="s">
        <v>34</v>
      </c>
      <c r="Q292" t="s">
        <v>28</v>
      </c>
      <c r="R292" t="str" cm="1">
        <f t="array" ref="R292">_xlfn.IFS(B292&lt;31,"Young-Adult",B292&lt;41,"Adult",B292&lt;61,"Middle-aged",B292&gt;=61,"Senior")</f>
        <v>Middle-aged</v>
      </c>
      <c r="S292" cm="1">
        <f t="array" ref="S292">_xlfn.IFS(Q292 ="Fortnightly",14,Q292="Weekly",7,Q292="Monthly",30,Q292="Quarterly",90,Q292="Bi-Weekly",14,Q292="Annually",365,Q292="Every 3 Months",90,TRUE,"NOT FOUND")</f>
        <v>7</v>
      </c>
    </row>
    <row r="293" spans="1:19" x14ac:dyDescent="0.35">
      <c r="A293">
        <v>292</v>
      </c>
      <c r="B293">
        <v>57</v>
      </c>
      <c r="C293" t="s">
        <v>7</v>
      </c>
      <c r="D293" t="s">
        <v>69</v>
      </c>
      <c r="E293" t="s">
        <v>9</v>
      </c>
      <c r="F293">
        <v>26</v>
      </c>
      <c r="G293" t="s">
        <v>67</v>
      </c>
      <c r="H293" t="s">
        <v>80</v>
      </c>
      <c r="I293" t="s">
        <v>71</v>
      </c>
      <c r="J293" t="s">
        <v>45</v>
      </c>
      <c r="K293">
        <v>3.3</v>
      </c>
      <c r="L293" t="s">
        <v>14</v>
      </c>
      <c r="M293" t="s">
        <v>33</v>
      </c>
      <c r="N293" t="s">
        <v>14</v>
      </c>
      <c r="O293">
        <v>40</v>
      </c>
      <c r="P293" t="s">
        <v>63</v>
      </c>
      <c r="Q293" t="s">
        <v>76</v>
      </c>
      <c r="R293" t="str" cm="1">
        <f t="array" ref="R293">_xlfn.IFS(B293&lt;31,"Young-Adult",B293&lt;41,"Adult",B293&lt;61,"Middle-aged",B293&gt;=61,"Senior")</f>
        <v>Middle-aged</v>
      </c>
      <c r="S293" cm="1">
        <f t="array" ref="S293">_xlfn.IFS(Q293 ="Fortnightly",14,Q293="Weekly",7,Q293="Monthly",30,Q293="Quarterly",90,Q293="Bi-Weekly",14,Q293="Annually",365,Q293="Every 3 Months",90,TRUE,"NOT FOUND")</f>
        <v>30</v>
      </c>
    </row>
    <row r="294" spans="1:19" x14ac:dyDescent="0.35">
      <c r="A294">
        <v>293</v>
      </c>
      <c r="B294">
        <v>60</v>
      </c>
      <c r="C294" t="s">
        <v>7</v>
      </c>
      <c r="D294" t="s">
        <v>59</v>
      </c>
      <c r="E294" t="s">
        <v>30</v>
      </c>
      <c r="F294">
        <v>99</v>
      </c>
      <c r="G294" t="s">
        <v>128</v>
      </c>
      <c r="H294" t="s">
        <v>32</v>
      </c>
      <c r="I294" t="s">
        <v>84</v>
      </c>
      <c r="J294" t="s">
        <v>25</v>
      </c>
      <c r="K294">
        <v>4.7</v>
      </c>
      <c r="L294" t="s">
        <v>14</v>
      </c>
      <c r="M294" t="s">
        <v>26</v>
      </c>
      <c r="N294" t="s">
        <v>14</v>
      </c>
      <c r="O294">
        <v>24</v>
      </c>
      <c r="P294" t="s">
        <v>21</v>
      </c>
      <c r="Q294" t="s">
        <v>46</v>
      </c>
      <c r="R294" t="str" cm="1">
        <f t="array" ref="R294">_xlfn.IFS(B294&lt;31,"Young-Adult",B294&lt;41,"Adult",B294&lt;61,"Middle-aged",B294&gt;=61,"Senior")</f>
        <v>Middle-aged</v>
      </c>
      <c r="S294" cm="1">
        <f t="array" ref="S294">_xlfn.IFS(Q294 ="Fortnightly",14,Q294="Weekly",7,Q294="Monthly",30,Q294="Quarterly",90,Q294="Bi-Weekly",14,Q294="Annually",365,Q294="Every 3 Months",90,TRUE,"NOT FOUND")</f>
        <v>90</v>
      </c>
    </row>
    <row r="295" spans="1:19" x14ac:dyDescent="0.35">
      <c r="A295">
        <v>294</v>
      </c>
      <c r="B295">
        <v>69</v>
      </c>
      <c r="C295" t="s">
        <v>7</v>
      </c>
      <c r="D295" t="s">
        <v>54</v>
      </c>
      <c r="E295" t="s">
        <v>55</v>
      </c>
      <c r="F295">
        <v>39</v>
      </c>
      <c r="G295" t="s">
        <v>127</v>
      </c>
      <c r="H295" t="s">
        <v>32</v>
      </c>
      <c r="I295" t="s">
        <v>40</v>
      </c>
      <c r="J295" t="s">
        <v>25</v>
      </c>
      <c r="K295">
        <v>2.7</v>
      </c>
      <c r="L295" t="s">
        <v>14</v>
      </c>
      <c r="M295" t="s">
        <v>15</v>
      </c>
      <c r="N295" t="s">
        <v>14</v>
      </c>
      <c r="O295">
        <v>33</v>
      </c>
      <c r="P295" t="s">
        <v>34</v>
      </c>
      <c r="Q295" t="s">
        <v>37</v>
      </c>
      <c r="R295" t="str" cm="1">
        <f t="array" ref="R295">_xlfn.IFS(B295&lt;31,"Young-Adult",B295&lt;41,"Adult",B295&lt;61,"Middle-aged",B295&gt;=61,"Senior")</f>
        <v>Senior</v>
      </c>
      <c r="S295" cm="1">
        <f t="array" ref="S295">_xlfn.IFS(Q295 ="Fortnightly",14,Q295="Weekly",7,Q295="Monthly",30,Q295="Quarterly",90,Q295="Bi-Weekly",14,Q295="Annually",365,Q295="Every 3 Months",90,TRUE,"NOT FOUND")</f>
        <v>365</v>
      </c>
    </row>
    <row r="296" spans="1:19" x14ac:dyDescent="0.35">
      <c r="A296">
        <v>295</v>
      </c>
      <c r="B296">
        <v>70</v>
      </c>
      <c r="C296" t="s">
        <v>7</v>
      </c>
      <c r="D296" t="s">
        <v>75</v>
      </c>
      <c r="E296" t="s">
        <v>9</v>
      </c>
      <c r="F296">
        <v>20</v>
      </c>
      <c r="G296" t="s">
        <v>115</v>
      </c>
      <c r="H296" t="s">
        <v>32</v>
      </c>
      <c r="I296" t="s">
        <v>68</v>
      </c>
      <c r="J296" t="s">
        <v>25</v>
      </c>
      <c r="K296">
        <v>4.5999999999999996</v>
      </c>
      <c r="L296" t="s">
        <v>14</v>
      </c>
      <c r="M296" t="s">
        <v>62</v>
      </c>
      <c r="N296" t="s">
        <v>14</v>
      </c>
      <c r="O296">
        <v>19</v>
      </c>
      <c r="P296" t="s">
        <v>27</v>
      </c>
      <c r="Q296" t="s">
        <v>85</v>
      </c>
      <c r="R296" t="str" cm="1">
        <f t="array" ref="R296">_xlfn.IFS(B296&lt;31,"Young-Adult",B296&lt;41,"Adult",B296&lt;61,"Middle-aged",B296&gt;=61,"Senior")</f>
        <v>Senior</v>
      </c>
      <c r="S296" cm="1">
        <f t="array" ref="S296">_xlfn.IFS(Q296 ="Fortnightly",14,Q296="Weekly",7,Q296="Monthly",30,Q296="Quarterly",90,Q296="Bi-Weekly",14,Q296="Annually",365,Q296="Every 3 Months",90,TRUE,"NOT FOUND")</f>
        <v>90</v>
      </c>
    </row>
    <row r="297" spans="1:19" x14ac:dyDescent="0.35">
      <c r="A297">
        <v>296</v>
      </c>
      <c r="B297">
        <v>53</v>
      </c>
      <c r="C297" t="s">
        <v>7</v>
      </c>
      <c r="D297" t="s">
        <v>77</v>
      </c>
      <c r="E297" t="s">
        <v>55</v>
      </c>
      <c r="F297">
        <v>42</v>
      </c>
      <c r="G297" t="s">
        <v>52</v>
      </c>
      <c r="H297" t="s">
        <v>32</v>
      </c>
      <c r="I297" t="s">
        <v>114</v>
      </c>
      <c r="J297" t="s">
        <v>13</v>
      </c>
      <c r="K297">
        <v>2.7</v>
      </c>
      <c r="L297" t="s">
        <v>14</v>
      </c>
      <c r="M297" t="s">
        <v>62</v>
      </c>
      <c r="N297" t="s">
        <v>14</v>
      </c>
      <c r="O297">
        <v>24</v>
      </c>
      <c r="P297" t="s">
        <v>27</v>
      </c>
      <c r="Q297" t="s">
        <v>46</v>
      </c>
      <c r="R297" t="str" cm="1">
        <f t="array" ref="R297">_xlfn.IFS(B297&lt;31,"Young-Adult",B297&lt;41,"Adult",B297&lt;61,"Middle-aged",B297&gt;=61,"Senior")</f>
        <v>Middle-aged</v>
      </c>
      <c r="S297" cm="1">
        <f t="array" ref="S297">_xlfn.IFS(Q297 ="Fortnightly",14,Q297="Weekly",7,Q297="Monthly",30,Q297="Quarterly",90,Q297="Bi-Weekly",14,Q297="Annually",365,Q297="Every 3 Months",90,TRUE,"NOT FOUND")</f>
        <v>90</v>
      </c>
    </row>
    <row r="298" spans="1:19" x14ac:dyDescent="0.35">
      <c r="A298">
        <v>297</v>
      </c>
      <c r="B298">
        <v>25</v>
      </c>
      <c r="C298" t="s">
        <v>7</v>
      </c>
      <c r="D298" t="s">
        <v>29</v>
      </c>
      <c r="E298" t="s">
        <v>30</v>
      </c>
      <c r="F298">
        <v>74</v>
      </c>
      <c r="G298" t="s">
        <v>104</v>
      </c>
      <c r="H298" t="s">
        <v>24</v>
      </c>
      <c r="I298" t="s">
        <v>81</v>
      </c>
      <c r="J298" t="s">
        <v>25</v>
      </c>
      <c r="K298">
        <v>4.8</v>
      </c>
      <c r="L298" t="s">
        <v>14</v>
      </c>
      <c r="M298" t="s">
        <v>58</v>
      </c>
      <c r="N298" t="s">
        <v>14</v>
      </c>
      <c r="O298">
        <v>19</v>
      </c>
      <c r="P298" t="s">
        <v>27</v>
      </c>
      <c r="Q298" t="s">
        <v>28</v>
      </c>
      <c r="R298" t="str" cm="1">
        <f t="array" ref="R298">_xlfn.IFS(B298&lt;31,"Young-Adult",B298&lt;41,"Adult",B298&lt;61,"Middle-aged",B298&gt;=61,"Senior")</f>
        <v>Young-Adult</v>
      </c>
      <c r="S298" cm="1">
        <f t="array" ref="S298">_xlfn.IFS(Q298 ="Fortnightly",14,Q298="Weekly",7,Q298="Monthly",30,Q298="Quarterly",90,Q298="Bi-Weekly",14,Q298="Annually",365,Q298="Every 3 Months",90,TRUE,"NOT FOUND")</f>
        <v>7</v>
      </c>
    </row>
    <row r="299" spans="1:19" x14ac:dyDescent="0.35">
      <c r="A299">
        <v>298</v>
      </c>
      <c r="B299">
        <v>48</v>
      </c>
      <c r="C299" t="s">
        <v>7</v>
      </c>
      <c r="D299" t="s">
        <v>59</v>
      </c>
      <c r="E299" t="s">
        <v>30</v>
      </c>
      <c r="F299">
        <v>26</v>
      </c>
      <c r="G299" t="s">
        <v>67</v>
      </c>
      <c r="H299" t="s">
        <v>80</v>
      </c>
      <c r="I299" t="s">
        <v>61</v>
      </c>
      <c r="J299" t="s">
        <v>41</v>
      </c>
      <c r="K299">
        <v>4.4000000000000004</v>
      </c>
      <c r="L299" t="s">
        <v>14</v>
      </c>
      <c r="M299" t="s">
        <v>42</v>
      </c>
      <c r="N299" t="s">
        <v>14</v>
      </c>
      <c r="O299">
        <v>4</v>
      </c>
      <c r="P299" t="s">
        <v>27</v>
      </c>
      <c r="Q299" t="s">
        <v>64</v>
      </c>
      <c r="R299" t="str" cm="1">
        <f t="array" ref="R299">_xlfn.IFS(B299&lt;31,"Young-Adult",B299&lt;41,"Adult",B299&lt;61,"Middle-aged",B299&gt;=61,"Senior")</f>
        <v>Middle-aged</v>
      </c>
      <c r="S299" cm="1">
        <f t="array" ref="S299">_xlfn.IFS(Q299 ="Fortnightly",14,Q299="Weekly",7,Q299="Monthly",30,Q299="Quarterly",90,Q299="Bi-Weekly",14,Q299="Annually",365,Q299="Every 3 Months",90,TRUE,"NOT FOUND")</f>
        <v>14</v>
      </c>
    </row>
    <row r="300" spans="1:19" x14ac:dyDescent="0.35">
      <c r="A300">
        <v>299</v>
      </c>
      <c r="B300">
        <v>69</v>
      </c>
      <c r="C300" t="s">
        <v>7</v>
      </c>
      <c r="D300" t="s">
        <v>101</v>
      </c>
      <c r="E300" t="s">
        <v>9</v>
      </c>
      <c r="F300">
        <v>53</v>
      </c>
      <c r="G300" t="s">
        <v>116</v>
      </c>
      <c r="H300" t="s">
        <v>32</v>
      </c>
      <c r="I300" t="s">
        <v>81</v>
      </c>
      <c r="J300" t="s">
        <v>13</v>
      </c>
      <c r="K300">
        <v>4</v>
      </c>
      <c r="L300" t="s">
        <v>14</v>
      </c>
      <c r="M300" t="s">
        <v>42</v>
      </c>
      <c r="N300" t="s">
        <v>14</v>
      </c>
      <c r="O300">
        <v>11</v>
      </c>
      <c r="P300" t="s">
        <v>16</v>
      </c>
      <c r="Q300" t="s">
        <v>85</v>
      </c>
      <c r="R300" t="str" cm="1">
        <f t="array" ref="R300">_xlfn.IFS(B300&lt;31,"Young-Adult",B300&lt;41,"Adult",B300&lt;61,"Middle-aged",B300&gt;=61,"Senior")</f>
        <v>Senior</v>
      </c>
      <c r="S300" cm="1">
        <f t="array" ref="S300">_xlfn.IFS(Q300 ="Fortnightly",14,Q300="Weekly",7,Q300="Monthly",30,Q300="Quarterly",90,Q300="Bi-Weekly",14,Q300="Annually",365,Q300="Every 3 Months",90,TRUE,"NOT FOUND")</f>
        <v>90</v>
      </c>
    </row>
    <row r="301" spans="1:19" x14ac:dyDescent="0.35">
      <c r="A301">
        <v>300</v>
      </c>
      <c r="B301">
        <v>25</v>
      </c>
      <c r="C301" t="s">
        <v>7</v>
      </c>
      <c r="D301" t="s">
        <v>38</v>
      </c>
      <c r="E301" t="s">
        <v>30</v>
      </c>
      <c r="F301">
        <v>80</v>
      </c>
      <c r="G301" t="s">
        <v>126</v>
      </c>
      <c r="H301" t="s">
        <v>32</v>
      </c>
      <c r="I301" t="s">
        <v>20</v>
      </c>
      <c r="J301" t="s">
        <v>41</v>
      </c>
      <c r="K301">
        <v>3.2</v>
      </c>
      <c r="L301" t="s">
        <v>14</v>
      </c>
      <c r="M301" t="s">
        <v>33</v>
      </c>
      <c r="N301" t="s">
        <v>14</v>
      </c>
      <c r="O301">
        <v>28</v>
      </c>
      <c r="P301" t="s">
        <v>34</v>
      </c>
      <c r="Q301" t="s">
        <v>17</v>
      </c>
      <c r="R301" t="str" cm="1">
        <f t="array" ref="R301">_xlfn.IFS(B301&lt;31,"Young-Adult",B301&lt;41,"Adult",B301&lt;61,"Middle-aged",B301&gt;=61,"Senior")</f>
        <v>Young-Adult</v>
      </c>
      <c r="S301" cm="1">
        <f t="array" ref="S301">_xlfn.IFS(Q301 ="Fortnightly",14,Q301="Weekly",7,Q301="Monthly",30,Q301="Quarterly",90,Q301="Bi-Weekly",14,Q301="Annually",365,Q301="Every 3 Months",90,TRUE,"NOT FOUND")</f>
        <v>14</v>
      </c>
    </row>
    <row r="302" spans="1:19" x14ac:dyDescent="0.35">
      <c r="A302">
        <v>301</v>
      </c>
      <c r="B302">
        <v>29</v>
      </c>
      <c r="C302" t="s">
        <v>7</v>
      </c>
      <c r="D302" t="s">
        <v>112</v>
      </c>
      <c r="E302" t="s">
        <v>55</v>
      </c>
      <c r="F302">
        <v>98</v>
      </c>
      <c r="G302" t="s">
        <v>134</v>
      </c>
      <c r="H302" t="s">
        <v>32</v>
      </c>
      <c r="I302" t="s">
        <v>73</v>
      </c>
      <c r="J302" t="s">
        <v>25</v>
      </c>
      <c r="K302">
        <v>4.4000000000000004</v>
      </c>
      <c r="L302" t="s">
        <v>14</v>
      </c>
      <c r="M302" t="s">
        <v>62</v>
      </c>
      <c r="N302" t="s">
        <v>14</v>
      </c>
      <c r="O302">
        <v>24</v>
      </c>
      <c r="P302" t="s">
        <v>34</v>
      </c>
      <c r="Q302" t="s">
        <v>28</v>
      </c>
      <c r="R302" t="str" cm="1">
        <f t="array" ref="R302">_xlfn.IFS(B302&lt;31,"Young-Adult",B302&lt;41,"Adult",B302&lt;61,"Middle-aged",B302&gt;=61,"Senior")</f>
        <v>Young-Adult</v>
      </c>
      <c r="S302" cm="1">
        <f t="array" ref="S302">_xlfn.IFS(Q302 ="Fortnightly",14,Q302="Weekly",7,Q302="Monthly",30,Q302="Quarterly",90,Q302="Bi-Weekly",14,Q302="Annually",365,Q302="Every 3 Months",90,TRUE,"NOT FOUND")</f>
        <v>7</v>
      </c>
    </row>
    <row r="303" spans="1:19" x14ac:dyDescent="0.35">
      <c r="A303">
        <v>302</v>
      </c>
      <c r="B303">
        <v>46</v>
      </c>
      <c r="C303" t="s">
        <v>7</v>
      </c>
      <c r="D303" t="s">
        <v>75</v>
      </c>
      <c r="E303" t="s">
        <v>9</v>
      </c>
      <c r="F303">
        <v>95</v>
      </c>
      <c r="G303" t="s">
        <v>126</v>
      </c>
      <c r="H303" t="s">
        <v>32</v>
      </c>
      <c r="I303" t="s">
        <v>84</v>
      </c>
      <c r="J303" t="s">
        <v>25</v>
      </c>
      <c r="K303">
        <v>3.8</v>
      </c>
      <c r="L303" t="s">
        <v>14</v>
      </c>
      <c r="M303" t="s">
        <v>42</v>
      </c>
      <c r="N303" t="s">
        <v>14</v>
      </c>
      <c r="O303">
        <v>25</v>
      </c>
      <c r="P303" t="s">
        <v>27</v>
      </c>
      <c r="Q303" t="s">
        <v>85</v>
      </c>
      <c r="R303" t="str" cm="1">
        <f t="array" ref="R303">_xlfn.IFS(B303&lt;31,"Young-Adult",B303&lt;41,"Adult",B303&lt;61,"Middle-aged",B303&gt;=61,"Senior")</f>
        <v>Middle-aged</v>
      </c>
      <c r="S303" cm="1">
        <f t="array" ref="S303">_xlfn.IFS(Q303 ="Fortnightly",14,Q303="Weekly",7,Q303="Monthly",30,Q303="Quarterly",90,Q303="Bi-Weekly",14,Q303="Annually",365,Q303="Every 3 Months",90,TRUE,"NOT FOUND")</f>
        <v>90</v>
      </c>
    </row>
    <row r="304" spans="1:19" x14ac:dyDescent="0.35">
      <c r="A304">
        <v>303</v>
      </c>
      <c r="B304">
        <v>37</v>
      </c>
      <c r="C304" t="s">
        <v>7</v>
      </c>
      <c r="D304" t="s">
        <v>18</v>
      </c>
      <c r="E304" t="s">
        <v>9</v>
      </c>
      <c r="F304">
        <v>44</v>
      </c>
      <c r="G304" t="s">
        <v>67</v>
      </c>
      <c r="H304" t="s">
        <v>11</v>
      </c>
      <c r="I304" t="s">
        <v>66</v>
      </c>
      <c r="J304" t="s">
        <v>41</v>
      </c>
      <c r="K304">
        <v>3.6</v>
      </c>
      <c r="L304" t="s">
        <v>14</v>
      </c>
      <c r="M304" t="s">
        <v>15</v>
      </c>
      <c r="N304" t="s">
        <v>14</v>
      </c>
      <c r="O304">
        <v>27</v>
      </c>
      <c r="P304" t="s">
        <v>63</v>
      </c>
      <c r="Q304" t="s">
        <v>85</v>
      </c>
      <c r="R304" t="str" cm="1">
        <f t="array" ref="R304">_xlfn.IFS(B304&lt;31,"Young-Adult",B304&lt;41,"Adult",B304&lt;61,"Middle-aged",B304&gt;=61,"Senior")</f>
        <v>Adult</v>
      </c>
      <c r="S304" cm="1">
        <f t="array" ref="S304">_xlfn.IFS(Q304 ="Fortnightly",14,Q304="Weekly",7,Q304="Monthly",30,Q304="Quarterly",90,Q304="Bi-Weekly",14,Q304="Annually",365,Q304="Every 3 Months",90,TRUE,"NOT FOUND")</f>
        <v>90</v>
      </c>
    </row>
    <row r="305" spans="1:19" x14ac:dyDescent="0.35">
      <c r="A305">
        <v>304</v>
      </c>
      <c r="B305">
        <v>20</v>
      </c>
      <c r="C305" t="s">
        <v>7</v>
      </c>
      <c r="D305" t="s">
        <v>29</v>
      </c>
      <c r="E305" t="s">
        <v>30</v>
      </c>
      <c r="F305">
        <v>60</v>
      </c>
      <c r="G305" t="s">
        <v>35</v>
      </c>
      <c r="H305" t="s">
        <v>32</v>
      </c>
      <c r="I305" t="s">
        <v>36</v>
      </c>
      <c r="J305" t="s">
        <v>41</v>
      </c>
      <c r="K305">
        <v>3.3</v>
      </c>
      <c r="L305" t="s">
        <v>14</v>
      </c>
      <c r="M305" t="s">
        <v>33</v>
      </c>
      <c r="N305" t="s">
        <v>14</v>
      </c>
      <c r="O305">
        <v>49</v>
      </c>
      <c r="P305" t="s">
        <v>16</v>
      </c>
      <c r="Q305" t="s">
        <v>28</v>
      </c>
      <c r="R305" t="str" cm="1">
        <f t="array" ref="R305">_xlfn.IFS(B305&lt;31,"Young-Adult",B305&lt;41,"Adult",B305&lt;61,"Middle-aged",B305&gt;=61,"Senior")</f>
        <v>Young-Adult</v>
      </c>
      <c r="S305" cm="1">
        <f t="array" ref="S305">_xlfn.IFS(Q305 ="Fortnightly",14,Q305="Weekly",7,Q305="Monthly",30,Q305="Quarterly",90,Q305="Bi-Weekly",14,Q305="Annually",365,Q305="Every 3 Months",90,TRUE,"NOT FOUND")</f>
        <v>7</v>
      </c>
    </row>
    <row r="306" spans="1:19" x14ac:dyDescent="0.35">
      <c r="A306">
        <v>305</v>
      </c>
      <c r="B306">
        <v>40</v>
      </c>
      <c r="C306" t="s">
        <v>7</v>
      </c>
      <c r="D306" t="s">
        <v>69</v>
      </c>
      <c r="E306" t="s">
        <v>9</v>
      </c>
      <c r="F306">
        <v>84</v>
      </c>
      <c r="G306" t="s">
        <v>35</v>
      </c>
      <c r="H306" t="s">
        <v>32</v>
      </c>
      <c r="I306" t="s">
        <v>84</v>
      </c>
      <c r="J306" t="s">
        <v>13</v>
      </c>
      <c r="K306">
        <v>3.4</v>
      </c>
      <c r="L306" t="s">
        <v>14</v>
      </c>
      <c r="M306" t="s">
        <v>33</v>
      </c>
      <c r="N306" t="s">
        <v>14</v>
      </c>
      <c r="O306">
        <v>45</v>
      </c>
      <c r="P306" t="s">
        <v>27</v>
      </c>
      <c r="Q306" t="s">
        <v>64</v>
      </c>
      <c r="R306" t="str" cm="1">
        <f t="array" ref="R306">_xlfn.IFS(B306&lt;31,"Young-Adult",B306&lt;41,"Adult",B306&lt;61,"Middle-aged",B306&gt;=61,"Senior")</f>
        <v>Adult</v>
      </c>
      <c r="S306" cm="1">
        <f t="array" ref="S306">_xlfn.IFS(Q306 ="Fortnightly",14,Q306="Weekly",7,Q306="Monthly",30,Q306="Quarterly",90,Q306="Bi-Weekly",14,Q306="Annually",365,Q306="Every 3 Months",90,TRUE,"NOT FOUND")</f>
        <v>14</v>
      </c>
    </row>
    <row r="307" spans="1:19" x14ac:dyDescent="0.35">
      <c r="A307">
        <v>306</v>
      </c>
      <c r="B307">
        <v>60</v>
      </c>
      <c r="C307" t="s">
        <v>7</v>
      </c>
      <c r="D307" t="s">
        <v>18</v>
      </c>
      <c r="E307" t="s">
        <v>9</v>
      </c>
      <c r="F307">
        <v>59</v>
      </c>
      <c r="G307" t="s">
        <v>128</v>
      </c>
      <c r="H307" t="s">
        <v>32</v>
      </c>
      <c r="I307" t="s">
        <v>73</v>
      </c>
      <c r="J307" t="s">
        <v>45</v>
      </c>
      <c r="K307">
        <v>3.5</v>
      </c>
      <c r="L307" t="s">
        <v>14</v>
      </c>
      <c r="M307" t="s">
        <v>58</v>
      </c>
      <c r="N307" t="s">
        <v>14</v>
      </c>
      <c r="O307">
        <v>26</v>
      </c>
      <c r="P307" t="s">
        <v>34</v>
      </c>
      <c r="Q307" t="s">
        <v>37</v>
      </c>
      <c r="R307" t="str" cm="1">
        <f t="array" ref="R307">_xlfn.IFS(B307&lt;31,"Young-Adult",B307&lt;41,"Adult",B307&lt;61,"Middle-aged",B307&gt;=61,"Senior")</f>
        <v>Middle-aged</v>
      </c>
      <c r="S307" cm="1">
        <f t="array" ref="S307">_xlfn.IFS(Q307 ="Fortnightly",14,Q307="Weekly",7,Q307="Monthly",30,Q307="Quarterly",90,Q307="Bi-Weekly",14,Q307="Annually",365,Q307="Every 3 Months",90,TRUE,"NOT FOUND")</f>
        <v>365</v>
      </c>
    </row>
    <row r="308" spans="1:19" x14ac:dyDescent="0.35">
      <c r="A308">
        <v>307</v>
      </c>
      <c r="B308">
        <v>26</v>
      </c>
      <c r="C308" t="s">
        <v>7</v>
      </c>
      <c r="D308" t="s">
        <v>90</v>
      </c>
      <c r="E308" t="s">
        <v>51</v>
      </c>
      <c r="F308">
        <v>49</v>
      </c>
      <c r="G308" t="s">
        <v>102</v>
      </c>
      <c r="H308" t="s">
        <v>24</v>
      </c>
      <c r="I308" t="s">
        <v>40</v>
      </c>
      <c r="J308" t="s">
        <v>41</v>
      </c>
      <c r="K308">
        <v>3.6</v>
      </c>
      <c r="L308" t="s">
        <v>14</v>
      </c>
      <c r="M308" t="s">
        <v>15</v>
      </c>
      <c r="N308" t="s">
        <v>14</v>
      </c>
      <c r="O308">
        <v>4</v>
      </c>
      <c r="P308" t="s">
        <v>21</v>
      </c>
      <c r="Q308" t="s">
        <v>37</v>
      </c>
      <c r="R308" t="str" cm="1">
        <f t="array" ref="R308">_xlfn.IFS(B308&lt;31,"Young-Adult",B308&lt;41,"Adult",B308&lt;61,"Middle-aged",B308&gt;=61,"Senior")</f>
        <v>Young-Adult</v>
      </c>
      <c r="S308" cm="1">
        <f t="array" ref="S308">_xlfn.IFS(Q308 ="Fortnightly",14,Q308="Weekly",7,Q308="Monthly",30,Q308="Quarterly",90,Q308="Bi-Weekly",14,Q308="Annually",365,Q308="Every 3 Months",90,TRUE,"NOT FOUND")</f>
        <v>365</v>
      </c>
    </row>
    <row r="309" spans="1:19" x14ac:dyDescent="0.35">
      <c r="A309">
        <v>308</v>
      </c>
      <c r="B309">
        <v>29</v>
      </c>
      <c r="C309" t="s">
        <v>7</v>
      </c>
      <c r="D309" t="s">
        <v>131</v>
      </c>
      <c r="E309" t="s">
        <v>55</v>
      </c>
      <c r="F309">
        <v>32</v>
      </c>
      <c r="G309" t="s">
        <v>91</v>
      </c>
      <c r="H309" t="s">
        <v>32</v>
      </c>
      <c r="I309" t="s">
        <v>109</v>
      </c>
      <c r="J309" t="s">
        <v>13</v>
      </c>
      <c r="K309">
        <v>3.2</v>
      </c>
      <c r="L309" t="s">
        <v>14</v>
      </c>
      <c r="M309" t="s">
        <v>26</v>
      </c>
      <c r="N309" t="s">
        <v>14</v>
      </c>
      <c r="O309">
        <v>3</v>
      </c>
      <c r="P309" t="s">
        <v>27</v>
      </c>
      <c r="Q309" t="s">
        <v>85</v>
      </c>
      <c r="R309" t="str" cm="1">
        <f t="array" ref="R309">_xlfn.IFS(B309&lt;31,"Young-Adult",B309&lt;41,"Adult",B309&lt;61,"Middle-aged",B309&gt;=61,"Senior")</f>
        <v>Young-Adult</v>
      </c>
      <c r="S309" cm="1">
        <f t="array" ref="S309">_xlfn.IFS(Q309 ="Fortnightly",14,Q309="Weekly",7,Q309="Monthly",30,Q309="Quarterly",90,Q309="Bi-Weekly",14,Q309="Annually",365,Q309="Every 3 Months",90,TRUE,"NOT FOUND")</f>
        <v>90</v>
      </c>
    </row>
    <row r="310" spans="1:19" x14ac:dyDescent="0.35">
      <c r="A310">
        <v>309</v>
      </c>
      <c r="B310">
        <v>66</v>
      </c>
      <c r="C310" t="s">
        <v>7</v>
      </c>
      <c r="D310" t="s">
        <v>54</v>
      </c>
      <c r="E310" t="s">
        <v>55</v>
      </c>
      <c r="F310">
        <v>29</v>
      </c>
      <c r="G310" t="s">
        <v>116</v>
      </c>
      <c r="H310" t="s">
        <v>32</v>
      </c>
      <c r="I310" t="s">
        <v>106</v>
      </c>
      <c r="J310" t="s">
        <v>45</v>
      </c>
      <c r="K310">
        <v>3.7</v>
      </c>
      <c r="L310" t="s">
        <v>14</v>
      </c>
      <c r="M310" t="s">
        <v>42</v>
      </c>
      <c r="N310" t="s">
        <v>14</v>
      </c>
      <c r="O310">
        <v>45</v>
      </c>
      <c r="P310" t="s">
        <v>16</v>
      </c>
      <c r="Q310" t="s">
        <v>64</v>
      </c>
      <c r="R310" t="str" cm="1">
        <f t="array" ref="R310">_xlfn.IFS(B310&lt;31,"Young-Adult",B310&lt;41,"Adult",B310&lt;61,"Middle-aged",B310&gt;=61,"Senior")</f>
        <v>Senior</v>
      </c>
      <c r="S310" cm="1">
        <f t="array" ref="S310">_xlfn.IFS(Q310 ="Fortnightly",14,Q310="Weekly",7,Q310="Monthly",30,Q310="Quarterly",90,Q310="Bi-Weekly",14,Q310="Annually",365,Q310="Every 3 Months",90,TRUE,"NOT FOUND")</f>
        <v>14</v>
      </c>
    </row>
    <row r="311" spans="1:19" x14ac:dyDescent="0.35">
      <c r="A311">
        <v>310</v>
      </c>
      <c r="B311">
        <v>66</v>
      </c>
      <c r="C311" t="s">
        <v>7</v>
      </c>
      <c r="D311" t="s">
        <v>69</v>
      </c>
      <c r="E311" t="s">
        <v>9</v>
      </c>
      <c r="F311">
        <v>22</v>
      </c>
      <c r="G311" t="s">
        <v>136</v>
      </c>
      <c r="H311" t="s">
        <v>32</v>
      </c>
      <c r="I311" t="s">
        <v>122</v>
      </c>
      <c r="J311" t="s">
        <v>25</v>
      </c>
      <c r="K311">
        <v>4.5</v>
      </c>
      <c r="L311" t="s">
        <v>14</v>
      </c>
      <c r="M311" t="s">
        <v>42</v>
      </c>
      <c r="N311" t="s">
        <v>14</v>
      </c>
      <c r="O311">
        <v>21</v>
      </c>
      <c r="P311" t="s">
        <v>21</v>
      </c>
      <c r="Q311" t="s">
        <v>17</v>
      </c>
      <c r="R311" t="str" cm="1">
        <f t="array" ref="R311">_xlfn.IFS(B311&lt;31,"Young-Adult",B311&lt;41,"Adult",B311&lt;61,"Middle-aged",B311&gt;=61,"Senior")</f>
        <v>Senior</v>
      </c>
      <c r="S311" cm="1">
        <f t="array" ref="S311">_xlfn.IFS(Q311 ="Fortnightly",14,Q311="Weekly",7,Q311="Monthly",30,Q311="Quarterly",90,Q311="Bi-Weekly",14,Q311="Annually",365,Q311="Every 3 Months",90,TRUE,"NOT FOUND")</f>
        <v>14</v>
      </c>
    </row>
    <row r="312" spans="1:19" x14ac:dyDescent="0.35">
      <c r="A312">
        <v>311</v>
      </c>
      <c r="B312">
        <v>56</v>
      </c>
      <c r="C312" t="s">
        <v>7</v>
      </c>
      <c r="D312" t="s">
        <v>83</v>
      </c>
      <c r="E312" t="s">
        <v>9</v>
      </c>
      <c r="F312">
        <v>85</v>
      </c>
      <c r="G312" t="s">
        <v>44</v>
      </c>
      <c r="H312" t="s">
        <v>32</v>
      </c>
      <c r="I312" t="s">
        <v>49</v>
      </c>
      <c r="J312" t="s">
        <v>13</v>
      </c>
      <c r="K312">
        <v>4.5999999999999996</v>
      </c>
      <c r="L312" t="s">
        <v>14</v>
      </c>
      <c r="M312" t="s">
        <v>42</v>
      </c>
      <c r="N312" t="s">
        <v>14</v>
      </c>
      <c r="O312">
        <v>50</v>
      </c>
      <c r="P312" t="s">
        <v>21</v>
      </c>
      <c r="Q312" t="s">
        <v>17</v>
      </c>
      <c r="R312" t="str" cm="1">
        <f t="array" ref="R312">_xlfn.IFS(B312&lt;31,"Young-Adult",B312&lt;41,"Adult",B312&lt;61,"Middle-aged",B312&gt;=61,"Senior")</f>
        <v>Middle-aged</v>
      </c>
      <c r="S312" cm="1">
        <f t="array" ref="S312">_xlfn.IFS(Q312 ="Fortnightly",14,Q312="Weekly",7,Q312="Monthly",30,Q312="Quarterly",90,Q312="Bi-Weekly",14,Q312="Annually",365,Q312="Every 3 Months",90,TRUE,"NOT FOUND")</f>
        <v>14</v>
      </c>
    </row>
    <row r="313" spans="1:19" x14ac:dyDescent="0.35">
      <c r="A313">
        <v>312</v>
      </c>
      <c r="B313">
        <v>69</v>
      </c>
      <c r="C313" t="s">
        <v>7</v>
      </c>
      <c r="D313" t="s">
        <v>22</v>
      </c>
      <c r="E313" t="s">
        <v>9</v>
      </c>
      <c r="F313">
        <v>52</v>
      </c>
      <c r="G313" t="s">
        <v>31</v>
      </c>
      <c r="H313" t="s">
        <v>11</v>
      </c>
      <c r="I313" t="s">
        <v>53</v>
      </c>
      <c r="J313" t="s">
        <v>13</v>
      </c>
      <c r="K313">
        <v>4.0999999999999996</v>
      </c>
      <c r="L313" t="s">
        <v>14</v>
      </c>
      <c r="M313" t="s">
        <v>62</v>
      </c>
      <c r="N313" t="s">
        <v>14</v>
      </c>
      <c r="O313">
        <v>19</v>
      </c>
      <c r="P313" t="s">
        <v>63</v>
      </c>
      <c r="Q313" t="s">
        <v>76</v>
      </c>
      <c r="R313" t="str" cm="1">
        <f t="array" ref="R313">_xlfn.IFS(B313&lt;31,"Young-Adult",B313&lt;41,"Adult",B313&lt;61,"Middle-aged",B313&gt;=61,"Senior")</f>
        <v>Senior</v>
      </c>
      <c r="S313" cm="1">
        <f t="array" ref="S313">_xlfn.IFS(Q313 ="Fortnightly",14,Q313="Weekly",7,Q313="Monthly",30,Q313="Quarterly",90,Q313="Bi-Weekly",14,Q313="Annually",365,Q313="Every 3 Months",90,TRUE,"NOT FOUND")</f>
        <v>30</v>
      </c>
    </row>
    <row r="314" spans="1:19" x14ac:dyDescent="0.35">
      <c r="A314">
        <v>313</v>
      </c>
      <c r="B314">
        <v>38</v>
      </c>
      <c r="C314" t="s">
        <v>7</v>
      </c>
      <c r="D314" t="s">
        <v>83</v>
      </c>
      <c r="E314" t="s">
        <v>9</v>
      </c>
      <c r="F314">
        <v>89</v>
      </c>
      <c r="G314" t="s">
        <v>23</v>
      </c>
      <c r="H314" t="s">
        <v>11</v>
      </c>
      <c r="I314" t="s">
        <v>84</v>
      </c>
      <c r="J314" t="s">
        <v>25</v>
      </c>
      <c r="K314">
        <v>3.4</v>
      </c>
      <c r="L314" t="s">
        <v>14</v>
      </c>
      <c r="M314" t="s">
        <v>33</v>
      </c>
      <c r="N314" t="s">
        <v>14</v>
      </c>
      <c r="O314">
        <v>6</v>
      </c>
      <c r="P314" t="s">
        <v>34</v>
      </c>
      <c r="Q314" t="s">
        <v>37</v>
      </c>
      <c r="R314" t="str" cm="1">
        <f t="array" ref="R314">_xlfn.IFS(B314&lt;31,"Young-Adult",B314&lt;41,"Adult",B314&lt;61,"Middle-aged",B314&gt;=61,"Senior")</f>
        <v>Adult</v>
      </c>
      <c r="S314" cm="1">
        <f t="array" ref="S314">_xlfn.IFS(Q314 ="Fortnightly",14,Q314="Weekly",7,Q314="Monthly",30,Q314="Quarterly",90,Q314="Bi-Weekly",14,Q314="Annually",365,Q314="Every 3 Months",90,TRUE,"NOT FOUND")</f>
        <v>365</v>
      </c>
    </row>
    <row r="315" spans="1:19" x14ac:dyDescent="0.35">
      <c r="A315">
        <v>314</v>
      </c>
      <c r="B315">
        <v>42</v>
      </c>
      <c r="C315" t="s">
        <v>7</v>
      </c>
      <c r="D315" t="s">
        <v>69</v>
      </c>
      <c r="E315" t="s">
        <v>9</v>
      </c>
      <c r="F315">
        <v>77</v>
      </c>
      <c r="G315" t="s">
        <v>117</v>
      </c>
      <c r="H315" t="s">
        <v>32</v>
      </c>
      <c r="I315" t="s">
        <v>57</v>
      </c>
      <c r="J315" t="s">
        <v>25</v>
      </c>
      <c r="K315">
        <v>3.7</v>
      </c>
      <c r="L315" t="s">
        <v>14</v>
      </c>
      <c r="M315" t="s">
        <v>15</v>
      </c>
      <c r="N315" t="s">
        <v>14</v>
      </c>
      <c r="O315">
        <v>50</v>
      </c>
      <c r="P315" t="s">
        <v>27</v>
      </c>
      <c r="Q315" t="s">
        <v>85</v>
      </c>
      <c r="R315" t="str" cm="1">
        <f t="array" ref="R315">_xlfn.IFS(B315&lt;31,"Young-Adult",B315&lt;41,"Adult",B315&lt;61,"Middle-aged",B315&gt;=61,"Senior")</f>
        <v>Middle-aged</v>
      </c>
      <c r="S315" cm="1">
        <f t="array" ref="S315">_xlfn.IFS(Q315 ="Fortnightly",14,Q315="Weekly",7,Q315="Monthly",30,Q315="Quarterly",90,Q315="Bi-Weekly",14,Q315="Annually",365,Q315="Every 3 Months",90,TRUE,"NOT FOUND")</f>
        <v>90</v>
      </c>
    </row>
    <row r="316" spans="1:19" x14ac:dyDescent="0.35">
      <c r="A316">
        <v>315</v>
      </c>
      <c r="B316">
        <v>30</v>
      </c>
      <c r="C316" t="s">
        <v>7</v>
      </c>
      <c r="D316" t="s">
        <v>83</v>
      </c>
      <c r="E316" t="s">
        <v>9</v>
      </c>
      <c r="F316">
        <v>24</v>
      </c>
      <c r="G316" t="s">
        <v>115</v>
      </c>
      <c r="H316" t="s">
        <v>32</v>
      </c>
      <c r="I316" t="s">
        <v>61</v>
      </c>
      <c r="J316" t="s">
        <v>41</v>
      </c>
      <c r="K316">
        <v>3.3</v>
      </c>
      <c r="L316" t="s">
        <v>14</v>
      </c>
      <c r="M316" t="s">
        <v>62</v>
      </c>
      <c r="N316" t="s">
        <v>14</v>
      </c>
      <c r="O316">
        <v>17</v>
      </c>
      <c r="P316" t="s">
        <v>74</v>
      </c>
      <c r="Q316" t="s">
        <v>85</v>
      </c>
      <c r="R316" t="str" cm="1">
        <f t="array" ref="R316">_xlfn.IFS(B316&lt;31,"Young-Adult",B316&lt;41,"Adult",B316&lt;61,"Middle-aged",B316&gt;=61,"Senior")</f>
        <v>Young-Adult</v>
      </c>
      <c r="S316" cm="1">
        <f t="array" ref="S316">_xlfn.IFS(Q316 ="Fortnightly",14,Q316="Weekly",7,Q316="Monthly",30,Q316="Quarterly",90,Q316="Bi-Weekly",14,Q316="Annually",365,Q316="Every 3 Months",90,TRUE,"NOT FOUND")</f>
        <v>90</v>
      </c>
    </row>
    <row r="317" spans="1:19" x14ac:dyDescent="0.35">
      <c r="A317">
        <v>316</v>
      </c>
      <c r="B317">
        <v>66</v>
      </c>
      <c r="C317" t="s">
        <v>7</v>
      </c>
      <c r="D317" t="s">
        <v>94</v>
      </c>
      <c r="E317" t="s">
        <v>55</v>
      </c>
      <c r="F317">
        <v>24</v>
      </c>
      <c r="G317" t="s">
        <v>138</v>
      </c>
      <c r="H317" t="s">
        <v>80</v>
      </c>
      <c r="I317" t="s">
        <v>109</v>
      </c>
      <c r="J317" t="s">
        <v>25</v>
      </c>
      <c r="K317">
        <v>4.5</v>
      </c>
      <c r="L317" t="s">
        <v>14</v>
      </c>
      <c r="M317" t="s">
        <v>15</v>
      </c>
      <c r="N317" t="s">
        <v>14</v>
      </c>
      <c r="O317">
        <v>24</v>
      </c>
      <c r="P317" t="s">
        <v>74</v>
      </c>
      <c r="Q317" t="s">
        <v>37</v>
      </c>
      <c r="R317" t="str" cm="1">
        <f t="array" ref="R317">_xlfn.IFS(B317&lt;31,"Young-Adult",B317&lt;41,"Adult",B317&lt;61,"Middle-aged",B317&gt;=61,"Senior")</f>
        <v>Senior</v>
      </c>
      <c r="S317" cm="1">
        <f t="array" ref="S317">_xlfn.IFS(Q317 ="Fortnightly",14,Q317="Weekly",7,Q317="Monthly",30,Q317="Quarterly",90,Q317="Bi-Weekly",14,Q317="Annually",365,Q317="Every 3 Months",90,TRUE,"NOT FOUND")</f>
        <v>365</v>
      </c>
    </row>
    <row r="318" spans="1:19" x14ac:dyDescent="0.35">
      <c r="A318">
        <v>317</v>
      </c>
      <c r="B318">
        <v>36</v>
      </c>
      <c r="C318" t="s">
        <v>7</v>
      </c>
      <c r="D318" t="s">
        <v>54</v>
      </c>
      <c r="E318" t="s">
        <v>55</v>
      </c>
      <c r="F318">
        <v>22</v>
      </c>
      <c r="G318" t="s">
        <v>87</v>
      </c>
      <c r="H318" t="s">
        <v>32</v>
      </c>
      <c r="I318" t="s">
        <v>49</v>
      </c>
      <c r="J318" t="s">
        <v>45</v>
      </c>
      <c r="K318">
        <v>3.3</v>
      </c>
      <c r="L318" t="s">
        <v>14</v>
      </c>
      <c r="M318" t="s">
        <v>26</v>
      </c>
      <c r="N318" t="s">
        <v>14</v>
      </c>
      <c r="O318">
        <v>46</v>
      </c>
      <c r="P318" t="s">
        <v>16</v>
      </c>
      <c r="Q318" t="s">
        <v>76</v>
      </c>
      <c r="R318" t="str" cm="1">
        <f t="array" ref="R318">_xlfn.IFS(B318&lt;31,"Young-Adult",B318&lt;41,"Adult",B318&lt;61,"Middle-aged",B318&gt;=61,"Senior")</f>
        <v>Adult</v>
      </c>
      <c r="S318" cm="1">
        <f t="array" ref="S318">_xlfn.IFS(Q318 ="Fortnightly",14,Q318="Weekly",7,Q318="Monthly",30,Q318="Quarterly",90,Q318="Bi-Weekly",14,Q318="Annually",365,Q318="Every 3 Months",90,TRUE,"NOT FOUND")</f>
        <v>30</v>
      </c>
    </row>
    <row r="319" spans="1:19" x14ac:dyDescent="0.35">
      <c r="A319">
        <v>318</v>
      </c>
      <c r="B319">
        <v>58</v>
      </c>
      <c r="C319" t="s">
        <v>7</v>
      </c>
      <c r="D319" t="s">
        <v>18</v>
      </c>
      <c r="E319" t="s">
        <v>9</v>
      </c>
      <c r="F319">
        <v>82</v>
      </c>
      <c r="G319" t="s">
        <v>52</v>
      </c>
      <c r="H319" t="s">
        <v>11</v>
      </c>
      <c r="I319" t="s">
        <v>73</v>
      </c>
      <c r="J319" t="s">
        <v>45</v>
      </c>
      <c r="K319">
        <v>4.3</v>
      </c>
      <c r="L319" t="s">
        <v>14</v>
      </c>
      <c r="M319" t="s">
        <v>42</v>
      </c>
      <c r="N319" t="s">
        <v>14</v>
      </c>
      <c r="O319">
        <v>42</v>
      </c>
      <c r="P319" t="s">
        <v>21</v>
      </c>
      <c r="Q319" t="s">
        <v>85</v>
      </c>
      <c r="R319" t="str" cm="1">
        <f t="array" ref="R319">_xlfn.IFS(B319&lt;31,"Young-Adult",B319&lt;41,"Adult",B319&lt;61,"Middle-aged",B319&gt;=61,"Senior")</f>
        <v>Middle-aged</v>
      </c>
      <c r="S319" cm="1">
        <f t="array" ref="S319">_xlfn.IFS(Q319 ="Fortnightly",14,Q319="Weekly",7,Q319="Monthly",30,Q319="Quarterly",90,Q319="Bi-Weekly",14,Q319="Annually",365,Q319="Every 3 Months",90,TRUE,"NOT FOUND")</f>
        <v>90</v>
      </c>
    </row>
    <row r="320" spans="1:19" x14ac:dyDescent="0.35">
      <c r="A320">
        <v>319</v>
      </c>
      <c r="B320">
        <v>45</v>
      </c>
      <c r="C320" t="s">
        <v>7</v>
      </c>
      <c r="D320" t="s">
        <v>120</v>
      </c>
      <c r="E320" t="s">
        <v>55</v>
      </c>
      <c r="F320">
        <v>67</v>
      </c>
      <c r="G320" t="s">
        <v>135</v>
      </c>
      <c r="H320" t="s">
        <v>32</v>
      </c>
      <c r="I320" t="s">
        <v>106</v>
      </c>
      <c r="J320" t="s">
        <v>13</v>
      </c>
      <c r="K320">
        <v>2.5</v>
      </c>
      <c r="L320" t="s">
        <v>14</v>
      </c>
      <c r="M320" t="s">
        <v>42</v>
      </c>
      <c r="N320" t="s">
        <v>14</v>
      </c>
      <c r="O320">
        <v>10</v>
      </c>
      <c r="P320" t="s">
        <v>21</v>
      </c>
      <c r="Q320" t="s">
        <v>37</v>
      </c>
      <c r="R320" t="str" cm="1">
        <f t="array" ref="R320">_xlfn.IFS(B320&lt;31,"Young-Adult",B320&lt;41,"Adult",B320&lt;61,"Middle-aged",B320&gt;=61,"Senior")</f>
        <v>Middle-aged</v>
      </c>
      <c r="S320" cm="1">
        <f t="array" ref="S320">_xlfn.IFS(Q320 ="Fortnightly",14,Q320="Weekly",7,Q320="Monthly",30,Q320="Quarterly",90,Q320="Bi-Weekly",14,Q320="Annually",365,Q320="Every 3 Months",90,TRUE,"NOT FOUND")</f>
        <v>365</v>
      </c>
    </row>
    <row r="321" spans="1:19" x14ac:dyDescent="0.35">
      <c r="A321">
        <v>320</v>
      </c>
      <c r="B321">
        <v>47</v>
      </c>
      <c r="C321" t="s">
        <v>7</v>
      </c>
      <c r="D321" t="s">
        <v>47</v>
      </c>
      <c r="E321" t="s">
        <v>9</v>
      </c>
      <c r="F321">
        <v>74</v>
      </c>
      <c r="G321" t="s">
        <v>19</v>
      </c>
      <c r="H321" t="s">
        <v>80</v>
      </c>
      <c r="I321" t="s">
        <v>40</v>
      </c>
      <c r="J321" t="s">
        <v>25</v>
      </c>
      <c r="K321">
        <v>2.6</v>
      </c>
      <c r="L321" t="s">
        <v>14</v>
      </c>
      <c r="M321" t="s">
        <v>42</v>
      </c>
      <c r="N321" t="s">
        <v>14</v>
      </c>
      <c r="O321">
        <v>1</v>
      </c>
      <c r="P321" t="s">
        <v>21</v>
      </c>
      <c r="Q321" t="s">
        <v>85</v>
      </c>
      <c r="R321" t="str" cm="1">
        <f t="array" ref="R321">_xlfn.IFS(B321&lt;31,"Young-Adult",B321&lt;41,"Adult",B321&lt;61,"Middle-aged",B321&gt;=61,"Senior")</f>
        <v>Middle-aged</v>
      </c>
      <c r="S321" cm="1">
        <f t="array" ref="S321">_xlfn.IFS(Q321 ="Fortnightly",14,Q321="Weekly",7,Q321="Monthly",30,Q321="Quarterly",90,Q321="Bi-Weekly",14,Q321="Annually",365,Q321="Every 3 Months",90,TRUE,"NOT FOUND")</f>
        <v>90</v>
      </c>
    </row>
    <row r="322" spans="1:19" x14ac:dyDescent="0.35">
      <c r="A322">
        <v>321</v>
      </c>
      <c r="B322">
        <v>66</v>
      </c>
      <c r="C322" t="s">
        <v>7</v>
      </c>
      <c r="D322" t="s">
        <v>94</v>
      </c>
      <c r="E322" t="s">
        <v>55</v>
      </c>
      <c r="F322">
        <v>72</v>
      </c>
      <c r="G322" t="s">
        <v>99</v>
      </c>
      <c r="H322" t="s">
        <v>11</v>
      </c>
      <c r="I322" t="s">
        <v>40</v>
      </c>
      <c r="J322" t="s">
        <v>41</v>
      </c>
      <c r="K322">
        <v>4.9000000000000004</v>
      </c>
      <c r="L322" t="s">
        <v>14</v>
      </c>
      <c r="M322" t="s">
        <v>42</v>
      </c>
      <c r="N322" t="s">
        <v>14</v>
      </c>
      <c r="O322">
        <v>28</v>
      </c>
      <c r="P322" t="s">
        <v>74</v>
      </c>
      <c r="Q322" t="s">
        <v>46</v>
      </c>
      <c r="R322" t="str" cm="1">
        <f t="array" ref="R322">_xlfn.IFS(B322&lt;31,"Young-Adult",B322&lt;41,"Adult",B322&lt;61,"Middle-aged",B322&gt;=61,"Senior")</f>
        <v>Senior</v>
      </c>
      <c r="S322" cm="1">
        <f t="array" ref="S322">_xlfn.IFS(Q322 ="Fortnightly",14,Q322="Weekly",7,Q322="Monthly",30,Q322="Quarterly",90,Q322="Bi-Weekly",14,Q322="Annually",365,Q322="Every 3 Months",90,TRUE,"NOT FOUND")</f>
        <v>90</v>
      </c>
    </row>
    <row r="323" spans="1:19" x14ac:dyDescent="0.35">
      <c r="A323">
        <v>322</v>
      </c>
      <c r="B323">
        <v>41</v>
      </c>
      <c r="C323" t="s">
        <v>7</v>
      </c>
      <c r="D323" t="s">
        <v>38</v>
      </c>
      <c r="E323" t="s">
        <v>30</v>
      </c>
      <c r="F323">
        <v>36</v>
      </c>
      <c r="G323" t="s">
        <v>117</v>
      </c>
      <c r="H323" t="s">
        <v>11</v>
      </c>
      <c r="I323" t="s">
        <v>109</v>
      </c>
      <c r="J323" t="s">
        <v>41</v>
      </c>
      <c r="K323">
        <v>4.7</v>
      </c>
      <c r="L323" t="s">
        <v>14</v>
      </c>
      <c r="M323" t="s">
        <v>26</v>
      </c>
      <c r="N323" t="s">
        <v>14</v>
      </c>
      <c r="O323">
        <v>48</v>
      </c>
      <c r="P323" t="s">
        <v>74</v>
      </c>
      <c r="Q323" t="s">
        <v>46</v>
      </c>
      <c r="R323" t="str" cm="1">
        <f t="array" ref="R323">_xlfn.IFS(B323&lt;31,"Young-Adult",B323&lt;41,"Adult",B323&lt;61,"Middle-aged",B323&gt;=61,"Senior")</f>
        <v>Middle-aged</v>
      </c>
      <c r="S323" cm="1">
        <f t="array" ref="S323">_xlfn.IFS(Q323 ="Fortnightly",14,Q323="Weekly",7,Q323="Monthly",30,Q323="Quarterly",90,Q323="Bi-Weekly",14,Q323="Annually",365,Q323="Every 3 Months",90,TRUE,"NOT FOUND")</f>
        <v>90</v>
      </c>
    </row>
    <row r="324" spans="1:19" x14ac:dyDescent="0.35">
      <c r="A324">
        <v>323</v>
      </c>
      <c r="B324">
        <v>41</v>
      </c>
      <c r="C324" t="s">
        <v>7</v>
      </c>
      <c r="D324" t="s">
        <v>121</v>
      </c>
      <c r="E324" t="s">
        <v>55</v>
      </c>
      <c r="F324">
        <v>95</v>
      </c>
      <c r="G324" t="s">
        <v>110</v>
      </c>
      <c r="H324" t="s">
        <v>24</v>
      </c>
      <c r="I324" t="s">
        <v>97</v>
      </c>
      <c r="J324" t="s">
        <v>13</v>
      </c>
      <c r="K324">
        <v>3</v>
      </c>
      <c r="L324" t="s">
        <v>14</v>
      </c>
      <c r="M324" t="s">
        <v>42</v>
      </c>
      <c r="N324" t="s">
        <v>14</v>
      </c>
      <c r="O324">
        <v>47</v>
      </c>
      <c r="P324" t="s">
        <v>27</v>
      </c>
      <c r="Q324" t="s">
        <v>76</v>
      </c>
      <c r="R324" t="str" cm="1">
        <f t="array" ref="R324">_xlfn.IFS(B324&lt;31,"Young-Adult",B324&lt;41,"Adult",B324&lt;61,"Middle-aged",B324&gt;=61,"Senior")</f>
        <v>Middle-aged</v>
      </c>
      <c r="S324" cm="1">
        <f t="array" ref="S324">_xlfn.IFS(Q324 ="Fortnightly",14,Q324="Weekly",7,Q324="Monthly",30,Q324="Quarterly",90,Q324="Bi-Weekly",14,Q324="Annually",365,Q324="Every 3 Months",90,TRUE,"NOT FOUND")</f>
        <v>30</v>
      </c>
    </row>
    <row r="325" spans="1:19" x14ac:dyDescent="0.35">
      <c r="A325">
        <v>324</v>
      </c>
      <c r="B325">
        <v>66</v>
      </c>
      <c r="C325" t="s">
        <v>7</v>
      </c>
      <c r="D325" t="s">
        <v>92</v>
      </c>
      <c r="E325" t="s">
        <v>9</v>
      </c>
      <c r="F325">
        <v>78</v>
      </c>
      <c r="G325" t="s">
        <v>110</v>
      </c>
      <c r="H325" t="s">
        <v>32</v>
      </c>
      <c r="I325" t="s">
        <v>109</v>
      </c>
      <c r="J325" t="s">
        <v>13</v>
      </c>
      <c r="K325">
        <v>3.5</v>
      </c>
      <c r="L325" t="s">
        <v>14</v>
      </c>
      <c r="M325" t="s">
        <v>33</v>
      </c>
      <c r="N325" t="s">
        <v>14</v>
      </c>
      <c r="O325">
        <v>29</v>
      </c>
      <c r="P325" t="s">
        <v>34</v>
      </c>
      <c r="Q325" t="s">
        <v>64</v>
      </c>
      <c r="R325" t="str" cm="1">
        <f t="array" ref="R325">_xlfn.IFS(B325&lt;31,"Young-Adult",B325&lt;41,"Adult",B325&lt;61,"Middle-aged",B325&gt;=61,"Senior")</f>
        <v>Senior</v>
      </c>
      <c r="S325" cm="1">
        <f t="array" ref="S325">_xlfn.IFS(Q325 ="Fortnightly",14,Q325="Weekly",7,Q325="Monthly",30,Q325="Quarterly",90,Q325="Bi-Weekly",14,Q325="Annually",365,Q325="Every 3 Months",90,TRUE,"NOT FOUND")</f>
        <v>14</v>
      </c>
    </row>
    <row r="326" spans="1:19" x14ac:dyDescent="0.35">
      <c r="A326">
        <v>325</v>
      </c>
      <c r="B326">
        <v>37</v>
      </c>
      <c r="C326" t="s">
        <v>7</v>
      </c>
      <c r="D326" t="s">
        <v>43</v>
      </c>
      <c r="E326" t="s">
        <v>9</v>
      </c>
      <c r="F326">
        <v>82</v>
      </c>
      <c r="G326" t="s">
        <v>39</v>
      </c>
      <c r="H326" t="s">
        <v>32</v>
      </c>
      <c r="I326" t="s">
        <v>66</v>
      </c>
      <c r="J326" t="s">
        <v>41</v>
      </c>
      <c r="K326">
        <v>4.8</v>
      </c>
      <c r="L326" t="s">
        <v>14</v>
      </c>
      <c r="M326" t="s">
        <v>42</v>
      </c>
      <c r="N326" t="s">
        <v>14</v>
      </c>
      <c r="O326">
        <v>37</v>
      </c>
      <c r="P326" t="s">
        <v>16</v>
      </c>
      <c r="Q326" t="s">
        <v>46</v>
      </c>
      <c r="R326" t="str" cm="1">
        <f t="array" ref="R326">_xlfn.IFS(B326&lt;31,"Young-Adult",B326&lt;41,"Adult",B326&lt;61,"Middle-aged",B326&gt;=61,"Senior")</f>
        <v>Adult</v>
      </c>
      <c r="S326" cm="1">
        <f t="array" ref="S326">_xlfn.IFS(Q326 ="Fortnightly",14,Q326="Weekly",7,Q326="Monthly",30,Q326="Quarterly",90,Q326="Bi-Weekly",14,Q326="Annually",365,Q326="Every 3 Months",90,TRUE,"NOT FOUND")</f>
        <v>90</v>
      </c>
    </row>
    <row r="327" spans="1:19" x14ac:dyDescent="0.35">
      <c r="A327">
        <v>326</v>
      </c>
      <c r="B327">
        <v>70</v>
      </c>
      <c r="C327" t="s">
        <v>7</v>
      </c>
      <c r="D327" t="s">
        <v>83</v>
      </c>
      <c r="E327" t="s">
        <v>9</v>
      </c>
      <c r="F327">
        <v>70</v>
      </c>
      <c r="G327" t="s">
        <v>117</v>
      </c>
      <c r="H327" t="s">
        <v>32</v>
      </c>
      <c r="I327" t="s">
        <v>49</v>
      </c>
      <c r="J327" t="s">
        <v>13</v>
      </c>
      <c r="K327">
        <v>4.3</v>
      </c>
      <c r="L327" t="s">
        <v>14</v>
      </c>
      <c r="M327" t="s">
        <v>26</v>
      </c>
      <c r="N327" t="s">
        <v>14</v>
      </c>
      <c r="O327">
        <v>38</v>
      </c>
      <c r="P327" t="s">
        <v>74</v>
      </c>
      <c r="Q327" t="s">
        <v>37</v>
      </c>
      <c r="R327" t="str" cm="1">
        <f t="array" ref="R327">_xlfn.IFS(B327&lt;31,"Young-Adult",B327&lt;41,"Adult",B327&lt;61,"Middle-aged",B327&gt;=61,"Senior")</f>
        <v>Senior</v>
      </c>
      <c r="S327" cm="1">
        <f t="array" ref="S327">_xlfn.IFS(Q327 ="Fortnightly",14,Q327="Weekly",7,Q327="Monthly",30,Q327="Quarterly",90,Q327="Bi-Weekly",14,Q327="Annually",365,Q327="Every 3 Months",90,TRUE,"NOT FOUND")</f>
        <v>365</v>
      </c>
    </row>
    <row r="328" spans="1:19" x14ac:dyDescent="0.35">
      <c r="A328">
        <v>327</v>
      </c>
      <c r="B328">
        <v>62</v>
      </c>
      <c r="C328" t="s">
        <v>7</v>
      </c>
      <c r="D328" t="s">
        <v>107</v>
      </c>
      <c r="E328" t="s">
        <v>55</v>
      </c>
      <c r="F328">
        <v>41</v>
      </c>
      <c r="G328" t="s">
        <v>115</v>
      </c>
      <c r="H328" t="s">
        <v>32</v>
      </c>
      <c r="I328" t="s">
        <v>40</v>
      </c>
      <c r="J328" t="s">
        <v>45</v>
      </c>
      <c r="K328">
        <v>3.2</v>
      </c>
      <c r="L328" t="s">
        <v>14</v>
      </c>
      <c r="M328" t="s">
        <v>62</v>
      </c>
      <c r="N328" t="s">
        <v>14</v>
      </c>
      <c r="O328">
        <v>48</v>
      </c>
      <c r="P328" t="s">
        <v>63</v>
      </c>
      <c r="Q328" t="s">
        <v>28</v>
      </c>
      <c r="R328" t="str" cm="1">
        <f t="array" ref="R328">_xlfn.IFS(B328&lt;31,"Young-Adult",B328&lt;41,"Adult",B328&lt;61,"Middle-aged",B328&gt;=61,"Senior")</f>
        <v>Senior</v>
      </c>
      <c r="S328" cm="1">
        <f t="array" ref="S328">_xlfn.IFS(Q328 ="Fortnightly",14,Q328="Weekly",7,Q328="Monthly",30,Q328="Quarterly",90,Q328="Bi-Weekly",14,Q328="Annually",365,Q328="Every 3 Months",90,TRUE,"NOT FOUND")</f>
        <v>7</v>
      </c>
    </row>
    <row r="329" spans="1:19" x14ac:dyDescent="0.35">
      <c r="A329">
        <v>328</v>
      </c>
      <c r="B329">
        <v>61</v>
      </c>
      <c r="C329" t="s">
        <v>7</v>
      </c>
      <c r="D329" t="s">
        <v>50</v>
      </c>
      <c r="E329" t="s">
        <v>51</v>
      </c>
      <c r="F329">
        <v>42</v>
      </c>
      <c r="G329" t="s">
        <v>134</v>
      </c>
      <c r="H329" t="s">
        <v>32</v>
      </c>
      <c r="I329" t="s">
        <v>73</v>
      </c>
      <c r="J329" t="s">
        <v>41</v>
      </c>
      <c r="K329">
        <v>3.1</v>
      </c>
      <c r="L329" t="s">
        <v>14</v>
      </c>
      <c r="M329" t="s">
        <v>26</v>
      </c>
      <c r="N329" t="s">
        <v>14</v>
      </c>
      <c r="O329">
        <v>36</v>
      </c>
      <c r="P329" t="s">
        <v>34</v>
      </c>
      <c r="Q329" t="s">
        <v>28</v>
      </c>
      <c r="R329" t="str" cm="1">
        <f t="array" ref="R329">_xlfn.IFS(B329&lt;31,"Young-Adult",B329&lt;41,"Adult",B329&lt;61,"Middle-aged",B329&gt;=61,"Senior")</f>
        <v>Senior</v>
      </c>
      <c r="S329" cm="1">
        <f t="array" ref="S329">_xlfn.IFS(Q329 ="Fortnightly",14,Q329="Weekly",7,Q329="Monthly",30,Q329="Quarterly",90,Q329="Bi-Weekly",14,Q329="Annually",365,Q329="Every 3 Months",90,TRUE,"NOT FOUND")</f>
        <v>7</v>
      </c>
    </row>
    <row r="330" spans="1:19" x14ac:dyDescent="0.35">
      <c r="A330">
        <v>329</v>
      </c>
      <c r="B330">
        <v>48</v>
      </c>
      <c r="C330" t="s">
        <v>7</v>
      </c>
      <c r="D330" t="s">
        <v>50</v>
      </c>
      <c r="E330" t="s">
        <v>51</v>
      </c>
      <c r="F330">
        <v>50</v>
      </c>
      <c r="G330" t="s">
        <v>91</v>
      </c>
      <c r="H330" t="s">
        <v>32</v>
      </c>
      <c r="I330" t="s">
        <v>122</v>
      </c>
      <c r="J330" t="s">
        <v>45</v>
      </c>
      <c r="K330">
        <v>2.8</v>
      </c>
      <c r="L330" t="s">
        <v>14</v>
      </c>
      <c r="M330" t="s">
        <v>26</v>
      </c>
      <c r="N330" t="s">
        <v>14</v>
      </c>
      <c r="O330">
        <v>9</v>
      </c>
      <c r="P330" t="s">
        <v>27</v>
      </c>
      <c r="Q330" t="s">
        <v>28</v>
      </c>
      <c r="R330" t="str" cm="1">
        <f t="array" ref="R330">_xlfn.IFS(B330&lt;31,"Young-Adult",B330&lt;41,"Adult",B330&lt;61,"Middle-aged",B330&gt;=61,"Senior")</f>
        <v>Middle-aged</v>
      </c>
      <c r="S330" cm="1">
        <f t="array" ref="S330">_xlfn.IFS(Q330 ="Fortnightly",14,Q330="Weekly",7,Q330="Monthly",30,Q330="Quarterly",90,Q330="Bi-Weekly",14,Q330="Annually",365,Q330="Every 3 Months",90,TRUE,"NOT FOUND")</f>
        <v>7</v>
      </c>
    </row>
    <row r="331" spans="1:19" x14ac:dyDescent="0.35">
      <c r="A331">
        <v>330</v>
      </c>
      <c r="B331">
        <v>70</v>
      </c>
      <c r="C331" t="s">
        <v>7</v>
      </c>
      <c r="D331" t="s">
        <v>113</v>
      </c>
      <c r="E331" t="s">
        <v>9</v>
      </c>
      <c r="F331">
        <v>31</v>
      </c>
      <c r="G331" t="s">
        <v>95</v>
      </c>
      <c r="H331" t="s">
        <v>24</v>
      </c>
      <c r="I331" t="s">
        <v>40</v>
      </c>
      <c r="J331" t="s">
        <v>41</v>
      </c>
      <c r="K331">
        <v>2.9</v>
      </c>
      <c r="L331" t="s">
        <v>14</v>
      </c>
      <c r="M331" t="s">
        <v>58</v>
      </c>
      <c r="N331" t="s">
        <v>14</v>
      </c>
      <c r="O331">
        <v>34</v>
      </c>
      <c r="P331" t="s">
        <v>63</v>
      </c>
      <c r="Q331" t="s">
        <v>76</v>
      </c>
      <c r="R331" t="str" cm="1">
        <f t="array" ref="R331">_xlfn.IFS(B331&lt;31,"Young-Adult",B331&lt;41,"Adult",B331&lt;61,"Middle-aged",B331&gt;=61,"Senior")</f>
        <v>Senior</v>
      </c>
      <c r="S331" cm="1">
        <f t="array" ref="S331">_xlfn.IFS(Q331 ="Fortnightly",14,Q331="Weekly",7,Q331="Monthly",30,Q331="Quarterly",90,Q331="Bi-Weekly",14,Q331="Annually",365,Q331="Every 3 Months",90,TRUE,"NOT FOUND")</f>
        <v>30</v>
      </c>
    </row>
    <row r="332" spans="1:19" x14ac:dyDescent="0.35">
      <c r="A332">
        <v>331</v>
      </c>
      <c r="B332">
        <v>46</v>
      </c>
      <c r="C332" t="s">
        <v>7</v>
      </c>
      <c r="D332" t="s">
        <v>18</v>
      </c>
      <c r="E332" t="s">
        <v>9</v>
      </c>
      <c r="F332">
        <v>51</v>
      </c>
      <c r="G332" t="s">
        <v>102</v>
      </c>
      <c r="H332" t="s">
        <v>32</v>
      </c>
      <c r="I332" t="s">
        <v>106</v>
      </c>
      <c r="J332" t="s">
        <v>13</v>
      </c>
      <c r="K332">
        <v>3.8</v>
      </c>
      <c r="L332" t="s">
        <v>14</v>
      </c>
      <c r="M332" t="s">
        <v>15</v>
      </c>
      <c r="N332" t="s">
        <v>14</v>
      </c>
      <c r="O332">
        <v>43</v>
      </c>
      <c r="P332" t="s">
        <v>16</v>
      </c>
      <c r="Q332" t="s">
        <v>64</v>
      </c>
      <c r="R332" t="str" cm="1">
        <f t="array" ref="R332">_xlfn.IFS(B332&lt;31,"Young-Adult",B332&lt;41,"Adult",B332&lt;61,"Middle-aged",B332&gt;=61,"Senior")</f>
        <v>Middle-aged</v>
      </c>
      <c r="S332" cm="1">
        <f t="array" ref="S332">_xlfn.IFS(Q332 ="Fortnightly",14,Q332="Weekly",7,Q332="Monthly",30,Q332="Quarterly",90,Q332="Bi-Weekly",14,Q332="Annually",365,Q332="Every 3 Months",90,TRUE,"NOT FOUND")</f>
        <v>14</v>
      </c>
    </row>
    <row r="333" spans="1:19" x14ac:dyDescent="0.35">
      <c r="A333">
        <v>332</v>
      </c>
      <c r="B333">
        <v>31</v>
      </c>
      <c r="C333" t="s">
        <v>7</v>
      </c>
      <c r="D333" t="s">
        <v>43</v>
      </c>
      <c r="E333" t="s">
        <v>9</v>
      </c>
      <c r="F333">
        <v>98</v>
      </c>
      <c r="G333" t="s">
        <v>91</v>
      </c>
      <c r="H333" t="s">
        <v>11</v>
      </c>
      <c r="I333" t="s">
        <v>106</v>
      </c>
      <c r="J333" t="s">
        <v>45</v>
      </c>
      <c r="K333">
        <v>3.3</v>
      </c>
      <c r="L333" t="s">
        <v>14</v>
      </c>
      <c r="M333" t="s">
        <v>62</v>
      </c>
      <c r="N333" t="s">
        <v>14</v>
      </c>
      <c r="O333">
        <v>46</v>
      </c>
      <c r="P333" t="s">
        <v>34</v>
      </c>
      <c r="Q333" t="s">
        <v>46</v>
      </c>
      <c r="R333" t="str" cm="1">
        <f t="array" ref="R333">_xlfn.IFS(B333&lt;31,"Young-Adult",B333&lt;41,"Adult",B333&lt;61,"Middle-aged",B333&gt;=61,"Senior")</f>
        <v>Adult</v>
      </c>
      <c r="S333" cm="1">
        <f t="array" ref="S333">_xlfn.IFS(Q333 ="Fortnightly",14,Q333="Weekly",7,Q333="Monthly",30,Q333="Quarterly",90,Q333="Bi-Weekly",14,Q333="Annually",365,Q333="Every 3 Months",90,TRUE,"NOT FOUND")</f>
        <v>90</v>
      </c>
    </row>
    <row r="334" spans="1:19" x14ac:dyDescent="0.35">
      <c r="A334">
        <v>333</v>
      </c>
      <c r="B334">
        <v>19</v>
      </c>
      <c r="C334" t="s">
        <v>7</v>
      </c>
      <c r="D334" t="s">
        <v>43</v>
      </c>
      <c r="E334" t="s">
        <v>9</v>
      </c>
      <c r="F334">
        <v>86</v>
      </c>
      <c r="G334" t="s">
        <v>72</v>
      </c>
      <c r="H334" t="s">
        <v>32</v>
      </c>
      <c r="I334" t="s">
        <v>20</v>
      </c>
      <c r="J334" t="s">
        <v>13</v>
      </c>
      <c r="K334">
        <v>2.8</v>
      </c>
      <c r="L334" t="s">
        <v>14</v>
      </c>
      <c r="M334" t="s">
        <v>58</v>
      </c>
      <c r="N334" t="s">
        <v>14</v>
      </c>
      <c r="O334">
        <v>5</v>
      </c>
      <c r="P334" t="s">
        <v>27</v>
      </c>
      <c r="Q334" t="s">
        <v>76</v>
      </c>
      <c r="R334" t="str" cm="1">
        <f t="array" ref="R334">_xlfn.IFS(B334&lt;31,"Young-Adult",B334&lt;41,"Adult",B334&lt;61,"Middle-aged",B334&gt;=61,"Senior")</f>
        <v>Young-Adult</v>
      </c>
      <c r="S334" cm="1">
        <f t="array" ref="S334">_xlfn.IFS(Q334 ="Fortnightly",14,Q334="Weekly",7,Q334="Monthly",30,Q334="Quarterly",90,Q334="Bi-Weekly",14,Q334="Annually",365,Q334="Every 3 Months",90,TRUE,"NOT FOUND")</f>
        <v>30</v>
      </c>
    </row>
    <row r="335" spans="1:19" x14ac:dyDescent="0.35">
      <c r="A335">
        <v>334</v>
      </c>
      <c r="B335">
        <v>39</v>
      </c>
      <c r="C335" t="s">
        <v>7</v>
      </c>
      <c r="D335" t="s">
        <v>18</v>
      </c>
      <c r="E335" t="s">
        <v>9</v>
      </c>
      <c r="F335">
        <v>64</v>
      </c>
      <c r="G335" t="s">
        <v>108</v>
      </c>
      <c r="H335" t="s">
        <v>32</v>
      </c>
      <c r="I335" t="s">
        <v>73</v>
      </c>
      <c r="J335" t="s">
        <v>13</v>
      </c>
      <c r="K335">
        <v>4.5</v>
      </c>
      <c r="L335" t="s">
        <v>14</v>
      </c>
      <c r="M335" t="s">
        <v>42</v>
      </c>
      <c r="N335" t="s">
        <v>14</v>
      </c>
      <c r="O335">
        <v>15</v>
      </c>
      <c r="P335" t="s">
        <v>63</v>
      </c>
      <c r="Q335" t="s">
        <v>64</v>
      </c>
      <c r="R335" t="str" cm="1">
        <f t="array" ref="R335">_xlfn.IFS(B335&lt;31,"Young-Adult",B335&lt;41,"Adult",B335&lt;61,"Middle-aged",B335&gt;=61,"Senior")</f>
        <v>Adult</v>
      </c>
      <c r="S335" cm="1">
        <f t="array" ref="S335">_xlfn.IFS(Q335 ="Fortnightly",14,Q335="Weekly",7,Q335="Monthly",30,Q335="Quarterly",90,Q335="Bi-Weekly",14,Q335="Annually",365,Q335="Every 3 Months",90,TRUE,"NOT FOUND")</f>
        <v>14</v>
      </c>
    </row>
    <row r="336" spans="1:19" x14ac:dyDescent="0.35">
      <c r="A336">
        <v>335</v>
      </c>
      <c r="B336">
        <v>41</v>
      </c>
      <c r="C336" t="s">
        <v>7</v>
      </c>
      <c r="D336" t="s">
        <v>8</v>
      </c>
      <c r="E336" t="s">
        <v>9</v>
      </c>
      <c r="F336">
        <v>46</v>
      </c>
      <c r="G336" t="s">
        <v>99</v>
      </c>
      <c r="H336" t="s">
        <v>32</v>
      </c>
      <c r="I336" t="s">
        <v>81</v>
      </c>
      <c r="J336" t="s">
        <v>45</v>
      </c>
      <c r="K336">
        <v>2.6</v>
      </c>
      <c r="L336" t="s">
        <v>14</v>
      </c>
      <c r="M336" t="s">
        <v>33</v>
      </c>
      <c r="N336" t="s">
        <v>14</v>
      </c>
      <c r="O336">
        <v>30</v>
      </c>
      <c r="P336" t="s">
        <v>27</v>
      </c>
      <c r="Q336" t="s">
        <v>37</v>
      </c>
      <c r="R336" t="str" cm="1">
        <f t="array" ref="R336">_xlfn.IFS(B336&lt;31,"Young-Adult",B336&lt;41,"Adult",B336&lt;61,"Middle-aged",B336&gt;=61,"Senior")</f>
        <v>Middle-aged</v>
      </c>
      <c r="S336" cm="1">
        <f t="array" ref="S336">_xlfn.IFS(Q336 ="Fortnightly",14,Q336="Weekly",7,Q336="Monthly",30,Q336="Quarterly",90,Q336="Bi-Weekly",14,Q336="Annually",365,Q336="Every 3 Months",90,TRUE,"NOT FOUND")</f>
        <v>365</v>
      </c>
    </row>
    <row r="337" spans="1:19" x14ac:dyDescent="0.35">
      <c r="A337">
        <v>336</v>
      </c>
      <c r="B337">
        <v>20</v>
      </c>
      <c r="C337" t="s">
        <v>7</v>
      </c>
      <c r="D337" t="s">
        <v>18</v>
      </c>
      <c r="E337" t="s">
        <v>9</v>
      </c>
      <c r="F337">
        <v>85</v>
      </c>
      <c r="G337" t="s">
        <v>35</v>
      </c>
      <c r="H337" t="s">
        <v>11</v>
      </c>
      <c r="I337" t="s">
        <v>20</v>
      </c>
      <c r="J337" t="s">
        <v>25</v>
      </c>
      <c r="K337">
        <v>3.7</v>
      </c>
      <c r="L337" t="s">
        <v>14</v>
      </c>
      <c r="M337" t="s">
        <v>42</v>
      </c>
      <c r="N337" t="s">
        <v>14</v>
      </c>
      <c r="O337">
        <v>44</v>
      </c>
      <c r="P337" t="s">
        <v>16</v>
      </c>
      <c r="Q337" t="s">
        <v>85</v>
      </c>
      <c r="R337" t="str" cm="1">
        <f t="array" ref="R337">_xlfn.IFS(B337&lt;31,"Young-Adult",B337&lt;41,"Adult",B337&lt;61,"Middle-aged",B337&gt;=61,"Senior")</f>
        <v>Young-Adult</v>
      </c>
      <c r="S337" cm="1">
        <f t="array" ref="S337">_xlfn.IFS(Q337 ="Fortnightly",14,Q337="Weekly",7,Q337="Monthly",30,Q337="Quarterly",90,Q337="Bi-Weekly",14,Q337="Annually",365,Q337="Every 3 Months",90,TRUE,"NOT FOUND")</f>
        <v>90</v>
      </c>
    </row>
    <row r="338" spans="1:19" x14ac:dyDescent="0.35">
      <c r="A338">
        <v>337</v>
      </c>
      <c r="B338">
        <v>36</v>
      </c>
      <c r="C338" t="s">
        <v>7</v>
      </c>
      <c r="D338" t="s">
        <v>112</v>
      </c>
      <c r="E338" t="s">
        <v>55</v>
      </c>
      <c r="F338">
        <v>81</v>
      </c>
      <c r="G338" t="s">
        <v>31</v>
      </c>
      <c r="H338" t="s">
        <v>24</v>
      </c>
      <c r="I338" t="s">
        <v>109</v>
      </c>
      <c r="J338" t="s">
        <v>45</v>
      </c>
      <c r="K338">
        <v>4.4000000000000004</v>
      </c>
      <c r="L338" t="s">
        <v>14</v>
      </c>
      <c r="M338" t="s">
        <v>15</v>
      </c>
      <c r="N338" t="s">
        <v>14</v>
      </c>
      <c r="O338">
        <v>16</v>
      </c>
      <c r="P338" t="s">
        <v>34</v>
      </c>
      <c r="Q338" t="s">
        <v>37</v>
      </c>
      <c r="R338" t="str" cm="1">
        <f t="array" ref="R338">_xlfn.IFS(B338&lt;31,"Young-Adult",B338&lt;41,"Adult",B338&lt;61,"Middle-aged",B338&gt;=61,"Senior")</f>
        <v>Adult</v>
      </c>
      <c r="S338" cm="1">
        <f t="array" ref="S338">_xlfn.IFS(Q338 ="Fortnightly",14,Q338="Weekly",7,Q338="Monthly",30,Q338="Quarterly",90,Q338="Bi-Weekly",14,Q338="Annually",365,Q338="Every 3 Months",90,TRUE,"NOT FOUND")</f>
        <v>365</v>
      </c>
    </row>
    <row r="339" spans="1:19" x14ac:dyDescent="0.35">
      <c r="A339">
        <v>338</v>
      </c>
      <c r="B339">
        <v>32</v>
      </c>
      <c r="C339" t="s">
        <v>7</v>
      </c>
      <c r="D339" t="s">
        <v>18</v>
      </c>
      <c r="E339" t="s">
        <v>9</v>
      </c>
      <c r="F339">
        <v>59</v>
      </c>
      <c r="G339" t="s">
        <v>118</v>
      </c>
      <c r="H339" t="s">
        <v>32</v>
      </c>
      <c r="I339" t="s">
        <v>97</v>
      </c>
      <c r="J339" t="s">
        <v>13</v>
      </c>
      <c r="K339">
        <v>4.3</v>
      </c>
      <c r="L339" t="s">
        <v>14</v>
      </c>
      <c r="M339" t="s">
        <v>58</v>
      </c>
      <c r="N339" t="s">
        <v>14</v>
      </c>
      <c r="O339">
        <v>16</v>
      </c>
      <c r="P339" t="s">
        <v>63</v>
      </c>
      <c r="Q339" t="s">
        <v>37</v>
      </c>
      <c r="R339" t="str" cm="1">
        <f t="array" ref="R339">_xlfn.IFS(B339&lt;31,"Young-Adult",B339&lt;41,"Adult",B339&lt;61,"Middle-aged",B339&gt;=61,"Senior")</f>
        <v>Adult</v>
      </c>
      <c r="S339" cm="1">
        <f t="array" ref="S339">_xlfn.IFS(Q339 ="Fortnightly",14,Q339="Weekly",7,Q339="Monthly",30,Q339="Quarterly",90,Q339="Bi-Weekly",14,Q339="Annually",365,Q339="Every 3 Months",90,TRUE,"NOT FOUND")</f>
        <v>365</v>
      </c>
    </row>
    <row r="340" spans="1:19" x14ac:dyDescent="0.35">
      <c r="A340">
        <v>339</v>
      </c>
      <c r="B340">
        <v>69</v>
      </c>
      <c r="C340" t="s">
        <v>7</v>
      </c>
      <c r="D340" t="s">
        <v>92</v>
      </c>
      <c r="E340" t="s">
        <v>9</v>
      </c>
      <c r="F340">
        <v>79</v>
      </c>
      <c r="G340" t="s">
        <v>23</v>
      </c>
      <c r="H340" t="s">
        <v>32</v>
      </c>
      <c r="I340" t="s">
        <v>53</v>
      </c>
      <c r="J340" t="s">
        <v>13</v>
      </c>
      <c r="K340">
        <v>3.5</v>
      </c>
      <c r="L340" t="s">
        <v>14</v>
      </c>
      <c r="M340" t="s">
        <v>15</v>
      </c>
      <c r="N340" t="s">
        <v>14</v>
      </c>
      <c r="O340">
        <v>16</v>
      </c>
      <c r="P340" t="s">
        <v>21</v>
      </c>
      <c r="Q340" t="s">
        <v>28</v>
      </c>
      <c r="R340" t="str" cm="1">
        <f t="array" ref="R340">_xlfn.IFS(B340&lt;31,"Young-Adult",B340&lt;41,"Adult",B340&lt;61,"Middle-aged",B340&gt;=61,"Senior")</f>
        <v>Senior</v>
      </c>
      <c r="S340" cm="1">
        <f t="array" ref="S340">_xlfn.IFS(Q340 ="Fortnightly",14,Q340="Weekly",7,Q340="Monthly",30,Q340="Quarterly",90,Q340="Bi-Weekly",14,Q340="Annually",365,Q340="Every 3 Months",90,TRUE,"NOT FOUND")</f>
        <v>7</v>
      </c>
    </row>
    <row r="341" spans="1:19" x14ac:dyDescent="0.35">
      <c r="A341">
        <v>340</v>
      </c>
      <c r="B341">
        <v>40</v>
      </c>
      <c r="C341" t="s">
        <v>7</v>
      </c>
      <c r="D341" t="s">
        <v>47</v>
      </c>
      <c r="E341" t="s">
        <v>9</v>
      </c>
      <c r="F341">
        <v>33</v>
      </c>
      <c r="G341" t="s">
        <v>126</v>
      </c>
      <c r="H341" t="s">
        <v>32</v>
      </c>
      <c r="I341" t="s">
        <v>73</v>
      </c>
      <c r="J341" t="s">
        <v>25</v>
      </c>
      <c r="K341">
        <v>3.8</v>
      </c>
      <c r="L341" t="s">
        <v>14</v>
      </c>
      <c r="M341" t="s">
        <v>58</v>
      </c>
      <c r="N341" t="s">
        <v>14</v>
      </c>
      <c r="O341">
        <v>21</v>
      </c>
      <c r="P341" t="s">
        <v>27</v>
      </c>
      <c r="Q341" t="s">
        <v>85</v>
      </c>
      <c r="R341" t="str" cm="1">
        <f t="array" ref="R341">_xlfn.IFS(B341&lt;31,"Young-Adult",B341&lt;41,"Adult",B341&lt;61,"Middle-aged",B341&gt;=61,"Senior")</f>
        <v>Adult</v>
      </c>
      <c r="S341" cm="1">
        <f t="array" ref="S341">_xlfn.IFS(Q341 ="Fortnightly",14,Q341="Weekly",7,Q341="Monthly",30,Q341="Quarterly",90,Q341="Bi-Weekly",14,Q341="Annually",365,Q341="Every 3 Months",90,TRUE,"NOT FOUND")</f>
        <v>90</v>
      </c>
    </row>
    <row r="342" spans="1:19" x14ac:dyDescent="0.35">
      <c r="A342">
        <v>341</v>
      </c>
      <c r="B342">
        <v>40</v>
      </c>
      <c r="C342" t="s">
        <v>7</v>
      </c>
      <c r="D342" t="s">
        <v>47</v>
      </c>
      <c r="E342" t="s">
        <v>9</v>
      </c>
      <c r="F342">
        <v>47</v>
      </c>
      <c r="G342" t="s">
        <v>115</v>
      </c>
      <c r="H342" t="s">
        <v>11</v>
      </c>
      <c r="I342" t="s">
        <v>132</v>
      </c>
      <c r="J342" t="s">
        <v>41</v>
      </c>
      <c r="K342">
        <v>3.5</v>
      </c>
      <c r="L342" t="s">
        <v>14</v>
      </c>
      <c r="M342" t="s">
        <v>15</v>
      </c>
      <c r="N342" t="s">
        <v>14</v>
      </c>
      <c r="O342">
        <v>39</v>
      </c>
      <c r="P342" t="s">
        <v>16</v>
      </c>
      <c r="Q342" t="s">
        <v>85</v>
      </c>
      <c r="R342" t="str" cm="1">
        <f t="array" ref="R342">_xlfn.IFS(B342&lt;31,"Young-Adult",B342&lt;41,"Adult",B342&lt;61,"Middle-aged",B342&gt;=61,"Senior")</f>
        <v>Adult</v>
      </c>
      <c r="S342" cm="1">
        <f t="array" ref="S342">_xlfn.IFS(Q342 ="Fortnightly",14,Q342="Weekly",7,Q342="Monthly",30,Q342="Quarterly",90,Q342="Bi-Weekly",14,Q342="Annually",365,Q342="Every 3 Months",90,TRUE,"NOT FOUND")</f>
        <v>90</v>
      </c>
    </row>
    <row r="343" spans="1:19" x14ac:dyDescent="0.35">
      <c r="A343">
        <v>342</v>
      </c>
      <c r="B343">
        <v>20</v>
      </c>
      <c r="C343" t="s">
        <v>7</v>
      </c>
      <c r="D343" t="s">
        <v>112</v>
      </c>
      <c r="E343" t="s">
        <v>55</v>
      </c>
      <c r="F343">
        <v>20</v>
      </c>
      <c r="G343" t="s">
        <v>128</v>
      </c>
      <c r="H343" t="s">
        <v>24</v>
      </c>
      <c r="I343" t="s">
        <v>132</v>
      </c>
      <c r="J343" t="s">
        <v>41</v>
      </c>
      <c r="K343">
        <v>4.5999999999999996</v>
      </c>
      <c r="L343" t="s">
        <v>14</v>
      </c>
      <c r="M343" t="s">
        <v>62</v>
      </c>
      <c r="N343" t="s">
        <v>14</v>
      </c>
      <c r="O343">
        <v>40</v>
      </c>
      <c r="P343" t="s">
        <v>74</v>
      </c>
      <c r="Q343" t="s">
        <v>64</v>
      </c>
      <c r="R343" t="str" cm="1">
        <f t="array" ref="R343">_xlfn.IFS(B343&lt;31,"Young-Adult",B343&lt;41,"Adult",B343&lt;61,"Middle-aged",B343&gt;=61,"Senior")</f>
        <v>Young-Adult</v>
      </c>
      <c r="S343" cm="1">
        <f t="array" ref="S343">_xlfn.IFS(Q343 ="Fortnightly",14,Q343="Weekly",7,Q343="Monthly",30,Q343="Quarterly",90,Q343="Bi-Weekly",14,Q343="Annually",365,Q343="Every 3 Months",90,TRUE,"NOT FOUND")</f>
        <v>14</v>
      </c>
    </row>
    <row r="344" spans="1:19" x14ac:dyDescent="0.35">
      <c r="A344">
        <v>343</v>
      </c>
      <c r="B344">
        <v>64</v>
      </c>
      <c r="C344" t="s">
        <v>7</v>
      </c>
      <c r="D344" t="s">
        <v>50</v>
      </c>
      <c r="E344" t="s">
        <v>51</v>
      </c>
      <c r="F344">
        <v>36</v>
      </c>
      <c r="G344" t="s">
        <v>10</v>
      </c>
      <c r="H344" t="s">
        <v>32</v>
      </c>
      <c r="I344" t="s">
        <v>66</v>
      </c>
      <c r="J344" t="s">
        <v>25</v>
      </c>
      <c r="K344">
        <v>2.6</v>
      </c>
      <c r="L344" t="s">
        <v>14</v>
      </c>
      <c r="M344" t="s">
        <v>33</v>
      </c>
      <c r="N344" t="s">
        <v>14</v>
      </c>
      <c r="O344">
        <v>48</v>
      </c>
      <c r="P344" t="s">
        <v>27</v>
      </c>
      <c r="Q344" t="s">
        <v>85</v>
      </c>
      <c r="R344" t="str" cm="1">
        <f t="array" ref="R344">_xlfn.IFS(B344&lt;31,"Young-Adult",B344&lt;41,"Adult",B344&lt;61,"Middle-aged",B344&gt;=61,"Senior")</f>
        <v>Senior</v>
      </c>
      <c r="S344" cm="1">
        <f t="array" ref="S344">_xlfn.IFS(Q344 ="Fortnightly",14,Q344="Weekly",7,Q344="Monthly",30,Q344="Quarterly",90,Q344="Bi-Weekly",14,Q344="Annually",365,Q344="Every 3 Months",90,TRUE,"NOT FOUND")</f>
        <v>90</v>
      </c>
    </row>
    <row r="345" spans="1:19" x14ac:dyDescent="0.35">
      <c r="A345">
        <v>344</v>
      </c>
      <c r="B345">
        <v>27</v>
      </c>
      <c r="C345" t="s">
        <v>7</v>
      </c>
      <c r="D345" t="s">
        <v>29</v>
      </c>
      <c r="E345" t="s">
        <v>30</v>
      </c>
      <c r="F345">
        <v>39</v>
      </c>
      <c r="G345" t="s">
        <v>133</v>
      </c>
      <c r="H345" t="s">
        <v>32</v>
      </c>
      <c r="I345" t="s">
        <v>61</v>
      </c>
      <c r="J345" t="s">
        <v>41</v>
      </c>
      <c r="K345">
        <v>4.4000000000000004</v>
      </c>
      <c r="L345" t="s">
        <v>14</v>
      </c>
      <c r="M345" t="s">
        <v>33</v>
      </c>
      <c r="N345" t="s">
        <v>14</v>
      </c>
      <c r="O345">
        <v>26</v>
      </c>
      <c r="P345" t="s">
        <v>16</v>
      </c>
      <c r="Q345" t="s">
        <v>76</v>
      </c>
      <c r="R345" t="str" cm="1">
        <f t="array" ref="R345">_xlfn.IFS(B345&lt;31,"Young-Adult",B345&lt;41,"Adult",B345&lt;61,"Middle-aged",B345&gt;=61,"Senior")</f>
        <v>Young-Adult</v>
      </c>
      <c r="S345" cm="1">
        <f t="array" ref="S345">_xlfn.IFS(Q345 ="Fortnightly",14,Q345="Weekly",7,Q345="Monthly",30,Q345="Quarterly",90,Q345="Bi-Weekly",14,Q345="Annually",365,Q345="Every 3 Months",90,TRUE,"NOT FOUND")</f>
        <v>30</v>
      </c>
    </row>
    <row r="346" spans="1:19" x14ac:dyDescent="0.35">
      <c r="A346">
        <v>345</v>
      </c>
      <c r="B346">
        <v>24</v>
      </c>
      <c r="C346" t="s">
        <v>7</v>
      </c>
      <c r="D346" t="s">
        <v>75</v>
      </c>
      <c r="E346" t="s">
        <v>9</v>
      </c>
      <c r="F346">
        <v>71</v>
      </c>
      <c r="G346" t="s">
        <v>129</v>
      </c>
      <c r="H346" t="s">
        <v>32</v>
      </c>
      <c r="I346" t="s">
        <v>49</v>
      </c>
      <c r="J346" t="s">
        <v>13</v>
      </c>
      <c r="K346">
        <v>4</v>
      </c>
      <c r="L346" t="s">
        <v>14</v>
      </c>
      <c r="M346" t="s">
        <v>42</v>
      </c>
      <c r="N346" t="s">
        <v>14</v>
      </c>
      <c r="O346">
        <v>46</v>
      </c>
      <c r="P346" t="s">
        <v>74</v>
      </c>
      <c r="Q346" t="s">
        <v>76</v>
      </c>
      <c r="R346" t="str" cm="1">
        <f t="array" ref="R346">_xlfn.IFS(B346&lt;31,"Young-Adult",B346&lt;41,"Adult",B346&lt;61,"Middle-aged",B346&gt;=61,"Senior")</f>
        <v>Young-Adult</v>
      </c>
      <c r="S346" cm="1">
        <f t="array" ref="S346">_xlfn.IFS(Q346 ="Fortnightly",14,Q346="Weekly",7,Q346="Monthly",30,Q346="Quarterly",90,Q346="Bi-Weekly",14,Q346="Annually",365,Q346="Every 3 Months",90,TRUE,"NOT FOUND")</f>
        <v>30</v>
      </c>
    </row>
    <row r="347" spans="1:19" x14ac:dyDescent="0.35">
      <c r="A347">
        <v>346</v>
      </c>
      <c r="B347">
        <v>48</v>
      </c>
      <c r="C347" t="s">
        <v>7</v>
      </c>
      <c r="D347" t="s">
        <v>59</v>
      </c>
      <c r="E347" t="s">
        <v>30</v>
      </c>
      <c r="F347">
        <v>59</v>
      </c>
      <c r="G347" t="s">
        <v>39</v>
      </c>
      <c r="H347" t="s">
        <v>24</v>
      </c>
      <c r="I347" t="s">
        <v>66</v>
      </c>
      <c r="J347" t="s">
        <v>13</v>
      </c>
      <c r="K347">
        <v>4.4000000000000004</v>
      </c>
      <c r="L347" t="s">
        <v>14</v>
      </c>
      <c r="M347" t="s">
        <v>33</v>
      </c>
      <c r="N347" t="s">
        <v>14</v>
      </c>
      <c r="O347">
        <v>27</v>
      </c>
      <c r="P347" t="s">
        <v>63</v>
      </c>
      <c r="Q347" t="s">
        <v>37</v>
      </c>
      <c r="R347" t="str" cm="1">
        <f t="array" ref="R347">_xlfn.IFS(B347&lt;31,"Young-Adult",B347&lt;41,"Adult",B347&lt;61,"Middle-aged",B347&gt;=61,"Senior")</f>
        <v>Middle-aged</v>
      </c>
      <c r="S347" cm="1">
        <f t="array" ref="S347">_xlfn.IFS(Q347 ="Fortnightly",14,Q347="Weekly",7,Q347="Monthly",30,Q347="Quarterly",90,Q347="Bi-Weekly",14,Q347="Annually",365,Q347="Every 3 Months",90,TRUE,"NOT FOUND")</f>
        <v>365</v>
      </c>
    </row>
    <row r="348" spans="1:19" x14ac:dyDescent="0.35">
      <c r="A348">
        <v>347</v>
      </c>
      <c r="B348">
        <v>49</v>
      </c>
      <c r="C348" t="s">
        <v>7</v>
      </c>
      <c r="D348" t="s">
        <v>22</v>
      </c>
      <c r="E348" t="s">
        <v>9</v>
      </c>
      <c r="F348">
        <v>50</v>
      </c>
      <c r="G348" t="s">
        <v>118</v>
      </c>
      <c r="H348" t="s">
        <v>11</v>
      </c>
      <c r="I348" t="s">
        <v>71</v>
      </c>
      <c r="J348" t="s">
        <v>25</v>
      </c>
      <c r="K348">
        <v>4.7</v>
      </c>
      <c r="L348" t="s">
        <v>14</v>
      </c>
      <c r="M348" t="s">
        <v>33</v>
      </c>
      <c r="N348" t="s">
        <v>14</v>
      </c>
      <c r="O348">
        <v>5</v>
      </c>
      <c r="P348" t="s">
        <v>21</v>
      </c>
      <c r="Q348" t="s">
        <v>28</v>
      </c>
      <c r="R348" t="str" cm="1">
        <f t="array" ref="R348">_xlfn.IFS(B348&lt;31,"Young-Adult",B348&lt;41,"Adult",B348&lt;61,"Middle-aged",B348&gt;=61,"Senior")</f>
        <v>Middle-aged</v>
      </c>
      <c r="S348" cm="1">
        <f t="array" ref="S348">_xlfn.IFS(Q348 ="Fortnightly",14,Q348="Weekly",7,Q348="Monthly",30,Q348="Quarterly",90,Q348="Bi-Weekly",14,Q348="Annually",365,Q348="Every 3 Months",90,TRUE,"NOT FOUND")</f>
        <v>7</v>
      </c>
    </row>
    <row r="349" spans="1:19" x14ac:dyDescent="0.35">
      <c r="A349">
        <v>348</v>
      </c>
      <c r="B349">
        <v>36</v>
      </c>
      <c r="C349" t="s">
        <v>7</v>
      </c>
      <c r="D349" t="s">
        <v>29</v>
      </c>
      <c r="E349" t="s">
        <v>30</v>
      </c>
      <c r="F349">
        <v>41</v>
      </c>
      <c r="G349" t="s">
        <v>35</v>
      </c>
      <c r="H349" t="s">
        <v>11</v>
      </c>
      <c r="I349" t="s">
        <v>96</v>
      </c>
      <c r="J349" t="s">
        <v>45</v>
      </c>
      <c r="K349">
        <v>3.9</v>
      </c>
      <c r="L349" t="s">
        <v>14</v>
      </c>
      <c r="M349" t="s">
        <v>62</v>
      </c>
      <c r="N349" t="s">
        <v>14</v>
      </c>
      <c r="O349">
        <v>43</v>
      </c>
      <c r="P349" t="s">
        <v>34</v>
      </c>
      <c r="Q349" t="s">
        <v>17</v>
      </c>
      <c r="R349" t="str" cm="1">
        <f t="array" ref="R349">_xlfn.IFS(B349&lt;31,"Young-Adult",B349&lt;41,"Adult",B349&lt;61,"Middle-aged",B349&gt;=61,"Senior")</f>
        <v>Adult</v>
      </c>
      <c r="S349" cm="1">
        <f t="array" ref="S349">_xlfn.IFS(Q349 ="Fortnightly",14,Q349="Weekly",7,Q349="Monthly",30,Q349="Quarterly",90,Q349="Bi-Weekly",14,Q349="Annually",365,Q349="Every 3 Months",90,TRUE,"NOT FOUND")</f>
        <v>14</v>
      </c>
    </row>
    <row r="350" spans="1:19" x14ac:dyDescent="0.35">
      <c r="A350">
        <v>349</v>
      </c>
      <c r="B350">
        <v>56</v>
      </c>
      <c r="C350" t="s">
        <v>7</v>
      </c>
      <c r="D350" t="s">
        <v>8</v>
      </c>
      <c r="E350" t="s">
        <v>9</v>
      </c>
      <c r="F350">
        <v>59</v>
      </c>
      <c r="G350" t="s">
        <v>119</v>
      </c>
      <c r="H350" t="s">
        <v>32</v>
      </c>
      <c r="I350" t="s">
        <v>106</v>
      </c>
      <c r="J350" t="s">
        <v>45</v>
      </c>
      <c r="K350">
        <v>2.7</v>
      </c>
      <c r="L350" t="s">
        <v>14</v>
      </c>
      <c r="M350" t="s">
        <v>26</v>
      </c>
      <c r="N350" t="s">
        <v>14</v>
      </c>
      <c r="O350">
        <v>17</v>
      </c>
      <c r="P350" t="s">
        <v>34</v>
      </c>
      <c r="Q350" t="s">
        <v>17</v>
      </c>
      <c r="R350" t="str" cm="1">
        <f t="array" ref="R350">_xlfn.IFS(B350&lt;31,"Young-Adult",B350&lt;41,"Adult",B350&lt;61,"Middle-aged",B350&gt;=61,"Senior")</f>
        <v>Middle-aged</v>
      </c>
      <c r="S350" cm="1">
        <f t="array" ref="S350">_xlfn.IFS(Q350 ="Fortnightly",14,Q350="Weekly",7,Q350="Monthly",30,Q350="Quarterly",90,Q350="Bi-Weekly",14,Q350="Annually",365,Q350="Every 3 Months",90,TRUE,"NOT FOUND")</f>
        <v>14</v>
      </c>
    </row>
    <row r="351" spans="1:19" x14ac:dyDescent="0.35">
      <c r="A351">
        <v>350</v>
      </c>
      <c r="B351">
        <v>37</v>
      </c>
      <c r="C351" t="s">
        <v>7</v>
      </c>
      <c r="D351" t="s">
        <v>112</v>
      </c>
      <c r="E351" t="s">
        <v>55</v>
      </c>
      <c r="F351">
        <v>87</v>
      </c>
      <c r="G351" t="s">
        <v>105</v>
      </c>
      <c r="H351" t="s">
        <v>32</v>
      </c>
      <c r="I351" t="s">
        <v>84</v>
      </c>
      <c r="J351" t="s">
        <v>13</v>
      </c>
      <c r="K351">
        <v>3.7</v>
      </c>
      <c r="L351" t="s">
        <v>14</v>
      </c>
      <c r="M351" t="s">
        <v>58</v>
      </c>
      <c r="N351" t="s">
        <v>14</v>
      </c>
      <c r="O351">
        <v>3</v>
      </c>
      <c r="P351" t="s">
        <v>63</v>
      </c>
      <c r="Q351" t="s">
        <v>64</v>
      </c>
      <c r="R351" t="str" cm="1">
        <f t="array" ref="R351">_xlfn.IFS(B351&lt;31,"Young-Adult",B351&lt;41,"Adult",B351&lt;61,"Middle-aged",B351&gt;=61,"Senior")</f>
        <v>Adult</v>
      </c>
      <c r="S351" cm="1">
        <f t="array" ref="S351">_xlfn.IFS(Q351 ="Fortnightly",14,Q351="Weekly",7,Q351="Monthly",30,Q351="Quarterly",90,Q351="Bi-Weekly",14,Q351="Annually",365,Q351="Every 3 Months",90,TRUE,"NOT FOUND")</f>
        <v>14</v>
      </c>
    </row>
    <row r="352" spans="1:19" x14ac:dyDescent="0.35">
      <c r="A352">
        <v>351</v>
      </c>
      <c r="B352">
        <v>42</v>
      </c>
      <c r="C352" t="s">
        <v>7</v>
      </c>
      <c r="D352" t="s">
        <v>18</v>
      </c>
      <c r="E352" t="s">
        <v>9</v>
      </c>
      <c r="F352">
        <v>68</v>
      </c>
      <c r="G352" t="s">
        <v>10</v>
      </c>
      <c r="H352" t="s">
        <v>32</v>
      </c>
      <c r="I352" t="s">
        <v>71</v>
      </c>
      <c r="J352" t="s">
        <v>25</v>
      </c>
      <c r="K352">
        <v>2.6</v>
      </c>
      <c r="L352" t="s">
        <v>14</v>
      </c>
      <c r="M352" t="s">
        <v>58</v>
      </c>
      <c r="N352" t="s">
        <v>14</v>
      </c>
      <c r="O352">
        <v>47</v>
      </c>
      <c r="P352" t="s">
        <v>63</v>
      </c>
      <c r="Q352" t="s">
        <v>17</v>
      </c>
      <c r="R352" t="str" cm="1">
        <f t="array" ref="R352">_xlfn.IFS(B352&lt;31,"Young-Adult",B352&lt;41,"Adult",B352&lt;61,"Middle-aged",B352&gt;=61,"Senior")</f>
        <v>Middle-aged</v>
      </c>
      <c r="S352" cm="1">
        <f t="array" ref="S352">_xlfn.IFS(Q352 ="Fortnightly",14,Q352="Weekly",7,Q352="Monthly",30,Q352="Quarterly",90,Q352="Bi-Weekly",14,Q352="Annually",365,Q352="Every 3 Months",90,TRUE,"NOT FOUND")</f>
        <v>14</v>
      </c>
    </row>
    <row r="353" spans="1:19" x14ac:dyDescent="0.35">
      <c r="A353">
        <v>352</v>
      </c>
      <c r="B353">
        <v>28</v>
      </c>
      <c r="C353" t="s">
        <v>7</v>
      </c>
      <c r="D353" t="s">
        <v>75</v>
      </c>
      <c r="E353" t="s">
        <v>9</v>
      </c>
      <c r="F353">
        <v>90</v>
      </c>
      <c r="G353" t="s">
        <v>72</v>
      </c>
      <c r="H353" t="s">
        <v>32</v>
      </c>
      <c r="I353" t="s">
        <v>73</v>
      </c>
      <c r="J353" t="s">
        <v>13</v>
      </c>
      <c r="K353">
        <v>3.9</v>
      </c>
      <c r="L353" t="s">
        <v>14</v>
      </c>
      <c r="M353" t="s">
        <v>42</v>
      </c>
      <c r="N353" t="s">
        <v>14</v>
      </c>
      <c r="O353">
        <v>24</v>
      </c>
      <c r="P353" t="s">
        <v>74</v>
      </c>
      <c r="Q353" t="s">
        <v>64</v>
      </c>
      <c r="R353" t="str" cm="1">
        <f t="array" ref="R353">_xlfn.IFS(B353&lt;31,"Young-Adult",B353&lt;41,"Adult",B353&lt;61,"Middle-aged",B353&gt;=61,"Senior")</f>
        <v>Young-Adult</v>
      </c>
      <c r="S353" cm="1">
        <f t="array" ref="S353">_xlfn.IFS(Q353 ="Fortnightly",14,Q353="Weekly",7,Q353="Monthly",30,Q353="Quarterly",90,Q353="Bi-Weekly",14,Q353="Annually",365,Q353="Every 3 Months",90,TRUE,"NOT FOUND")</f>
        <v>14</v>
      </c>
    </row>
    <row r="354" spans="1:19" x14ac:dyDescent="0.35">
      <c r="A354">
        <v>353</v>
      </c>
      <c r="B354">
        <v>27</v>
      </c>
      <c r="C354" t="s">
        <v>7</v>
      </c>
      <c r="D354" t="s">
        <v>22</v>
      </c>
      <c r="E354" t="s">
        <v>9</v>
      </c>
      <c r="F354">
        <v>71</v>
      </c>
      <c r="G354" t="s">
        <v>93</v>
      </c>
      <c r="H354" t="s">
        <v>80</v>
      </c>
      <c r="I354" t="s">
        <v>122</v>
      </c>
      <c r="J354" t="s">
        <v>45</v>
      </c>
      <c r="K354">
        <v>4.9000000000000004</v>
      </c>
      <c r="L354" t="s">
        <v>14</v>
      </c>
      <c r="M354" t="s">
        <v>33</v>
      </c>
      <c r="N354" t="s">
        <v>14</v>
      </c>
      <c r="O354">
        <v>12</v>
      </c>
      <c r="P354" t="s">
        <v>21</v>
      </c>
      <c r="Q354" t="s">
        <v>85</v>
      </c>
      <c r="R354" t="str" cm="1">
        <f t="array" ref="R354">_xlfn.IFS(B354&lt;31,"Young-Adult",B354&lt;41,"Adult",B354&lt;61,"Middle-aged",B354&gt;=61,"Senior")</f>
        <v>Young-Adult</v>
      </c>
      <c r="S354" cm="1">
        <f t="array" ref="S354">_xlfn.IFS(Q354 ="Fortnightly",14,Q354="Weekly",7,Q354="Monthly",30,Q354="Quarterly",90,Q354="Bi-Weekly",14,Q354="Annually",365,Q354="Every 3 Months",90,TRUE,"NOT FOUND")</f>
        <v>90</v>
      </c>
    </row>
    <row r="355" spans="1:19" x14ac:dyDescent="0.35">
      <c r="A355">
        <v>354</v>
      </c>
      <c r="B355">
        <v>63</v>
      </c>
      <c r="C355" t="s">
        <v>7</v>
      </c>
      <c r="D355" t="s">
        <v>38</v>
      </c>
      <c r="E355" t="s">
        <v>30</v>
      </c>
      <c r="F355">
        <v>64</v>
      </c>
      <c r="G355" t="s">
        <v>56</v>
      </c>
      <c r="H355" t="s">
        <v>11</v>
      </c>
      <c r="I355" t="s">
        <v>122</v>
      </c>
      <c r="J355" t="s">
        <v>45</v>
      </c>
      <c r="K355">
        <v>4.0999999999999996</v>
      </c>
      <c r="L355" t="s">
        <v>14</v>
      </c>
      <c r="M355" t="s">
        <v>62</v>
      </c>
      <c r="N355" t="s">
        <v>14</v>
      </c>
      <c r="O355">
        <v>35</v>
      </c>
      <c r="P355" t="s">
        <v>74</v>
      </c>
      <c r="Q355" t="s">
        <v>76</v>
      </c>
      <c r="R355" t="str" cm="1">
        <f t="array" ref="R355">_xlfn.IFS(B355&lt;31,"Young-Adult",B355&lt;41,"Adult",B355&lt;61,"Middle-aged",B355&gt;=61,"Senior")</f>
        <v>Senior</v>
      </c>
      <c r="S355" cm="1">
        <f t="array" ref="S355">_xlfn.IFS(Q355 ="Fortnightly",14,Q355="Weekly",7,Q355="Monthly",30,Q355="Quarterly",90,Q355="Bi-Weekly",14,Q355="Annually",365,Q355="Every 3 Months",90,TRUE,"NOT FOUND")</f>
        <v>30</v>
      </c>
    </row>
    <row r="356" spans="1:19" x14ac:dyDescent="0.35">
      <c r="A356">
        <v>355</v>
      </c>
      <c r="B356">
        <v>58</v>
      </c>
      <c r="C356" t="s">
        <v>7</v>
      </c>
      <c r="D356" t="s">
        <v>94</v>
      </c>
      <c r="E356" t="s">
        <v>55</v>
      </c>
      <c r="F356">
        <v>76</v>
      </c>
      <c r="G356" t="s">
        <v>126</v>
      </c>
      <c r="H356" t="s">
        <v>24</v>
      </c>
      <c r="I356" t="s">
        <v>66</v>
      </c>
      <c r="J356" t="s">
        <v>45</v>
      </c>
      <c r="K356">
        <v>3</v>
      </c>
      <c r="L356" t="s">
        <v>14</v>
      </c>
      <c r="M356" t="s">
        <v>26</v>
      </c>
      <c r="N356" t="s">
        <v>14</v>
      </c>
      <c r="O356">
        <v>42</v>
      </c>
      <c r="P356" t="s">
        <v>16</v>
      </c>
      <c r="Q356" t="s">
        <v>28</v>
      </c>
      <c r="R356" t="str" cm="1">
        <f t="array" ref="R356">_xlfn.IFS(B356&lt;31,"Young-Adult",B356&lt;41,"Adult",B356&lt;61,"Middle-aged",B356&gt;=61,"Senior")</f>
        <v>Middle-aged</v>
      </c>
      <c r="S356" cm="1">
        <f t="array" ref="S356">_xlfn.IFS(Q356 ="Fortnightly",14,Q356="Weekly",7,Q356="Monthly",30,Q356="Quarterly",90,Q356="Bi-Weekly",14,Q356="Annually",365,Q356="Every 3 Months",90,TRUE,"NOT FOUND")</f>
        <v>7</v>
      </c>
    </row>
    <row r="357" spans="1:19" x14ac:dyDescent="0.35">
      <c r="A357">
        <v>356</v>
      </c>
      <c r="B357">
        <v>37</v>
      </c>
      <c r="C357" t="s">
        <v>7</v>
      </c>
      <c r="D357" t="s">
        <v>94</v>
      </c>
      <c r="E357" t="s">
        <v>55</v>
      </c>
      <c r="F357">
        <v>42</v>
      </c>
      <c r="G357" t="s">
        <v>35</v>
      </c>
      <c r="H357" t="s">
        <v>80</v>
      </c>
      <c r="I357" t="s">
        <v>124</v>
      </c>
      <c r="J357" t="s">
        <v>45</v>
      </c>
      <c r="K357">
        <v>4.0999999999999996</v>
      </c>
      <c r="L357" t="s">
        <v>14</v>
      </c>
      <c r="M357" t="s">
        <v>58</v>
      </c>
      <c r="N357" t="s">
        <v>14</v>
      </c>
      <c r="O357">
        <v>1</v>
      </c>
      <c r="P357" t="s">
        <v>34</v>
      </c>
      <c r="Q357" t="s">
        <v>85</v>
      </c>
      <c r="R357" t="str" cm="1">
        <f t="array" ref="R357">_xlfn.IFS(B357&lt;31,"Young-Adult",B357&lt;41,"Adult",B357&lt;61,"Middle-aged",B357&gt;=61,"Senior")</f>
        <v>Adult</v>
      </c>
      <c r="S357" cm="1">
        <f t="array" ref="S357">_xlfn.IFS(Q357 ="Fortnightly",14,Q357="Weekly",7,Q357="Monthly",30,Q357="Quarterly",90,Q357="Bi-Weekly",14,Q357="Annually",365,Q357="Every 3 Months",90,TRUE,"NOT FOUND")</f>
        <v>90</v>
      </c>
    </row>
    <row r="358" spans="1:19" x14ac:dyDescent="0.35">
      <c r="A358">
        <v>357</v>
      </c>
      <c r="B358">
        <v>56</v>
      </c>
      <c r="C358" t="s">
        <v>7</v>
      </c>
      <c r="D358" t="s">
        <v>83</v>
      </c>
      <c r="E358" t="s">
        <v>9</v>
      </c>
      <c r="F358">
        <v>80</v>
      </c>
      <c r="G358" t="s">
        <v>95</v>
      </c>
      <c r="H358" t="s">
        <v>11</v>
      </c>
      <c r="I358" t="s">
        <v>82</v>
      </c>
      <c r="J358" t="s">
        <v>25</v>
      </c>
      <c r="K358">
        <v>3.8</v>
      </c>
      <c r="L358" t="s">
        <v>14</v>
      </c>
      <c r="M358" t="s">
        <v>42</v>
      </c>
      <c r="N358" t="s">
        <v>14</v>
      </c>
      <c r="O358">
        <v>27</v>
      </c>
      <c r="P358" t="s">
        <v>21</v>
      </c>
      <c r="Q358" t="s">
        <v>28</v>
      </c>
      <c r="R358" t="str" cm="1">
        <f t="array" ref="R358">_xlfn.IFS(B358&lt;31,"Young-Adult",B358&lt;41,"Adult",B358&lt;61,"Middle-aged",B358&gt;=61,"Senior")</f>
        <v>Middle-aged</v>
      </c>
      <c r="S358" cm="1">
        <f t="array" ref="S358">_xlfn.IFS(Q358 ="Fortnightly",14,Q358="Weekly",7,Q358="Monthly",30,Q358="Quarterly",90,Q358="Bi-Weekly",14,Q358="Annually",365,Q358="Every 3 Months",90,TRUE,"NOT FOUND")</f>
        <v>7</v>
      </c>
    </row>
    <row r="359" spans="1:19" x14ac:dyDescent="0.35">
      <c r="A359">
        <v>358</v>
      </c>
      <c r="B359">
        <v>18</v>
      </c>
      <c r="C359" t="s">
        <v>7</v>
      </c>
      <c r="D359" t="s">
        <v>121</v>
      </c>
      <c r="E359" t="s">
        <v>55</v>
      </c>
      <c r="F359">
        <v>56</v>
      </c>
      <c r="G359" t="s">
        <v>60</v>
      </c>
      <c r="H359" t="s">
        <v>32</v>
      </c>
      <c r="I359" t="s">
        <v>66</v>
      </c>
      <c r="J359" t="s">
        <v>25</v>
      </c>
      <c r="K359">
        <v>4</v>
      </c>
      <c r="L359" t="s">
        <v>14</v>
      </c>
      <c r="M359" t="s">
        <v>42</v>
      </c>
      <c r="N359" t="s">
        <v>14</v>
      </c>
      <c r="O359">
        <v>16</v>
      </c>
      <c r="P359" t="s">
        <v>27</v>
      </c>
      <c r="Q359" t="s">
        <v>64</v>
      </c>
      <c r="R359" t="str" cm="1">
        <f t="array" ref="R359">_xlfn.IFS(B359&lt;31,"Young-Adult",B359&lt;41,"Adult",B359&lt;61,"Middle-aged",B359&gt;=61,"Senior")</f>
        <v>Young-Adult</v>
      </c>
      <c r="S359" cm="1">
        <f t="array" ref="S359">_xlfn.IFS(Q359 ="Fortnightly",14,Q359="Weekly",7,Q359="Monthly",30,Q359="Quarterly",90,Q359="Bi-Weekly",14,Q359="Annually",365,Q359="Every 3 Months",90,TRUE,"NOT FOUND")</f>
        <v>14</v>
      </c>
    </row>
    <row r="360" spans="1:19" x14ac:dyDescent="0.35">
      <c r="A360">
        <v>359</v>
      </c>
      <c r="B360">
        <v>48</v>
      </c>
      <c r="C360" t="s">
        <v>7</v>
      </c>
      <c r="D360" t="s">
        <v>112</v>
      </c>
      <c r="E360" t="s">
        <v>55</v>
      </c>
      <c r="F360">
        <v>25</v>
      </c>
      <c r="G360" t="s">
        <v>136</v>
      </c>
      <c r="H360" t="s">
        <v>80</v>
      </c>
      <c r="I360" t="s">
        <v>124</v>
      </c>
      <c r="J360" t="s">
        <v>41</v>
      </c>
      <c r="K360">
        <v>3.6</v>
      </c>
      <c r="L360" t="s">
        <v>14</v>
      </c>
      <c r="M360" t="s">
        <v>15</v>
      </c>
      <c r="N360" t="s">
        <v>14</v>
      </c>
      <c r="O360">
        <v>36</v>
      </c>
      <c r="P360" t="s">
        <v>27</v>
      </c>
      <c r="Q360" t="s">
        <v>85</v>
      </c>
      <c r="R360" t="str" cm="1">
        <f t="array" ref="R360">_xlfn.IFS(B360&lt;31,"Young-Adult",B360&lt;41,"Adult",B360&lt;61,"Middle-aged",B360&gt;=61,"Senior")</f>
        <v>Middle-aged</v>
      </c>
      <c r="S360" cm="1">
        <f t="array" ref="S360">_xlfn.IFS(Q360 ="Fortnightly",14,Q360="Weekly",7,Q360="Monthly",30,Q360="Quarterly",90,Q360="Bi-Weekly",14,Q360="Annually",365,Q360="Every 3 Months",90,TRUE,"NOT FOUND")</f>
        <v>90</v>
      </c>
    </row>
    <row r="361" spans="1:19" x14ac:dyDescent="0.35">
      <c r="A361">
        <v>360</v>
      </c>
      <c r="B361">
        <v>31</v>
      </c>
      <c r="C361" t="s">
        <v>7</v>
      </c>
      <c r="D361" t="s">
        <v>38</v>
      </c>
      <c r="E361" t="s">
        <v>30</v>
      </c>
      <c r="F361">
        <v>74</v>
      </c>
      <c r="G361" t="s">
        <v>130</v>
      </c>
      <c r="H361" t="s">
        <v>32</v>
      </c>
      <c r="I361" t="s">
        <v>66</v>
      </c>
      <c r="J361" t="s">
        <v>13</v>
      </c>
      <c r="K361">
        <v>3</v>
      </c>
      <c r="L361" t="s">
        <v>14</v>
      </c>
      <c r="M361" t="s">
        <v>62</v>
      </c>
      <c r="N361" t="s">
        <v>14</v>
      </c>
      <c r="O361">
        <v>30</v>
      </c>
      <c r="P361" t="s">
        <v>27</v>
      </c>
      <c r="Q361" t="s">
        <v>85</v>
      </c>
      <c r="R361" t="str" cm="1">
        <f t="array" ref="R361">_xlfn.IFS(B361&lt;31,"Young-Adult",B361&lt;41,"Adult",B361&lt;61,"Middle-aged",B361&gt;=61,"Senior")</f>
        <v>Adult</v>
      </c>
      <c r="S361" cm="1">
        <f t="array" ref="S361">_xlfn.IFS(Q361 ="Fortnightly",14,Q361="Weekly",7,Q361="Monthly",30,Q361="Quarterly",90,Q361="Bi-Weekly",14,Q361="Annually",365,Q361="Every 3 Months",90,TRUE,"NOT FOUND")</f>
        <v>90</v>
      </c>
    </row>
    <row r="362" spans="1:19" x14ac:dyDescent="0.35">
      <c r="A362">
        <v>361</v>
      </c>
      <c r="B362">
        <v>51</v>
      </c>
      <c r="C362" t="s">
        <v>7</v>
      </c>
      <c r="D362" t="s">
        <v>83</v>
      </c>
      <c r="E362" t="s">
        <v>9</v>
      </c>
      <c r="F362">
        <v>30</v>
      </c>
      <c r="G362" t="s">
        <v>31</v>
      </c>
      <c r="H362" t="s">
        <v>32</v>
      </c>
      <c r="I362" t="s">
        <v>73</v>
      </c>
      <c r="J362" t="s">
        <v>41</v>
      </c>
      <c r="K362">
        <v>3</v>
      </c>
      <c r="L362" t="s">
        <v>14</v>
      </c>
      <c r="M362" t="s">
        <v>42</v>
      </c>
      <c r="N362" t="s">
        <v>14</v>
      </c>
      <c r="O362">
        <v>18</v>
      </c>
      <c r="P362" t="s">
        <v>74</v>
      </c>
      <c r="Q362" t="s">
        <v>17</v>
      </c>
      <c r="R362" t="str" cm="1">
        <f t="array" ref="R362">_xlfn.IFS(B362&lt;31,"Young-Adult",B362&lt;41,"Adult",B362&lt;61,"Middle-aged",B362&gt;=61,"Senior")</f>
        <v>Middle-aged</v>
      </c>
      <c r="S362" cm="1">
        <f t="array" ref="S362">_xlfn.IFS(Q362 ="Fortnightly",14,Q362="Weekly",7,Q362="Monthly",30,Q362="Quarterly",90,Q362="Bi-Weekly",14,Q362="Annually",365,Q362="Every 3 Months",90,TRUE,"NOT FOUND")</f>
        <v>14</v>
      </c>
    </row>
    <row r="363" spans="1:19" x14ac:dyDescent="0.35">
      <c r="A363">
        <v>362</v>
      </c>
      <c r="B363">
        <v>65</v>
      </c>
      <c r="C363" t="s">
        <v>7</v>
      </c>
      <c r="D363" t="s">
        <v>101</v>
      </c>
      <c r="E363" t="s">
        <v>9</v>
      </c>
      <c r="F363">
        <v>96</v>
      </c>
      <c r="G363" t="s">
        <v>95</v>
      </c>
      <c r="H363" t="s">
        <v>32</v>
      </c>
      <c r="I363" t="s">
        <v>40</v>
      </c>
      <c r="J363" t="s">
        <v>25</v>
      </c>
      <c r="K363">
        <v>2.6</v>
      </c>
      <c r="L363" t="s">
        <v>14</v>
      </c>
      <c r="M363" t="s">
        <v>26</v>
      </c>
      <c r="N363" t="s">
        <v>14</v>
      </c>
      <c r="O363">
        <v>45</v>
      </c>
      <c r="P363" t="s">
        <v>21</v>
      </c>
      <c r="Q363" t="s">
        <v>37</v>
      </c>
      <c r="R363" t="str" cm="1">
        <f t="array" ref="R363">_xlfn.IFS(B363&lt;31,"Young-Adult",B363&lt;41,"Adult",B363&lt;61,"Middle-aged",B363&gt;=61,"Senior")</f>
        <v>Senior</v>
      </c>
      <c r="S363" cm="1">
        <f t="array" ref="S363">_xlfn.IFS(Q363 ="Fortnightly",14,Q363="Weekly",7,Q363="Monthly",30,Q363="Quarterly",90,Q363="Bi-Weekly",14,Q363="Annually",365,Q363="Every 3 Months",90,TRUE,"NOT FOUND")</f>
        <v>365</v>
      </c>
    </row>
    <row r="364" spans="1:19" x14ac:dyDescent="0.35">
      <c r="A364">
        <v>363</v>
      </c>
      <c r="B364">
        <v>53</v>
      </c>
      <c r="C364" t="s">
        <v>7</v>
      </c>
      <c r="D364" t="s">
        <v>38</v>
      </c>
      <c r="E364" t="s">
        <v>30</v>
      </c>
      <c r="F364">
        <v>64</v>
      </c>
      <c r="G364" t="s">
        <v>93</v>
      </c>
      <c r="H364" t="s">
        <v>32</v>
      </c>
      <c r="I364" t="s">
        <v>49</v>
      </c>
      <c r="J364" t="s">
        <v>45</v>
      </c>
      <c r="K364">
        <v>3.4</v>
      </c>
      <c r="L364" t="s">
        <v>14</v>
      </c>
      <c r="M364" t="s">
        <v>26</v>
      </c>
      <c r="N364" t="s">
        <v>14</v>
      </c>
      <c r="O364">
        <v>1</v>
      </c>
      <c r="P364" t="s">
        <v>16</v>
      </c>
      <c r="Q364" t="s">
        <v>17</v>
      </c>
      <c r="R364" t="str" cm="1">
        <f t="array" ref="R364">_xlfn.IFS(B364&lt;31,"Young-Adult",B364&lt;41,"Adult",B364&lt;61,"Middle-aged",B364&gt;=61,"Senior")</f>
        <v>Middle-aged</v>
      </c>
      <c r="S364" cm="1">
        <f t="array" ref="S364">_xlfn.IFS(Q364 ="Fortnightly",14,Q364="Weekly",7,Q364="Monthly",30,Q364="Quarterly",90,Q364="Bi-Weekly",14,Q364="Annually",365,Q364="Every 3 Months",90,TRUE,"NOT FOUND")</f>
        <v>14</v>
      </c>
    </row>
    <row r="365" spans="1:19" x14ac:dyDescent="0.35">
      <c r="A365">
        <v>364</v>
      </c>
      <c r="B365">
        <v>55</v>
      </c>
      <c r="C365" t="s">
        <v>7</v>
      </c>
      <c r="D365" t="s">
        <v>47</v>
      </c>
      <c r="E365" t="s">
        <v>9</v>
      </c>
      <c r="F365">
        <v>88</v>
      </c>
      <c r="G365" t="s">
        <v>91</v>
      </c>
      <c r="H365" t="s">
        <v>11</v>
      </c>
      <c r="I365" t="s">
        <v>122</v>
      </c>
      <c r="J365" t="s">
        <v>13</v>
      </c>
      <c r="K365">
        <v>3.1</v>
      </c>
      <c r="L365" t="s">
        <v>14</v>
      </c>
      <c r="M365" t="s">
        <v>26</v>
      </c>
      <c r="N365" t="s">
        <v>14</v>
      </c>
      <c r="O365">
        <v>42</v>
      </c>
      <c r="P365" t="s">
        <v>63</v>
      </c>
      <c r="Q365" t="s">
        <v>17</v>
      </c>
      <c r="R365" t="str" cm="1">
        <f t="array" ref="R365">_xlfn.IFS(B365&lt;31,"Young-Adult",B365&lt;41,"Adult",B365&lt;61,"Middle-aged",B365&gt;=61,"Senior")</f>
        <v>Middle-aged</v>
      </c>
      <c r="S365" cm="1">
        <f t="array" ref="S365">_xlfn.IFS(Q365 ="Fortnightly",14,Q365="Weekly",7,Q365="Monthly",30,Q365="Quarterly",90,Q365="Bi-Weekly",14,Q365="Annually",365,Q365="Every 3 Months",90,TRUE,"NOT FOUND")</f>
        <v>14</v>
      </c>
    </row>
    <row r="366" spans="1:19" x14ac:dyDescent="0.35">
      <c r="A366">
        <v>365</v>
      </c>
      <c r="B366">
        <v>62</v>
      </c>
      <c r="C366" t="s">
        <v>7</v>
      </c>
      <c r="D366" t="s">
        <v>59</v>
      </c>
      <c r="E366" t="s">
        <v>30</v>
      </c>
      <c r="F366">
        <v>88</v>
      </c>
      <c r="G366" t="s">
        <v>102</v>
      </c>
      <c r="H366" t="s">
        <v>11</v>
      </c>
      <c r="I366" t="s">
        <v>49</v>
      </c>
      <c r="J366" t="s">
        <v>41</v>
      </c>
      <c r="K366">
        <v>3</v>
      </c>
      <c r="L366" t="s">
        <v>14</v>
      </c>
      <c r="M366" t="s">
        <v>26</v>
      </c>
      <c r="N366" t="s">
        <v>14</v>
      </c>
      <c r="O366">
        <v>7</v>
      </c>
      <c r="P366" t="s">
        <v>16</v>
      </c>
      <c r="Q366" t="s">
        <v>85</v>
      </c>
      <c r="R366" t="str" cm="1">
        <f t="array" ref="R366">_xlfn.IFS(B366&lt;31,"Young-Adult",B366&lt;41,"Adult",B366&lt;61,"Middle-aged",B366&gt;=61,"Senior")</f>
        <v>Senior</v>
      </c>
      <c r="S366" cm="1">
        <f t="array" ref="S366">_xlfn.IFS(Q366 ="Fortnightly",14,Q366="Weekly",7,Q366="Monthly",30,Q366="Quarterly",90,Q366="Bi-Weekly",14,Q366="Annually",365,Q366="Every 3 Months",90,TRUE,"NOT FOUND")</f>
        <v>90</v>
      </c>
    </row>
    <row r="367" spans="1:19" x14ac:dyDescent="0.35">
      <c r="A367">
        <v>366</v>
      </c>
      <c r="B367">
        <v>55</v>
      </c>
      <c r="C367" t="s">
        <v>7</v>
      </c>
      <c r="D367" t="s">
        <v>131</v>
      </c>
      <c r="E367" t="s">
        <v>55</v>
      </c>
      <c r="F367">
        <v>88</v>
      </c>
      <c r="G367" t="s">
        <v>52</v>
      </c>
      <c r="H367" t="s">
        <v>80</v>
      </c>
      <c r="I367" t="s">
        <v>12</v>
      </c>
      <c r="J367" t="s">
        <v>41</v>
      </c>
      <c r="K367">
        <v>3.7</v>
      </c>
      <c r="L367" t="s">
        <v>14</v>
      </c>
      <c r="M367" t="s">
        <v>42</v>
      </c>
      <c r="N367" t="s">
        <v>14</v>
      </c>
      <c r="O367">
        <v>50</v>
      </c>
      <c r="P367" t="s">
        <v>34</v>
      </c>
      <c r="Q367" t="s">
        <v>46</v>
      </c>
      <c r="R367" t="str" cm="1">
        <f t="array" ref="R367">_xlfn.IFS(B367&lt;31,"Young-Adult",B367&lt;41,"Adult",B367&lt;61,"Middle-aged",B367&gt;=61,"Senior")</f>
        <v>Middle-aged</v>
      </c>
      <c r="S367" cm="1">
        <f t="array" ref="S367">_xlfn.IFS(Q367 ="Fortnightly",14,Q367="Weekly",7,Q367="Monthly",30,Q367="Quarterly",90,Q367="Bi-Weekly",14,Q367="Annually",365,Q367="Every 3 Months",90,TRUE,"NOT FOUND")</f>
        <v>90</v>
      </c>
    </row>
    <row r="368" spans="1:19" x14ac:dyDescent="0.35">
      <c r="A368">
        <v>367</v>
      </c>
      <c r="B368">
        <v>64</v>
      </c>
      <c r="C368" t="s">
        <v>7</v>
      </c>
      <c r="D368" t="s">
        <v>113</v>
      </c>
      <c r="E368" t="s">
        <v>9</v>
      </c>
      <c r="F368">
        <v>36</v>
      </c>
      <c r="G368" t="s">
        <v>133</v>
      </c>
      <c r="H368" t="s">
        <v>32</v>
      </c>
      <c r="I368" t="s">
        <v>36</v>
      </c>
      <c r="J368" t="s">
        <v>25</v>
      </c>
      <c r="K368">
        <v>3.5</v>
      </c>
      <c r="L368" t="s">
        <v>14</v>
      </c>
      <c r="M368" t="s">
        <v>62</v>
      </c>
      <c r="N368" t="s">
        <v>14</v>
      </c>
      <c r="O368">
        <v>37</v>
      </c>
      <c r="P368" t="s">
        <v>16</v>
      </c>
      <c r="Q368" t="s">
        <v>17</v>
      </c>
      <c r="R368" t="str" cm="1">
        <f t="array" ref="R368">_xlfn.IFS(B368&lt;31,"Young-Adult",B368&lt;41,"Adult",B368&lt;61,"Middle-aged",B368&gt;=61,"Senior")</f>
        <v>Senior</v>
      </c>
      <c r="S368" cm="1">
        <f t="array" ref="S368">_xlfn.IFS(Q368 ="Fortnightly",14,Q368="Weekly",7,Q368="Monthly",30,Q368="Quarterly",90,Q368="Bi-Weekly",14,Q368="Annually",365,Q368="Every 3 Months",90,TRUE,"NOT FOUND")</f>
        <v>14</v>
      </c>
    </row>
    <row r="369" spans="1:19" x14ac:dyDescent="0.35">
      <c r="A369">
        <v>368</v>
      </c>
      <c r="B369">
        <v>52</v>
      </c>
      <c r="C369" t="s">
        <v>7</v>
      </c>
      <c r="D369" t="s">
        <v>69</v>
      </c>
      <c r="E369" t="s">
        <v>9</v>
      </c>
      <c r="F369">
        <v>40</v>
      </c>
      <c r="G369" t="s">
        <v>110</v>
      </c>
      <c r="H369" t="s">
        <v>80</v>
      </c>
      <c r="I369" t="s">
        <v>97</v>
      </c>
      <c r="J369" t="s">
        <v>25</v>
      </c>
      <c r="K369">
        <v>2.8</v>
      </c>
      <c r="L369" t="s">
        <v>14</v>
      </c>
      <c r="M369" t="s">
        <v>62</v>
      </c>
      <c r="N369" t="s">
        <v>14</v>
      </c>
      <c r="O369">
        <v>18</v>
      </c>
      <c r="P369" t="s">
        <v>63</v>
      </c>
      <c r="Q369" t="s">
        <v>76</v>
      </c>
      <c r="R369" t="str" cm="1">
        <f t="array" ref="R369">_xlfn.IFS(B369&lt;31,"Young-Adult",B369&lt;41,"Adult",B369&lt;61,"Middle-aged",B369&gt;=61,"Senior")</f>
        <v>Middle-aged</v>
      </c>
      <c r="S369" cm="1">
        <f t="array" ref="S369">_xlfn.IFS(Q369 ="Fortnightly",14,Q369="Weekly",7,Q369="Monthly",30,Q369="Quarterly",90,Q369="Bi-Weekly",14,Q369="Annually",365,Q369="Every 3 Months",90,TRUE,"NOT FOUND")</f>
        <v>30</v>
      </c>
    </row>
    <row r="370" spans="1:19" x14ac:dyDescent="0.35">
      <c r="A370">
        <v>369</v>
      </c>
      <c r="B370">
        <v>24</v>
      </c>
      <c r="C370" t="s">
        <v>7</v>
      </c>
      <c r="D370" t="s">
        <v>54</v>
      </c>
      <c r="E370" t="s">
        <v>55</v>
      </c>
      <c r="F370">
        <v>39</v>
      </c>
      <c r="G370" t="s">
        <v>89</v>
      </c>
      <c r="H370" t="s">
        <v>32</v>
      </c>
      <c r="I370" t="s">
        <v>49</v>
      </c>
      <c r="J370" t="s">
        <v>25</v>
      </c>
      <c r="K370">
        <v>4.5</v>
      </c>
      <c r="L370" t="s">
        <v>14</v>
      </c>
      <c r="M370" t="s">
        <v>42</v>
      </c>
      <c r="N370" t="s">
        <v>14</v>
      </c>
      <c r="O370">
        <v>29</v>
      </c>
      <c r="P370" t="s">
        <v>21</v>
      </c>
      <c r="Q370" t="s">
        <v>76</v>
      </c>
      <c r="R370" t="str" cm="1">
        <f t="array" ref="R370">_xlfn.IFS(B370&lt;31,"Young-Adult",B370&lt;41,"Adult",B370&lt;61,"Middle-aged",B370&gt;=61,"Senior")</f>
        <v>Young-Adult</v>
      </c>
      <c r="S370" cm="1">
        <f t="array" ref="S370">_xlfn.IFS(Q370 ="Fortnightly",14,Q370="Weekly",7,Q370="Monthly",30,Q370="Quarterly",90,Q370="Bi-Weekly",14,Q370="Annually",365,Q370="Every 3 Months",90,TRUE,"NOT FOUND")</f>
        <v>30</v>
      </c>
    </row>
    <row r="371" spans="1:19" x14ac:dyDescent="0.35">
      <c r="A371">
        <v>370</v>
      </c>
      <c r="B371">
        <v>38</v>
      </c>
      <c r="C371" t="s">
        <v>7</v>
      </c>
      <c r="D371" t="s">
        <v>121</v>
      </c>
      <c r="E371" t="s">
        <v>55</v>
      </c>
      <c r="F371">
        <v>40</v>
      </c>
      <c r="G371" t="s">
        <v>138</v>
      </c>
      <c r="H371" t="s">
        <v>32</v>
      </c>
      <c r="I371" t="s">
        <v>53</v>
      </c>
      <c r="J371" t="s">
        <v>41</v>
      </c>
      <c r="K371">
        <v>3.3</v>
      </c>
      <c r="L371" t="s">
        <v>14</v>
      </c>
      <c r="M371" t="s">
        <v>62</v>
      </c>
      <c r="N371" t="s">
        <v>14</v>
      </c>
      <c r="O371">
        <v>45</v>
      </c>
      <c r="P371" t="s">
        <v>34</v>
      </c>
      <c r="Q371" t="s">
        <v>46</v>
      </c>
      <c r="R371" t="str" cm="1">
        <f t="array" ref="R371">_xlfn.IFS(B371&lt;31,"Young-Adult",B371&lt;41,"Adult",B371&lt;61,"Middle-aged",B371&gt;=61,"Senior")</f>
        <v>Adult</v>
      </c>
      <c r="S371" cm="1">
        <f t="array" ref="S371">_xlfn.IFS(Q371 ="Fortnightly",14,Q371="Weekly",7,Q371="Monthly",30,Q371="Quarterly",90,Q371="Bi-Weekly",14,Q371="Annually",365,Q371="Every 3 Months",90,TRUE,"NOT FOUND")</f>
        <v>90</v>
      </c>
    </row>
    <row r="372" spans="1:19" x14ac:dyDescent="0.35">
      <c r="A372">
        <v>371</v>
      </c>
      <c r="B372">
        <v>59</v>
      </c>
      <c r="C372" t="s">
        <v>7</v>
      </c>
      <c r="D372" t="s">
        <v>107</v>
      </c>
      <c r="E372" t="s">
        <v>55</v>
      </c>
      <c r="F372">
        <v>34</v>
      </c>
      <c r="G372" t="s">
        <v>35</v>
      </c>
      <c r="H372" t="s">
        <v>32</v>
      </c>
      <c r="I372" t="s">
        <v>66</v>
      </c>
      <c r="J372" t="s">
        <v>13</v>
      </c>
      <c r="K372">
        <v>3.4</v>
      </c>
      <c r="L372" t="s">
        <v>14</v>
      </c>
      <c r="M372" t="s">
        <v>15</v>
      </c>
      <c r="N372" t="s">
        <v>14</v>
      </c>
      <c r="O372">
        <v>13</v>
      </c>
      <c r="P372" t="s">
        <v>34</v>
      </c>
      <c r="Q372" t="s">
        <v>28</v>
      </c>
      <c r="R372" t="str" cm="1">
        <f t="array" ref="R372">_xlfn.IFS(B372&lt;31,"Young-Adult",B372&lt;41,"Adult",B372&lt;61,"Middle-aged",B372&gt;=61,"Senior")</f>
        <v>Middle-aged</v>
      </c>
      <c r="S372" cm="1">
        <f t="array" ref="S372">_xlfn.IFS(Q372 ="Fortnightly",14,Q372="Weekly",7,Q372="Monthly",30,Q372="Quarterly",90,Q372="Bi-Weekly",14,Q372="Annually",365,Q372="Every 3 Months",90,TRUE,"NOT FOUND")</f>
        <v>7</v>
      </c>
    </row>
    <row r="373" spans="1:19" x14ac:dyDescent="0.35">
      <c r="A373">
        <v>372</v>
      </c>
      <c r="B373">
        <v>27</v>
      </c>
      <c r="C373" t="s">
        <v>7</v>
      </c>
      <c r="D373" t="s">
        <v>38</v>
      </c>
      <c r="E373" t="s">
        <v>30</v>
      </c>
      <c r="F373">
        <v>83</v>
      </c>
      <c r="G373" t="s">
        <v>86</v>
      </c>
      <c r="H373" t="s">
        <v>24</v>
      </c>
      <c r="I373" t="s">
        <v>57</v>
      </c>
      <c r="J373" t="s">
        <v>13</v>
      </c>
      <c r="K373">
        <v>3.2</v>
      </c>
      <c r="L373" t="s">
        <v>14</v>
      </c>
      <c r="M373" t="s">
        <v>58</v>
      </c>
      <c r="N373" t="s">
        <v>14</v>
      </c>
      <c r="O373">
        <v>47</v>
      </c>
      <c r="P373" t="s">
        <v>34</v>
      </c>
      <c r="Q373" t="s">
        <v>76</v>
      </c>
      <c r="R373" t="str" cm="1">
        <f t="array" ref="R373">_xlfn.IFS(B373&lt;31,"Young-Adult",B373&lt;41,"Adult",B373&lt;61,"Middle-aged",B373&gt;=61,"Senior")</f>
        <v>Young-Adult</v>
      </c>
      <c r="S373" cm="1">
        <f t="array" ref="S373">_xlfn.IFS(Q373 ="Fortnightly",14,Q373="Weekly",7,Q373="Monthly",30,Q373="Quarterly",90,Q373="Bi-Weekly",14,Q373="Annually",365,Q373="Every 3 Months",90,TRUE,"NOT FOUND")</f>
        <v>30</v>
      </c>
    </row>
    <row r="374" spans="1:19" x14ac:dyDescent="0.35">
      <c r="A374">
        <v>373</v>
      </c>
      <c r="B374">
        <v>24</v>
      </c>
      <c r="C374" t="s">
        <v>7</v>
      </c>
      <c r="D374" t="s">
        <v>18</v>
      </c>
      <c r="E374" t="s">
        <v>9</v>
      </c>
      <c r="F374">
        <v>85</v>
      </c>
      <c r="G374" t="s">
        <v>126</v>
      </c>
      <c r="H374" t="s">
        <v>11</v>
      </c>
      <c r="I374" t="s">
        <v>109</v>
      </c>
      <c r="J374" t="s">
        <v>41</v>
      </c>
      <c r="K374">
        <v>3.7</v>
      </c>
      <c r="L374" t="s">
        <v>14</v>
      </c>
      <c r="M374" t="s">
        <v>42</v>
      </c>
      <c r="N374" t="s">
        <v>14</v>
      </c>
      <c r="O374">
        <v>7</v>
      </c>
      <c r="P374" t="s">
        <v>74</v>
      </c>
      <c r="Q374" t="s">
        <v>28</v>
      </c>
      <c r="R374" t="str" cm="1">
        <f t="array" ref="R374">_xlfn.IFS(B374&lt;31,"Young-Adult",B374&lt;41,"Adult",B374&lt;61,"Middle-aged",B374&gt;=61,"Senior")</f>
        <v>Young-Adult</v>
      </c>
      <c r="S374" cm="1">
        <f t="array" ref="S374">_xlfn.IFS(Q374 ="Fortnightly",14,Q374="Weekly",7,Q374="Monthly",30,Q374="Quarterly",90,Q374="Bi-Weekly",14,Q374="Annually",365,Q374="Every 3 Months",90,TRUE,"NOT FOUND")</f>
        <v>7</v>
      </c>
    </row>
    <row r="375" spans="1:19" x14ac:dyDescent="0.35">
      <c r="A375">
        <v>374</v>
      </c>
      <c r="B375">
        <v>23</v>
      </c>
      <c r="C375" t="s">
        <v>7</v>
      </c>
      <c r="D375" t="s">
        <v>50</v>
      </c>
      <c r="E375" t="s">
        <v>51</v>
      </c>
      <c r="F375">
        <v>27</v>
      </c>
      <c r="G375" t="s">
        <v>102</v>
      </c>
      <c r="H375" t="s">
        <v>11</v>
      </c>
      <c r="I375" t="s">
        <v>40</v>
      </c>
      <c r="J375" t="s">
        <v>41</v>
      </c>
      <c r="K375">
        <v>4.5999999999999996</v>
      </c>
      <c r="L375" t="s">
        <v>14</v>
      </c>
      <c r="M375" t="s">
        <v>15</v>
      </c>
      <c r="N375" t="s">
        <v>14</v>
      </c>
      <c r="O375">
        <v>11</v>
      </c>
      <c r="P375" t="s">
        <v>16</v>
      </c>
      <c r="Q375" t="s">
        <v>64</v>
      </c>
      <c r="R375" t="str" cm="1">
        <f t="array" ref="R375">_xlfn.IFS(B375&lt;31,"Young-Adult",B375&lt;41,"Adult",B375&lt;61,"Middle-aged",B375&gt;=61,"Senior")</f>
        <v>Young-Adult</v>
      </c>
      <c r="S375" cm="1">
        <f t="array" ref="S375">_xlfn.IFS(Q375 ="Fortnightly",14,Q375="Weekly",7,Q375="Monthly",30,Q375="Quarterly",90,Q375="Bi-Weekly",14,Q375="Annually",365,Q375="Every 3 Months",90,TRUE,"NOT FOUND")</f>
        <v>14</v>
      </c>
    </row>
    <row r="376" spans="1:19" x14ac:dyDescent="0.35">
      <c r="A376">
        <v>375</v>
      </c>
      <c r="B376">
        <v>69</v>
      </c>
      <c r="C376" t="s">
        <v>7</v>
      </c>
      <c r="D376" t="s">
        <v>94</v>
      </c>
      <c r="E376" t="s">
        <v>55</v>
      </c>
      <c r="F376">
        <v>78</v>
      </c>
      <c r="G376" t="s">
        <v>111</v>
      </c>
      <c r="H376" t="s">
        <v>24</v>
      </c>
      <c r="I376" t="s">
        <v>61</v>
      </c>
      <c r="J376" t="s">
        <v>25</v>
      </c>
      <c r="K376">
        <v>5</v>
      </c>
      <c r="L376" t="s">
        <v>14</v>
      </c>
      <c r="M376" t="s">
        <v>62</v>
      </c>
      <c r="N376" t="s">
        <v>14</v>
      </c>
      <c r="O376">
        <v>39</v>
      </c>
      <c r="P376" t="s">
        <v>63</v>
      </c>
      <c r="Q376" t="s">
        <v>76</v>
      </c>
      <c r="R376" t="str" cm="1">
        <f t="array" ref="R376">_xlfn.IFS(B376&lt;31,"Young-Adult",B376&lt;41,"Adult",B376&lt;61,"Middle-aged",B376&gt;=61,"Senior")</f>
        <v>Senior</v>
      </c>
      <c r="S376" cm="1">
        <f t="array" ref="S376">_xlfn.IFS(Q376 ="Fortnightly",14,Q376="Weekly",7,Q376="Monthly",30,Q376="Quarterly",90,Q376="Bi-Weekly",14,Q376="Annually",365,Q376="Every 3 Months",90,TRUE,"NOT FOUND")</f>
        <v>30</v>
      </c>
    </row>
    <row r="377" spans="1:19" x14ac:dyDescent="0.35">
      <c r="A377">
        <v>376</v>
      </c>
      <c r="B377">
        <v>59</v>
      </c>
      <c r="C377" t="s">
        <v>7</v>
      </c>
      <c r="D377" t="s">
        <v>77</v>
      </c>
      <c r="E377" t="s">
        <v>55</v>
      </c>
      <c r="F377">
        <v>32</v>
      </c>
      <c r="G377" t="s">
        <v>89</v>
      </c>
      <c r="H377" t="s">
        <v>32</v>
      </c>
      <c r="I377" t="s">
        <v>66</v>
      </c>
      <c r="J377" t="s">
        <v>41</v>
      </c>
      <c r="K377">
        <v>4.4000000000000004</v>
      </c>
      <c r="L377" t="s">
        <v>14</v>
      </c>
      <c r="M377" t="s">
        <v>42</v>
      </c>
      <c r="N377" t="s">
        <v>14</v>
      </c>
      <c r="O377">
        <v>6</v>
      </c>
      <c r="P377" t="s">
        <v>74</v>
      </c>
      <c r="Q377" t="s">
        <v>46</v>
      </c>
      <c r="R377" t="str" cm="1">
        <f t="array" ref="R377">_xlfn.IFS(B377&lt;31,"Young-Adult",B377&lt;41,"Adult",B377&lt;61,"Middle-aged",B377&gt;=61,"Senior")</f>
        <v>Middle-aged</v>
      </c>
      <c r="S377" cm="1">
        <f t="array" ref="S377">_xlfn.IFS(Q377 ="Fortnightly",14,Q377="Weekly",7,Q377="Monthly",30,Q377="Quarterly",90,Q377="Bi-Weekly",14,Q377="Annually",365,Q377="Every 3 Months",90,TRUE,"NOT FOUND")</f>
        <v>90</v>
      </c>
    </row>
    <row r="378" spans="1:19" x14ac:dyDescent="0.35">
      <c r="A378">
        <v>377</v>
      </c>
      <c r="B378">
        <v>51</v>
      </c>
      <c r="C378" t="s">
        <v>7</v>
      </c>
      <c r="D378" t="s">
        <v>59</v>
      </c>
      <c r="E378" t="s">
        <v>30</v>
      </c>
      <c r="F378">
        <v>51</v>
      </c>
      <c r="G378" t="s">
        <v>119</v>
      </c>
      <c r="H378" t="s">
        <v>24</v>
      </c>
      <c r="I378" t="s">
        <v>12</v>
      </c>
      <c r="J378" t="s">
        <v>45</v>
      </c>
      <c r="K378">
        <v>4.9000000000000004</v>
      </c>
      <c r="L378" t="s">
        <v>14</v>
      </c>
      <c r="M378" t="s">
        <v>15</v>
      </c>
      <c r="N378" t="s">
        <v>14</v>
      </c>
      <c r="O378">
        <v>2</v>
      </c>
      <c r="P378" t="s">
        <v>16</v>
      </c>
      <c r="Q378" t="s">
        <v>64</v>
      </c>
      <c r="R378" t="str" cm="1">
        <f t="array" ref="R378">_xlfn.IFS(B378&lt;31,"Young-Adult",B378&lt;41,"Adult",B378&lt;61,"Middle-aged",B378&gt;=61,"Senior")</f>
        <v>Middle-aged</v>
      </c>
      <c r="S378" cm="1">
        <f t="array" ref="S378">_xlfn.IFS(Q378 ="Fortnightly",14,Q378="Weekly",7,Q378="Monthly",30,Q378="Quarterly",90,Q378="Bi-Weekly",14,Q378="Annually",365,Q378="Every 3 Months",90,TRUE,"NOT FOUND")</f>
        <v>14</v>
      </c>
    </row>
    <row r="379" spans="1:19" x14ac:dyDescent="0.35">
      <c r="A379">
        <v>378</v>
      </c>
      <c r="B379">
        <v>63</v>
      </c>
      <c r="C379" t="s">
        <v>7</v>
      </c>
      <c r="D379" t="s">
        <v>107</v>
      </c>
      <c r="E379" t="s">
        <v>55</v>
      </c>
      <c r="F379">
        <v>32</v>
      </c>
      <c r="G379" t="s">
        <v>19</v>
      </c>
      <c r="H379" t="s">
        <v>32</v>
      </c>
      <c r="I379" t="s">
        <v>53</v>
      </c>
      <c r="J379" t="s">
        <v>25</v>
      </c>
      <c r="K379">
        <v>4.0999999999999996</v>
      </c>
      <c r="L379" t="s">
        <v>14</v>
      </c>
      <c r="M379" t="s">
        <v>42</v>
      </c>
      <c r="N379" t="s">
        <v>14</v>
      </c>
      <c r="O379">
        <v>39</v>
      </c>
      <c r="P379" t="s">
        <v>27</v>
      </c>
      <c r="Q379" t="s">
        <v>85</v>
      </c>
      <c r="R379" t="str" cm="1">
        <f t="array" ref="R379">_xlfn.IFS(B379&lt;31,"Young-Adult",B379&lt;41,"Adult",B379&lt;61,"Middle-aged",B379&gt;=61,"Senior")</f>
        <v>Senior</v>
      </c>
      <c r="S379" cm="1">
        <f t="array" ref="S379">_xlfn.IFS(Q379 ="Fortnightly",14,Q379="Weekly",7,Q379="Monthly",30,Q379="Quarterly",90,Q379="Bi-Weekly",14,Q379="Annually",365,Q379="Every 3 Months",90,TRUE,"NOT FOUND")</f>
        <v>90</v>
      </c>
    </row>
    <row r="380" spans="1:19" x14ac:dyDescent="0.35">
      <c r="A380">
        <v>379</v>
      </c>
      <c r="B380">
        <v>54</v>
      </c>
      <c r="C380" t="s">
        <v>7</v>
      </c>
      <c r="D380" t="s">
        <v>69</v>
      </c>
      <c r="E380" t="s">
        <v>9</v>
      </c>
      <c r="F380">
        <v>62</v>
      </c>
      <c r="G380" t="s">
        <v>95</v>
      </c>
      <c r="H380" t="s">
        <v>11</v>
      </c>
      <c r="I380" t="s">
        <v>109</v>
      </c>
      <c r="J380" t="s">
        <v>13</v>
      </c>
      <c r="K380">
        <v>4.9000000000000004</v>
      </c>
      <c r="L380" t="s">
        <v>14</v>
      </c>
      <c r="M380" t="s">
        <v>33</v>
      </c>
      <c r="N380" t="s">
        <v>14</v>
      </c>
      <c r="O380">
        <v>23</v>
      </c>
      <c r="P380" t="s">
        <v>27</v>
      </c>
      <c r="Q380" t="s">
        <v>76</v>
      </c>
      <c r="R380" t="str" cm="1">
        <f t="array" ref="R380">_xlfn.IFS(B380&lt;31,"Young-Adult",B380&lt;41,"Adult",B380&lt;61,"Middle-aged",B380&gt;=61,"Senior")</f>
        <v>Middle-aged</v>
      </c>
      <c r="S380" cm="1">
        <f t="array" ref="S380">_xlfn.IFS(Q380 ="Fortnightly",14,Q380="Weekly",7,Q380="Monthly",30,Q380="Quarterly",90,Q380="Bi-Weekly",14,Q380="Annually",365,Q380="Every 3 Months",90,TRUE,"NOT FOUND")</f>
        <v>30</v>
      </c>
    </row>
    <row r="381" spans="1:19" x14ac:dyDescent="0.35">
      <c r="A381">
        <v>380</v>
      </c>
      <c r="B381">
        <v>32</v>
      </c>
      <c r="C381" t="s">
        <v>7</v>
      </c>
      <c r="D381" t="s">
        <v>101</v>
      </c>
      <c r="E381" t="s">
        <v>9</v>
      </c>
      <c r="F381">
        <v>29</v>
      </c>
      <c r="G381" t="s">
        <v>44</v>
      </c>
      <c r="H381" t="s">
        <v>24</v>
      </c>
      <c r="I381" t="s">
        <v>124</v>
      </c>
      <c r="J381" t="s">
        <v>45</v>
      </c>
      <c r="K381">
        <v>4.7</v>
      </c>
      <c r="L381" t="s">
        <v>14</v>
      </c>
      <c r="M381" t="s">
        <v>58</v>
      </c>
      <c r="N381" t="s">
        <v>14</v>
      </c>
      <c r="O381">
        <v>46</v>
      </c>
      <c r="P381" t="s">
        <v>74</v>
      </c>
      <c r="Q381" t="s">
        <v>64</v>
      </c>
      <c r="R381" t="str" cm="1">
        <f t="array" ref="R381">_xlfn.IFS(B381&lt;31,"Young-Adult",B381&lt;41,"Adult",B381&lt;61,"Middle-aged",B381&gt;=61,"Senior")</f>
        <v>Adult</v>
      </c>
      <c r="S381" cm="1">
        <f t="array" ref="S381">_xlfn.IFS(Q381 ="Fortnightly",14,Q381="Weekly",7,Q381="Monthly",30,Q381="Quarterly",90,Q381="Bi-Weekly",14,Q381="Annually",365,Q381="Every 3 Months",90,TRUE,"NOT FOUND")</f>
        <v>14</v>
      </c>
    </row>
    <row r="382" spans="1:19" x14ac:dyDescent="0.35">
      <c r="A382">
        <v>381</v>
      </c>
      <c r="B382">
        <v>39</v>
      </c>
      <c r="C382" t="s">
        <v>7</v>
      </c>
      <c r="D382" t="s">
        <v>120</v>
      </c>
      <c r="E382" t="s">
        <v>55</v>
      </c>
      <c r="F382">
        <v>69</v>
      </c>
      <c r="G382" t="s">
        <v>70</v>
      </c>
      <c r="H382" t="s">
        <v>80</v>
      </c>
      <c r="I382" t="s">
        <v>106</v>
      </c>
      <c r="J382" t="s">
        <v>45</v>
      </c>
      <c r="K382">
        <v>3</v>
      </c>
      <c r="L382" t="s">
        <v>14</v>
      </c>
      <c r="M382" t="s">
        <v>62</v>
      </c>
      <c r="N382" t="s">
        <v>14</v>
      </c>
      <c r="O382">
        <v>19</v>
      </c>
      <c r="P382" t="s">
        <v>63</v>
      </c>
      <c r="Q382" t="s">
        <v>28</v>
      </c>
      <c r="R382" t="str" cm="1">
        <f t="array" ref="R382">_xlfn.IFS(B382&lt;31,"Young-Adult",B382&lt;41,"Adult",B382&lt;61,"Middle-aged",B382&gt;=61,"Senior")</f>
        <v>Adult</v>
      </c>
      <c r="S382" cm="1">
        <f t="array" ref="S382">_xlfn.IFS(Q382 ="Fortnightly",14,Q382="Weekly",7,Q382="Monthly",30,Q382="Quarterly",90,Q382="Bi-Weekly",14,Q382="Annually",365,Q382="Every 3 Months",90,TRUE,"NOT FOUND")</f>
        <v>7</v>
      </c>
    </row>
    <row r="383" spans="1:19" x14ac:dyDescent="0.35">
      <c r="A383">
        <v>382</v>
      </c>
      <c r="B383">
        <v>66</v>
      </c>
      <c r="C383" t="s">
        <v>7</v>
      </c>
      <c r="D383" t="s">
        <v>94</v>
      </c>
      <c r="E383" t="s">
        <v>55</v>
      </c>
      <c r="F383">
        <v>25</v>
      </c>
      <c r="G383" t="s">
        <v>19</v>
      </c>
      <c r="H383" t="s">
        <v>11</v>
      </c>
      <c r="I383" t="s">
        <v>81</v>
      </c>
      <c r="J383" t="s">
        <v>13</v>
      </c>
      <c r="K383">
        <v>3.4</v>
      </c>
      <c r="L383" t="s">
        <v>14</v>
      </c>
      <c r="M383" t="s">
        <v>62</v>
      </c>
      <c r="N383" t="s">
        <v>14</v>
      </c>
      <c r="O383">
        <v>3</v>
      </c>
      <c r="P383" t="s">
        <v>27</v>
      </c>
      <c r="Q383" t="s">
        <v>85</v>
      </c>
      <c r="R383" t="str" cm="1">
        <f t="array" ref="R383">_xlfn.IFS(B383&lt;31,"Young-Adult",B383&lt;41,"Adult",B383&lt;61,"Middle-aged",B383&gt;=61,"Senior")</f>
        <v>Senior</v>
      </c>
      <c r="S383" cm="1">
        <f t="array" ref="S383">_xlfn.IFS(Q383 ="Fortnightly",14,Q383="Weekly",7,Q383="Monthly",30,Q383="Quarterly",90,Q383="Bi-Weekly",14,Q383="Annually",365,Q383="Every 3 Months",90,TRUE,"NOT FOUND")</f>
        <v>90</v>
      </c>
    </row>
    <row r="384" spans="1:19" x14ac:dyDescent="0.35">
      <c r="A384">
        <v>383</v>
      </c>
      <c r="B384">
        <v>28</v>
      </c>
      <c r="C384" t="s">
        <v>7</v>
      </c>
      <c r="D384" t="s">
        <v>22</v>
      </c>
      <c r="E384" t="s">
        <v>9</v>
      </c>
      <c r="F384">
        <v>76</v>
      </c>
      <c r="G384" t="s">
        <v>87</v>
      </c>
      <c r="H384" t="s">
        <v>32</v>
      </c>
      <c r="I384" t="s">
        <v>88</v>
      </c>
      <c r="J384" t="s">
        <v>13</v>
      </c>
      <c r="K384">
        <v>3.2</v>
      </c>
      <c r="L384" t="s">
        <v>14</v>
      </c>
      <c r="M384" t="s">
        <v>62</v>
      </c>
      <c r="N384" t="s">
        <v>14</v>
      </c>
      <c r="O384">
        <v>47</v>
      </c>
      <c r="P384" t="s">
        <v>34</v>
      </c>
      <c r="Q384" t="s">
        <v>46</v>
      </c>
      <c r="R384" t="str" cm="1">
        <f t="array" ref="R384">_xlfn.IFS(B384&lt;31,"Young-Adult",B384&lt;41,"Adult",B384&lt;61,"Middle-aged",B384&gt;=61,"Senior")</f>
        <v>Young-Adult</v>
      </c>
      <c r="S384" cm="1">
        <f t="array" ref="S384">_xlfn.IFS(Q384 ="Fortnightly",14,Q384="Weekly",7,Q384="Monthly",30,Q384="Quarterly",90,Q384="Bi-Weekly",14,Q384="Annually",365,Q384="Every 3 Months",90,TRUE,"NOT FOUND")</f>
        <v>90</v>
      </c>
    </row>
    <row r="385" spans="1:19" x14ac:dyDescent="0.35">
      <c r="A385">
        <v>384</v>
      </c>
      <c r="B385">
        <v>50</v>
      </c>
      <c r="C385" t="s">
        <v>7</v>
      </c>
      <c r="D385" t="s">
        <v>77</v>
      </c>
      <c r="E385" t="s">
        <v>55</v>
      </c>
      <c r="F385">
        <v>77</v>
      </c>
      <c r="G385" t="s">
        <v>52</v>
      </c>
      <c r="H385" t="s">
        <v>24</v>
      </c>
      <c r="I385" t="s">
        <v>124</v>
      </c>
      <c r="J385" t="s">
        <v>45</v>
      </c>
      <c r="K385">
        <v>3.8</v>
      </c>
      <c r="L385" t="s">
        <v>14</v>
      </c>
      <c r="M385" t="s">
        <v>42</v>
      </c>
      <c r="N385" t="s">
        <v>14</v>
      </c>
      <c r="O385">
        <v>6</v>
      </c>
      <c r="P385" t="s">
        <v>34</v>
      </c>
      <c r="Q385" t="s">
        <v>46</v>
      </c>
      <c r="R385" t="str" cm="1">
        <f t="array" ref="R385">_xlfn.IFS(B385&lt;31,"Young-Adult",B385&lt;41,"Adult",B385&lt;61,"Middle-aged",B385&gt;=61,"Senior")</f>
        <v>Middle-aged</v>
      </c>
      <c r="S385" cm="1">
        <f t="array" ref="S385">_xlfn.IFS(Q385 ="Fortnightly",14,Q385="Weekly",7,Q385="Monthly",30,Q385="Quarterly",90,Q385="Bi-Weekly",14,Q385="Annually",365,Q385="Every 3 Months",90,TRUE,"NOT FOUND")</f>
        <v>90</v>
      </c>
    </row>
    <row r="386" spans="1:19" x14ac:dyDescent="0.35">
      <c r="A386">
        <v>385</v>
      </c>
      <c r="B386">
        <v>70</v>
      </c>
      <c r="C386" t="s">
        <v>7</v>
      </c>
      <c r="D386" t="s">
        <v>18</v>
      </c>
      <c r="E386" t="s">
        <v>9</v>
      </c>
      <c r="F386">
        <v>33</v>
      </c>
      <c r="G386" t="s">
        <v>87</v>
      </c>
      <c r="H386" t="s">
        <v>32</v>
      </c>
      <c r="I386" t="s">
        <v>106</v>
      </c>
      <c r="J386" t="s">
        <v>45</v>
      </c>
      <c r="K386">
        <v>4.5</v>
      </c>
      <c r="L386" t="s">
        <v>14</v>
      </c>
      <c r="M386" t="s">
        <v>58</v>
      </c>
      <c r="N386" t="s">
        <v>14</v>
      </c>
      <c r="O386">
        <v>6</v>
      </c>
      <c r="P386" t="s">
        <v>16</v>
      </c>
      <c r="Q386" t="s">
        <v>37</v>
      </c>
      <c r="R386" t="str" cm="1">
        <f t="array" ref="R386">_xlfn.IFS(B386&lt;31,"Young-Adult",B386&lt;41,"Adult",B386&lt;61,"Middle-aged",B386&gt;=61,"Senior")</f>
        <v>Senior</v>
      </c>
      <c r="S386" cm="1">
        <f t="array" ref="S386">_xlfn.IFS(Q386 ="Fortnightly",14,Q386="Weekly",7,Q386="Monthly",30,Q386="Quarterly",90,Q386="Bi-Weekly",14,Q386="Annually",365,Q386="Every 3 Months",90,TRUE,"NOT FOUND")</f>
        <v>365</v>
      </c>
    </row>
    <row r="387" spans="1:19" x14ac:dyDescent="0.35">
      <c r="A387">
        <v>386</v>
      </c>
      <c r="B387">
        <v>67</v>
      </c>
      <c r="C387" t="s">
        <v>7</v>
      </c>
      <c r="D387" t="s">
        <v>47</v>
      </c>
      <c r="E387" t="s">
        <v>9</v>
      </c>
      <c r="F387">
        <v>93</v>
      </c>
      <c r="G387" t="s">
        <v>52</v>
      </c>
      <c r="H387" t="s">
        <v>24</v>
      </c>
      <c r="I387" t="s">
        <v>122</v>
      </c>
      <c r="J387" t="s">
        <v>45</v>
      </c>
      <c r="K387">
        <v>2.7</v>
      </c>
      <c r="L387" t="s">
        <v>14</v>
      </c>
      <c r="M387" t="s">
        <v>33</v>
      </c>
      <c r="N387" t="s">
        <v>14</v>
      </c>
      <c r="O387">
        <v>12</v>
      </c>
      <c r="P387" t="s">
        <v>27</v>
      </c>
      <c r="Q387" t="s">
        <v>64</v>
      </c>
      <c r="R387" t="str" cm="1">
        <f t="array" ref="R387">_xlfn.IFS(B387&lt;31,"Young-Adult",B387&lt;41,"Adult",B387&lt;61,"Middle-aged",B387&gt;=61,"Senior")</f>
        <v>Senior</v>
      </c>
      <c r="S387" cm="1">
        <f t="array" ref="S387">_xlfn.IFS(Q387 ="Fortnightly",14,Q387="Weekly",7,Q387="Monthly",30,Q387="Quarterly",90,Q387="Bi-Weekly",14,Q387="Annually",365,Q387="Every 3 Months",90,TRUE,"NOT FOUND")</f>
        <v>14</v>
      </c>
    </row>
    <row r="388" spans="1:19" x14ac:dyDescent="0.35">
      <c r="A388">
        <v>387</v>
      </c>
      <c r="B388">
        <v>64</v>
      </c>
      <c r="C388" t="s">
        <v>7</v>
      </c>
      <c r="D388" t="s">
        <v>94</v>
      </c>
      <c r="E388" t="s">
        <v>55</v>
      </c>
      <c r="F388">
        <v>39</v>
      </c>
      <c r="G388" t="s">
        <v>48</v>
      </c>
      <c r="H388" t="s">
        <v>11</v>
      </c>
      <c r="I388" t="s">
        <v>98</v>
      </c>
      <c r="J388" t="s">
        <v>25</v>
      </c>
      <c r="K388">
        <v>3.4</v>
      </c>
      <c r="L388" t="s">
        <v>14</v>
      </c>
      <c r="M388" t="s">
        <v>15</v>
      </c>
      <c r="N388" t="s">
        <v>14</v>
      </c>
      <c r="O388">
        <v>40</v>
      </c>
      <c r="P388" t="s">
        <v>34</v>
      </c>
      <c r="Q388" t="s">
        <v>46</v>
      </c>
      <c r="R388" t="str" cm="1">
        <f t="array" ref="R388">_xlfn.IFS(B388&lt;31,"Young-Adult",B388&lt;41,"Adult",B388&lt;61,"Middle-aged",B388&gt;=61,"Senior")</f>
        <v>Senior</v>
      </c>
      <c r="S388" cm="1">
        <f t="array" ref="S388">_xlfn.IFS(Q388 ="Fortnightly",14,Q388="Weekly",7,Q388="Monthly",30,Q388="Quarterly",90,Q388="Bi-Weekly",14,Q388="Annually",365,Q388="Every 3 Months",90,TRUE,"NOT FOUND")</f>
        <v>90</v>
      </c>
    </row>
    <row r="389" spans="1:19" x14ac:dyDescent="0.35">
      <c r="A389">
        <v>388</v>
      </c>
      <c r="B389">
        <v>45</v>
      </c>
      <c r="C389" t="s">
        <v>7</v>
      </c>
      <c r="D389" t="s">
        <v>50</v>
      </c>
      <c r="E389" t="s">
        <v>51</v>
      </c>
      <c r="F389">
        <v>93</v>
      </c>
      <c r="G389" t="s">
        <v>130</v>
      </c>
      <c r="H389" t="s">
        <v>11</v>
      </c>
      <c r="I389" t="s">
        <v>53</v>
      </c>
      <c r="J389" t="s">
        <v>41</v>
      </c>
      <c r="K389">
        <v>4.5999999999999996</v>
      </c>
      <c r="L389" t="s">
        <v>14</v>
      </c>
      <c r="M389" t="s">
        <v>62</v>
      </c>
      <c r="N389" t="s">
        <v>14</v>
      </c>
      <c r="O389">
        <v>38</v>
      </c>
      <c r="P389" t="s">
        <v>34</v>
      </c>
      <c r="Q389" t="s">
        <v>17</v>
      </c>
      <c r="R389" t="str" cm="1">
        <f t="array" ref="R389">_xlfn.IFS(B389&lt;31,"Young-Adult",B389&lt;41,"Adult",B389&lt;61,"Middle-aged",B389&gt;=61,"Senior")</f>
        <v>Middle-aged</v>
      </c>
      <c r="S389" cm="1">
        <f t="array" ref="S389">_xlfn.IFS(Q389 ="Fortnightly",14,Q389="Weekly",7,Q389="Monthly",30,Q389="Quarterly",90,Q389="Bi-Weekly",14,Q389="Annually",365,Q389="Every 3 Months",90,TRUE,"NOT FOUND")</f>
        <v>14</v>
      </c>
    </row>
    <row r="390" spans="1:19" x14ac:dyDescent="0.35">
      <c r="A390">
        <v>389</v>
      </c>
      <c r="B390">
        <v>22</v>
      </c>
      <c r="C390" t="s">
        <v>7</v>
      </c>
      <c r="D390" t="s">
        <v>54</v>
      </c>
      <c r="E390" t="s">
        <v>55</v>
      </c>
      <c r="F390">
        <v>82</v>
      </c>
      <c r="G390" t="s">
        <v>137</v>
      </c>
      <c r="H390" t="s">
        <v>32</v>
      </c>
      <c r="I390" t="s">
        <v>109</v>
      </c>
      <c r="J390" t="s">
        <v>41</v>
      </c>
      <c r="K390">
        <v>2.7</v>
      </c>
      <c r="L390" t="s">
        <v>14</v>
      </c>
      <c r="M390" t="s">
        <v>62</v>
      </c>
      <c r="N390" t="s">
        <v>14</v>
      </c>
      <c r="O390">
        <v>10</v>
      </c>
      <c r="P390" t="s">
        <v>34</v>
      </c>
      <c r="Q390" t="s">
        <v>46</v>
      </c>
      <c r="R390" t="str" cm="1">
        <f t="array" ref="R390">_xlfn.IFS(B390&lt;31,"Young-Adult",B390&lt;41,"Adult",B390&lt;61,"Middle-aged",B390&gt;=61,"Senior")</f>
        <v>Young-Adult</v>
      </c>
      <c r="S390" cm="1">
        <f t="array" ref="S390">_xlfn.IFS(Q390 ="Fortnightly",14,Q390="Weekly",7,Q390="Monthly",30,Q390="Quarterly",90,Q390="Bi-Weekly",14,Q390="Annually",365,Q390="Every 3 Months",90,TRUE,"NOT FOUND")</f>
        <v>90</v>
      </c>
    </row>
    <row r="391" spans="1:19" x14ac:dyDescent="0.35">
      <c r="A391">
        <v>390</v>
      </c>
      <c r="B391">
        <v>27</v>
      </c>
      <c r="C391" t="s">
        <v>7</v>
      </c>
      <c r="D391" t="s">
        <v>125</v>
      </c>
      <c r="E391" t="s">
        <v>30</v>
      </c>
      <c r="F391">
        <v>42</v>
      </c>
      <c r="G391" t="s">
        <v>129</v>
      </c>
      <c r="H391" t="s">
        <v>11</v>
      </c>
      <c r="I391" t="s">
        <v>61</v>
      </c>
      <c r="J391" t="s">
        <v>25</v>
      </c>
      <c r="K391">
        <v>4.2</v>
      </c>
      <c r="L391" t="s">
        <v>14</v>
      </c>
      <c r="M391" t="s">
        <v>42</v>
      </c>
      <c r="N391" t="s">
        <v>14</v>
      </c>
      <c r="O391">
        <v>28</v>
      </c>
      <c r="P391" t="s">
        <v>63</v>
      </c>
      <c r="Q391" t="s">
        <v>76</v>
      </c>
      <c r="R391" t="str" cm="1">
        <f t="array" ref="R391">_xlfn.IFS(B391&lt;31,"Young-Adult",B391&lt;41,"Adult",B391&lt;61,"Middle-aged",B391&gt;=61,"Senior")</f>
        <v>Young-Adult</v>
      </c>
      <c r="S391" cm="1">
        <f t="array" ref="S391">_xlfn.IFS(Q391 ="Fortnightly",14,Q391="Weekly",7,Q391="Monthly",30,Q391="Quarterly",90,Q391="Bi-Weekly",14,Q391="Annually",365,Q391="Every 3 Months",90,TRUE,"NOT FOUND")</f>
        <v>30</v>
      </c>
    </row>
    <row r="392" spans="1:19" x14ac:dyDescent="0.35">
      <c r="A392">
        <v>391</v>
      </c>
      <c r="B392">
        <v>25</v>
      </c>
      <c r="C392" t="s">
        <v>7</v>
      </c>
      <c r="D392" t="s">
        <v>131</v>
      </c>
      <c r="E392" t="s">
        <v>55</v>
      </c>
      <c r="F392">
        <v>71</v>
      </c>
      <c r="G392" t="s">
        <v>104</v>
      </c>
      <c r="H392" t="s">
        <v>32</v>
      </c>
      <c r="I392" t="s">
        <v>114</v>
      </c>
      <c r="J392" t="s">
        <v>13</v>
      </c>
      <c r="K392">
        <v>3.2</v>
      </c>
      <c r="L392" t="s">
        <v>14</v>
      </c>
      <c r="M392" t="s">
        <v>58</v>
      </c>
      <c r="N392" t="s">
        <v>14</v>
      </c>
      <c r="O392">
        <v>19</v>
      </c>
      <c r="P392" t="s">
        <v>34</v>
      </c>
      <c r="Q392" t="s">
        <v>37</v>
      </c>
      <c r="R392" t="str" cm="1">
        <f t="array" ref="R392">_xlfn.IFS(B392&lt;31,"Young-Adult",B392&lt;41,"Adult",B392&lt;61,"Middle-aged",B392&gt;=61,"Senior")</f>
        <v>Young-Adult</v>
      </c>
      <c r="S392" cm="1">
        <f t="array" ref="S392">_xlfn.IFS(Q392 ="Fortnightly",14,Q392="Weekly",7,Q392="Monthly",30,Q392="Quarterly",90,Q392="Bi-Weekly",14,Q392="Annually",365,Q392="Every 3 Months",90,TRUE,"NOT FOUND")</f>
        <v>365</v>
      </c>
    </row>
    <row r="393" spans="1:19" x14ac:dyDescent="0.35">
      <c r="A393">
        <v>392</v>
      </c>
      <c r="B393">
        <v>37</v>
      </c>
      <c r="C393" t="s">
        <v>7</v>
      </c>
      <c r="D393" t="s">
        <v>18</v>
      </c>
      <c r="E393" t="s">
        <v>9</v>
      </c>
      <c r="F393">
        <v>86</v>
      </c>
      <c r="G393" t="s">
        <v>136</v>
      </c>
      <c r="H393" t="s">
        <v>11</v>
      </c>
      <c r="I393" t="s">
        <v>12</v>
      </c>
      <c r="J393" t="s">
        <v>25</v>
      </c>
      <c r="K393">
        <v>4.8</v>
      </c>
      <c r="L393" t="s">
        <v>14</v>
      </c>
      <c r="M393" t="s">
        <v>42</v>
      </c>
      <c r="N393" t="s">
        <v>14</v>
      </c>
      <c r="O393">
        <v>25</v>
      </c>
      <c r="P393" t="s">
        <v>21</v>
      </c>
      <c r="Q393" t="s">
        <v>17</v>
      </c>
      <c r="R393" t="str" cm="1">
        <f t="array" ref="R393">_xlfn.IFS(B393&lt;31,"Young-Adult",B393&lt;41,"Adult",B393&lt;61,"Middle-aged",B393&gt;=61,"Senior")</f>
        <v>Adult</v>
      </c>
      <c r="S393" cm="1">
        <f t="array" ref="S393">_xlfn.IFS(Q393 ="Fortnightly",14,Q393="Weekly",7,Q393="Monthly",30,Q393="Quarterly",90,Q393="Bi-Weekly",14,Q393="Annually",365,Q393="Every 3 Months",90,TRUE,"NOT FOUND")</f>
        <v>14</v>
      </c>
    </row>
    <row r="394" spans="1:19" x14ac:dyDescent="0.35">
      <c r="A394">
        <v>393</v>
      </c>
      <c r="B394">
        <v>26</v>
      </c>
      <c r="C394" t="s">
        <v>7</v>
      </c>
      <c r="D394" t="s">
        <v>101</v>
      </c>
      <c r="E394" t="s">
        <v>9</v>
      </c>
      <c r="F394">
        <v>82</v>
      </c>
      <c r="G394" t="s">
        <v>123</v>
      </c>
      <c r="H394" t="s">
        <v>80</v>
      </c>
      <c r="I394" t="s">
        <v>82</v>
      </c>
      <c r="J394" t="s">
        <v>25</v>
      </c>
      <c r="K394">
        <v>3.3</v>
      </c>
      <c r="L394" t="s">
        <v>14</v>
      </c>
      <c r="M394" t="s">
        <v>33</v>
      </c>
      <c r="N394" t="s">
        <v>14</v>
      </c>
      <c r="O394">
        <v>38</v>
      </c>
      <c r="P394" t="s">
        <v>27</v>
      </c>
      <c r="Q394" t="s">
        <v>37</v>
      </c>
      <c r="R394" t="str" cm="1">
        <f t="array" ref="R394">_xlfn.IFS(B394&lt;31,"Young-Adult",B394&lt;41,"Adult",B394&lt;61,"Middle-aged",B394&gt;=61,"Senior")</f>
        <v>Young-Adult</v>
      </c>
      <c r="S394" cm="1">
        <f t="array" ref="S394">_xlfn.IFS(Q394 ="Fortnightly",14,Q394="Weekly",7,Q394="Monthly",30,Q394="Quarterly",90,Q394="Bi-Weekly",14,Q394="Annually",365,Q394="Every 3 Months",90,TRUE,"NOT FOUND")</f>
        <v>365</v>
      </c>
    </row>
    <row r="395" spans="1:19" x14ac:dyDescent="0.35">
      <c r="A395">
        <v>394</v>
      </c>
      <c r="B395">
        <v>33</v>
      </c>
      <c r="C395" t="s">
        <v>7</v>
      </c>
      <c r="D395" t="s">
        <v>59</v>
      </c>
      <c r="E395" t="s">
        <v>30</v>
      </c>
      <c r="F395">
        <v>65</v>
      </c>
      <c r="G395" t="s">
        <v>117</v>
      </c>
      <c r="H395" t="s">
        <v>11</v>
      </c>
      <c r="I395" t="s">
        <v>20</v>
      </c>
      <c r="J395" t="s">
        <v>45</v>
      </c>
      <c r="K395">
        <v>4.2</v>
      </c>
      <c r="L395" t="s">
        <v>14</v>
      </c>
      <c r="M395" t="s">
        <v>42</v>
      </c>
      <c r="N395" t="s">
        <v>14</v>
      </c>
      <c r="O395">
        <v>6</v>
      </c>
      <c r="P395" t="s">
        <v>34</v>
      </c>
      <c r="Q395" t="s">
        <v>17</v>
      </c>
      <c r="R395" t="str" cm="1">
        <f t="array" ref="R395">_xlfn.IFS(B395&lt;31,"Young-Adult",B395&lt;41,"Adult",B395&lt;61,"Middle-aged",B395&gt;=61,"Senior")</f>
        <v>Adult</v>
      </c>
      <c r="S395" cm="1">
        <f t="array" ref="S395">_xlfn.IFS(Q395 ="Fortnightly",14,Q395="Weekly",7,Q395="Monthly",30,Q395="Quarterly",90,Q395="Bi-Weekly",14,Q395="Annually",365,Q395="Every 3 Months",90,TRUE,"NOT FOUND")</f>
        <v>14</v>
      </c>
    </row>
    <row r="396" spans="1:19" x14ac:dyDescent="0.35">
      <c r="A396">
        <v>395</v>
      </c>
      <c r="B396">
        <v>43</v>
      </c>
      <c r="C396" t="s">
        <v>7</v>
      </c>
      <c r="D396" t="s">
        <v>107</v>
      </c>
      <c r="E396" t="s">
        <v>55</v>
      </c>
      <c r="F396">
        <v>29</v>
      </c>
      <c r="G396" t="s">
        <v>102</v>
      </c>
      <c r="H396" t="s">
        <v>32</v>
      </c>
      <c r="I396" t="s">
        <v>106</v>
      </c>
      <c r="J396" t="s">
        <v>25</v>
      </c>
      <c r="K396">
        <v>4.8</v>
      </c>
      <c r="L396" t="s">
        <v>14</v>
      </c>
      <c r="M396" t="s">
        <v>62</v>
      </c>
      <c r="N396" t="s">
        <v>14</v>
      </c>
      <c r="O396">
        <v>7</v>
      </c>
      <c r="P396" t="s">
        <v>74</v>
      </c>
      <c r="Q396" t="s">
        <v>64</v>
      </c>
      <c r="R396" t="str" cm="1">
        <f t="array" ref="R396">_xlfn.IFS(B396&lt;31,"Young-Adult",B396&lt;41,"Adult",B396&lt;61,"Middle-aged",B396&gt;=61,"Senior")</f>
        <v>Middle-aged</v>
      </c>
      <c r="S396" cm="1">
        <f t="array" ref="S396">_xlfn.IFS(Q396 ="Fortnightly",14,Q396="Weekly",7,Q396="Monthly",30,Q396="Quarterly",90,Q396="Bi-Weekly",14,Q396="Annually",365,Q396="Every 3 Months",90,TRUE,"NOT FOUND")</f>
        <v>14</v>
      </c>
    </row>
    <row r="397" spans="1:19" x14ac:dyDescent="0.35">
      <c r="A397">
        <v>396</v>
      </c>
      <c r="B397">
        <v>37</v>
      </c>
      <c r="C397" t="s">
        <v>7</v>
      </c>
      <c r="D397" t="s">
        <v>38</v>
      </c>
      <c r="E397" t="s">
        <v>30</v>
      </c>
      <c r="F397">
        <v>65</v>
      </c>
      <c r="G397" t="s">
        <v>31</v>
      </c>
      <c r="H397" t="s">
        <v>11</v>
      </c>
      <c r="I397" t="s">
        <v>98</v>
      </c>
      <c r="J397" t="s">
        <v>13</v>
      </c>
      <c r="K397">
        <v>4.9000000000000004</v>
      </c>
      <c r="L397" t="s">
        <v>14</v>
      </c>
      <c r="M397" t="s">
        <v>62</v>
      </c>
      <c r="N397" t="s">
        <v>14</v>
      </c>
      <c r="O397">
        <v>2</v>
      </c>
      <c r="P397" t="s">
        <v>34</v>
      </c>
      <c r="Q397" t="s">
        <v>37</v>
      </c>
      <c r="R397" t="str" cm="1">
        <f t="array" ref="R397">_xlfn.IFS(B397&lt;31,"Young-Adult",B397&lt;41,"Adult",B397&lt;61,"Middle-aged",B397&gt;=61,"Senior")</f>
        <v>Adult</v>
      </c>
      <c r="S397" cm="1">
        <f t="array" ref="S397">_xlfn.IFS(Q397 ="Fortnightly",14,Q397="Weekly",7,Q397="Monthly",30,Q397="Quarterly",90,Q397="Bi-Weekly",14,Q397="Annually",365,Q397="Every 3 Months",90,TRUE,"NOT FOUND")</f>
        <v>365</v>
      </c>
    </row>
    <row r="398" spans="1:19" x14ac:dyDescent="0.35">
      <c r="A398">
        <v>397</v>
      </c>
      <c r="B398">
        <v>46</v>
      </c>
      <c r="C398" t="s">
        <v>7</v>
      </c>
      <c r="D398" t="s">
        <v>69</v>
      </c>
      <c r="E398" t="s">
        <v>9</v>
      </c>
      <c r="F398">
        <v>88</v>
      </c>
      <c r="G398" t="s">
        <v>119</v>
      </c>
      <c r="H398" t="s">
        <v>24</v>
      </c>
      <c r="I398" t="s">
        <v>82</v>
      </c>
      <c r="J398" t="s">
        <v>45</v>
      </c>
      <c r="K398">
        <v>3.9</v>
      </c>
      <c r="L398" t="s">
        <v>14</v>
      </c>
      <c r="M398" t="s">
        <v>42</v>
      </c>
      <c r="N398" t="s">
        <v>14</v>
      </c>
      <c r="O398">
        <v>24</v>
      </c>
      <c r="P398" t="s">
        <v>63</v>
      </c>
      <c r="Q398" t="s">
        <v>37</v>
      </c>
      <c r="R398" t="str" cm="1">
        <f t="array" ref="R398">_xlfn.IFS(B398&lt;31,"Young-Adult",B398&lt;41,"Adult",B398&lt;61,"Middle-aged",B398&gt;=61,"Senior")</f>
        <v>Middle-aged</v>
      </c>
      <c r="S398" cm="1">
        <f t="array" ref="S398">_xlfn.IFS(Q398 ="Fortnightly",14,Q398="Weekly",7,Q398="Monthly",30,Q398="Quarterly",90,Q398="Bi-Weekly",14,Q398="Annually",365,Q398="Every 3 Months",90,TRUE,"NOT FOUND")</f>
        <v>365</v>
      </c>
    </row>
    <row r="399" spans="1:19" x14ac:dyDescent="0.35">
      <c r="A399">
        <v>398</v>
      </c>
      <c r="B399">
        <v>22</v>
      </c>
      <c r="C399" t="s">
        <v>7</v>
      </c>
      <c r="D399" t="s">
        <v>121</v>
      </c>
      <c r="E399" t="s">
        <v>55</v>
      </c>
      <c r="F399">
        <v>46</v>
      </c>
      <c r="G399" t="s">
        <v>79</v>
      </c>
      <c r="H399" t="s">
        <v>32</v>
      </c>
      <c r="I399" t="s">
        <v>114</v>
      </c>
      <c r="J399" t="s">
        <v>45</v>
      </c>
      <c r="K399">
        <v>3</v>
      </c>
      <c r="L399" t="s">
        <v>14</v>
      </c>
      <c r="M399" t="s">
        <v>26</v>
      </c>
      <c r="N399" t="s">
        <v>14</v>
      </c>
      <c r="O399">
        <v>26</v>
      </c>
      <c r="P399" t="s">
        <v>21</v>
      </c>
      <c r="Q399" t="s">
        <v>37</v>
      </c>
      <c r="R399" t="str" cm="1">
        <f t="array" ref="R399">_xlfn.IFS(B399&lt;31,"Young-Adult",B399&lt;41,"Adult",B399&lt;61,"Middle-aged",B399&gt;=61,"Senior")</f>
        <v>Young-Adult</v>
      </c>
      <c r="S399" cm="1">
        <f t="array" ref="S399">_xlfn.IFS(Q399 ="Fortnightly",14,Q399="Weekly",7,Q399="Monthly",30,Q399="Quarterly",90,Q399="Bi-Weekly",14,Q399="Annually",365,Q399="Every 3 Months",90,TRUE,"NOT FOUND")</f>
        <v>365</v>
      </c>
    </row>
    <row r="400" spans="1:19" x14ac:dyDescent="0.35">
      <c r="A400">
        <v>399</v>
      </c>
      <c r="B400">
        <v>20</v>
      </c>
      <c r="C400" t="s">
        <v>7</v>
      </c>
      <c r="D400" t="s">
        <v>125</v>
      </c>
      <c r="E400" t="s">
        <v>30</v>
      </c>
      <c r="F400">
        <v>67</v>
      </c>
      <c r="G400" t="s">
        <v>44</v>
      </c>
      <c r="H400" t="s">
        <v>24</v>
      </c>
      <c r="I400" t="s">
        <v>53</v>
      </c>
      <c r="J400" t="s">
        <v>13</v>
      </c>
      <c r="K400">
        <v>4.5999999999999996</v>
      </c>
      <c r="L400" t="s">
        <v>14</v>
      </c>
      <c r="M400" t="s">
        <v>26</v>
      </c>
      <c r="N400" t="s">
        <v>14</v>
      </c>
      <c r="O400">
        <v>25</v>
      </c>
      <c r="P400" t="s">
        <v>74</v>
      </c>
      <c r="Q400" t="s">
        <v>85</v>
      </c>
      <c r="R400" t="str" cm="1">
        <f t="array" ref="R400">_xlfn.IFS(B400&lt;31,"Young-Adult",B400&lt;41,"Adult",B400&lt;61,"Middle-aged",B400&gt;=61,"Senior")</f>
        <v>Young-Adult</v>
      </c>
      <c r="S400" cm="1">
        <f t="array" ref="S400">_xlfn.IFS(Q400 ="Fortnightly",14,Q400="Weekly",7,Q400="Monthly",30,Q400="Quarterly",90,Q400="Bi-Weekly",14,Q400="Annually",365,Q400="Every 3 Months",90,TRUE,"NOT FOUND")</f>
        <v>90</v>
      </c>
    </row>
    <row r="401" spans="1:19" x14ac:dyDescent="0.35">
      <c r="A401">
        <v>400</v>
      </c>
      <c r="B401">
        <v>60</v>
      </c>
      <c r="C401" t="s">
        <v>7</v>
      </c>
      <c r="D401" t="s">
        <v>107</v>
      </c>
      <c r="E401" t="s">
        <v>55</v>
      </c>
      <c r="F401">
        <v>35</v>
      </c>
      <c r="G401" t="s">
        <v>123</v>
      </c>
      <c r="H401" t="s">
        <v>11</v>
      </c>
      <c r="I401" t="s">
        <v>132</v>
      </c>
      <c r="J401" t="s">
        <v>45</v>
      </c>
      <c r="K401">
        <v>3.5</v>
      </c>
      <c r="L401" t="s">
        <v>14</v>
      </c>
      <c r="M401" t="s">
        <v>58</v>
      </c>
      <c r="N401" t="s">
        <v>14</v>
      </c>
      <c r="O401">
        <v>10</v>
      </c>
      <c r="P401" t="s">
        <v>74</v>
      </c>
      <c r="Q401" t="s">
        <v>76</v>
      </c>
      <c r="R401" t="str" cm="1">
        <f t="array" ref="R401">_xlfn.IFS(B401&lt;31,"Young-Adult",B401&lt;41,"Adult",B401&lt;61,"Middle-aged",B401&gt;=61,"Senior")</f>
        <v>Middle-aged</v>
      </c>
      <c r="S401" cm="1">
        <f t="array" ref="S401">_xlfn.IFS(Q401 ="Fortnightly",14,Q401="Weekly",7,Q401="Monthly",30,Q401="Quarterly",90,Q401="Bi-Weekly",14,Q401="Annually",365,Q401="Every 3 Months",90,TRUE,"NOT FOUND")</f>
        <v>30</v>
      </c>
    </row>
    <row r="402" spans="1:19" x14ac:dyDescent="0.35">
      <c r="A402">
        <v>401</v>
      </c>
      <c r="B402">
        <v>39</v>
      </c>
      <c r="C402" t="s">
        <v>7</v>
      </c>
      <c r="D402" t="s">
        <v>125</v>
      </c>
      <c r="E402" t="s">
        <v>30</v>
      </c>
      <c r="F402">
        <v>66</v>
      </c>
      <c r="G402" t="s">
        <v>128</v>
      </c>
      <c r="H402" t="s">
        <v>32</v>
      </c>
      <c r="I402" t="s">
        <v>84</v>
      </c>
      <c r="J402" t="s">
        <v>13</v>
      </c>
      <c r="K402">
        <v>4.8</v>
      </c>
      <c r="L402" t="s">
        <v>14</v>
      </c>
      <c r="M402" t="s">
        <v>26</v>
      </c>
      <c r="N402" t="s">
        <v>14</v>
      </c>
      <c r="O402">
        <v>14</v>
      </c>
      <c r="P402" t="s">
        <v>34</v>
      </c>
      <c r="Q402" t="s">
        <v>17</v>
      </c>
      <c r="R402" t="str" cm="1">
        <f t="array" ref="R402">_xlfn.IFS(B402&lt;31,"Young-Adult",B402&lt;41,"Adult",B402&lt;61,"Middle-aged",B402&gt;=61,"Senior")</f>
        <v>Adult</v>
      </c>
      <c r="S402" cm="1">
        <f t="array" ref="S402">_xlfn.IFS(Q402 ="Fortnightly",14,Q402="Weekly",7,Q402="Monthly",30,Q402="Quarterly",90,Q402="Bi-Weekly",14,Q402="Annually",365,Q402="Every 3 Months",90,TRUE,"NOT FOUND")</f>
        <v>14</v>
      </c>
    </row>
    <row r="403" spans="1:19" x14ac:dyDescent="0.35">
      <c r="A403">
        <v>402</v>
      </c>
      <c r="B403">
        <v>43</v>
      </c>
      <c r="C403" t="s">
        <v>7</v>
      </c>
      <c r="D403" t="s">
        <v>101</v>
      </c>
      <c r="E403" t="s">
        <v>9</v>
      </c>
      <c r="F403">
        <v>91</v>
      </c>
      <c r="G403" t="s">
        <v>89</v>
      </c>
      <c r="H403" t="s">
        <v>11</v>
      </c>
      <c r="I403" t="s">
        <v>109</v>
      </c>
      <c r="J403" t="s">
        <v>45</v>
      </c>
      <c r="K403">
        <v>4.8</v>
      </c>
      <c r="L403" t="s">
        <v>14</v>
      </c>
      <c r="M403" t="s">
        <v>42</v>
      </c>
      <c r="N403" t="s">
        <v>14</v>
      </c>
      <c r="O403">
        <v>21</v>
      </c>
      <c r="P403" t="s">
        <v>21</v>
      </c>
      <c r="Q403" t="s">
        <v>46</v>
      </c>
      <c r="R403" t="str" cm="1">
        <f t="array" ref="R403">_xlfn.IFS(B403&lt;31,"Young-Adult",B403&lt;41,"Adult",B403&lt;61,"Middle-aged",B403&gt;=61,"Senior")</f>
        <v>Middle-aged</v>
      </c>
      <c r="S403" cm="1">
        <f t="array" ref="S403">_xlfn.IFS(Q403 ="Fortnightly",14,Q403="Weekly",7,Q403="Monthly",30,Q403="Quarterly",90,Q403="Bi-Weekly",14,Q403="Annually",365,Q403="Every 3 Months",90,TRUE,"NOT FOUND")</f>
        <v>90</v>
      </c>
    </row>
    <row r="404" spans="1:19" x14ac:dyDescent="0.35">
      <c r="A404">
        <v>403</v>
      </c>
      <c r="B404">
        <v>31</v>
      </c>
      <c r="C404" t="s">
        <v>7</v>
      </c>
      <c r="D404" t="s">
        <v>120</v>
      </c>
      <c r="E404" t="s">
        <v>55</v>
      </c>
      <c r="F404">
        <v>78</v>
      </c>
      <c r="G404" t="s">
        <v>87</v>
      </c>
      <c r="H404" t="s">
        <v>11</v>
      </c>
      <c r="I404" t="s">
        <v>97</v>
      </c>
      <c r="J404" t="s">
        <v>45</v>
      </c>
      <c r="K404">
        <v>3</v>
      </c>
      <c r="L404" t="s">
        <v>14</v>
      </c>
      <c r="M404" t="s">
        <v>15</v>
      </c>
      <c r="N404" t="s">
        <v>14</v>
      </c>
      <c r="O404">
        <v>26</v>
      </c>
      <c r="P404" t="s">
        <v>34</v>
      </c>
      <c r="Q404" t="s">
        <v>76</v>
      </c>
      <c r="R404" t="str" cm="1">
        <f t="array" ref="R404">_xlfn.IFS(B404&lt;31,"Young-Adult",B404&lt;41,"Adult",B404&lt;61,"Middle-aged",B404&gt;=61,"Senior")</f>
        <v>Adult</v>
      </c>
      <c r="S404" cm="1">
        <f t="array" ref="S404">_xlfn.IFS(Q404 ="Fortnightly",14,Q404="Weekly",7,Q404="Monthly",30,Q404="Quarterly",90,Q404="Bi-Weekly",14,Q404="Annually",365,Q404="Every 3 Months",90,TRUE,"NOT FOUND")</f>
        <v>30</v>
      </c>
    </row>
    <row r="405" spans="1:19" x14ac:dyDescent="0.35">
      <c r="A405">
        <v>404</v>
      </c>
      <c r="B405">
        <v>19</v>
      </c>
      <c r="C405" t="s">
        <v>7</v>
      </c>
      <c r="D405" t="s">
        <v>38</v>
      </c>
      <c r="E405" t="s">
        <v>30</v>
      </c>
      <c r="F405">
        <v>45</v>
      </c>
      <c r="G405" t="s">
        <v>95</v>
      </c>
      <c r="H405" t="s">
        <v>32</v>
      </c>
      <c r="I405" t="s">
        <v>109</v>
      </c>
      <c r="J405" t="s">
        <v>13</v>
      </c>
      <c r="K405">
        <v>4.5</v>
      </c>
      <c r="L405" t="s">
        <v>14</v>
      </c>
      <c r="M405" t="s">
        <v>33</v>
      </c>
      <c r="N405" t="s">
        <v>14</v>
      </c>
      <c r="O405">
        <v>12</v>
      </c>
      <c r="P405" t="s">
        <v>63</v>
      </c>
      <c r="Q405" t="s">
        <v>37</v>
      </c>
      <c r="R405" t="str" cm="1">
        <f t="array" ref="R405">_xlfn.IFS(B405&lt;31,"Young-Adult",B405&lt;41,"Adult",B405&lt;61,"Middle-aged",B405&gt;=61,"Senior")</f>
        <v>Young-Adult</v>
      </c>
      <c r="S405" cm="1">
        <f t="array" ref="S405">_xlfn.IFS(Q405 ="Fortnightly",14,Q405="Weekly",7,Q405="Monthly",30,Q405="Quarterly",90,Q405="Bi-Weekly",14,Q405="Annually",365,Q405="Every 3 Months",90,TRUE,"NOT FOUND")</f>
        <v>365</v>
      </c>
    </row>
    <row r="406" spans="1:19" x14ac:dyDescent="0.35">
      <c r="A406">
        <v>405</v>
      </c>
      <c r="B406">
        <v>35</v>
      </c>
      <c r="C406" t="s">
        <v>7</v>
      </c>
      <c r="D406" t="s">
        <v>101</v>
      </c>
      <c r="E406" t="s">
        <v>9</v>
      </c>
      <c r="F406">
        <v>93</v>
      </c>
      <c r="G406" t="s">
        <v>67</v>
      </c>
      <c r="H406" t="s">
        <v>32</v>
      </c>
      <c r="I406" t="s">
        <v>114</v>
      </c>
      <c r="J406" t="s">
        <v>25</v>
      </c>
      <c r="K406">
        <v>4.8</v>
      </c>
      <c r="L406" t="s">
        <v>14</v>
      </c>
      <c r="M406" t="s">
        <v>62</v>
      </c>
      <c r="N406" t="s">
        <v>14</v>
      </c>
      <c r="O406">
        <v>11</v>
      </c>
      <c r="P406" t="s">
        <v>27</v>
      </c>
      <c r="Q406" t="s">
        <v>76</v>
      </c>
      <c r="R406" t="str" cm="1">
        <f t="array" ref="R406">_xlfn.IFS(B406&lt;31,"Young-Adult",B406&lt;41,"Adult",B406&lt;61,"Middle-aged",B406&gt;=61,"Senior")</f>
        <v>Adult</v>
      </c>
      <c r="S406" cm="1">
        <f t="array" ref="S406">_xlfn.IFS(Q406 ="Fortnightly",14,Q406="Weekly",7,Q406="Monthly",30,Q406="Quarterly",90,Q406="Bi-Weekly",14,Q406="Annually",365,Q406="Every 3 Months",90,TRUE,"NOT FOUND")</f>
        <v>30</v>
      </c>
    </row>
    <row r="407" spans="1:19" x14ac:dyDescent="0.35">
      <c r="A407">
        <v>406</v>
      </c>
      <c r="B407">
        <v>41</v>
      </c>
      <c r="C407" t="s">
        <v>7</v>
      </c>
      <c r="D407" t="s">
        <v>22</v>
      </c>
      <c r="E407" t="s">
        <v>9</v>
      </c>
      <c r="F407">
        <v>74</v>
      </c>
      <c r="G407" t="s">
        <v>119</v>
      </c>
      <c r="H407" t="s">
        <v>24</v>
      </c>
      <c r="I407" t="s">
        <v>53</v>
      </c>
      <c r="J407" t="s">
        <v>41</v>
      </c>
      <c r="K407">
        <v>3.8</v>
      </c>
      <c r="L407" t="s">
        <v>14</v>
      </c>
      <c r="M407" t="s">
        <v>42</v>
      </c>
      <c r="N407" t="s">
        <v>14</v>
      </c>
      <c r="O407">
        <v>15</v>
      </c>
      <c r="P407" t="s">
        <v>21</v>
      </c>
      <c r="Q407" t="s">
        <v>37</v>
      </c>
      <c r="R407" t="str" cm="1">
        <f t="array" ref="R407">_xlfn.IFS(B407&lt;31,"Young-Adult",B407&lt;41,"Adult",B407&lt;61,"Middle-aged",B407&gt;=61,"Senior")</f>
        <v>Middle-aged</v>
      </c>
      <c r="S407" cm="1">
        <f t="array" ref="S407">_xlfn.IFS(Q407 ="Fortnightly",14,Q407="Weekly",7,Q407="Monthly",30,Q407="Quarterly",90,Q407="Bi-Weekly",14,Q407="Annually",365,Q407="Every 3 Months",90,TRUE,"NOT FOUND")</f>
        <v>365</v>
      </c>
    </row>
    <row r="408" spans="1:19" x14ac:dyDescent="0.35">
      <c r="A408">
        <v>407</v>
      </c>
      <c r="B408">
        <v>52</v>
      </c>
      <c r="C408" t="s">
        <v>7</v>
      </c>
      <c r="D408" t="s">
        <v>131</v>
      </c>
      <c r="E408" t="s">
        <v>55</v>
      </c>
      <c r="F408">
        <v>55</v>
      </c>
      <c r="G408" t="s">
        <v>116</v>
      </c>
      <c r="H408" t="s">
        <v>32</v>
      </c>
      <c r="I408" t="s">
        <v>88</v>
      </c>
      <c r="J408" t="s">
        <v>25</v>
      </c>
      <c r="K408">
        <v>4.5999999999999996</v>
      </c>
      <c r="L408" t="s">
        <v>14</v>
      </c>
      <c r="M408" t="s">
        <v>15</v>
      </c>
      <c r="N408" t="s">
        <v>14</v>
      </c>
      <c r="O408">
        <v>13</v>
      </c>
      <c r="P408" t="s">
        <v>21</v>
      </c>
      <c r="Q408" t="s">
        <v>76</v>
      </c>
      <c r="R408" t="str" cm="1">
        <f t="array" ref="R408">_xlfn.IFS(B408&lt;31,"Young-Adult",B408&lt;41,"Adult",B408&lt;61,"Middle-aged",B408&gt;=61,"Senior")</f>
        <v>Middle-aged</v>
      </c>
      <c r="S408" cm="1">
        <f t="array" ref="S408">_xlfn.IFS(Q408 ="Fortnightly",14,Q408="Weekly",7,Q408="Monthly",30,Q408="Quarterly",90,Q408="Bi-Weekly",14,Q408="Annually",365,Q408="Every 3 Months",90,TRUE,"NOT FOUND")</f>
        <v>30</v>
      </c>
    </row>
    <row r="409" spans="1:19" x14ac:dyDescent="0.35">
      <c r="A409">
        <v>408</v>
      </c>
      <c r="B409">
        <v>45</v>
      </c>
      <c r="C409" t="s">
        <v>7</v>
      </c>
      <c r="D409" t="s">
        <v>92</v>
      </c>
      <c r="E409" t="s">
        <v>9</v>
      </c>
      <c r="F409">
        <v>76</v>
      </c>
      <c r="G409" t="s">
        <v>86</v>
      </c>
      <c r="H409" t="s">
        <v>80</v>
      </c>
      <c r="I409" t="s">
        <v>73</v>
      </c>
      <c r="J409" t="s">
        <v>25</v>
      </c>
      <c r="K409">
        <v>3.1</v>
      </c>
      <c r="L409" t="s">
        <v>14</v>
      </c>
      <c r="M409" t="s">
        <v>33</v>
      </c>
      <c r="N409" t="s">
        <v>14</v>
      </c>
      <c r="O409">
        <v>5</v>
      </c>
      <c r="P409" t="s">
        <v>27</v>
      </c>
      <c r="Q409" t="s">
        <v>64</v>
      </c>
      <c r="R409" t="str" cm="1">
        <f t="array" ref="R409">_xlfn.IFS(B409&lt;31,"Young-Adult",B409&lt;41,"Adult",B409&lt;61,"Middle-aged",B409&gt;=61,"Senior")</f>
        <v>Middle-aged</v>
      </c>
      <c r="S409" cm="1">
        <f t="array" ref="S409">_xlfn.IFS(Q409 ="Fortnightly",14,Q409="Weekly",7,Q409="Monthly",30,Q409="Quarterly",90,Q409="Bi-Weekly",14,Q409="Annually",365,Q409="Every 3 Months",90,TRUE,"NOT FOUND")</f>
        <v>14</v>
      </c>
    </row>
    <row r="410" spans="1:19" x14ac:dyDescent="0.35">
      <c r="A410">
        <v>409</v>
      </c>
      <c r="B410">
        <v>34</v>
      </c>
      <c r="C410" t="s">
        <v>7</v>
      </c>
      <c r="D410" t="s">
        <v>38</v>
      </c>
      <c r="E410" t="s">
        <v>30</v>
      </c>
      <c r="F410">
        <v>66</v>
      </c>
      <c r="G410" t="s">
        <v>78</v>
      </c>
      <c r="H410" t="s">
        <v>11</v>
      </c>
      <c r="I410" t="s">
        <v>40</v>
      </c>
      <c r="J410" t="s">
        <v>25</v>
      </c>
      <c r="K410">
        <v>3.4</v>
      </c>
      <c r="L410" t="s">
        <v>14</v>
      </c>
      <c r="M410" t="s">
        <v>15</v>
      </c>
      <c r="N410" t="s">
        <v>14</v>
      </c>
      <c r="O410">
        <v>36</v>
      </c>
      <c r="P410" t="s">
        <v>21</v>
      </c>
      <c r="Q410" t="s">
        <v>17</v>
      </c>
      <c r="R410" t="str" cm="1">
        <f t="array" ref="R410">_xlfn.IFS(B410&lt;31,"Young-Adult",B410&lt;41,"Adult",B410&lt;61,"Middle-aged",B410&gt;=61,"Senior")</f>
        <v>Adult</v>
      </c>
      <c r="S410" cm="1">
        <f t="array" ref="S410">_xlfn.IFS(Q410 ="Fortnightly",14,Q410="Weekly",7,Q410="Monthly",30,Q410="Quarterly",90,Q410="Bi-Weekly",14,Q410="Annually",365,Q410="Every 3 Months",90,TRUE,"NOT FOUND")</f>
        <v>14</v>
      </c>
    </row>
    <row r="411" spans="1:19" x14ac:dyDescent="0.35">
      <c r="A411">
        <v>410</v>
      </c>
      <c r="B411">
        <v>35</v>
      </c>
      <c r="C411" t="s">
        <v>7</v>
      </c>
      <c r="D411" t="s">
        <v>47</v>
      </c>
      <c r="E411" t="s">
        <v>9</v>
      </c>
      <c r="F411">
        <v>51</v>
      </c>
      <c r="G411" t="s">
        <v>136</v>
      </c>
      <c r="H411" t="s">
        <v>32</v>
      </c>
      <c r="I411" t="s">
        <v>98</v>
      </c>
      <c r="J411" t="s">
        <v>13</v>
      </c>
      <c r="K411">
        <v>3.3</v>
      </c>
      <c r="L411" t="s">
        <v>14</v>
      </c>
      <c r="M411" t="s">
        <v>58</v>
      </c>
      <c r="N411" t="s">
        <v>14</v>
      </c>
      <c r="O411">
        <v>32</v>
      </c>
      <c r="P411" t="s">
        <v>63</v>
      </c>
      <c r="Q411" t="s">
        <v>76</v>
      </c>
      <c r="R411" t="str" cm="1">
        <f t="array" ref="R411">_xlfn.IFS(B411&lt;31,"Young-Adult",B411&lt;41,"Adult",B411&lt;61,"Middle-aged",B411&gt;=61,"Senior")</f>
        <v>Adult</v>
      </c>
      <c r="S411" cm="1">
        <f t="array" ref="S411">_xlfn.IFS(Q411 ="Fortnightly",14,Q411="Weekly",7,Q411="Monthly",30,Q411="Quarterly",90,Q411="Bi-Weekly",14,Q411="Annually",365,Q411="Every 3 Months",90,TRUE,"NOT FOUND")</f>
        <v>30</v>
      </c>
    </row>
    <row r="412" spans="1:19" x14ac:dyDescent="0.35">
      <c r="A412">
        <v>411</v>
      </c>
      <c r="B412">
        <v>29</v>
      </c>
      <c r="C412" t="s">
        <v>7</v>
      </c>
      <c r="D412" t="s">
        <v>18</v>
      </c>
      <c r="E412" t="s">
        <v>9</v>
      </c>
      <c r="F412">
        <v>26</v>
      </c>
      <c r="G412" t="s">
        <v>129</v>
      </c>
      <c r="H412" t="s">
        <v>11</v>
      </c>
      <c r="I412" t="s">
        <v>81</v>
      </c>
      <c r="J412" t="s">
        <v>25</v>
      </c>
      <c r="K412">
        <v>4.8</v>
      </c>
      <c r="L412" t="s">
        <v>14</v>
      </c>
      <c r="M412" t="s">
        <v>58</v>
      </c>
      <c r="N412" t="s">
        <v>14</v>
      </c>
      <c r="O412">
        <v>1</v>
      </c>
      <c r="P412" t="s">
        <v>27</v>
      </c>
      <c r="Q412" t="s">
        <v>46</v>
      </c>
      <c r="R412" t="str" cm="1">
        <f t="array" ref="R412">_xlfn.IFS(B412&lt;31,"Young-Adult",B412&lt;41,"Adult",B412&lt;61,"Middle-aged",B412&gt;=61,"Senior")</f>
        <v>Young-Adult</v>
      </c>
      <c r="S412" cm="1">
        <f t="array" ref="S412">_xlfn.IFS(Q412 ="Fortnightly",14,Q412="Weekly",7,Q412="Monthly",30,Q412="Quarterly",90,Q412="Bi-Weekly",14,Q412="Annually",365,Q412="Every 3 Months",90,TRUE,"NOT FOUND")</f>
        <v>90</v>
      </c>
    </row>
    <row r="413" spans="1:19" x14ac:dyDescent="0.35">
      <c r="A413">
        <v>412</v>
      </c>
      <c r="B413">
        <v>59</v>
      </c>
      <c r="C413" t="s">
        <v>7</v>
      </c>
      <c r="D413" t="s">
        <v>22</v>
      </c>
      <c r="E413" t="s">
        <v>9</v>
      </c>
      <c r="F413">
        <v>29</v>
      </c>
      <c r="G413" t="s">
        <v>139</v>
      </c>
      <c r="H413" t="s">
        <v>32</v>
      </c>
      <c r="I413" t="s">
        <v>114</v>
      </c>
      <c r="J413" t="s">
        <v>41</v>
      </c>
      <c r="K413">
        <v>2.8</v>
      </c>
      <c r="L413" t="s">
        <v>14</v>
      </c>
      <c r="M413" t="s">
        <v>15</v>
      </c>
      <c r="N413" t="s">
        <v>14</v>
      </c>
      <c r="O413">
        <v>15</v>
      </c>
      <c r="P413" t="s">
        <v>34</v>
      </c>
      <c r="Q413" t="s">
        <v>37</v>
      </c>
      <c r="R413" t="str" cm="1">
        <f t="array" ref="R413">_xlfn.IFS(B413&lt;31,"Young-Adult",B413&lt;41,"Adult",B413&lt;61,"Middle-aged",B413&gt;=61,"Senior")</f>
        <v>Middle-aged</v>
      </c>
      <c r="S413" cm="1">
        <f t="array" ref="S413">_xlfn.IFS(Q413 ="Fortnightly",14,Q413="Weekly",7,Q413="Monthly",30,Q413="Quarterly",90,Q413="Bi-Weekly",14,Q413="Annually",365,Q413="Every 3 Months",90,TRUE,"NOT FOUND")</f>
        <v>365</v>
      </c>
    </row>
    <row r="414" spans="1:19" x14ac:dyDescent="0.35">
      <c r="A414">
        <v>413</v>
      </c>
      <c r="B414">
        <v>24</v>
      </c>
      <c r="C414" t="s">
        <v>7</v>
      </c>
      <c r="D414" t="s">
        <v>90</v>
      </c>
      <c r="E414" t="s">
        <v>51</v>
      </c>
      <c r="F414">
        <v>74</v>
      </c>
      <c r="G414" t="s">
        <v>19</v>
      </c>
      <c r="H414" t="s">
        <v>32</v>
      </c>
      <c r="I414" t="s">
        <v>122</v>
      </c>
      <c r="J414" t="s">
        <v>41</v>
      </c>
      <c r="K414">
        <v>3.1</v>
      </c>
      <c r="L414" t="s">
        <v>14</v>
      </c>
      <c r="M414" t="s">
        <v>62</v>
      </c>
      <c r="N414" t="s">
        <v>14</v>
      </c>
      <c r="O414">
        <v>3</v>
      </c>
      <c r="P414" t="s">
        <v>63</v>
      </c>
      <c r="Q414" t="s">
        <v>28</v>
      </c>
      <c r="R414" t="str" cm="1">
        <f t="array" ref="R414">_xlfn.IFS(B414&lt;31,"Young-Adult",B414&lt;41,"Adult",B414&lt;61,"Middle-aged",B414&gt;=61,"Senior")</f>
        <v>Young-Adult</v>
      </c>
      <c r="S414" cm="1">
        <f t="array" ref="S414">_xlfn.IFS(Q414 ="Fortnightly",14,Q414="Weekly",7,Q414="Monthly",30,Q414="Quarterly",90,Q414="Bi-Weekly",14,Q414="Annually",365,Q414="Every 3 Months",90,TRUE,"NOT FOUND")</f>
        <v>7</v>
      </c>
    </row>
    <row r="415" spans="1:19" x14ac:dyDescent="0.35">
      <c r="A415">
        <v>414</v>
      </c>
      <c r="B415">
        <v>70</v>
      </c>
      <c r="C415" t="s">
        <v>7</v>
      </c>
      <c r="D415" t="s">
        <v>94</v>
      </c>
      <c r="E415" t="s">
        <v>55</v>
      </c>
      <c r="F415">
        <v>99</v>
      </c>
      <c r="G415" t="s">
        <v>95</v>
      </c>
      <c r="H415" t="s">
        <v>24</v>
      </c>
      <c r="I415" t="s">
        <v>40</v>
      </c>
      <c r="J415" t="s">
        <v>41</v>
      </c>
      <c r="K415">
        <v>4.5999999999999996</v>
      </c>
      <c r="L415" t="s">
        <v>14</v>
      </c>
      <c r="M415" t="s">
        <v>26</v>
      </c>
      <c r="N415" t="s">
        <v>14</v>
      </c>
      <c r="O415">
        <v>48</v>
      </c>
      <c r="P415" t="s">
        <v>21</v>
      </c>
      <c r="Q415" t="s">
        <v>76</v>
      </c>
      <c r="R415" t="str" cm="1">
        <f t="array" ref="R415">_xlfn.IFS(B415&lt;31,"Young-Adult",B415&lt;41,"Adult",B415&lt;61,"Middle-aged",B415&gt;=61,"Senior")</f>
        <v>Senior</v>
      </c>
      <c r="S415" cm="1">
        <f t="array" ref="S415">_xlfn.IFS(Q415 ="Fortnightly",14,Q415="Weekly",7,Q415="Monthly",30,Q415="Quarterly",90,Q415="Bi-Weekly",14,Q415="Annually",365,Q415="Every 3 Months",90,TRUE,"NOT FOUND")</f>
        <v>30</v>
      </c>
    </row>
    <row r="416" spans="1:19" x14ac:dyDescent="0.35">
      <c r="A416">
        <v>415</v>
      </c>
      <c r="B416">
        <v>29</v>
      </c>
      <c r="C416" t="s">
        <v>7</v>
      </c>
      <c r="D416" t="s">
        <v>120</v>
      </c>
      <c r="E416" t="s">
        <v>55</v>
      </c>
      <c r="F416">
        <v>88</v>
      </c>
      <c r="G416" t="s">
        <v>39</v>
      </c>
      <c r="H416" t="s">
        <v>11</v>
      </c>
      <c r="I416" t="s">
        <v>71</v>
      </c>
      <c r="J416" t="s">
        <v>13</v>
      </c>
      <c r="K416">
        <v>2.6</v>
      </c>
      <c r="L416" t="s">
        <v>14</v>
      </c>
      <c r="M416" t="s">
        <v>62</v>
      </c>
      <c r="N416" t="s">
        <v>14</v>
      </c>
      <c r="O416">
        <v>30</v>
      </c>
      <c r="P416" t="s">
        <v>74</v>
      </c>
      <c r="Q416" t="s">
        <v>28</v>
      </c>
      <c r="R416" t="str" cm="1">
        <f t="array" ref="R416">_xlfn.IFS(B416&lt;31,"Young-Adult",B416&lt;41,"Adult",B416&lt;61,"Middle-aged",B416&gt;=61,"Senior")</f>
        <v>Young-Adult</v>
      </c>
      <c r="S416" cm="1">
        <f t="array" ref="S416">_xlfn.IFS(Q416 ="Fortnightly",14,Q416="Weekly",7,Q416="Monthly",30,Q416="Quarterly",90,Q416="Bi-Weekly",14,Q416="Annually",365,Q416="Every 3 Months",90,TRUE,"NOT FOUND")</f>
        <v>7</v>
      </c>
    </row>
    <row r="417" spans="1:19" x14ac:dyDescent="0.35">
      <c r="A417">
        <v>416</v>
      </c>
      <c r="B417">
        <v>67</v>
      </c>
      <c r="C417" t="s">
        <v>7</v>
      </c>
      <c r="D417" t="s">
        <v>50</v>
      </c>
      <c r="E417" t="s">
        <v>51</v>
      </c>
      <c r="F417">
        <v>31</v>
      </c>
      <c r="G417" t="s">
        <v>127</v>
      </c>
      <c r="H417" t="s">
        <v>32</v>
      </c>
      <c r="I417" t="s">
        <v>81</v>
      </c>
      <c r="J417" t="s">
        <v>13</v>
      </c>
      <c r="K417">
        <v>2.6</v>
      </c>
      <c r="L417" t="s">
        <v>14</v>
      </c>
      <c r="M417" t="s">
        <v>15</v>
      </c>
      <c r="N417" t="s">
        <v>14</v>
      </c>
      <c r="O417">
        <v>40</v>
      </c>
      <c r="P417" t="s">
        <v>63</v>
      </c>
      <c r="Q417" t="s">
        <v>76</v>
      </c>
      <c r="R417" t="str" cm="1">
        <f t="array" ref="R417">_xlfn.IFS(B417&lt;31,"Young-Adult",B417&lt;41,"Adult",B417&lt;61,"Middle-aged",B417&gt;=61,"Senior")</f>
        <v>Senior</v>
      </c>
      <c r="S417" cm="1">
        <f t="array" ref="S417">_xlfn.IFS(Q417 ="Fortnightly",14,Q417="Weekly",7,Q417="Monthly",30,Q417="Quarterly",90,Q417="Bi-Weekly",14,Q417="Annually",365,Q417="Every 3 Months",90,TRUE,"NOT FOUND")</f>
        <v>30</v>
      </c>
    </row>
    <row r="418" spans="1:19" x14ac:dyDescent="0.35">
      <c r="A418">
        <v>417</v>
      </c>
      <c r="B418">
        <v>36</v>
      </c>
      <c r="C418" t="s">
        <v>7</v>
      </c>
      <c r="D418" t="s">
        <v>121</v>
      </c>
      <c r="E418" t="s">
        <v>55</v>
      </c>
      <c r="F418">
        <v>55</v>
      </c>
      <c r="G418" t="s">
        <v>35</v>
      </c>
      <c r="H418" t="s">
        <v>11</v>
      </c>
      <c r="I418" t="s">
        <v>66</v>
      </c>
      <c r="J418" t="s">
        <v>25</v>
      </c>
      <c r="K418">
        <v>3.8</v>
      </c>
      <c r="L418" t="s">
        <v>14</v>
      </c>
      <c r="M418" t="s">
        <v>26</v>
      </c>
      <c r="N418" t="s">
        <v>14</v>
      </c>
      <c r="O418">
        <v>24</v>
      </c>
      <c r="P418" t="s">
        <v>63</v>
      </c>
      <c r="Q418" t="s">
        <v>17</v>
      </c>
      <c r="R418" t="str" cm="1">
        <f t="array" ref="R418">_xlfn.IFS(B418&lt;31,"Young-Adult",B418&lt;41,"Adult",B418&lt;61,"Middle-aged",B418&gt;=61,"Senior")</f>
        <v>Adult</v>
      </c>
      <c r="S418" cm="1">
        <f t="array" ref="S418">_xlfn.IFS(Q418 ="Fortnightly",14,Q418="Weekly",7,Q418="Monthly",30,Q418="Quarterly",90,Q418="Bi-Weekly",14,Q418="Annually",365,Q418="Every 3 Months",90,TRUE,"NOT FOUND")</f>
        <v>14</v>
      </c>
    </row>
    <row r="419" spans="1:19" x14ac:dyDescent="0.35">
      <c r="A419">
        <v>418</v>
      </c>
      <c r="B419">
        <v>23</v>
      </c>
      <c r="C419" t="s">
        <v>7</v>
      </c>
      <c r="D419" t="s">
        <v>29</v>
      </c>
      <c r="E419" t="s">
        <v>30</v>
      </c>
      <c r="F419">
        <v>81</v>
      </c>
      <c r="G419" t="s">
        <v>79</v>
      </c>
      <c r="H419" t="s">
        <v>11</v>
      </c>
      <c r="I419" t="s">
        <v>106</v>
      </c>
      <c r="J419" t="s">
        <v>45</v>
      </c>
      <c r="K419">
        <v>4.5</v>
      </c>
      <c r="L419" t="s">
        <v>14</v>
      </c>
      <c r="M419" t="s">
        <v>26</v>
      </c>
      <c r="N419" t="s">
        <v>14</v>
      </c>
      <c r="O419">
        <v>48</v>
      </c>
      <c r="P419" t="s">
        <v>74</v>
      </c>
      <c r="Q419" t="s">
        <v>46</v>
      </c>
      <c r="R419" t="str" cm="1">
        <f t="array" ref="R419">_xlfn.IFS(B419&lt;31,"Young-Adult",B419&lt;41,"Adult",B419&lt;61,"Middle-aged",B419&gt;=61,"Senior")</f>
        <v>Young-Adult</v>
      </c>
      <c r="S419" cm="1">
        <f t="array" ref="S419">_xlfn.IFS(Q419 ="Fortnightly",14,Q419="Weekly",7,Q419="Monthly",30,Q419="Quarterly",90,Q419="Bi-Weekly",14,Q419="Annually",365,Q419="Every 3 Months",90,TRUE,"NOT FOUND")</f>
        <v>90</v>
      </c>
    </row>
    <row r="420" spans="1:19" x14ac:dyDescent="0.35">
      <c r="A420">
        <v>419</v>
      </c>
      <c r="B420">
        <v>18</v>
      </c>
      <c r="C420" t="s">
        <v>7</v>
      </c>
      <c r="D420" t="s">
        <v>18</v>
      </c>
      <c r="E420" t="s">
        <v>9</v>
      </c>
      <c r="F420">
        <v>73</v>
      </c>
      <c r="G420" t="s">
        <v>103</v>
      </c>
      <c r="H420" t="s">
        <v>11</v>
      </c>
      <c r="I420" t="s">
        <v>61</v>
      </c>
      <c r="J420" t="s">
        <v>25</v>
      </c>
      <c r="K420">
        <v>3</v>
      </c>
      <c r="L420" t="s">
        <v>14</v>
      </c>
      <c r="M420" t="s">
        <v>42</v>
      </c>
      <c r="N420" t="s">
        <v>14</v>
      </c>
      <c r="O420">
        <v>27</v>
      </c>
      <c r="P420" t="s">
        <v>16</v>
      </c>
      <c r="Q420" t="s">
        <v>64</v>
      </c>
      <c r="R420" t="str" cm="1">
        <f t="array" ref="R420">_xlfn.IFS(B420&lt;31,"Young-Adult",B420&lt;41,"Adult",B420&lt;61,"Middle-aged",B420&gt;=61,"Senior")</f>
        <v>Young-Adult</v>
      </c>
      <c r="S420" cm="1">
        <f t="array" ref="S420">_xlfn.IFS(Q420 ="Fortnightly",14,Q420="Weekly",7,Q420="Monthly",30,Q420="Quarterly",90,Q420="Bi-Weekly",14,Q420="Annually",365,Q420="Every 3 Months",90,TRUE,"NOT FOUND")</f>
        <v>14</v>
      </c>
    </row>
    <row r="421" spans="1:19" x14ac:dyDescent="0.35">
      <c r="A421">
        <v>420</v>
      </c>
      <c r="B421">
        <v>53</v>
      </c>
      <c r="C421" t="s">
        <v>7</v>
      </c>
      <c r="D421" t="s">
        <v>47</v>
      </c>
      <c r="E421" t="s">
        <v>9</v>
      </c>
      <c r="F421">
        <v>91</v>
      </c>
      <c r="G421" t="s">
        <v>128</v>
      </c>
      <c r="H421" t="s">
        <v>24</v>
      </c>
      <c r="I421" t="s">
        <v>73</v>
      </c>
      <c r="J421" t="s">
        <v>13</v>
      </c>
      <c r="K421">
        <v>3.8</v>
      </c>
      <c r="L421" t="s">
        <v>14</v>
      </c>
      <c r="M421" t="s">
        <v>26</v>
      </c>
      <c r="N421" t="s">
        <v>14</v>
      </c>
      <c r="O421">
        <v>14</v>
      </c>
      <c r="P421" t="s">
        <v>27</v>
      </c>
      <c r="Q421" t="s">
        <v>85</v>
      </c>
      <c r="R421" t="str" cm="1">
        <f t="array" ref="R421">_xlfn.IFS(B421&lt;31,"Young-Adult",B421&lt;41,"Adult",B421&lt;61,"Middle-aged",B421&gt;=61,"Senior")</f>
        <v>Middle-aged</v>
      </c>
      <c r="S421" cm="1">
        <f t="array" ref="S421">_xlfn.IFS(Q421 ="Fortnightly",14,Q421="Weekly",7,Q421="Monthly",30,Q421="Quarterly",90,Q421="Bi-Weekly",14,Q421="Annually",365,Q421="Every 3 Months",90,TRUE,"NOT FOUND")</f>
        <v>90</v>
      </c>
    </row>
    <row r="422" spans="1:19" x14ac:dyDescent="0.35">
      <c r="A422">
        <v>421</v>
      </c>
      <c r="B422">
        <v>32</v>
      </c>
      <c r="C422" t="s">
        <v>7</v>
      </c>
      <c r="D422" t="s">
        <v>113</v>
      </c>
      <c r="E422" t="s">
        <v>9</v>
      </c>
      <c r="F422">
        <v>54</v>
      </c>
      <c r="G422" t="s">
        <v>86</v>
      </c>
      <c r="H422" t="s">
        <v>24</v>
      </c>
      <c r="I422" t="s">
        <v>88</v>
      </c>
      <c r="J422" t="s">
        <v>25</v>
      </c>
      <c r="K422">
        <v>3.8</v>
      </c>
      <c r="L422" t="s">
        <v>14</v>
      </c>
      <c r="M422" t="s">
        <v>26</v>
      </c>
      <c r="N422" t="s">
        <v>14</v>
      </c>
      <c r="O422">
        <v>18</v>
      </c>
      <c r="P422" t="s">
        <v>74</v>
      </c>
      <c r="Q422" t="s">
        <v>64</v>
      </c>
      <c r="R422" t="str" cm="1">
        <f t="array" ref="R422">_xlfn.IFS(B422&lt;31,"Young-Adult",B422&lt;41,"Adult",B422&lt;61,"Middle-aged",B422&gt;=61,"Senior")</f>
        <v>Adult</v>
      </c>
      <c r="S422" cm="1">
        <f t="array" ref="S422">_xlfn.IFS(Q422 ="Fortnightly",14,Q422="Weekly",7,Q422="Monthly",30,Q422="Quarterly",90,Q422="Bi-Weekly",14,Q422="Annually",365,Q422="Every 3 Months",90,TRUE,"NOT FOUND")</f>
        <v>14</v>
      </c>
    </row>
    <row r="423" spans="1:19" x14ac:dyDescent="0.35">
      <c r="A423">
        <v>422</v>
      </c>
      <c r="B423">
        <v>38</v>
      </c>
      <c r="C423" t="s">
        <v>7</v>
      </c>
      <c r="D423" t="s">
        <v>43</v>
      </c>
      <c r="E423" t="s">
        <v>9</v>
      </c>
      <c r="F423">
        <v>40</v>
      </c>
      <c r="G423" t="s">
        <v>10</v>
      </c>
      <c r="H423" t="s">
        <v>32</v>
      </c>
      <c r="I423" t="s">
        <v>71</v>
      </c>
      <c r="J423" t="s">
        <v>13</v>
      </c>
      <c r="K423">
        <v>3.5</v>
      </c>
      <c r="L423" t="s">
        <v>14</v>
      </c>
      <c r="M423" t="s">
        <v>42</v>
      </c>
      <c r="N423" t="s">
        <v>14</v>
      </c>
      <c r="O423">
        <v>48</v>
      </c>
      <c r="P423" t="s">
        <v>21</v>
      </c>
      <c r="Q423" t="s">
        <v>64</v>
      </c>
      <c r="R423" t="str" cm="1">
        <f t="array" ref="R423">_xlfn.IFS(B423&lt;31,"Young-Adult",B423&lt;41,"Adult",B423&lt;61,"Middle-aged",B423&gt;=61,"Senior")</f>
        <v>Adult</v>
      </c>
      <c r="S423" cm="1">
        <f t="array" ref="S423">_xlfn.IFS(Q423 ="Fortnightly",14,Q423="Weekly",7,Q423="Monthly",30,Q423="Quarterly",90,Q423="Bi-Weekly",14,Q423="Annually",365,Q423="Every 3 Months",90,TRUE,"NOT FOUND")</f>
        <v>14</v>
      </c>
    </row>
    <row r="424" spans="1:19" x14ac:dyDescent="0.35">
      <c r="A424">
        <v>423</v>
      </c>
      <c r="B424">
        <v>47</v>
      </c>
      <c r="C424" t="s">
        <v>7</v>
      </c>
      <c r="D424" t="s">
        <v>83</v>
      </c>
      <c r="E424" t="s">
        <v>9</v>
      </c>
      <c r="F424">
        <v>59</v>
      </c>
      <c r="G424" t="s">
        <v>136</v>
      </c>
      <c r="H424" t="s">
        <v>32</v>
      </c>
      <c r="I424" t="s">
        <v>61</v>
      </c>
      <c r="J424" t="s">
        <v>45</v>
      </c>
      <c r="K424">
        <v>3.1</v>
      </c>
      <c r="L424" t="s">
        <v>14</v>
      </c>
      <c r="M424" t="s">
        <v>62</v>
      </c>
      <c r="N424" t="s">
        <v>14</v>
      </c>
      <c r="O424">
        <v>32</v>
      </c>
      <c r="P424" t="s">
        <v>74</v>
      </c>
      <c r="Q424" t="s">
        <v>37</v>
      </c>
      <c r="R424" t="str" cm="1">
        <f t="array" ref="R424">_xlfn.IFS(B424&lt;31,"Young-Adult",B424&lt;41,"Adult",B424&lt;61,"Middle-aged",B424&gt;=61,"Senior")</f>
        <v>Middle-aged</v>
      </c>
      <c r="S424" cm="1">
        <f t="array" ref="S424">_xlfn.IFS(Q424 ="Fortnightly",14,Q424="Weekly",7,Q424="Monthly",30,Q424="Quarterly",90,Q424="Bi-Weekly",14,Q424="Annually",365,Q424="Every 3 Months",90,TRUE,"NOT FOUND")</f>
        <v>365</v>
      </c>
    </row>
    <row r="425" spans="1:19" x14ac:dyDescent="0.35">
      <c r="A425">
        <v>424</v>
      </c>
      <c r="B425">
        <v>46</v>
      </c>
      <c r="C425" t="s">
        <v>7</v>
      </c>
      <c r="D425" t="s">
        <v>107</v>
      </c>
      <c r="E425" t="s">
        <v>55</v>
      </c>
      <c r="F425">
        <v>26</v>
      </c>
      <c r="G425" t="s">
        <v>72</v>
      </c>
      <c r="H425" t="s">
        <v>11</v>
      </c>
      <c r="I425" t="s">
        <v>73</v>
      </c>
      <c r="J425" t="s">
        <v>25</v>
      </c>
      <c r="K425">
        <v>3</v>
      </c>
      <c r="L425" t="s">
        <v>14</v>
      </c>
      <c r="M425" t="s">
        <v>62</v>
      </c>
      <c r="N425" t="s">
        <v>14</v>
      </c>
      <c r="O425">
        <v>21</v>
      </c>
      <c r="P425" t="s">
        <v>27</v>
      </c>
      <c r="Q425" t="s">
        <v>64</v>
      </c>
      <c r="R425" t="str" cm="1">
        <f t="array" ref="R425">_xlfn.IFS(B425&lt;31,"Young-Adult",B425&lt;41,"Adult",B425&lt;61,"Middle-aged",B425&gt;=61,"Senior")</f>
        <v>Middle-aged</v>
      </c>
      <c r="S425" cm="1">
        <f t="array" ref="S425">_xlfn.IFS(Q425 ="Fortnightly",14,Q425="Weekly",7,Q425="Monthly",30,Q425="Quarterly",90,Q425="Bi-Weekly",14,Q425="Annually",365,Q425="Every 3 Months",90,TRUE,"NOT FOUND")</f>
        <v>14</v>
      </c>
    </row>
    <row r="426" spans="1:19" x14ac:dyDescent="0.35">
      <c r="A426">
        <v>425</v>
      </c>
      <c r="B426">
        <v>66</v>
      </c>
      <c r="C426" t="s">
        <v>7</v>
      </c>
      <c r="D426" t="s">
        <v>18</v>
      </c>
      <c r="E426" t="s">
        <v>9</v>
      </c>
      <c r="F426">
        <v>23</v>
      </c>
      <c r="G426" t="s">
        <v>103</v>
      </c>
      <c r="H426" t="s">
        <v>32</v>
      </c>
      <c r="I426" t="s">
        <v>68</v>
      </c>
      <c r="J426" t="s">
        <v>13</v>
      </c>
      <c r="K426">
        <v>4.3</v>
      </c>
      <c r="L426" t="s">
        <v>14</v>
      </c>
      <c r="M426" t="s">
        <v>42</v>
      </c>
      <c r="N426" t="s">
        <v>14</v>
      </c>
      <c r="O426">
        <v>42</v>
      </c>
      <c r="P426" t="s">
        <v>34</v>
      </c>
      <c r="Q426" t="s">
        <v>17</v>
      </c>
      <c r="R426" t="str" cm="1">
        <f t="array" ref="R426">_xlfn.IFS(B426&lt;31,"Young-Adult",B426&lt;41,"Adult",B426&lt;61,"Middle-aged",B426&gt;=61,"Senior")</f>
        <v>Senior</v>
      </c>
      <c r="S426" cm="1">
        <f t="array" ref="S426">_xlfn.IFS(Q426 ="Fortnightly",14,Q426="Weekly",7,Q426="Monthly",30,Q426="Quarterly",90,Q426="Bi-Weekly",14,Q426="Annually",365,Q426="Every 3 Months",90,TRUE,"NOT FOUND")</f>
        <v>14</v>
      </c>
    </row>
    <row r="427" spans="1:19" x14ac:dyDescent="0.35">
      <c r="A427">
        <v>426</v>
      </c>
      <c r="B427">
        <v>40</v>
      </c>
      <c r="C427" t="s">
        <v>7</v>
      </c>
      <c r="D427" t="s">
        <v>22</v>
      </c>
      <c r="E427" t="s">
        <v>9</v>
      </c>
      <c r="F427">
        <v>87</v>
      </c>
      <c r="G427" t="s">
        <v>102</v>
      </c>
      <c r="H427" t="s">
        <v>24</v>
      </c>
      <c r="I427" t="s">
        <v>73</v>
      </c>
      <c r="J427" t="s">
        <v>13</v>
      </c>
      <c r="K427">
        <v>3.3</v>
      </c>
      <c r="L427" t="s">
        <v>14</v>
      </c>
      <c r="M427" t="s">
        <v>62</v>
      </c>
      <c r="N427" t="s">
        <v>14</v>
      </c>
      <c r="O427">
        <v>4</v>
      </c>
      <c r="P427" t="s">
        <v>27</v>
      </c>
      <c r="Q427" t="s">
        <v>46</v>
      </c>
      <c r="R427" t="str" cm="1">
        <f t="array" ref="R427">_xlfn.IFS(B427&lt;31,"Young-Adult",B427&lt;41,"Adult",B427&lt;61,"Middle-aged",B427&gt;=61,"Senior")</f>
        <v>Adult</v>
      </c>
      <c r="S427" cm="1">
        <f t="array" ref="S427">_xlfn.IFS(Q427 ="Fortnightly",14,Q427="Weekly",7,Q427="Monthly",30,Q427="Quarterly",90,Q427="Bi-Weekly",14,Q427="Annually",365,Q427="Every 3 Months",90,TRUE,"NOT FOUND")</f>
        <v>90</v>
      </c>
    </row>
    <row r="428" spans="1:19" x14ac:dyDescent="0.35">
      <c r="A428">
        <v>427</v>
      </c>
      <c r="B428">
        <v>43</v>
      </c>
      <c r="C428" t="s">
        <v>7</v>
      </c>
      <c r="D428" t="s">
        <v>83</v>
      </c>
      <c r="E428" t="s">
        <v>9</v>
      </c>
      <c r="F428">
        <v>71</v>
      </c>
      <c r="G428" t="s">
        <v>48</v>
      </c>
      <c r="H428" t="s">
        <v>32</v>
      </c>
      <c r="I428" t="s">
        <v>71</v>
      </c>
      <c r="J428" t="s">
        <v>13</v>
      </c>
      <c r="K428">
        <v>4.7</v>
      </c>
      <c r="L428" t="s">
        <v>14</v>
      </c>
      <c r="M428" t="s">
        <v>15</v>
      </c>
      <c r="N428" t="s">
        <v>14</v>
      </c>
      <c r="O428">
        <v>19</v>
      </c>
      <c r="P428" t="s">
        <v>27</v>
      </c>
      <c r="Q428" t="s">
        <v>46</v>
      </c>
      <c r="R428" t="str" cm="1">
        <f t="array" ref="R428">_xlfn.IFS(B428&lt;31,"Young-Adult",B428&lt;41,"Adult",B428&lt;61,"Middle-aged",B428&gt;=61,"Senior")</f>
        <v>Middle-aged</v>
      </c>
      <c r="S428" cm="1">
        <f t="array" ref="S428">_xlfn.IFS(Q428 ="Fortnightly",14,Q428="Weekly",7,Q428="Monthly",30,Q428="Quarterly",90,Q428="Bi-Weekly",14,Q428="Annually",365,Q428="Every 3 Months",90,TRUE,"NOT FOUND")</f>
        <v>90</v>
      </c>
    </row>
    <row r="429" spans="1:19" x14ac:dyDescent="0.35">
      <c r="A429">
        <v>428</v>
      </c>
      <c r="B429">
        <v>58</v>
      </c>
      <c r="C429" t="s">
        <v>7</v>
      </c>
      <c r="D429" t="s">
        <v>120</v>
      </c>
      <c r="E429" t="s">
        <v>55</v>
      </c>
      <c r="F429">
        <v>91</v>
      </c>
      <c r="G429" t="s">
        <v>103</v>
      </c>
      <c r="H429" t="s">
        <v>11</v>
      </c>
      <c r="I429" t="s">
        <v>82</v>
      </c>
      <c r="J429" t="s">
        <v>13</v>
      </c>
      <c r="K429">
        <v>4.5</v>
      </c>
      <c r="L429" t="s">
        <v>14</v>
      </c>
      <c r="M429" t="s">
        <v>62</v>
      </c>
      <c r="N429" t="s">
        <v>14</v>
      </c>
      <c r="O429">
        <v>6</v>
      </c>
      <c r="P429" t="s">
        <v>27</v>
      </c>
      <c r="Q429" t="s">
        <v>46</v>
      </c>
      <c r="R429" t="str" cm="1">
        <f t="array" ref="R429">_xlfn.IFS(B429&lt;31,"Young-Adult",B429&lt;41,"Adult",B429&lt;61,"Middle-aged",B429&gt;=61,"Senior")</f>
        <v>Middle-aged</v>
      </c>
      <c r="S429" cm="1">
        <f t="array" ref="S429">_xlfn.IFS(Q429 ="Fortnightly",14,Q429="Weekly",7,Q429="Monthly",30,Q429="Quarterly",90,Q429="Bi-Weekly",14,Q429="Annually",365,Q429="Every 3 Months",90,TRUE,"NOT FOUND")</f>
        <v>90</v>
      </c>
    </row>
    <row r="430" spans="1:19" x14ac:dyDescent="0.35">
      <c r="A430">
        <v>429</v>
      </c>
      <c r="B430">
        <v>21</v>
      </c>
      <c r="C430" t="s">
        <v>7</v>
      </c>
      <c r="D430" t="s">
        <v>50</v>
      </c>
      <c r="E430" t="s">
        <v>51</v>
      </c>
      <c r="F430">
        <v>64</v>
      </c>
      <c r="G430" t="s">
        <v>39</v>
      </c>
      <c r="H430" t="s">
        <v>80</v>
      </c>
      <c r="I430" t="s">
        <v>68</v>
      </c>
      <c r="J430" t="s">
        <v>13</v>
      </c>
      <c r="K430">
        <v>2.9</v>
      </c>
      <c r="L430" t="s">
        <v>14</v>
      </c>
      <c r="M430" t="s">
        <v>26</v>
      </c>
      <c r="N430" t="s">
        <v>14</v>
      </c>
      <c r="O430">
        <v>2</v>
      </c>
      <c r="P430" t="s">
        <v>74</v>
      </c>
      <c r="Q430" t="s">
        <v>17</v>
      </c>
      <c r="R430" t="str" cm="1">
        <f t="array" ref="R430">_xlfn.IFS(B430&lt;31,"Young-Adult",B430&lt;41,"Adult",B430&lt;61,"Middle-aged",B430&gt;=61,"Senior")</f>
        <v>Young-Adult</v>
      </c>
      <c r="S430" cm="1">
        <f t="array" ref="S430">_xlfn.IFS(Q430 ="Fortnightly",14,Q430="Weekly",7,Q430="Monthly",30,Q430="Quarterly",90,Q430="Bi-Weekly",14,Q430="Annually",365,Q430="Every 3 Months",90,TRUE,"NOT FOUND")</f>
        <v>14</v>
      </c>
    </row>
    <row r="431" spans="1:19" x14ac:dyDescent="0.35">
      <c r="A431">
        <v>430</v>
      </c>
      <c r="B431">
        <v>42</v>
      </c>
      <c r="C431" t="s">
        <v>7</v>
      </c>
      <c r="D431" t="s">
        <v>29</v>
      </c>
      <c r="E431" t="s">
        <v>30</v>
      </c>
      <c r="F431">
        <v>94</v>
      </c>
      <c r="G431" t="s">
        <v>137</v>
      </c>
      <c r="H431" t="s">
        <v>32</v>
      </c>
      <c r="I431" t="s">
        <v>68</v>
      </c>
      <c r="J431" t="s">
        <v>13</v>
      </c>
      <c r="K431">
        <v>4.0999999999999996</v>
      </c>
      <c r="L431" t="s">
        <v>14</v>
      </c>
      <c r="M431" t="s">
        <v>58</v>
      </c>
      <c r="N431" t="s">
        <v>14</v>
      </c>
      <c r="O431">
        <v>21</v>
      </c>
      <c r="P431" t="s">
        <v>21</v>
      </c>
      <c r="Q431" t="s">
        <v>17</v>
      </c>
      <c r="R431" t="str" cm="1">
        <f t="array" ref="R431">_xlfn.IFS(B431&lt;31,"Young-Adult",B431&lt;41,"Adult",B431&lt;61,"Middle-aged",B431&gt;=61,"Senior")</f>
        <v>Middle-aged</v>
      </c>
      <c r="S431" cm="1">
        <f t="array" ref="S431">_xlfn.IFS(Q431 ="Fortnightly",14,Q431="Weekly",7,Q431="Monthly",30,Q431="Quarterly",90,Q431="Bi-Weekly",14,Q431="Annually",365,Q431="Every 3 Months",90,TRUE,"NOT FOUND")</f>
        <v>14</v>
      </c>
    </row>
    <row r="432" spans="1:19" x14ac:dyDescent="0.35">
      <c r="A432">
        <v>431</v>
      </c>
      <c r="B432">
        <v>24</v>
      </c>
      <c r="C432" t="s">
        <v>7</v>
      </c>
      <c r="D432" t="s">
        <v>43</v>
      </c>
      <c r="E432" t="s">
        <v>9</v>
      </c>
      <c r="F432">
        <v>40</v>
      </c>
      <c r="G432" t="s">
        <v>93</v>
      </c>
      <c r="H432" t="s">
        <v>32</v>
      </c>
      <c r="I432" t="s">
        <v>98</v>
      </c>
      <c r="J432" t="s">
        <v>41</v>
      </c>
      <c r="K432">
        <v>3.5</v>
      </c>
      <c r="L432" t="s">
        <v>14</v>
      </c>
      <c r="M432" t="s">
        <v>62</v>
      </c>
      <c r="N432" t="s">
        <v>14</v>
      </c>
      <c r="O432">
        <v>40</v>
      </c>
      <c r="P432" t="s">
        <v>74</v>
      </c>
      <c r="Q432" t="s">
        <v>37</v>
      </c>
      <c r="R432" t="str" cm="1">
        <f t="array" ref="R432">_xlfn.IFS(B432&lt;31,"Young-Adult",B432&lt;41,"Adult",B432&lt;61,"Middle-aged",B432&gt;=61,"Senior")</f>
        <v>Young-Adult</v>
      </c>
      <c r="S432" cm="1">
        <f t="array" ref="S432">_xlfn.IFS(Q432 ="Fortnightly",14,Q432="Weekly",7,Q432="Monthly",30,Q432="Quarterly",90,Q432="Bi-Weekly",14,Q432="Annually",365,Q432="Every 3 Months",90,TRUE,"NOT FOUND")</f>
        <v>365</v>
      </c>
    </row>
    <row r="433" spans="1:19" x14ac:dyDescent="0.35">
      <c r="A433">
        <v>432</v>
      </c>
      <c r="B433">
        <v>43</v>
      </c>
      <c r="C433" t="s">
        <v>7</v>
      </c>
      <c r="D433" t="s">
        <v>112</v>
      </c>
      <c r="E433" t="s">
        <v>55</v>
      </c>
      <c r="F433">
        <v>76</v>
      </c>
      <c r="G433" t="s">
        <v>70</v>
      </c>
      <c r="H433" t="s">
        <v>11</v>
      </c>
      <c r="I433" t="s">
        <v>97</v>
      </c>
      <c r="J433" t="s">
        <v>13</v>
      </c>
      <c r="K433">
        <v>3.4</v>
      </c>
      <c r="L433" t="s">
        <v>14</v>
      </c>
      <c r="M433" t="s">
        <v>62</v>
      </c>
      <c r="N433" t="s">
        <v>14</v>
      </c>
      <c r="O433">
        <v>33</v>
      </c>
      <c r="P433" t="s">
        <v>21</v>
      </c>
      <c r="Q433" t="s">
        <v>17</v>
      </c>
      <c r="R433" t="str" cm="1">
        <f t="array" ref="R433">_xlfn.IFS(B433&lt;31,"Young-Adult",B433&lt;41,"Adult",B433&lt;61,"Middle-aged",B433&gt;=61,"Senior")</f>
        <v>Middle-aged</v>
      </c>
      <c r="S433" cm="1">
        <f t="array" ref="S433">_xlfn.IFS(Q433 ="Fortnightly",14,Q433="Weekly",7,Q433="Monthly",30,Q433="Quarterly",90,Q433="Bi-Weekly",14,Q433="Annually",365,Q433="Every 3 Months",90,TRUE,"NOT FOUND")</f>
        <v>14</v>
      </c>
    </row>
    <row r="434" spans="1:19" x14ac:dyDescent="0.35">
      <c r="A434">
        <v>433</v>
      </c>
      <c r="B434">
        <v>47</v>
      </c>
      <c r="C434" t="s">
        <v>7</v>
      </c>
      <c r="D434" t="s">
        <v>43</v>
      </c>
      <c r="E434" t="s">
        <v>9</v>
      </c>
      <c r="F434">
        <v>86</v>
      </c>
      <c r="G434" t="s">
        <v>104</v>
      </c>
      <c r="H434" t="s">
        <v>24</v>
      </c>
      <c r="I434" t="s">
        <v>114</v>
      </c>
      <c r="J434" t="s">
        <v>45</v>
      </c>
      <c r="K434">
        <v>3.3</v>
      </c>
      <c r="L434" t="s">
        <v>14</v>
      </c>
      <c r="M434" t="s">
        <v>26</v>
      </c>
      <c r="N434" t="s">
        <v>14</v>
      </c>
      <c r="O434">
        <v>26</v>
      </c>
      <c r="P434" t="s">
        <v>16</v>
      </c>
      <c r="Q434" t="s">
        <v>28</v>
      </c>
      <c r="R434" t="str" cm="1">
        <f t="array" ref="R434">_xlfn.IFS(B434&lt;31,"Young-Adult",B434&lt;41,"Adult",B434&lt;61,"Middle-aged",B434&gt;=61,"Senior")</f>
        <v>Middle-aged</v>
      </c>
      <c r="S434" cm="1">
        <f t="array" ref="S434">_xlfn.IFS(Q434 ="Fortnightly",14,Q434="Weekly",7,Q434="Monthly",30,Q434="Quarterly",90,Q434="Bi-Weekly",14,Q434="Annually",365,Q434="Every 3 Months",90,TRUE,"NOT FOUND")</f>
        <v>7</v>
      </c>
    </row>
    <row r="435" spans="1:19" x14ac:dyDescent="0.35">
      <c r="A435">
        <v>434</v>
      </c>
      <c r="B435">
        <v>49</v>
      </c>
      <c r="C435" t="s">
        <v>7</v>
      </c>
      <c r="D435" t="s">
        <v>75</v>
      </c>
      <c r="E435" t="s">
        <v>9</v>
      </c>
      <c r="F435">
        <v>92</v>
      </c>
      <c r="G435" t="s">
        <v>78</v>
      </c>
      <c r="H435" t="s">
        <v>32</v>
      </c>
      <c r="I435" t="s">
        <v>109</v>
      </c>
      <c r="J435" t="s">
        <v>45</v>
      </c>
      <c r="K435">
        <v>3.2</v>
      </c>
      <c r="L435" t="s">
        <v>14</v>
      </c>
      <c r="M435" t="s">
        <v>62</v>
      </c>
      <c r="N435" t="s">
        <v>14</v>
      </c>
      <c r="O435">
        <v>23</v>
      </c>
      <c r="P435" t="s">
        <v>27</v>
      </c>
      <c r="Q435" t="s">
        <v>17</v>
      </c>
      <c r="R435" t="str" cm="1">
        <f t="array" ref="R435">_xlfn.IFS(B435&lt;31,"Young-Adult",B435&lt;41,"Adult",B435&lt;61,"Middle-aged",B435&gt;=61,"Senior")</f>
        <v>Middle-aged</v>
      </c>
      <c r="S435" cm="1">
        <f t="array" ref="S435">_xlfn.IFS(Q435 ="Fortnightly",14,Q435="Weekly",7,Q435="Monthly",30,Q435="Quarterly",90,Q435="Bi-Weekly",14,Q435="Annually",365,Q435="Every 3 Months",90,TRUE,"NOT FOUND")</f>
        <v>14</v>
      </c>
    </row>
    <row r="436" spans="1:19" x14ac:dyDescent="0.35">
      <c r="A436">
        <v>435</v>
      </c>
      <c r="B436">
        <v>50</v>
      </c>
      <c r="C436" t="s">
        <v>7</v>
      </c>
      <c r="D436" t="s">
        <v>59</v>
      </c>
      <c r="E436" t="s">
        <v>30</v>
      </c>
      <c r="F436">
        <v>52</v>
      </c>
      <c r="G436" t="s">
        <v>89</v>
      </c>
      <c r="H436" t="s">
        <v>11</v>
      </c>
      <c r="I436" t="s">
        <v>57</v>
      </c>
      <c r="J436" t="s">
        <v>25</v>
      </c>
      <c r="K436">
        <v>4</v>
      </c>
      <c r="L436" t="s">
        <v>14</v>
      </c>
      <c r="M436" t="s">
        <v>62</v>
      </c>
      <c r="N436" t="s">
        <v>14</v>
      </c>
      <c r="O436">
        <v>39</v>
      </c>
      <c r="P436" t="s">
        <v>34</v>
      </c>
      <c r="Q436" t="s">
        <v>85</v>
      </c>
      <c r="R436" t="str" cm="1">
        <f t="array" ref="R436">_xlfn.IFS(B436&lt;31,"Young-Adult",B436&lt;41,"Adult",B436&lt;61,"Middle-aged",B436&gt;=61,"Senior")</f>
        <v>Middle-aged</v>
      </c>
      <c r="S436" cm="1">
        <f t="array" ref="S436">_xlfn.IFS(Q436 ="Fortnightly",14,Q436="Weekly",7,Q436="Monthly",30,Q436="Quarterly",90,Q436="Bi-Weekly",14,Q436="Annually",365,Q436="Every 3 Months",90,TRUE,"NOT FOUND")</f>
        <v>90</v>
      </c>
    </row>
    <row r="437" spans="1:19" x14ac:dyDescent="0.35">
      <c r="A437">
        <v>436</v>
      </c>
      <c r="B437">
        <v>51</v>
      </c>
      <c r="C437" t="s">
        <v>7</v>
      </c>
      <c r="D437" t="s">
        <v>50</v>
      </c>
      <c r="E437" t="s">
        <v>51</v>
      </c>
      <c r="F437">
        <v>28</v>
      </c>
      <c r="G437" t="s">
        <v>44</v>
      </c>
      <c r="H437" t="s">
        <v>80</v>
      </c>
      <c r="I437" t="s">
        <v>66</v>
      </c>
      <c r="J437" t="s">
        <v>13</v>
      </c>
      <c r="K437">
        <v>3.6</v>
      </c>
      <c r="L437" t="s">
        <v>14</v>
      </c>
      <c r="M437" t="s">
        <v>33</v>
      </c>
      <c r="N437" t="s">
        <v>14</v>
      </c>
      <c r="O437">
        <v>42</v>
      </c>
      <c r="P437" t="s">
        <v>63</v>
      </c>
      <c r="Q437" t="s">
        <v>76</v>
      </c>
      <c r="R437" t="str" cm="1">
        <f t="array" ref="R437">_xlfn.IFS(B437&lt;31,"Young-Adult",B437&lt;41,"Adult",B437&lt;61,"Middle-aged",B437&gt;=61,"Senior")</f>
        <v>Middle-aged</v>
      </c>
      <c r="S437" cm="1">
        <f t="array" ref="S437">_xlfn.IFS(Q437 ="Fortnightly",14,Q437="Weekly",7,Q437="Monthly",30,Q437="Quarterly",90,Q437="Bi-Weekly",14,Q437="Annually",365,Q437="Every 3 Months",90,TRUE,"NOT FOUND")</f>
        <v>30</v>
      </c>
    </row>
    <row r="438" spans="1:19" x14ac:dyDescent="0.35">
      <c r="A438">
        <v>437</v>
      </c>
      <c r="B438">
        <v>40</v>
      </c>
      <c r="C438" t="s">
        <v>7</v>
      </c>
      <c r="D438" t="s">
        <v>83</v>
      </c>
      <c r="E438" t="s">
        <v>9</v>
      </c>
      <c r="F438">
        <v>46</v>
      </c>
      <c r="G438" t="s">
        <v>110</v>
      </c>
      <c r="H438" t="s">
        <v>11</v>
      </c>
      <c r="I438" t="s">
        <v>97</v>
      </c>
      <c r="J438" t="s">
        <v>41</v>
      </c>
      <c r="K438">
        <v>4.5999999999999996</v>
      </c>
      <c r="L438" t="s">
        <v>14</v>
      </c>
      <c r="M438" t="s">
        <v>26</v>
      </c>
      <c r="N438" t="s">
        <v>14</v>
      </c>
      <c r="O438">
        <v>41</v>
      </c>
      <c r="P438" t="s">
        <v>63</v>
      </c>
      <c r="Q438" t="s">
        <v>28</v>
      </c>
      <c r="R438" t="str" cm="1">
        <f t="array" ref="R438">_xlfn.IFS(B438&lt;31,"Young-Adult",B438&lt;41,"Adult",B438&lt;61,"Middle-aged",B438&gt;=61,"Senior")</f>
        <v>Adult</v>
      </c>
      <c r="S438" cm="1">
        <f t="array" ref="S438">_xlfn.IFS(Q438 ="Fortnightly",14,Q438="Weekly",7,Q438="Monthly",30,Q438="Quarterly",90,Q438="Bi-Weekly",14,Q438="Annually",365,Q438="Every 3 Months",90,TRUE,"NOT FOUND")</f>
        <v>7</v>
      </c>
    </row>
    <row r="439" spans="1:19" x14ac:dyDescent="0.35">
      <c r="A439">
        <v>438</v>
      </c>
      <c r="B439">
        <v>45</v>
      </c>
      <c r="C439" t="s">
        <v>7</v>
      </c>
      <c r="D439" t="s">
        <v>94</v>
      </c>
      <c r="E439" t="s">
        <v>55</v>
      </c>
      <c r="F439">
        <v>50</v>
      </c>
      <c r="G439" t="s">
        <v>118</v>
      </c>
      <c r="H439" t="s">
        <v>32</v>
      </c>
      <c r="I439" t="s">
        <v>88</v>
      </c>
      <c r="J439" t="s">
        <v>41</v>
      </c>
      <c r="K439">
        <v>2.6</v>
      </c>
      <c r="L439" t="s">
        <v>14</v>
      </c>
      <c r="M439" t="s">
        <v>33</v>
      </c>
      <c r="N439" t="s">
        <v>14</v>
      </c>
      <c r="O439">
        <v>41</v>
      </c>
      <c r="P439" t="s">
        <v>34</v>
      </c>
      <c r="Q439" t="s">
        <v>37</v>
      </c>
      <c r="R439" t="str" cm="1">
        <f t="array" ref="R439">_xlfn.IFS(B439&lt;31,"Young-Adult",B439&lt;41,"Adult",B439&lt;61,"Middle-aged",B439&gt;=61,"Senior")</f>
        <v>Middle-aged</v>
      </c>
      <c r="S439" cm="1">
        <f t="array" ref="S439">_xlfn.IFS(Q439 ="Fortnightly",14,Q439="Weekly",7,Q439="Monthly",30,Q439="Quarterly",90,Q439="Bi-Weekly",14,Q439="Annually",365,Q439="Every 3 Months",90,TRUE,"NOT FOUND")</f>
        <v>365</v>
      </c>
    </row>
    <row r="440" spans="1:19" x14ac:dyDescent="0.35">
      <c r="A440">
        <v>439</v>
      </c>
      <c r="B440">
        <v>52</v>
      </c>
      <c r="C440" t="s">
        <v>7</v>
      </c>
      <c r="D440" t="s">
        <v>121</v>
      </c>
      <c r="E440" t="s">
        <v>55</v>
      </c>
      <c r="F440">
        <v>23</v>
      </c>
      <c r="G440" t="s">
        <v>134</v>
      </c>
      <c r="H440" t="s">
        <v>32</v>
      </c>
      <c r="I440" t="s">
        <v>36</v>
      </c>
      <c r="J440" t="s">
        <v>13</v>
      </c>
      <c r="K440">
        <v>4.3</v>
      </c>
      <c r="L440" t="s">
        <v>14</v>
      </c>
      <c r="M440" t="s">
        <v>15</v>
      </c>
      <c r="N440" t="s">
        <v>14</v>
      </c>
      <c r="O440">
        <v>12</v>
      </c>
      <c r="P440" t="s">
        <v>27</v>
      </c>
      <c r="Q440" t="s">
        <v>17</v>
      </c>
      <c r="R440" t="str" cm="1">
        <f t="array" ref="R440">_xlfn.IFS(B440&lt;31,"Young-Adult",B440&lt;41,"Adult",B440&lt;61,"Middle-aged",B440&gt;=61,"Senior")</f>
        <v>Middle-aged</v>
      </c>
      <c r="S440" cm="1">
        <f t="array" ref="S440">_xlfn.IFS(Q440 ="Fortnightly",14,Q440="Weekly",7,Q440="Monthly",30,Q440="Quarterly",90,Q440="Bi-Weekly",14,Q440="Annually",365,Q440="Every 3 Months",90,TRUE,"NOT FOUND")</f>
        <v>14</v>
      </c>
    </row>
    <row r="441" spans="1:19" x14ac:dyDescent="0.35">
      <c r="A441">
        <v>440</v>
      </c>
      <c r="B441">
        <v>62</v>
      </c>
      <c r="C441" t="s">
        <v>7</v>
      </c>
      <c r="D441" t="s">
        <v>90</v>
      </c>
      <c r="E441" t="s">
        <v>51</v>
      </c>
      <c r="F441">
        <v>50</v>
      </c>
      <c r="G441" t="s">
        <v>123</v>
      </c>
      <c r="H441" t="s">
        <v>32</v>
      </c>
      <c r="I441" t="s">
        <v>36</v>
      </c>
      <c r="J441" t="s">
        <v>41</v>
      </c>
      <c r="K441">
        <v>3.4</v>
      </c>
      <c r="L441" t="s">
        <v>14</v>
      </c>
      <c r="M441" t="s">
        <v>26</v>
      </c>
      <c r="N441" t="s">
        <v>14</v>
      </c>
      <c r="O441">
        <v>31</v>
      </c>
      <c r="P441" t="s">
        <v>21</v>
      </c>
      <c r="Q441" t="s">
        <v>76</v>
      </c>
      <c r="R441" t="str" cm="1">
        <f t="array" ref="R441">_xlfn.IFS(B441&lt;31,"Young-Adult",B441&lt;41,"Adult",B441&lt;61,"Middle-aged",B441&gt;=61,"Senior")</f>
        <v>Senior</v>
      </c>
      <c r="S441" cm="1">
        <f t="array" ref="S441">_xlfn.IFS(Q441 ="Fortnightly",14,Q441="Weekly",7,Q441="Monthly",30,Q441="Quarterly",90,Q441="Bi-Weekly",14,Q441="Annually",365,Q441="Every 3 Months",90,TRUE,"NOT FOUND")</f>
        <v>30</v>
      </c>
    </row>
    <row r="442" spans="1:19" x14ac:dyDescent="0.35">
      <c r="A442">
        <v>441</v>
      </c>
      <c r="B442">
        <v>20</v>
      </c>
      <c r="C442" t="s">
        <v>7</v>
      </c>
      <c r="D442" t="s">
        <v>43</v>
      </c>
      <c r="E442" t="s">
        <v>9</v>
      </c>
      <c r="F442">
        <v>89</v>
      </c>
      <c r="G442" t="s">
        <v>89</v>
      </c>
      <c r="H442" t="s">
        <v>80</v>
      </c>
      <c r="I442" t="s">
        <v>20</v>
      </c>
      <c r="J442" t="s">
        <v>13</v>
      </c>
      <c r="K442">
        <v>3.5</v>
      </c>
      <c r="L442" t="s">
        <v>14</v>
      </c>
      <c r="M442" t="s">
        <v>62</v>
      </c>
      <c r="N442" t="s">
        <v>14</v>
      </c>
      <c r="O442">
        <v>34</v>
      </c>
      <c r="P442" t="s">
        <v>74</v>
      </c>
      <c r="Q442" t="s">
        <v>17</v>
      </c>
      <c r="R442" t="str" cm="1">
        <f t="array" ref="R442">_xlfn.IFS(B442&lt;31,"Young-Adult",B442&lt;41,"Adult",B442&lt;61,"Middle-aged",B442&gt;=61,"Senior")</f>
        <v>Young-Adult</v>
      </c>
      <c r="S442" cm="1">
        <f t="array" ref="S442">_xlfn.IFS(Q442 ="Fortnightly",14,Q442="Weekly",7,Q442="Monthly",30,Q442="Quarterly",90,Q442="Bi-Weekly",14,Q442="Annually",365,Q442="Every 3 Months",90,TRUE,"NOT FOUND")</f>
        <v>14</v>
      </c>
    </row>
    <row r="443" spans="1:19" x14ac:dyDescent="0.35">
      <c r="A443">
        <v>442</v>
      </c>
      <c r="B443">
        <v>43</v>
      </c>
      <c r="C443" t="s">
        <v>7</v>
      </c>
      <c r="D443" t="s">
        <v>92</v>
      </c>
      <c r="E443" t="s">
        <v>9</v>
      </c>
      <c r="F443">
        <v>81</v>
      </c>
      <c r="G443" t="s">
        <v>91</v>
      </c>
      <c r="H443" t="s">
        <v>32</v>
      </c>
      <c r="I443" t="s">
        <v>20</v>
      </c>
      <c r="J443" t="s">
        <v>13</v>
      </c>
      <c r="K443">
        <v>4.2</v>
      </c>
      <c r="L443" t="s">
        <v>14</v>
      </c>
      <c r="M443" t="s">
        <v>42</v>
      </c>
      <c r="N443" t="s">
        <v>14</v>
      </c>
      <c r="O443">
        <v>32</v>
      </c>
      <c r="P443" t="s">
        <v>27</v>
      </c>
      <c r="Q443" t="s">
        <v>37</v>
      </c>
      <c r="R443" t="str" cm="1">
        <f t="array" ref="R443">_xlfn.IFS(B443&lt;31,"Young-Adult",B443&lt;41,"Adult",B443&lt;61,"Middle-aged",B443&gt;=61,"Senior")</f>
        <v>Middle-aged</v>
      </c>
      <c r="S443" cm="1">
        <f t="array" ref="S443">_xlfn.IFS(Q443 ="Fortnightly",14,Q443="Weekly",7,Q443="Monthly",30,Q443="Quarterly",90,Q443="Bi-Weekly",14,Q443="Annually",365,Q443="Every 3 Months",90,TRUE,"NOT FOUND")</f>
        <v>365</v>
      </c>
    </row>
    <row r="444" spans="1:19" x14ac:dyDescent="0.35">
      <c r="A444">
        <v>443</v>
      </c>
      <c r="B444">
        <v>29</v>
      </c>
      <c r="C444" t="s">
        <v>7</v>
      </c>
      <c r="D444" t="s">
        <v>77</v>
      </c>
      <c r="E444" t="s">
        <v>55</v>
      </c>
      <c r="F444">
        <v>69</v>
      </c>
      <c r="G444" t="s">
        <v>139</v>
      </c>
      <c r="H444" t="s">
        <v>32</v>
      </c>
      <c r="I444" t="s">
        <v>66</v>
      </c>
      <c r="J444" t="s">
        <v>45</v>
      </c>
      <c r="K444">
        <v>3.8</v>
      </c>
      <c r="L444" t="s">
        <v>14</v>
      </c>
      <c r="M444" t="s">
        <v>62</v>
      </c>
      <c r="N444" t="s">
        <v>14</v>
      </c>
      <c r="O444">
        <v>31</v>
      </c>
      <c r="P444" t="s">
        <v>27</v>
      </c>
      <c r="Q444" t="s">
        <v>46</v>
      </c>
      <c r="R444" t="str" cm="1">
        <f t="array" ref="R444">_xlfn.IFS(B444&lt;31,"Young-Adult",B444&lt;41,"Adult",B444&lt;61,"Middle-aged",B444&gt;=61,"Senior")</f>
        <v>Young-Adult</v>
      </c>
      <c r="S444" cm="1">
        <f t="array" ref="S444">_xlfn.IFS(Q444 ="Fortnightly",14,Q444="Weekly",7,Q444="Monthly",30,Q444="Quarterly",90,Q444="Bi-Weekly",14,Q444="Annually",365,Q444="Every 3 Months",90,TRUE,"NOT FOUND")</f>
        <v>90</v>
      </c>
    </row>
    <row r="445" spans="1:19" x14ac:dyDescent="0.35">
      <c r="A445">
        <v>444</v>
      </c>
      <c r="B445">
        <v>22</v>
      </c>
      <c r="C445" t="s">
        <v>7</v>
      </c>
      <c r="D445" t="s">
        <v>77</v>
      </c>
      <c r="E445" t="s">
        <v>55</v>
      </c>
      <c r="F445">
        <v>67</v>
      </c>
      <c r="G445" t="s">
        <v>65</v>
      </c>
      <c r="H445" t="s">
        <v>32</v>
      </c>
      <c r="I445" t="s">
        <v>124</v>
      </c>
      <c r="J445" t="s">
        <v>41</v>
      </c>
      <c r="K445">
        <v>3.6</v>
      </c>
      <c r="L445" t="s">
        <v>14</v>
      </c>
      <c r="M445" t="s">
        <v>26</v>
      </c>
      <c r="N445" t="s">
        <v>14</v>
      </c>
      <c r="O445">
        <v>24</v>
      </c>
      <c r="P445" t="s">
        <v>34</v>
      </c>
      <c r="Q445" t="s">
        <v>37</v>
      </c>
      <c r="R445" t="str" cm="1">
        <f t="array" ref="R445">_xlfn.IFS(B445&lt;31,"Young-Adult",B445&lt;41,"Adult",B445&lt;61,"Middle-aged",B445&gt;=61,"Senior")</f>
        <v>Young-Adult</v>
      </c>
      <c r="S445" cm="1">
        <f t="array" ref="S445">_xlfn.IFS(Q445 ="Fortnightly",14,Q445="Weekly",7,Q445="Monthly",30,Q445="Quarterly",90,Q445="Bi-Weekly",14,Q445="Annually",365,Q445="Every 3 Months",90,TRUE,"NOT FOUND")</f>
        <v>365</v>
      </c>
    </row>
    <row r="446" spans="1:19" x14ac:dyDescent="0.35">
      <c r="A446">
        <v>445</v>
      </c>
      <c r="B446">
        <v>48</v>
      </c>
      <c r="C446" t="s">
        <v>7</v>
      </c>
      <c r="D446" t="s">
        <v>69</v>
      </c>
      <c r="E446" t="s">
        <v>9</v>
      </c>
      <c r="F446">
        <v>20</v>
      </c>
      <c r="G446" t="s">
        <v>87</v>
      </c>
      <c r="H446" t="s">
        <v>32</v>
      </c>
      <c r="I446" t="s">
        <v>96</v>
      </c>
      <c r="J446" t="s">
        <v>41</v>
      </c>
      <c r="K446">
        <v>4.3</v>
      </c>
      <c r="L446" t="s">
        <v>14</v>
      </c>
      <c r="M446" t="s">
        <v>62</v>
      </c>
      <c r="N446" t="s">
        <v>14</v>
      </c>
      <c r="O446">
        <v>31</v>
      </c>
      <c r="P446" t="s">
        <v>74</v>
      </c>
      <c r="Q446" t="s">
        <v>37</v>
      </c>
      <c r="R446" t="str" cm="1">
        <f t="array" ref="R446">_xlfn.IFS(B446&lt;31,"Young-Adult",B446&lt;41,"Adult",B446&lt;61,"Middle-aged",B446&gt;=61,"Senior")</f>
        <v>Middle-aged</v>
      </c>
      <c r="S446" cm="1">
        <f t="array" ref="S446">_xlfn.IFS(Q446 ="Fortnightly",14,Q446="Weekly",7,Q446="Monthly",30,Q446="Quarterly",90,Q446="Bi-Weekly",14,Q446="Annually",365,Q446="Every 3 Months",90,TRUE,"NOT FOUND")</f>
        <v>365</v>
      </c>
    </row>
    <row r="447" spans="1:19" x14ac:dyDescent="0.35">
      <c r="A447">
        <v>446</v>
      </c>
      <c r="B447">
        <v>42</v>
      </c>
      <c r="C447" t="s">
        <v>7</v>
      </c>
      <c r="D447" t="s">
        <v>125</v>
      </c>
      <c r="E447" t="s">
        <v>30</v>
      </c>
      <c r="F447">
        <v>29</v>
      </c>
      <c r="G447" t="s">
        <v>134</v>
      </c>
      <c r="H447" t="s">
        <v>32</v>
      </c>
      <c r="I447" t="s">
        <v>66</v>
      </c>
      <c r="J447" t="s">
        <v>45</v>
      </c>
      <c r="K447">
        <v>4.9000000000000004</v>
      </c>
      <c r="L447" t="s">
        <v>14</v>
      </c>
      <c r="M447" t="s">
        <v>42</v>
      </c>
      <c r="N447" t="s">
        <v>14</v>
      </c>
      <c r="O447">
        <v>18</v>
      </c>
      <c r="P447" t="s">
        <v>16</v>
      </c>
      <c r="Q447" t="s">
        <v>37</v>
      </c>
      <c r="R447" t="str" cm="1">
        <f t="array" ref="R447">_xlfn.IFS(B447&lt;31,"Young-Adult",B447&lt;41,"Adult",B447&lt;61,"Middle-aged",B447&gt;=61,"Senior")</f>
        <v>Middle-aged</v>
      </c>
      <c r="S447" cm="1">
        <f t="array" ref="S447">_xlfn.IFS(Q447 ="Fortnightly",14,Q447="Weekly",7,Q447="Monthly",30,Q447="Quarterly",90,Q447="Bi-Weekly",14,Q447="Annually",365,Q447="Every 3 Months",90,TRUE,"NOT FOUND")</f>
        <v>365</v>
      </c>
    </row>
    <row r="448" spans="1:19" x14ac:dyDescent="0.35">
      <c r="A448">
        <v>447</v>
      </c>
      <c r="B448">
        <v>19</v>
      </c>
      <c r="C448" t="s">
        <v>7</v>
      </c>
      <c r="D448" t="s">
        <v>43</v>
      </c>
      <c r="E448" t="s">
        <v>9</v>
      </c>
      <c r="F448">
        <v>74</v>
      </c>
      <c r="G448" t="s">
        <v>52</v>
      </c>
      <c r="H448" t="s">
        <v>32</v>
      </c>
      <c r="I448" t="s">
        <v>53</v>
      </c>
      <c r="J448" t="s">
        <v>41</v>
      </c>
      <c r="K448">
        <v>4.0999999999999996</v>
      </c>
      <c r="L448" t="s">
        <v>14</v>
      </c>
      <c r="M448" t="s">
        <v>62</v>
      </c>
      <c r="N448" t="s">
        <v>14</v>
      </c>
      <c r="O448">
        <v>15</v>
      </c>
      <c r="P448" t="s">
        <v>16</v>
      </c>
      <c r="Q448" t="s">
        <v>76</v>
      </c>
      <c r="R448" t="str" cm="1">
        <f t="array" ref="R448">_xlfn.IFS(B448&lt;31,"Young-Adult",B448&lt;41,"Adult",B448&lt;61,"Middle-aged",B448&gt;=61,"Senior")</f>
        <v>Young-Adult</v>
      </c>
      <c r="S448" cm="1">
        <f t="array" ref="S448">_xlfn.IFS(Q448 ="Fortnightly",14,Q448="Weekly",7,Q448="Monthly",30,Q448="Quarterly",90,Q448="Bi-Weekly",14,Q448="Annually",365,Q448="Every 3 Months",90,TRUE,"NOT FOUND")</f>
        <v>30</v>
      </c>
    </row>
    <row r="449" spans="1:19" x14ac:dyDescent="0.35">
      <c r="A449">
        <v>448</v>
      </c>
      <c r="B449">
        <v>60</v>
      </c>
      <c r="C449" t="s">
        <v>7</v>
      </c>
      <c r="D449" t="s">
        <v>47</v>
      </c>
      <c r="E449" t="s">
        <v>9</v>
      </c>
      <c r="F449">
        <v>82</v>
      </c>
      <c r="G449" t="s">
        <v>137</v>
      </c>
      <c r="H449" t="s">
        <v>24</v>
      </c>
      <c r="I449" t="s">
        <v>36</v>
      </c>
      <c r="J449" t="s">
        <v>25</v>
      </c>
      <c r="K449">
        <v>3.6</v>
      </c>
      <c r="L449" t="s">
        <v>14</v>
      </c>
      <c r="M449" t="s">
        <v>42</v>
      </c>
      <c r="N449" t="s">
        <v>14</v>
      </c>
      <c r="O449">
        <v>7</v>
      </c>
      <c r="P449" t="s">
        <v>63</v>
      </c>
      <c r="Q449" t="s">
        <v>85</v>
      </c>
      <c r="R449" t="str" cm="1">
        <f t="array" ref="R449">_xlfn.IFS(B449&lt;31,"Young-Adult",B449&lt;41,"Adult",B449&lt;61,"Middle-aged",B449&gt;=61,"Senior")</f>
        <v>Middle-aged</v>
      </c>
      <c r="S449" cm="1">
        <f t="array" ref="S449">_xlfn.IFS(Q449 ="Fortnightly",14,Q449="Weekly",7,Q449="Monthly",30,Q449="Quarterly",90,Q449="Bi-Weekly",14,Q449="Annually",365,Q449="Every 3 Months",90,TRUE,"NOT FOUND")</f>
        <v>90</v>
      </c>
    </row>
    <row r="450" spans="1:19" x14ac:dyDescent="0.35">
      <c r="A450">
        <v>449</v>
      </c>
      <c r="B450">
        <v>32</v>
      </c>
      <c r="C450" t="s">
        <v>7</v>
      </c>
      <c r="D450" t="s">
        <v>131</v>
      </c>
      <c r="E450" t="s">
        <v>55</v>
      </c>
      <c r="F450">
        <v>23</v>
      </c>
      <c r="G450" t="s">
        <v>56</v>
      </c>
      <c r="H450" t="s">
        <v>32</v>
      </c>
      <c r="I450" t="s">
        <v>122</v>
      </c>
      <c r="J450" t="s">
        <v>41</v>
      </c>
      <c r="K450">
        <v>3.4</v>
      </c>
      <c r="L450" t="s">
        <v>14</v>
      </c>
      <c r="M450" t="s">
        <v>33</v>
      </c>
      <c r="N450" t="s">
        <v>14</v>
      </c>
      <c r="O450">
        <v>35</v>
      </c>
      <c r="P450" t="s">
        <v>63</v>
      </c>
      <c r="Q450" t="s">
        <v>17</v>
      </c>
      <c r="R450" t="str" cm="1">
        <f t="array" ref="R450">_xlfn.IFS(B450&lt;31,"Young-Adult",B450&lt;41,"Adult",B450&lt;61,"Middle-aged",B450&gt;=61,"Senior")</f>
        <v>Adult</v>
      </c>
      <c r="S450" cm="1">
        <f t="array" ref="S450">_xlfn.IFS(Q450 ="Fortnightly",14,Q450="Weekly",7,Q450="Monthly",30,Q450="Quarterly",90,Q450="Bi-Weekly",14,Q450="Annually",365,Q450="Every 3 Months",90,TRUE,"NOT FOUND")</f>
        <v>14</v>
      </c>
    </row>
    <row r="451" spans="1:19" x14ac:dyDescent="0.35">
      <c r="A451">
        <v>450</v>
      </c>
      <c r="B451">
        <v>26</v>
      </c>
      <c r="C451" t="s">
        <v>7</v>
      </c>
      <c r="D451" t="s">
        <v>94</v>
      </c>
      <c r="E451" t="s">
        <v>55</v>
      </c>
      <c r="F451">
        <v>45</v>
      </c>
      <c r="G451" t="s">
        <v>72</v>
      </c>
      <c r="H451" t="s">
        <v>11</v>
      </c>
      <c r="I451" t="s">
        <v>88</v>
      </c>
      <c r="J451" t="s">
        <v>41</v>
      </c>
      <c r="K451">
        <v>2.9</v>
      </c>
      <c r="L451" t="s">
        <v>14</v>
      </c>
      <c r="M451" t="s">
        <v>58</v>
      </c>
      <c r="N451" t="s">
        <v>14</v>
      </c>
      <c r="O451">
        <v>35</v>
      </c>
      <c r="P451" t="s">
        <v>63</v>
      </c>
      <c r="Q451" t="s">
        <v>76</v>
      </c>
      <c r="R451" t="str" cm="1">
        <f t="array" ref="R451">_xlfn.IFS(B451&lt;31,"Young-Adult",B451&lt;41,"Adult",B451&lt;61,"Middle-aged",B451&gt;=61,"Senior")</f>
        <v>Young-Adult</v>
      </c>
      <c r="S451" cm="1">
        <f t="array" ref="S451">_xlfn.IFS(Q451 ="Fortnightly",14,Q451="Weekly",7,Q451="Monthly",30,Q451="Quarterly",90,Q451="Bi-Weekly",14,Q451="Annually",365,Q451="Every 3 Months",90,TRUE,"NOT FOUND")</f>
        <v>30</v>
      </c>
    </row>
    <row r="452" spans="1:19" x14ac:dyDescent="0.35">
      <c r="A452">
        <v>451</v>
      </c>
      <c r="B452">
        <v>25</v>
      </c>
      <c r="C452" t="s">
        <v>7</v>
      </c>
      <c r="D452" t="s">
        <v>125</v>
      </c>
      <c r="E452" t="s">
        <v>30</v>
      </c>
      <c r="F452">
        <v>21</v>
      </c>
      <c r="G452" t="s">
        <v>127</v>
      </c>
      <c r="H452" t="s">
        <v>11</v>
      </c>
      <c r="I452" t="s">
        <v>106</v>
      </c>
      <c r="J452" t="s">
        <v>41</v>
      </c>
      <c r="K452">
        <v>2.7</v>
      </c>
      <c r="L452" t="s">
        <v>14</v>
      </c>
      <c r="M452" t="s">
        <v>62</v>
      </c>
      <c r="N452" t="s">
        <v>14</v>
      </c>
      <c r="O452">
        <v>19</v>
      </c>
      <c r="P452" t="s">
        <v>27</v>
      </c>
      <c r="Q452" t="s">
        <v>76</v>
      </c>
      <c r="R452" t="str" cm="1">
        <f t="array" ref="R452">_xlfn.IFS(B452&lt;31,"Young-Adult",B452&lt;41,"Adult",B452&lt;61,"Middle-aged",B452&gt;=61,"Senior")</f>
        <v>Young-Adult</v>
      </c>
      <c r="S452" cm="1">
        <f t="array" ref="S452">_xlfn.IFS(Q452 ="Fortnightly",14,Q452="Weekly",7,Q452="Monthly",30,Q452="Quarterly",90,Q452="Bi-Weekly",14,Q452="Annually",365,Q452="Every 3 Months",90,TRUE,"NOT FOUND")</f>
        <v>30</v>
      </c>
    </row>
    <row r="453" spans="1:19" x14ac:dyDescent="0.35">
      <c r="A453">
        <v>452</v>
      </c>
      <c r="B453">
        <v>66</v>
      </c>
      <c r="C453" t="s">
        <v>7</v>
      </c>
      <c r="D453" t="s">
        <v>94</v>
      </c>
      <c r="E453" t="s">
        <v>55</v>
      </c>
      <c r="F453">
        <v>31</v>
      </c>
      <c r="G453" t="s">
        <v>129</v>
      </c>
      <c r="H453" t="s">
        <v>32</v>
      </c>
      <c r="I453" t="s">
        <v>57</v>
      </c>
      <c r="J453" t="s">
        <v>41</v>
      </c>
      <c r="K453">
        <v>4.3</v>
      </c>
      <c r="L453" t="s">
        <v>14</v>
      </c>
      <c r="M453" t="s">
        <v>15</v>
      </c>
      <c r="N453" t="s">
        <v>14</v>
      </c>
      <c r="O453">
        <v>26</v>
      </c>
      <c r="P453" t="s">
        <v>27</v>
      </c>
      <c r="Q453" t="s">
        <v>17</v>
      </c>
      <c r="R453" t="str" cm="1">
        <f t="array" ref="R453">_xlfn.IFS(B453&lt;31,"Young-Adult",B453&lt;41,"Adult",B453&lt;61,"Middle-aged",B453&gt;=61,"Senior")</f>
        <v>Senior</v>
      </c>
      <c r="S453" cm="1">
        <f t="array" ref="S453">_xlfn.IFS(Q453 ="Fortnightly",14,Q453="Weekly",7,Q453="Monthly",30,Q453="Quarterly",90,Q453="Bi-Weekly",14,Q453="Annually",365,Q453="Every 3 Months",90,TRUE,"NOT FOUND")</f>
        <v>14</v>
      </c>
    </row>
    <row r="454" spans="1:19" x14ac:dyDescent="0.35">
      <c r="A454">
        <v>453</v>
      </c>
      <c r="B454">
        <v>45</v>
      </c>
      <c r="C454" t="s">
        <v>7</v>
      </c>
      <c r="D454" t="s">
        <v>83</v>
      </c>
      <c r="E454" t="s">
        <v>9</v>
      </c>
      <c r="F454">
        <v>45</v>
      </c>
      <c r="G454" t="s">
        <v>56</v>
      </c>
      <c r="H454" t="s">
        <v>32</v>
      </c>
      <c r="I454" t="s">
        <v>71</v>
      </c>
      <c r="J454" t="s">
        <v>41</v>
      </c>
      <c r="K454">
        <v>3.8</v>
      </c>
      <c r="L454" t="s">
        <v>14</v>
      </c>
      <c r="M454" t="s">
        <v>15</v>
      </c>
      <c r="N454" t="s">
        <v>14</v>
      </c>
      <c r="O454">
        <v>39</v>
      </c>
      <c r="P454" t="s">
        <v>34</v>
      </c>
      <c r="Q454" t="s">
        <v>17</v>
      </c>
      <c r="R454" t="str" cm="1">
        <f t="array" ref="R454">_xlfn.IFS(B454&lt;31,"Young-Adult",B454&lt;41,"Adult",B454&lt;61,"Middle-aged",B454&gt;=61,"Senior")</f>
        <v>Middle-aged</v>
      </c>
      <c r="S454" cm="1">
        <f t="array" ref="S454">_xlfn.IFS(Q454 ="Fortnightly",14,Q454="Weekly",7,Q454="Monthly",30,Q454="Quarterly",90,Q454="Bi-Weekly",14,Q454="Annually",365,Q454="Every 3 Months",90,TRUE,"NOT FOUND")</f>
        <v>14</v>
      </c>
    </row>
    <row r="455" spans="1:19" x14ac:dyDescent="0.35">
      <c r="A455">
        <v>454</v>
      </c>
      <c r="B455">
        <v>54</v>
      </c>
      <c r="C455" t="s">
        <v>7</v>
      </c>
      <c r="D455" t="s">
        <v>94</v>
      </c>
      <c r="E455" t="s">
        <v>55</v>
      </c>
      <c r="F455">
        <v>56</v>
      </c>
      <c r="G455" t="s">
        <v>133</v>
      </c>
      <c r="H455" t="s">
        <v>80</v>
      </c>
      <c r="I455" t="s">
        <v>88</v>
      </c>
      <c r="J455" t="s">
        <v>13</v>
      </c>
      <c r="K455">
        <v>2.8</v>
      </c>
      <c r="L455" t="s">
        <v>14</v>
      </c>
      <c r="M455" t="s">
        <v>33</v>
      </c>
      <c r="N455" t="s">
        <v>14</v>
      </c>
      <c r="O455">
        <v>22</v>
      </c>
      <c r="P455" t="s">
        <v>27</v>
      </c>
      <c r="Q455" t="s">
        <v>28</v>
      </c>
      <c r="R455" t="str" cm="1">
        <f t="array" ref="R455">_xlfn.IFS(B455&lt;31,"Young-Adult",B455&lt;41,"Adult",B455&lt;61,"Middle-aged",B455&gt;=61,"Senior")</f>
        <v>Middle-aged</v>
      </c>
      <c r="S455" cm="1">
        <f t="array" ref="S455">_xlfn.IFS(Q455 ="Fortnightly",14,Q455="Weekly",7,Q455="Monthly",30,Q455="Quarterly",90,Q455="Bi-Weekly",14,Q455="Annually",365,Q455="Every 3 Months",90,TRUE,"NOT FOUND")</f>
        <v>7</v>
      </c>
    </row>
    <row r="456" spans="1:19" x14ac:dyDescent="0.35">
      <c r="A456">
        <v>455</v>
      </c>
      <c r="B456">
        <v>37</v>
      </c>
      <c r="C456" t="s">
        <v>7</v>
      </c>
      <c r="D456" t="s">
        <v>90</v>
      </c>
      <c r="E456" t="s">
        <v>51</v>
      </c>
      <c r="F456">
        <v>97</v>
      </c>
      <c r="G456" t="s">
        <v>115</v>
      </c>
      <c r="H456" t="s">
        <v>24</v>
      </c>
      <c r="I456" t="s">
        <v>68</v>
      </c>
      <c r="J456" t="s">
        <v>41</v>
      </c>
      <c r="K456">
        <v>3.2</v>
      </c>
      <c r="L456" t="s">
        <v>14</v>
      </c>
      <c r="M456" t="s">
        <v>33</v>
      </c>
      <c r="N456" t="s">
        <v>14</v>
      </c>
      <c r="O456">
        <v>14</v>
      </c>
      <c r="P456" t="s">
        <v>21</v>
      </c>
      <c r="Q456" t="s">
        <v>64</v>
      </c>
      <c r="R456" t="str" cm="1">
        <f t="array" ref="R456">_xlfn.IFS(B456&lt;31,"Young-Adult",B456&lt;41,"Adult",B456&lt;61,"Middle-aged",B456&gt;=61,"Senior")</f>
        <v>Adult</v>
      </c>
      <c r="S456" cm="1">
        <f t="array" ref="S456">_xlfn.IFS(Q456 ="Fortnightly",14,Q456="Weekly",7,Q456="Monthly",30,Q456="Quarterly",90,Q456="Bi-Weekly",14,Q456="Annually",365,Q456="Every 3 Months",90,TRUE,"NOT FOUND")</f>
        <v>14</v>
      </c>
    </row>
    <row r="457" spans="1:19" x14ac:dyDescent="0.35">
      <c r="A457">
        <v>456</v>
      </c>
      <c r="B457">
        <v>54</v>
      </c>
      <c r="C457" t="s">
        <v>7</v>
      </c>
      <c r="D457" t="s">
        <v>8</v>
      </c>
      <c r="E457" t="s">
        <v>9</v>
      </c>
      <c r="F457">
        <v>100</v>
      </c>
      <c r="G457" t="s">
        <v>128</v>
      </c>
      <c r="H457" t="s">
        <v>80</v>
      </c>
      <c r="I457" t="s">
        <v>68</v>
      </c>
      <c r="J457" t="s">
        <v>45</v>
      </c>
      <c r="K457">
        <v>3.6</v>
      </c>
      <c r="L457" t="s">
        <v>14</v>
      </c>
      <c r="M457" t="s">
        <v>62</v>
      </c>
      <c r="N457" t="s">
        <v>14</v>
      </c>
      <c r="O457">
        <v>50</v>
      </c>
      <c r="P457" t="s">
        <v>74</v>
      </c>
      <c r="Q457" t="s">
        <v>17</v>
      </c>
      <c r="R457" t="str" cm="1">
        <f t="array" ref="R457">_xlfn.IFS(B457&lt;31,"Young-Adult",B457&lt;41,"Adult",B457&lt;61,"Middle-aged",B457&gt;=61,"Senior")</f>
        <v>Middle-aged</v>
      </c>
      <c r="S457" cm="1">
        <f t="array" ref="S457">_xlfn.IFS(Q457 ="Fortnightly",14,Q457="Weekly",7,Q457="Monthly",30,Q457="Quarterly",90,Q457="Bi-Weekly",14,Q457="Annually",365,Q457="Every 3 Months",90,TRUE,"NOT FOUND")</f>
        <v>14</v>
      </c>
    </row>
    <row r="458" spans="1:19" x14ac:dyDescent="0.35">
      <c r="A458">
        <v>457</v>
      </c>
      <c r="B458">
        <v>50</v>
      </c>
      <c r="C458" t="s">
        <v>7</v>
      </c>
      <c r="D458" t="s">
        <v>8</v>
      </c>
      <c r="E458" t="s">
        <v>9</v>
      </c>
      <c r="F458">
        <v>96</v>
      </c>
      <c r="G458" t="s">
        <v>86</v>
      </c>
      <c r="H458" t="s">
        <v>24</v>
      </c>
      <c r="I458" t="s">
        <v>114</v>
      </c>
      <c r="J458" t="s">
        <v>45</v>
      </c>
      <c r="K458">
        <v>4</v>
      </c>
      <c r="L458" t="s">
        <v>14</v>
      </c>
      <c r="M458" t="s">
        <v>58</v>
      </c>
      <c r="N458" t="s">
        <v>14</v>
      </c>
      <c r="O458">
        <v>33</v>
      </c>
      <c r="P458" t="s">
        <v>27</v>
      </c>
      <c r="Q458" t="s">
        <v>46</v>
      </c>
      <c r="R458" t="str" cm="1">
        <f t="array" ref="R458">_xlfn.IFS(B458&lt;31,"Young-Adult",B458&lt;41,"Adult",B458&lt;61,"Middle-aged",B458&gt;=61,"Senior")</f>
        <v>Middle-aged</v>
      </c>
      <c r="S458" cm="1">
        <f t="array" ref="S458">_xlfn.IFS(Q458 ="Fortnightly",14,Q458="Weekly",7,Q458="Monthly",30,Q458="Quarterly",90,Q458="Bi-Weekly",14,Q458="Annually",365,Q458="Every 3 Months",90,TRUE,"NOT FOUND")</f>
        <v>90</v>
      </c>
    </row>
    <row r="459" spans="1:19" x14ac:dyDescent="0.35">
      <c r="A459">
        <v>458</v>
      </c>
      <c r="B459">
        <v>25</v>
      </c>
      <c r="C459" t="s">
        <v>7</v>
      </c>
      <c r="D459" t="s">
        <v>131</v>
      </c>
      <c r="E459" t="s">
        <v>55</v>
      </c>
      <c r="F459">
        <v>99</v>
      </c>
      <c r="G459" t="s">
        <v>31</v>
      </c>
      <c r="H459" t="s">
        <v>32</v>
      </c>
      <c r="I459" t="s">
        <v>132</v>
      </c>
      <c r="J459" t="s">
        <v>25</v>
      </c>
      <c r="K459">
        <v>4.9000000000000004</v>
      </c>
      <c r="L459" t="s">
        <v>14</v>
      </c>
      <c r="M459" t="s">
        <v>33</v>
      </c>
      <c r="N459" t="s">
        <v>14</v>
      </c>
      <c r="O459">
        <v>48</v>
      </c>
      <c r="P459" t="s">
        <v>74</v>
      </c>
      <c r="Q459" t="s">
        <v>85</v>
      </c>
      <c r="R459" t="str" cm="1">
        <f t="array" ref="R459">_xlfn.IFS(B459&lt;31,"Young-Adult",B459&lt;41,"Adult",B459&lt;61,"Middle-aged",B459&gt;=61,"Senior")</f>
        <v>Young-Adult</v>
      </c>
      <c r="S459" cm="1">
        <f t="array" ref="S459">_xlfn.IFS(Q459 ="Fortnightly",14,Q459="Weekly",7,Q459="Monthly",30,Q459="Quarterly",90,Q459="Bi-Weekly",14,Q459="Annually",365,Q459="Every 3 Months",90,TRUE,"NOT FOUND")</f>
        <v>90</v>
      </c>
    </row>
    <row r="460" spans="1:19" x14ac:dyDescent="0.35">
      <c r="A460">
        <v>459</v>
      </c>
      <c r="B460">
        <v>47</v>
      </c>
      <c r="C460" t="s">
        <v>7</v>
      </c>
      <c r="D460" t="s">
        <v>47</v>
      </c>
      <c r="E460" t="s">
        <v>9</v>
      </c>
      <c r="F460">
        <v>91</v>
      </c>
      <c r="G460" t="s">
        <v>60</v>
      </c>
      <c r="H460" t="s">
        <v>11</v>
      </c>
      <c r="I460" t="s">
        <v>82</v>
      </c>
      <c r="J460" t="s">
        <v>13</v>
      </c>
      <c r="K460">
        <v>4</v>
      </c>
      <c r="L460" t="s">
        <v>14</v>
      </c>
      <c r="M460" t="s">
        <v>58</v>
      </c>
      <c r="N460" t="s">
        <v>14</v>
      </c>
      <c r="O460">
        <v>48</v>
      </c>
      <c r="P460" t="s">
        <v>34</v>
      </c>
      <c r="Q460" t="s">
        <v>76</v>
      </c>
      <c r="R460" t="str" cm="1">
        <f t="array" ref="R460">_xlfn.IFS(B460&lt;31,"Young-Adult",B460&lt;41,"Adult",B460&lt;61,"Middle-aged",B460&gt;=61,"Senior")</f>
        <v>Middle-aged</v>
      </c>
      <c r="S460" cm="1">
        <f t="array" ref="S460">_xlfn.IFS(Q460 ="Fortnightly",14,Q460="Weekly",7,Q460="Monthly",30,Q460="Quarterly",90,Q460="Bi-Weekly",14,Q460="Annually",365,Q460="Every 3 Months",90,TRUE,"NOT FOUND")</f>
        <v>30</v>
      </c>
    </row>
    <row r="461" spans="1:19" x14ac:dyDescent="0.35">
      <c r="A461">
        <v>460</v>
      </c>
      <c r="B461">
        <v>63</v>
      </c>
      <c r="C461" t="s">
        <v>7</v>
      </c>
      <c r="D461" t="s">
        <v>112</v>
      </c>
      <c r="E461" t="s">
        <v>55</v>
      </c>
      <c r="F461">
        <v>30</v>
      </c>
      <c r="G461" t="s">
        <v>116</v>
      </c>
      <c r="H461" t="s">
        <v>11</v>
      </c>
      <c r="I461" t="s">
        <v>82</v>
      </c>
      <c r="J461" t="s">
        <v>13</v>
      </c>
      <c r="K461">
        <v>3.8</v>
      </c>
      <c r="L461" t="s">
        <v>14</v>
      </c>
      <c r="M461" t="s">
        <v>42</v>
      </c>
      <c r="N461" t="s">
        <v>14</v>
      </c>
      <c r="O461">
        <v>27</v>
      </c>
      <c r="P461" t="s">
        <v>34</v>
      </c>
      <c r="Q461" t="s">
        <v>17</v>
      </c>
      <c r="R461" t="str" cm="1">
        <f t="array" ref="R461">_xlfn.IFS(B461&lt;31,"Young-Adult",B461&lt;41,"Adult",B461&lt;61,"Middle-aged",B461&gt;=61,"Senior")</f>
        <v>Senior</v>
      </c>
      <c r="S461" cm="1">
        <f t="array" ref="S461">_xlfn.IFS(Q461 ="Fortnightly",14,Q461="Weekly",7,Q461="Monthly",30,Q461="Quarterly",90,Q461="Bi-Weekly",14,Q461="Annually",365,Q461="Every 3 Months",90,TRUE,"NOT FOUND")</f>
        <v>14</v>
      </c>
    </row>
    <row r="462" spans="1:19" x14ac:dyDescent="0.35">
      <c r="A462">
        <v>461</v>
      </c>
      <c r="B462">
        <v>64</v>
      </c>
      <c r="C462" t="s">
        <v>7</v>
      </c>
      <c r="D462" t="s">
        <v>59</v>
      </c>
      <c r="E462" t="s">
        <v>30</v>
      </c>
      <c r="F462">
        <v>65</v>
      </c>
      <c r="G462" t="s">
        <v>119</v>
      </c>
      <c r="H462" t="s">
        <v>11</v>
      </c>
      <c r="I462" t="s">
        <v>73</v>
      </c>
      <c r="J462" t="s">
        <v>41</v>
      </c>
      <c r="K462">
        <v>3.8</v>
      </c>
      <c r="L462" t="s">
        <v>14</v>
      </c>
      <c r="M462" t="s">
        <v>62</v>
      </c>
      <c r="N462" t="s">
        <v>14</v>
      </c>
      <c r="O462">
        <v>27</v>
      </c>
      <c r="P462" t="s">
        <v>63</v>
      </c>
      <c r="Q462" t="s">
        <v>28</v>
      </c>
      <c r="R462" t="str" cm="1">
        <f t="array" ref="R462">_xlfn.IFS(B462&lt;31,"Young-Adult",B462&lt;41,"Adult",B462&lt;61,"Middle-aged",B462&gt;=61,"Senior")</f>
        <v>Senior</v>
      </c>
      <c r="S462" cm="1">
        <f t="array" ref="S462">_xlfn.IFS(Q462 ="Fortnightly",14,Q462="Weekly",7,Q462="Monthly",30,Q462="Quarterly",90,Q462="Bi-Weekly",14,Q462="Annually",365,Q462="Every 3 Months",90,TRUE,"NOT FOUND")</f>
        <v>7</v>
      </c>
    </row>
    <row r="463" spans="1:19" x14ac:dyDescent="0.35">
      <c r="A463">
        <v>462</v>
      </c>
      <c r="B463">
        <v>18</v>
      </c>
      <c r="C463" t="s">
        <v>7</v>
      </c>
      <c r="D463" t="s">
        <v>125</v>
      </c>
      <c r="E463" t="s">
        <v>30</v>
      </c>
      <c r="F463">
        <v>93</v>
      </c>
      <c r="G463" t="s">
        <v>111</v>
      </c>
      <c r="H463" t="s">
        <v>32</v>
      </c>
      <c r="I463" t="s">
        <v>122</v>
      </c>
      <c r="J463" t="s">
        <v>13</v>
      </c>
      <c r="K463">
        <v>3.9</v>
      </c>
      <c r="L463" t="s">
        <v>14</v>
      </c>
      <c r="M463" t="s">
        <v>15</v>
      </c>
      <c r="N463" t="s">
        <v>14</v>
      </c>
      <c r="O463">
        <v>20</v>
      </c>
      <c r="P463" t="s">
        <v>16</v>
      </c>
      <c r="Q463" t="s">
        <v>28</v>
      </c>
      <c r="R463" t="str" cm="1">
        <f t="array" ref="R463">_xlfn.IFS(B463&lt;31,"Young-Adult",B463&lt;41,"Adult",B463&lt;61,"Middle-aged",B463&gt;=61,"Senior")</f>
        <v>Young-Adult</v>
      </c>
      <c r="S463" cm="1">
        <f t="array" ref="S463">_xlfn.IFS(Q463 ="Fortnightly",14,Q463="Weekly",7,Q463="Monthly",30,Q463="Quarterly",90,Q463="Bi-Weekly",14,Q463="Annually",365,Q463="Every 3 Months",90,TRUE,"NOT FOUND")</f>
        <v>7</v>
      </c>
    </row>
    <row r="464" spans="1:19" x14ac:dyDescent="0.35">
      <c r="A464">
        <v>463</v>
      </c>
      <c r="B464">
        <v>59</v>
      </c>
      <c r="C464" t="s">
        <v>7</v>
      </c>
      <c r="D464" t="s">
        <v>90</v>
      </c>
      <c r="E464" t="s">
        <v>51</v>
      </c>
      <c r="F464">
        <v>81</v>
      </c>
      <c r="G464" t="s">
        <v>103</v>
      </c>
      <c r="H464" t="s">
        <v>32</v>
      </c>
      <c r="I464" t="s">
        <v>40</v>
      </c>
      <c r="J464" t="s">
        <v>45</v>
      </c>
      <c r="K464">
        <v>3.3</v>
      </c>
      <c r="L464" t="s">
        <v>14</v>
      </c>
      <c r="M464" t="s">
        <v>15</v>
      </c>
      <c r="N464" t="s">
        <v>14</v>
      </c>
      <c r="O464">
        <v>48</v>
      </c>
      <c r="P464" t="s">
        <v>16</v>
      </c>
      <c r="Q464" t="s">
        <v>85</v>
      </c>
      <c r="R464" t="str" cm="1">
        <f t="array" ref="R464">_xlfn.IFS(B464&lt;31,"Young-Adult",B464&lt;41,"Adult",B464&lt;61,"Middle-aged",B464&gt;=61,"Senior")</f>
        <v>Middle-aged</v>
      </c>
      <c r="S464" cm="1">
        <f t="array" ref="S464">_xlfn.IFS(Q464 ="Fortnightly",14,Q464="Weekly",7,Q464="Monthly",30,Q464="Quarterly",90,Q464="Bi-Weekly",14,Q464="Annually",365,Q464="Every 3 Months",90,TRUE,"NOT FOUND")</f>
        <v>90</v>
      </c>
    </row>
    <row r="465" spans="1:19" x14ac:dyDescent="0.35">
      <c r="A465">
        <v>464</v>
      </c>
      <c r="B465">
        <v>37</v>
      </c>
      <c r="C465" t="s">
        <v>7</v>
      </c>
      <c r="D465" t="s">
        <v>94</v>
      </c>
      <c r="E465" t="s">
        <v>55</v>
      </c>
      <c r="F465">
        <v>81</v>
      </c>
      <c r="G465" t="s">
        <v>130</v>
      </c>
      <c r="H465" t="s">
        <v>24</v>
      </c>
      <c r="I465" t="s">
        <v>109</v>
      </c>
      <c r="J465" t="s">
        <v>41</v>
      </c>
      <c r="K465">
        <v>2.7</v>
      </c>
      <c r="L465" t="s">
        <v>14</v>
      </c>
      <c r="M465" t="s">
        <v>42</v>
      </c>
      <c r="N465" t="s">
        <v>14</v>
      </c>
      <c r="O465">
        <v>29</v>
      </c>
      <c r="P465" t="s">
        <v>16</v>
      </c>
      <c r="Q465" t="s">
        <v>28</v>
      </c>
      <c r="R465" t="str" cm="1">
        <f t="array" ref="R465">_xlfn.IFS(B465&lt;31,"Young-Adult",B465&lt;41,"Adult",B465&lt;61,"Middle-aged",B465&gt;=61,"Senior")</f>
        <v>Adult</v>
      </c>
      <c r="S465" cm="1">
        <f t="array" ref="S465">_xlfn.IFS(Q465 ="Fortnightly",14,Q465="Weekly",7,Q465="Monthly",30,Q465="Quarterly",90,Q465="Bi-Weekly",14,Q465="Annually",365,Q465="Every 3 Months",90,TRUE,"NOT FOUND")</f>
        <v>7</v>
      </c>
    </row>
    <row r="466" spans="1:19" x14ac:dyDescent="0.35">
      <c r="A466">
        <v>465</v>
      </c>
      <c r="B466">
        <v>23</v>
      </c>
      <c r="C466" t="s">
        <v>7</v>
      </c>
      <c r="D466" t="s">
        <v>77</v>
      </c>
      <c r="E466" t="s">
        <v>55</v>
      </c>
      <c r="F466">
        <v>52</v>
      </c>
      <c r="G466" t="s">
        <v>78</v>
      </c>
      <c r="H466" t="s">
        <v>32</v>
      </c>
      <c r="I466" t="s">
        <v>53</v>
      </c>
      <c r="J466" t="s">
        <v>13</v>
      </c>
      <c r="K466">
        <v>4.7</v>
      </c>
      <c r="L466" t="s">
        <v>14</v>
      </c>
      <c r="M466" t="s">
        <v>33</v>
      </c>
      <c r="N466" t="s">
        <v>14</v>
      </c>
      <c r="O466">
        <v>45</v>
      </c>
      <c r="P466" t="s">
        <v>34</v>
      </c>
      <c r="Q466" t="s">
        <v>76</v>
      </c>
      <c r="R466" t="str" cm="1">
        <f t="array" ref="R466">_xlfn.IFS(B466&lt;31,"Young-Adult",B466&lt;41,"Adult",B466&lt;61,"Middle-aged",B466&gt;=61,"Senior")</f>
        <v>Young-Adult</v>
      </c>
      <c r="S466" cm="1">
        <f t="array" ref="S466">_xlfn.IFS(Q466 ="Fortnightly",14,Q466="Weekly",7,Q466="Monthly",30,Q466="Quarterly",90,Q466="Bi-Weekly",14,Q466="Annually",365,Q466="Every 3 Months",90,TRUE,"NOT FOUND")</f>
        <v>30</v>
      </c>
    </row>
    <row r="467" spans="1:19" x14ac:dyDescent="0.35">
      <c r="A467">
        <v>466</v>
      </c>
      <c r="B467">
        <v>54</v>
      </c>
      <c r="C467" t="s">
        <v>7</v>
      </c>
      <c r="D467" t="s">
        <v>75</v>
      </c>
      <c r="E467" t="s">
        <v>9</v>
      </c>
      <c r="F467">
        <v>88</v>
      </c>
      <c r="G467" t="s">
        <v>89</v>
      </c>
      <c r="H467" t="s">
        <v>32</v>
      </c>
      <c r="I467" t="s">
        <v>57</v>
      </c>
      <c r="J467" t="s">
        <v>41</v>
      </c>
      <c r="K467">
        <v>2.8</v>
      </c>
      <c r="L467" t="s">
        <v>14</v>
      </c>
      <c r="M467" t="s">
        <v>33</v>
      </c>
      <c r="N467" t="s">
        <v>14</v>
      </c>
      <c r="O467">
        <v>25</v>
      </c>
      <c r="P467" t="s">
        <v>21</v>
      </c>
      <c r="Q467" t="s">
        <v>46</v>
      </c>
      <c r="R467" t="str" cm="1">
        <f t="array" ref="R467">_xlfn.IFS(B467&lt;31,"Young-Adult",B467&lt;41,"Adult",B467&lt;61,"Middle-aged",B467&gt;=61,"Senior")</f>
        <v>Middle-aged</v>
      </c>
      <c r="S467" cm="1">
        <f t="array" ref="S467">_xlfn.IFS(Q467 ="Fortnightly",14,Q467="Weekly",7,Q467="Monthly",30,Q467="Quarterly",90,Q467="Bi-Weekly",14,Q467="Annually",365,Q467="Every 3 Months",90,TRUE,"NOT FOUND")</f>
        <v>90</v>
      </c>
    </row>
    <row r="468" spans="1:19" x14ac:dyDescent="0.35">
      <c r="A468">
        <v>467</v>
      </c>
      <c r="B468">
        <v>38</v>
      </c>
      <c r="C468" t="s">
        <v>7</v>
      </c>
      <c r="D468" t="s">
        <v>22</v>
      </c>
      <c r="E468" t="s">
        <v>9</v>
      </c>
      <c r="F468">
        <v>24</v>
      </c>
      <c r="G468" t="s">
        <v>117</v>
      </c>
      <c r="H468" t="s">
        <v>11</v>
      </c>
      <c r="I468" t="s">
        <v>36</v>
      </c>
      <c r="J468" t="s">
        <v>13</v>
      </c>
      <c r="K468">
        <v>4.5999999999999996</v>
      </c>
      <c r="L468" t="s">
        <v>14</v>
      </c>
      <c r="M468" t="s">
        <v>26</v>
      </c>
      <c r="N468" t="s">
        <v>14</v>
      </c>
      <c r="O468">
        <v>25</v>
      </c>
      <c r="P468" t="s">
        <v>34</v>
      </c>
      <c r="Q468" t="s">
        <v>28</v>
      </c>
      <c r="R468" t="str" cm="1">
        <f t="array" ref="R468">_xlfn.IFS(B468&lt;31,"Young-Adult",B468&lt;41,"Adult",B468&lt;61,"Middle-aged",B468&gt;=61,"Senior")</f>
        <v>Adult</v>
      </c>
      <c r="S468" cm="1">
        <f t="array" ref="S468">_xlfn.IFS(Q468 ="Fortnightly",14,Q468="Weekly",7,Q468="Monthly",30,Q468="Quarterly",90,Q468="Bi-Weekly",14,Q468="Annually",365,Q468="Every 3 Months",90,TRUE,"NOT FOUND")</f>
        <v>7</v>
      </c>
    </row>
    <row r="469" spans="1:19" x14ac:dyDescent="0.35">
      <c r="A469">
        <v>468</v>
      </c>
      <c r="B469">
        <v>19</v>
      </c>
      <c r="C469" t="s">
        <v>7</v>
      </c>
      <c r="D469" t="s">
        <v>120</v>
      </c>
      <c r="E469" t="s">
        <v>55</v>
      </c>
      <c r="F469">
        <v>51</v>
      </c>
      <c r="G469" t="s">
        <v>133</v>
      </c>
      <c r="H469" t="s">
        <v>24</v>
      </c>
      <c r="I469" t="s">
        <v>109</v>
      </c>
      <c r="J469" t="s">
        <v>25</v>
      </c>
      <c r="K469">
        <v>4.5</v>
      </c>
      <c r="L469" t="s">
        <v>14</v>
      </c>
      <c r="M469" t="s">
        <v>58</v>
      </c>
      <c r="N469" t="s">
        <v>14</v>
      </c>
      <c r="O469">
        <v>37</v>
      </c>
      <c r="P469" t="s">
        <v>74</v>
      </c>
      <c r="Q469" t="s">
        <v>85</v>
      </c>
      <c r="R469" t="str" cm="1">
        <f t="array" ref="R469">_xlfn.IFS(B469&lt;31,"Young-Adult",B469&lt;41,"Adult",B469&lt;61,"Middle-aged",B469&gt;=61,"Senior")</f>
        <v>Young-Adult</v>
      </c>
      <c r="S469" cm="1">
        <f t="array" ref="S469">_xlfn.IFS(Q469 ="Fortnightly",14,Q469="Weekly",7,Q469="Monthly",30,Q469="Quarterly",90,Q469="Bi-Weekly",14,Q469="Annually",365,Q469="Every 3 Months",90,TRUE,"NOT FOUND")</f>
        <v>90</v>
      </c>
    </row>
    <row r="470" spans="1:19" x14ac:dyDescent="0.35">
      <c r="A470">
        <v>469</v>
      </c>
      <c r="B470">
        <v>34</v>
      </c>
      <c r="C470" t="s">
        <v>7</v>
      </c>
      <c r="D470" t="s">
        <v>120</v>
      </c>
      <c r="E470" t="s">
        <v>55</v>
      </c>
      <c r="F470">
        <v>38</v>
      </c>
      <c r="G470" t="s">
        <v>130</v>
      </c>
      <c r="H470" t="s">
        <v>24</v>
      </c>
      <c r="I470" t="s">
        <v>88</v>
      </c>
      <c r="J470" t="s">
        <v>45</v>
      </c>
      <c r="K470">
        <v>5</v>
      </c>
      <c r="L470" t="s">
        <v>14</v>
      </c>
      <c r="M470" t="s">
        <v>26</v>
      </c>
      <c r="N470" t="s">
        <v>14</v>
      </c>
      <c r="O470">
        <v>16</v>
      </c>
      <c r="P470" t="s">
        <v>21</v>
      </c>
      <c r="Q470" t="s">
        <v>46</v>
      </c>
      <c r="R470" t="str" cm="1">
        <f t="array" ref="R470">_xlfn.IFS(B470&lt;31,"Young-Adult",B470&lt;41,"Adult",B470&lt;61,"Middle-aged",B470&gt;=61,"Senior")</f>
        <v>Adult</v>
      </c>
      <c r="S470" cm="1">
        <f t="array" ref="S470">_xlfn.IFS(Q470 ="Fortnightly",14,Q470="Weekly",7,Q470="Monthly",30,Q470="Quarterly",90,Q470="Bi-Weekly",14,Q470="Annually",365,Q470="Every 3 Months",90,TRUE,"NOT FOUND")</f>
        <v>90</v>
      </c>
    </row>
    <row r="471" spans="1:19" x14ac:dyDescent="0.35">
      <c r="A471">
        <v>470</v>
      </c>
      <c r="B471">
        <v>21</v>
      </c>
      <c r="C471" t="s">
        <v>7</v>
      </c>
      <c r="D471" t="s">
        <v>47</v>
      </c>
      <c r="E471" t="s">
        <v>9</v>
      </c>
      <c r="F471">
        <v>46</v>
      </c>
      <c r="G471" t="s">
        <v>78</v>
      </c>
      <c r="H471" t="s">
        <v>11</v>
      </c>
      <c r="I471" t="s">
        <v>57</v>
      </c>
      <c r="J471" t="s">
        <v>45</v>
      </c>
      <c r="K471">
        <v>4.0999999999999996</v>
      </c>
      <c r="L471" t="s">
        <v>14</v>
      </c>
      <c r="M471" t="s">
        <v>58</v>
      </c>
      <c r="N471" t="s">
        <v>14</v>
      </c>
      <c r="O471">
        <v>30</v>
      </c>
      <c r="P471" t="s">
        <v>74</v>
      </c>
      <c r="Q471" t="s">
        <v>64</v>
      </c>
      <c r="R471" t="str" cm="1">
        <f t="array" ref="R471">_xlfn.IFS(B471&lt;31,"Young-Adult",B471&lt;41,"Adult",B471&lt;61,"Middle-aged",B471&gt;=61,"Senior")</f>
        <v>Young-Adult</v>
      </c>
      <c r="S471" cm="1">
        <f t="array" ref="S471">_xlfn.IFS(Q471 ="Fortnightly",14,Q471="Weekly",7,Q471="Monthly",30,Q471="Quarterly",90,Q471="Bi-Weekly",14,Q471="Annually",365,Q471="Every 3 Months",90,TRUE,"NOT FOUND")</f>
        <v>14</v>
      </c>
    </row>
    <row r="472" spans="1:19" x14ac:dyDescent="0.35">
      <c r="A472">
        <v>471</v>
      </c>
      <c r="B472">
        <v>50</v>
      </c>
      <c r="C472" t="s">
        <v>7</v>
      </c>
      <c r="D472" t="s">
        <v>69</v>
      </c>
      <c r="E472" t="s">
        <v>9</v>
      </c>
      <c r="F472">
        <v>63</v>
      </c>
      <c r="G472" t="s">
        <v>136</v>
      </c>
      <c r="H472" t="s">
        <v>11</v>
      </c>
      <c r="I472" t="s">
        <v>73</v>
      </c>
      <c r="J472" t="s">
        <v>41</v>
      </c>
      <c r="K472">
        <v>4.5999999999999996</v>
      </c>
      <c r="L472" t="s">
        <v>14</v>
      </c>
      <c r="M472" t="s">
        <v>15</v>
      </c>
      <c r="N472" t="s">
        <v>14</v>
      </c>
      <c r="O472">
        <v>6</v>
      </c>
      <c r="P472" t="s">
        <v>21</v>
      </c>
      <c r="Q472" t="s">
        <v>85</v>
      </c>
      <c r="R472" t="str" cm="1">
        <f t="array" ref="R472">_xlfn.IFS(B472&lt;31,"Young-Adult",B472&lt;41,"Adult",B472&lt;61,"Middle-aged",B472&gt;=61,"Senior")</f>
        <v>Middle-aged</v>
      </c>
      <c r="S472" cm="1">
        <f t="array" ref="S472">_xlfn.IFS(Q472 ="Fortnightly",14,Q472="Weekly",7,Q472="Monthly",30,Q472="Quarterly",90,Q472="Bi-Weekly",14,Q472="Annually",365,Q472="Every 3 Months",90,TRUE,"NOT FOUND")</f>
        <v>90</v>
      </c>
    </row>
    <row r="473" spans="1:19" x14ac:dyDescent="0.35">
      <c r="A473">
        <v>472</v>
      </c>
      <c r="B473">
        <v>55</v>
      </c>
      <c r="C473" t="s">
        <v>7</v>
      </c>
      <c r="D473" t="s">
        <v>107</v>
      </c>
      <c r="E473" t="s">
        <v>55</v>
      </c>
      <c r="F473">
        <v>72</v>
      </c>
      <c r="G473" t="s">
        <v>56</v>
      </c>
      <c r="H473" t="s">
        <v>80</v>
      </c>
      <c r="I473" t="s">
        <v>40</v>
      </c>
      <c r="J473" t="s">
        <v>13</v>
      </c>
      <c r="K473">
        <v>4.9000000000000004</v>
      </c>
      <c r="L473" t="s">
        <v>14</v>
      </c>
      <c r="M473" t="s">
        <v>58</v>
      </c>
      <c r="N473" t="s">
        <v>14</v>
      </c>
      <c r="O473">
        <v>36</v>
      </c>
      <c r="P473" t="s">
        <v>63</v>
      </c>
      <c r="Q473" t="s">
        <v>46</v>
      </c>
      <c r="R473" t="str" cm="1">
        <f t="array" ref="R473">_xlfn.IFS(B473&lt;31,"Young-Adult",B473&lt;41,"Adult",B473&lt;61,"Middle-aged",B473&gt;=61,"Senior")</f>
        <v>Middle-aged</v>
      </c>
      <c r="S473" cm="1">
        <f t="array" ref="S473">_xlfn.IFS(Q473 ="Fortnightly",14,Q473="Weekly",7,Q473="Monthly",30,Q473="Quarterly",90,Q473="Bi-Weekly",14,Q473="Annually",365,Q473="Every 3 Months",90,TRUE,"NOT FOUND")</f>
        <v>90</v>
      </c>
    </row>
    <row r="474" spans="1:19" x14ac:dyDescent="0.35">
      <c r="A474">
        <v>473</v>
      </c>
      <c r="B474">
        <v>20</v>
      </c>
      <c r="C474" t="s">
        <v>7</v>
      </c>
      <c r="D474" t="s">
        <v>22</v>
      </c>
      <c r="E474" t="s">
        <v>9</v>
      </c>
      <c r="F474">
        <v>39</v>
      </c>
      <c r="G474" t="s">
        <v>130</v>
      </c>
      <c r="H474" t="s">
        <v>11</v>
      </c>
      <c r="I474" t="s">
        <v>12</v>
      </c>
      <c r="J474" t="s">
        <v>13</v>
      </c>
      <c r="K474">
        <v>3.9</v>
      </c>
      <c r="L474" t="s">
        <v>14</v>
      </c>
      <c r="M474" t="s">
        <v>26</v>
      </c>
      <c r="N474" t="s">
        <v>14</v>
      </c>
      <c r="O474">
        <v>3</v>
      </c>
      <c r="P474" t="s">
        <v>63</v>
      </c>
      <c r="Q474" t="s">
        <v>46</v>
      </c>
      <c r="R474" t="str" cm="1">
        <f t="array" ref="R474">_xlfn.IFS(B474&lt;31,"Young-Adult",B474&lt;41,"Adult",B474&lt;61,"Middle-aged",B474&gt;=61,"Senior")</f>
        <v>Young-Adult</v>
      </c>
      <c r="S474" cm="1">
        <f t="array" ref="S474">_xlfn.IFS(Q474 ="Fortnightly",14,Q474="Weekly",7,Q474="Monthly",30,Q474="Quarterly",90,Q474="Bi-Weekly",14,Q474="Annually",365,Q474="Every 3 Months",90,TRUE,"NOT FOUND")</f>
        <v>90</v>
      </c>
    </row>
    <row r="475" spans="1:19" x14ac:dyDescent="0.35">
      <c r="A475">
        <v>474</v>
      </c>
      <c r="B475">
        <v>34</v>
      </c>
      <c r="C475" t="s">
        <v>7</v>
      </c>
      <c r="D475" t="s">
        <v>50</v>
      </c>
      <c r="E475" t="s">
        <v>51</v>
      </c>
      <c r="F475">
        <v>42</v>
      </c>
      <c r="G475" t="s">
        <v>52</v>
      </c>
      <c r="H475" t="s">
        <v>11</v>
      </c>
      <c r="I475" t="s">
        <v>66</v>
      </c>
      <c r="J475" t="s">
        <v>25</v>
      </c>
      <c r="K475">
        <v>3.9</v>
      </c>
      <c r="L475" t="s">
        <v>14</v>
      </c>
      <c r="M475" t="s">
        <v>62</v>
      </c>
      <c r="N475" t="s">
        <v>14</v>
      </c>
      <c r="O475">
        <v>29</v>
      </c>
      <c r="P475" t="s">
        <v>34</v>
      </c>
      <c r="Q475" t="s">
        <v>85</v>
      </c>
      <c r="R475" t="str" cm="1">
        <f t="array" ref="R475">_xlfn.IFS(B475&lt;31,"Young-Adult",B475&lt;41,"Adult",B475&lt;61,"Middle-aged",B475&gt;=61,"Senior")</f>
        <v>Adult</v>
      </c>
      <c r="S475" cm="1">
        <f t="array" ref="S475">_xlfn.IFS(Q475 ="Fortnightly",14,Q475="Weekly",7,Q475="Monthly",30,Q475="Quarterly",90,Q475="Bi-Weekly",14,Q475="Annually",365,Q475="Every 3 Months",90,TRUE,"NOT FOUND")</f>
        <v>90</v>
      </c>
    </row>
    <row r="476" spans="1:19" x14ac:dyDescent="0.35">
      <c r="A476">
        <v>475</v>
      </c>
      <c r="B476">
        <v>62</v>
      </c>
      <c r="C476" t="s">
        <v>7</v>
      </c>
      <c r="D476" t="s">
        <v>18</v>
      </c>
      <c r="E476" t="s">
        <v>9</v>
      </c>
      <c r="F476">
        <v>76</v>
      </c>
      <c r="G476" t="s">
        <v>60</v>
      </c>
      <c r="H476" t="s">
        <v>80</v>
      </c>
      <c r="I476" t="s">
        <v>20</v>
      </c>
      <c r="J476" t="s">
        <v>41</v>
      </c>
      <c r="K476">
        <v>2.6</v>
      </c>
      <c r="L476" t="s">
        <v>14</v>
      </c>
      <c r="M476" t="s">
        <v>58</v>
      </c>
      <c r="N476" t="s">
        <v>14</v>
      </c>
      <c r="O476">
        <v>15</v>
      </c>
      <c r="P476" t="s">
        <v>21</v>
      </c>
      <c r="Q476" t="s">
        <v>46</v>
      </c>
      <c r="R476" t="str" cm="1">
        <f t="array" ref="R476">_xlfn.IFS(B476&lt;31,"Young-Adult",B476&lt;41,"Adult",B476&lt;61,"Middle-aged",B476&gt;=61,"Senior")</f>
        <v>Senior</v>
      </c>
      <c r="S476" cm="1">
        <f t="array" ref="S476">_xlfn.IFS(Q476 ="Fortnightly",14,Q476="Weekly",7,Q476="Monthly",30,Q476="Quarterly",90,Q476="Bi-Weekly",14,Q476="Annually",365,Q476="Every 3 Months",90,TRUE,"NOT FOUND")</f>
        <v>90</v>
      </c>
    </row>
    <row r="477" spans="1:19" x14ac:dyDescent="0.35">
      <c r="A477">
        <v>476</v>
      </c>
      <c r="B477">
        <v>21</v>
      </c>
      <c r="C477" t="s">
        <v>7</v>
      </c>
      <c r="D477" t="s">
        <v>38</v>
      </c>
      <c r="E477" t="s">
        <v>30</v>
      </c>
      <c r="F477">
        <v>66</v>
      </c>
      <c r="G477" t="s">
        <v>111</v>
      </c>
      <c r="H477" t="s">
        <v>11</v>
      </c>
      <c r="I477" t="s">
        <v>124</v>
      </c>
      <c r="J477" t="s">
        <v>41</v>
      </c>
      <c r="K477">
        <v>2.7</v>
      </c>
      <c r="L477" t="s">
        <v>14</v>
      </c>
      <c r="M477" t="s">
        <v>26</v>
      </c>
      <c r="N477" t="s">
        <v>14</v>
      </c>
      <c r="O477">
        <v>18</v>
      </c>
      <c r="P477" t="s">
        <v>74</v>
      </c>
      <c r="Q477" t="s">
        <v>37</v>
      </c>
      <c r="R477" t="str" cm="1">
        <f t="array" ref="R477">_xlfn.IFS(B477&lt;31,"Young-Adult",B477&lt;41,"Adult",B477&lt;61,"Middle-aged",B477&gt;=61,"Senior")</f>
        <v>Young-Adult</v>
      </c>
      <c r="S477" cm="1">
        <f t="array" ref="S477">_xlfn.IFS(Q477 ="Fortnightly",14,Q477="Weekly",7,Q477="Monthly",30,Q477="Quarterly",90,Q477="Bi-Weekly",14,Q477="Annually",365,Q477="Every 3 Months",90,TRUE,"NOT FOUND")</f>
        <v>365</v>
      </c>
    </row>
    <row r="478" spans="1:19" x14ac:dyDescent="0.35">
      <c r="A478">
        <v>477</v>
      </c>
      <c r="B478">
        <v>21</v>
      </c>
      <c r="C478" t="s">
        <v>7</v>
      </c>
      <c r="D478" t="s">
        <v>107</v>
      </c>
      <c r="E478" t="s">
        <v>55</v>
      </c>
      <c r="F478">
        <v>90</v>
      </c>
      <c r="G478" t="s">
        <v>127</v>
      </c>
      <c r="H478" t="s">
        <v>32</v>
      </c>
      <c r="I478" t="s">
        <v>124</v>
      </c>
      <c r="J478" t="s">
        <v>25</v>
      </c>
      <c r="K478">
        <v>3.5</v>
      </c>
      <c r="L478" t="s">
        <v>14</v>
      </c>
      <c r="M478" t="s">
        <v>26</v>
      </c>
      <c r="N478" t="s">
        <v>14</v>
      </c>
      <c r="O478">
        <v>2</v>
      </c>
      <c r="P478" t="s">
        <v>74</v>
      </c>
      <c r="Q478" t="s">
        <v>17</v>
      </c>
      <c r="R478" t="str" cm="1">
        <f t="array" ref="R478">_xlfn.IFS(B478&lt;31,"Young-Adult",B478&lt;41,"Adult",B478&lt;61,"Middle-aged",B478&gt;=61,"Senior")</f>
        <v>Young-Adult</v>
      </c>
      <c r="S478" cm="1">
        <f t="array" ref="S478">_xlfn.IFS(Q478 ="Fortnightly",14,Q478="Weekly",7,Q478="Monthly",30,Q478="Quarterly",90,Q478="Bi-Weekly",14,Q478="Annually",365,Q478="Every 3 Months",90,TRUE,"NOT FOUND")</f>
        <v>14</v>
      </c>
    </row>
    <row r="479" spans="1:19" x14ac:dyDescent="0.35">
      <c r="A479">
        <v>478</v>
      </c>
      <c r="B479">
        <v>42</v>
      </c>
      <c r="C479" t="s">
        <v>7</v>
      </c>
      <c r="D479" t="s">
        <v>18</v>
      </c>
      <c r="E479" t="s">
        <v>9</v>
      </c>
      <c r="F479">
        <v>56</v>
      </c>
      <c r="G479" t="s">
        <v>102</v>
      </c>
      <c r="H479" t="s">
        <v>32</v>
      </c>
      <c r="I479" t="s">
        <v>84</v>
      </c>
      <c r="J479" t="s">
        <v>41</v>
      </c>
      <c r="K479">
        <v>3.7</v>
      </c>
      <c r="L479" t="s">
        <v>14</v>
      </c>
      <c r="M479" t="s">
        <v>26</v>
      </c>
      <c r="N479" t="s">
        <v>14</v>
      </c>
      <c r="O479">
        <v>49</v>
      </c>
      <c r="P479" t="s">
        <v>74</v>
      </c>
      <c r="Q479" t="s">
        <v>28</v>
      </c>
      <c r="R479" t="str" cm="1">
        <f t="array" ref="R479">_xlfn.IFS(B479&lt;31,"Young-Adult",B479&lt;41,"Adult",B479&lt;61,"Middle-aged",B479&gt;=61,"Senior")</f>
        <v>Middle-aged</v>
      </c>
      <c r="S479" cm="1">
        <f t="array" ref="S479">_xlfn.IFS(Q479 ="Fortnightly",14,Q479="Weekly",7,Q479="Monthly",30,Q479="Quarterly",90,Q479="Bi-Weekly",14,Q479="Annually",365,Q479="Every 3 Months",90,TRUE,"NOT FOUND")</f>
        <v>7</v>
      </c>
    </row>
    <row r="480" spans="1:19" x14ac:dyDescent="0.35">
      <c r="A480">
        <v>479</v>
      </c>
      <c r="B480">
        <v>35</v>
      </c>
      <c r="C480" t="s">
        <v>7</v>
      </c>
      <c r="D480" t="s">
        <v>94</v>
      </c>
      <c r="E480" t="s">
        <v>55</v>
      </c>
      <c r="F480">
        <v>43</v>
      </c>
      <c r="G480" t="s">
        <v>99</v>
      </c>
      <c r="H480" t="s">
        <v>80</v>
      </c>
      <c r="I480" t="s">
        <v>36</v>
      </c>
      <c r="J480" t="s">
        <v>13</v>
      </c>
      <c r="K480">
        <v>3.2</v>
      </c>
      <c r="L480" t="s">
        <v>14</v>
      </c>
      <c r="M480" t="s">
        <v>26</v>
      </c>
      <c r="N480" t="s">
        <v>14</v>
      </c>
      <c r="O480">
        <v>48</v>
      </c>
      <c r="P480" t="s">
        <v>16</v>
      </c>
      <c r="Q480" t="s">
        <v>37</v>
      </c>
      <c r="R480" t="str" cm="1">
        <f t="array" ref="R480">_xlfn.IFS(B480&lt;31,"Young-Adult",B480&lt;41,"Adult",B480&lt;61,"Middle-aged",B480&gt;=61,"Senior")</f>
        <v>Adult</v>
      </c>
      <c r="S480" cm="1">
        <f t="array" ref="S480">_xlfn.IFS(Q480 ="Fortnightly",14,Q480="Weekly",7,Q480="Monthly",30,Q480="Quarterly",90,Q480="Bi-Weekly",14,Q480="Annually",365,Q480="Every 3 Months",90,TRUE,"NOT FOUND")</f>
        <v>365</v>
      </c>
    </row>
    <row r="481" spans="1:19" x14ac:dyDescent="0.35">
      <c r="A481">
        <v>480</v>
      </c>
      <c r="B481">
        <v>39</v>
      </c>
      <c r="C481" t="s">
        <v>7</v>
      </c>
      <c r="D481" t="s">
        <v>54</v>
      </c>
      <c r="E481" t="s">
        <v>55</v>
      </c>
      <c r="F481">
        <v>84</v>
      </c>
      <c r="G481" t="s">
        <v>134</v>
      </c>
      <c r="H481" t="s">
        <v>11</v>
      </c>
      <c r="I481" t="s">
        <v>122</v>
      </c>
      <c r="J481" t="s">
        <v>13</v>
      </c>
      <c r="K481">
        <v>3.3</v>
      </c>
      <c r="L481" t="s">
        <v>14</v>
      </c>
      <c r="M481" t="s">
        <v>62</v>
      </c>
      <c r="N481" t="s">
        <v>14</v>
      </c>
      <c r="O481">
        <v>43</v>
      </c>
      <c r="P481" t="s">
        <v>16</v>
      </c>
      <c r="Q481" t="s">
        <v>76</v>
      </c>
      <c r="R481" t="str" cm="1">
        <f t="array" ref="R481">_xlfn.IFS(B481&lt;31,"Young-Adult",B481&lt;41,"Adult",B481&lt;61,"Middle-aged",B481&gt;=61,"Senior")</f>
        <v>Adult</v>
      </c>
      <c r="S481" cm="1">
        <f t="array" ref="S481">_xlfn.IFS(Q481 ="Fortnightly",14,Q481="Weekly",7,Q481="Monthly",30,Q481="Quarterly",90,Q481="Bi-Weekly",14,Q481="Annually",365,Q481="Every 3 Months",90,TRUE,"NOT FOUND")</f>
        <v>30</v>
      </c>
    </row>
    <row r="482" spans="1:19" x14ac:dyDescent="0.35">
      <c r="A482">
        <v>481</v>
      </c>
      <c r="B482">
        <v>68</v>
      </c>
      <c r="C482" t="s">
        <v>7</v>
      </c>
      <c r="D482" t="s">
        <v>92</v>
      </c>
      <c r="E482" t="s">
        <v>9</v>
      </c>
      <c r="F482">
        <v>88</v>
      </c>
      <c r="G482" t="s">
        <v>117</v>
      </c>
      <c r="H482" t="s">
        <v>32</v>
      </c>
      <c r="I482" t="s">
        <v>12</v>
      </c>
      <c r="J482" t="s">
        <v>41</v>
      </c>
      <c r="K482">
        <v>4.8</v>
      </c>
      <c r="L482" t="s">
        <v>14</v>
      </c>
      <c r="M482" t="s">
        <v>42</v>
      </c>
      <c r="N482" t="s">
        <v>14</v>
      </c>
      <c r="O482">
        <v>30</v>
      </c>
      <c r="P482" t="s">
        <v>74</v>
      </c>
      <c r="Q482" t="s">
        <v>64</v>
      </c>
      <c r="R482" t="str" cm="1">
        <f t="array" ref="R482">_xlfn.IFS(B482&lt;31,"Young-Adult",B482&lt;41,"Adult",B482&lt;61,"Middle-aged",B482&gt;=61,"Senior")</f>
        <v>Senior</v>
      </c>
      <c r="S482" cm="1">
        <f t="array" ref="S482">_xlfn.IFS(Q482 ="Fortnightly",14,Q482="Weekly",7,Q482="Monthly",30,Q482="Quarterly",90,Q482="Bi-Weekly",14,Q482="Annually",365,Q482="Every 3 Months",90,TRUE,"NOT FOUND")</f>
        <v>14</v>
      </c>
    </row>
    <row r="483" spans="1:19" x14ac:dyDescent="0.35">
      <c r="A483">
        <v>482</v>
      </c>
      <c r="B483">
        <v>46</v>
      </c>
      <c r="C483" t="s">
        <v>7</v>
      </c>
      <c r="D483" t="s">
        <v>112</v>
      </c>
      <c r="E483" t="s">
        <v>55</v>
      </c>
      <c r="F483">
        <v>88</v>
      </c>
      <c r="G483" t="s">
        <v>138</v>
      </c>
      <c r="H483" t="s">
        <v>11</v>
      </c>
      <c r="I483" t="s">
        <v>88</v>
      </c>
      <c r="J483" t="s">
        <v>45</v>
      </c>
      <c r="K483">
        <v>3.2</v>
      </c>
      <c r="L483" t="s">
        <v>14</v>
      </c>
      <c r="M483" t="s">
        <v>58</v>
      </c>
      <c r="N483" t="s">
        <v>14</v>
      </c>
      <c r="O483">
        <v>10</v>
      </c>
      <c r="P483" t="s">
        <v>34</v>
      </c>
      <c r="Q483" t="s">
        <v>17</v>
      </c>
      <c r="R483" t="str" cm="1">
        <f t="array" ref="R483">_xlfn.IFS(B483&lt;31,"Young-Adult",B483&lt;41,"Adult",B483&lt;61,"Middle-aged",B483&gt;=61,"Senior")</f>
        <v>Middle-aged</v>
      </c>
      <c r="S483" cm="1">
        <f t="array" ref="S483">_xlfn.IFS(Q483 ="Fortnightly",14,Q483="Weekly",7,Q483="Monthly",30,Q483="Quarterly",90,Q483="Bi-Weekly",14,Q483="Annually",365,Q483="Every 3 Months",90,TRUE,"NOT FOUND")</f>
        <v>14</v>
      </c>
    </row>
    <row r="484" spans="1:19" x14ac:dyDescent="0.35">
      <c r="A484">
        <v>483</v>
      </c>
      <c r="B484">
        <v>41</v>
      </c>
      <c r="C484" t="s">
        <v>7</v>
      </c>
      <c r="D484" t="s">
        <v>121</v>
      </c>
      <c r="E484" t="s">
        <v>55</v>
      </c>
      <c r="F484">
        <v>42</v>
      </c>
      <c r="G484" t="s">
        <v>127</v>
      </c>
      <c r="H484" t="s">
        <v>32</v>
      </c>
      <c r="I484" t="s">
        <v>122</v>
      </c>
      <c r="J484" t="s">
        <v>13</v>
      </c>
      <c r="K484">
        <v>2.5</v>
      </c>
      <c r="L484" t="s">
        <v>14</v>
      </c>
      <c r="M484" t="s">
        <v>58</v>
      </c>
      <c r="N484" t="s">
        <v>14</v>
      </c>
      <c r="O484">
        <v>11</v>
      </c>
      <c r="P484" t="s">
        <v>16</v>
      </c>
      <c r="Q484" t="s">
        <v>37</v>
      </c>
      <c r="R484" t="str" cm="1">
        <f t="array" ref="R484">_xlfn.IFS(B484&lt;31,"Young-Adult",B484&lt;41,"Adult",B484&lt;61,"Middle-aged",B484&gt;=61,"Senior")</f>
        <v>Middle-aged</v>
      </c>
      <c r="S484" cm="1">
        <f t="array" ref="S484">_xlfn.IFS(Q484 ="Fortnightly",14,Q484="Weekly",7,Q484="Monthly",30,Q484="Quarterly",90,Q484="Bi-Weekly",14,Q484="Annually",365,Q484="Every 3 Months",90,TRUE,"NOT FOUND")</f>
        <v>365</v>
      </c>
    </row>
    <row r="485" spans="1:19" x14ac:dyDescent="0.35">
      <c r="A485">
        <v>484</v>
      </c>
      <c r="B485">
        <v>23</v>
      </c>
      <c r="C485" t="s">
        <v>7</v>
      </c>
      <c r="D485" t="s">
        <v>92</v>
      </c>
      <c r="E485" t="s">
        <v>9</v>
      </c>
      <c r="F485">
        <v>73</v>
      </c>
      <c r="G485" t="s">
        <v>89</v>
      </c>
      <c r="H485" t="s">
        <v>32</v>
      </c>
      <c r="I485" t="s">
        <v>40</v>
      </c>
      <c r="J485" t="s">
        <v>45</v>
      </c>
      <c r="K485">
        <v>3.9</v>
      </c>
      <c r="L485" t="s">
        <v>14</v>
      </c>
      <c r="M485" t="s">
        <v>62</v>
      </c>
      <c r="N485" t="s">
        <v>14</v>
      </c>
      <c r="O485">
        <v>12</v>
      </c>
      <c r="P485" t="s">
        <v>74</v>
      </c>
      <c r="Q485" t="s">
        <v>28</v>
      </c>
      <c r="R485" t="str" cm="1">
        <f t="array" ref="R485">_xlfn.IFS(B485&lt;31,"Young-Adult",B485&lt;41,"Adult",B485&lt;61,"Middle-aged",B485&gt;=61,"Senior")</f>
        <v>Young-Adult</v>
      </c>
      <c r="S485" cm="1">
        <f t="array" ref="S485">_xlfn.IFS(Q485 ="Fortnightly",14,Q485="Weekly",7,Q485="Monthly",30,Q485="Quarterly",90,Q485="Bi-Weekly",14,Q485="Annually",365,Q485="Every 3 Months",90,TRUE,"NOT FOUND")</f>
        <v>7</v>
      </c>
    </row>
    <row r="486" spans="1:19" x14ac:dyDescent="0.35">
      <c r="A486">
        <v>485</v>
      </c>
      <c r="B486">
        <v>68</v>
      </c>
      <c r="C486" t="s">
        <v>7</v>
      </c>
      <c r="D486" t="s">
        <v>112</v>
      </c>
      <c r="E486" t="s">
        <v>55</v>
      </c>
      <c r="F486">
        <v>73</v>
      </c>
      <c r="G486" t="s">
        <v>56</v>
      </c>
      <c r="H486" t="s">
        <v>11</v>
      </c>
      <c r="I486" t="s">
        <v>81</v>
      </c>
      <c r="J486" t="s">
        <v>41</v>
      </c>
      <c r="K486">
        <v>4.7</v>
      </c>
      <c r="L486" t="s">
        <v>14</v>
      </c>
      <c r="M486" t="s">
        <v>26</v>
      </c>
      <c r="N486" t="s">
        <v>14</v>
      </c>
      <c r="O486">
        <v>28</v>
      </c>
      <c r="P486" t="s">
        <v>63</v>
      </c>
      <c r="Q486" t="s">
        <v>46</v>
      </c>
      <c r="R486" t="str" cm="1">
        <f t="array" ref="R486">_xlfn.IFS(B486&lt;31,"Young-Adult",B486&lt;41,"Adult",B486&lt;61,"Middle-aged",B486&gt;=61,"Senior")</f>
        <v>Senior</v>
      </c>
      <c r="S486" cm="1">
        <f t="array" ref="S486">_xlfn.IFS(Q486 ="Fortnightly",14,Q486="Weekly",7,Q486="Monthly",30,Q486="Quarterly",90,Q486="Bi-Weekly",14,Q486="Annually",365,Q486="Every 3 Months",90,TRUE,"NOT FOUND")</f>
        <v>90</v>
      </c>
    </row>
    <row r="487" spans="1:19" x14ac:dyDescent="0.35">
      <c r="A487">
        <v>486</v>
      </c>
      <c r="B487">
        <v>48</v>
      </c>
      <c r="C487" t="s">
        <v>7</v>
      </c>
      <c r="D487" t="s">
        <v>59</v>
      </c>
      <c r="E487" t="s">
        <v>30</v>
      </c>
      <c r="F487">
        <v>44</v>
      </c>
      <c r="G487" t="s">
        <v>110</v>
      </c>
      <c r="H487" t="s">
        <v>24</v>
      </c>
      <c r="I487" t="s">
        <v>132</v>
      </c>
      <c r="J487" t="s">
        <v>25</v>
      </c>
      <c r="K487">
        <v>2.6</v>
      </c>
      <c r="L487" t="s">
        <v>14</v>
      </c>
      <c r="M487" t="s">
        <v>33</v>
      </c>
      <c r="N487" t="s">
        <v>14</v>
      </c>
      <c r="O487">
        <v>36</v>
      </c>
      <c r="P487" t="s">
        <v>74</v>
      </c>
      <c r="Q487" t="s">
        <v>17</v>
      </c>
      <c r="R487" t="str" cm="1">
        <f t="array" ref="R487">_xlfn.IFS(B487&lt;31,"Young-Adult",B487&lt;41,"Adult",B487&lt;61,"Middle-aged",B487&gt;=61,"Senior")</f>
        <v>Middle-aged</v>
      </c>
      <c r="S487" cm="1">
        <f t="array" ref="S487">_xlfn.IFS(Q487 ="Fortnightly",14,Q487="Weekly",7,Q487="Monthly",30,Q487="Quarterly",90,Q487="Bi-Weekly",14,Q487="Annually",365,Q487="Every 3 Months",90,TRUE,"NOT FOUND")</f>
        <v>14</v>
      </c>
    </row>
    <row r="488" spans="1:19" x14ac:dyDescent="0.35">
      <c r="A488">
        <v>487</v>
      </c>
      <c r="B488">
        <v>38</v>
      </c>
      <c r="C488" t="s">
        <v>7</v>
      </c>
      <c r="D488" t="s">
        <v>29</v>
      </c>
      <c r="E488" t="s">
        <v>30</v>
      </c>
      <c r="F488">
        <v>63</v>
      </c>
      <c r="G488" t="s">
        <v>118</v>
      </c>
      <c r="H488" t="s">
        <v>32</v>
      </c>
      <c r="I488" t="s">
        <v>49</v>
      </c>
      <c r="J488" t="s">
        <v>45</v>
      </c>
      <c r="K488">
        <v>2.8</v>
      </c>
      <c r="L488" t="s">
        <v>14</v>
      </c>
      <c r="M488" t="s">
        <v>62</v>
      </c>
      <c r="N488" t="s">
        <v>14</v>
      </c>
      <c r="O488">
        <v>37</v>
      </c>
      <c r="P488" t="s">
        <v>16</v>
      </c>
      <c r="Q488" t="s">
        <v>85</v>
      </c>
      <c r="R488" t="str" cm="1">
        <f t="array" ref="R488">_xlfn.IFS(B488&lt;31,"Young-Adult",B488&lt;41,"Adult",B488&lt;61,"Middle-aged",B488&gt;=61,"Senior")</f>
        <v>Adult</v>
      </c>
      <c r="S488" cm="1">
        <f t="array" ref="S488">_xlfn.IFS(Q488 ="Fortnightly",14,Q488="Weekly",7,Q488="Monthly",30,Q488="Quarterly",90,Q488="Bi-Weekly",14,Q488="Annually",365,Q488="Every 3 Months",90,TRUE,"NOT FOUND")</f>
        <v>90</v>
      </c>
    </row>
    <row r="489" spans="1:19" x14ac:dyDescent="0.35">
      <c r="A489">
        <v>488</v>
      </c>
      <c r="B489">
        <v>41</v>
      </c>
      <c r="C489" t="s">
        <v>7</v>
      </c>
      <c r="D489" t="s">
        <v>90</v>
      </c>
      <c r="E489" t="s">
        <v>51</v>
      </c>
      <c r="F489">
        <v>68</v>
      </c>
      <c r="G489" t="s">
        <v>134</v>
      </c>
      <c r="H489" t="s">
        <v>11</v>
      </c>
      <c r="I489" t="s">
        <v>96</v>
      </c>
      <c r="J489" t="s">
        <v>13</v>
      </c>
      <c r="K489">
        <v>4.4000000000000004</v>
      </c>
      <c r="L489" t="s">
        <v>14</v>
      </c>
      <c r="M489" t="s">
        <v>62</v>
      </c>
      <c r="N489" t="s">
        <v>14</v>
      </c>
      <c r="O489">
        <v>22</v>
      </c>
      <c r="P489" t="s">
        <v>27</v>
      </c>
      <c r="Q489" t="s">
        <v>46</v>
      </c>
      <c r="R489" t="str" cm="1">
        <f t="array" ref="R489">_xlfn.IFS(B489&lt;31,"Young-Adult",B489&lt;41,"Adult",B489&lt;61,"Middle-aged",B489&gt;=61,"Senior")</f>
        <v>Middle-aged</v>
      </c>
      <c r="S489" cm="1">
        <f t="array" ref="S489">_xlfn.IFS(Q489 ="Fortnightly",14,Q489="Weekly",7,Q489="Monthly",30,Q489="Quarterly",90,Q489="Bi-Weekly",14,Q489="Annually",365,Q489="Every 3 Months",90,TRUE,"NOT FOUND")</f>
        <v>90</v>
      </c>
    </row>
    <row r="490" spans="1:19" x14ac:dyDescent="0.35">
      <c r="A490">
        <v>489</v>
      </c>
      <c r="B490">
        <v>58</v>
      </c>
      <c r="C490" t="s">
        <v>7</v>
      </c>
      <c r="D490" t="s">
        <v>18</v>
      </c>
      <c r="E490" t="s">
        <v>9</v>
      </c>
      <c r="F490">
        <v>29</v>
      </c>
      <c r="G490" t="s">
        <v>19</v>
      </c>
      <c r="H490" t="s">
        <v>11</v>
      </c>
      <c r="I490" t="s">
        <v>66</v>
      </c>
      <c r="J490" t="s">
        <v>25</v>
      </c>
      <c r="K490">
        <v>4.5999999999999996</v>
      </c>
      <c r="L490" t="s">
        <v>14</v>
      </c>
      <c r="M490" t="s">
        <v>42</v>
      </c>
      <c r="N490" t="s">
        <v>14</v>
      </c>
      <c r="O490">
        <v>32</v>
      </c>
      <c r="P490" t="s">
        <v>16</v>
      </c>
      <c r="Q490" t="s">
        <v>28</v>
      </c>
      <c r="R490" t="str" cm="1">
        <f t="array" ref="R490">_xlfn.IFS(B490&lt;31,"Young-Adult",B490&lt;41,"Adult",B490&lt;61,"Middle-aged",B490&gt;=61,"Senior")</f>
        <v>Middle-aged</v>
      </c>
      <c r="S490" cm="1">
        <f t="array" ref="S490">_xlfn.IFS(Q490 ="Fortnightly",14,Q490="Weekly",7,Q490="Monthly",30,Q490="Quarterly",90,Q490="Bi-Weekly",14,Q490="Annually",365,Q490="Every 3 Months",90,TRUE,"NOT FOUND")</f>
        <v>7</v>
      </c>
    </row>
    <row r="491" spans="1:19" x14ac:dyDescent="0.35">
      <c r="A491">
        <v>490</v>
      </c>
      <c r="B491">
        <v>49</v>
      </c>
      <c r="C491" t="s">
        <v>7</v>
      </c>
      <c r="D491" t="s">
        <v>113</v>
      </c>
      <c r="E491" t="s">
        <v>9</v>
      </c>
      <c r="F491">
        <v>85</v>
      </c>
      <c r="G491" t="s">
        <v>135</v>
      </c>
      <c r="H491" t="s">
        <v>32</v>
      </c>
      <c r="I491" t="s">
        <v>84</v>
      </c>
      <c r="J491" t="s">
        <v>41</v>
      </c>
      <c r="K491">
        <v>3.2</v>
      </c>
      <c r="L491" t="s">
        <v>14</v>
      </c>
      <c r="M491" t="s">
        <v>42</v>
      </c>
      <c r="N491" t="s">
        <v>14</v>
      </c>
      <c r="O491">
        <v>40</v>
      </c>
      <c r="P491" t="s">
        <v>34</v>
      </c>
      <c r="Q491" t="s">
        <v>37</v>
      </c>
      <c r="R491" t="str" cm="1">
        <f t="array" ref="R491">_xlfn.IFS(B491&lt;31,"Young-Adult",B491&lt;41,"Adult",B491&lt;61,"Middle-aged",B491&gt;=61,"Senior")</f>
        <v>Middle-aged</v>
      </c>
      <c r="S491" cm="1">
        <f t="array" ref="S491">_xlfn.IFS(Q491 ="Fortnightly",14,Q491="Weekly",7,Q491="Monthly",30,Q491="Quarterly",90,Q491="Bi-Weekly",14,Q491="Annually",365,Q491="Every 3 Months",90,TRUE,"NOT FOUND")</f>
        <v>365</v>
      </c>
    </row>
    <row r="492" spans="1:19" x14ac:dyDescent="0.35">
      <c r="A492">
        <v>491</v>
      </c>
      <c r="B492">
        <v>57</v>
      </c>
      <c r="C492" t="s">
        <v>7</v>
      </c>
      <c r="D492" t="s">
        <v>38</v>
      </c>
      <c r="E492" t="s">
        <v>30</v>
      </c>
      <c r="F492">
        <v>42</v>
      </c>
      <c r="G492" t="s">
        <v>100</v>
      </c>
      <c r="H492" t="s">
        <v>32</v>
      </c>
      <c r="I492" t="s">
        <v>53</v>
      </c>
      <c r="J492" t="s">
        <v>13</v>
      </c>
      <c r="K492">
        <v>4.2</v>
      </c>
      <c r="L492" t="s">
        <v>14</v>
      </c>
      <c r="M492" t="s">
        <v>58</v>
      </c>
      <c r="N492" t="s">
        <v>14</v>
      </c>
      <c r="O492">
        <v>47</v>
      </c>
      <c r="P492" t="s">
        <v>21</v>
      </c>
      <c r="Q492" t="s">
        <v>76</v>
      </c>
      <c r="R492" t="str" cm="1">
        <f t="array" ref="R492">_xlfn.IFS(B492&lt;31,"Young-Adult",B492&lt;41,"Adult",B492&lt;61,"Middle-aged",B492&gt;=61,"Senior")</f>
        <v>Middle-aged</v>
      </c>
      <c r="S492" cm="1">
        <f t="array" ref="S492">_xlfn.IFS(Q492 ="Fortnightly",14,Q492="Weekly",7,Q492="Monthly",30,Q492="Quarterly",90,Q492="Bi-Weekly",14,Q492="Annually",365,Q492="Every 3 Months",90,TRUE,"NOT FOUND")</f>
        <v>30</v>
      </c>
    </row>
    <row r="493" spans="1:19" x14ac:dyDescent="0.35">
      <c r="A493">
        <v>492</v>
      </c>
      <c r="B493">
        <v>49</v>
      </c>
      <c r="C493" t="s">
        <v>7</v>
      </c>
      <c r="D493" t="s">
        <v>50</v>
      </c>
      <c r="E493" t="s">
        <v>51</v>
      </c>
      <c r="F493">
        <v>69</v>
      </c>
      <c r="G493" t="s">
        <v>117</v>
      </c>
      <c r="H493" t="s">
        <v>32</v>
      </c>
      <c r="I493" t="s">
        <v>53</v>
      </c>
      <c r="J493" t="s">
        <v>41</v>
      </c>
      <c r="K493">
        <v>3.8</v>
      </c>
      <c r="L493" t="s">
        <v>14</v>
      </c>
      <c r="M493" t="s">
        <v>58</v>
      </c>
      <c r="N493" t="s">
        <v>14</v>
      </c>
      <c r="O493">
        <v>24</v>
      </c>
      <c r="P493" t="s">
        <v>27</v>
      </c>
      <c r="Q493" t="s">
        <v>64</v>
      </c>
      <c r="R493" t="str" cm="1">
        <f t="array" ref="R493">_xlfn.IFS(B493&lt;31,"Young-Adult",B493&lt;41,"Adult",B493&lt;61,"Middle-aged",B493&gt;=61,"Senior")</f>
        <v>Middle-aged</v>
      </c>
      <c r="S493" cm="1">
        <f t="array" ref="S493">_xlfn.IFS(Q493 ="Fortnightly",14,Q493="Weekly",7,Q493="Monthly",30,Q493="Quarterly",90,Q493="Bi-Weekly",14,Q493="Annually",365,Q493="Every 3 Months",90,TRUE,"NOT FOUND")</f>
        <v>14</v>
      </c>
    </row>
    <row r="494" spans="1:19" x14ac:dyDescent="0.35">
      <c r="A494">
        <v>493</v>
      </c>
      <c r="B494">
        <v>50</v>
      </c>
      <c r="C494" t="s">
        <v>7</v>
      </c>
      <c r="D494" t="s">
        <v>43</v>
      </c>
      <c r="E494" t="s">
        <v>9</v>
      </c>
      <c r="F494">
        <v>62</v>
      </c>
      <c r="G494" t="s">
        <v>139</v>
      </c>
      <c r="H494" t="s">
        <v>32</v>
      </c>
      <c r="I494" t="s">
        <v>82</v>
      </c>
      <c r="J494" t="s">
        <v>45</v>
      </c>
      <c r="K494">
        <v>3.9</v>
      </c>
      <c r="L494" t="s">
        <v>14</v>
      </c>
      <c r="M494" t="s">
        <v>42</v>
      </c>
      <c r="N494" t="s">
        <v>14</v>
      </c>
      <c r="O494">
        <v>11</v>
      </c>
      <c r="P494" t="s">
        <v>74</v>
      </c>
      <c r="Q494" t="s">
        <v>28</v>
      </c>
      <c r="R494" t="str" cm="1">
        <f t="array" ref="R494">_xlfn.IFS(B494&lt;31,"Young-Adult",B494&lt;41,"Adult",B494&lt;61,"Middle-aged",B494&gt;=61,"Senior")</f>
        <v>Middle-aged</v>
      </c>
      <c r="S494" cm="1">
        <f t="array" ref="S494">_xlfn.IFS(Q494 ="Fortnightly",14,Q494="Weekly",7,Q494="Monthly",30,Q494="Quarterly",90,Q494="Bi-Weekly",14,Q494="Annually",365,Q494="Every 3 Months",90,TRUE,"NOT FOUND")</f>
        <v>7</v>
      </c>
    </row>
    <row r="495" spans="1:19" x14ac:dyDescent="0.35">
      <c r="A495">
        <v>494</v>
      </c>
      <c r="B495">
        <v>28</v>
      </c>
      <c r="C495" t="s">
        <v>7</v>
      </c>
      <c r="D495" t="s">
        <v>120</v>
      </c>
      <c r="E495" t="s">
        <v>55</v>
      </c>
      <c r="F495">
        <v>48</v>
      </c>
      <c r="G495" t="s">
        <v>95</v>
      </c>
      <c r="H495" t="s">
        <v>80</v>
      </c>
      <c r="I495" t="s">
        <v>96</v>
      </c>
      <c r="J495" t="s">
        <v>41</v>
      </c>
      <c r="K495">
        <v>4.7</v>
      </c>
      <c r="L495" t="s">
        <v>14</v>
      </c>
      <c r="M495" t="s">
        <v>62</v>
      </c>
      <c r="N495" t="s">
        <v>14</v>
      </c>
      <c r="O495">
        <v>19</v>
      </c>
      <c r="P495" t="s">
        <v>21</v>
      </c>
      <c r="Q495" t="s">
        <v>64</v>
      </c>
      <c r="R495" t="str" cm="1">
        <f t="array" ref="R495">_xlfn.IFS(B495&lt;31,"Young-Adult",B495&lt;41,"Adult",B495&lt;61,"Middle-aged",B495&gt;=61,"Senior")</f>
        <v>Young-Adult</v>
      </c>
      <c r="S495" cm="1">
        <f t="array" ref="S495">_xlfn.IFS(Q495 ="Fortnightly",14,Q495="Weekly",7,Q495="Monthly",30,Q495="Quarterly",90,Q495="Bi-Weekly",14,Q495="Annually",365,Q495="Every 3 Months",90,TRUE,"NOT FOUND")</f>
        <v>14</v>
      </c>
    </row>
    <row r="496" spans="1:19" x14ac:dyDescent="0.35">
      <c r="A496">
        <v>495</v>
      </c>
      <c r="B496">
        <v>38</v>
      </c>
      <c r="C496" t="s">
        <v>7</v>
      </c>
      <c r="D496" t="s">
        <v>125</v>
      </c>
      <c r="E496" t="s">
        <v>30</v>
      </c>
      <c r="F496">
        <v>68</v>
      </c>
      <c r="G496" t="s">
        <v>104</v>
      </c>
      <c r="H496" t="s">
        <v>32</v>
      </c>
      <c r="I496" t="s">
        <v>114</v>
      </c>
      <c r="J496" t="s">
        <v>13</v>
      </c>
      <c r="K496">
        <v>4.5</v>
      </c>
      <c r="L496" t="s">
        <v>14</v>
      </c>
      <c r="M496" t="s">
        <v>15</v>
      </c>
      <c r="N496" t="s">
        <v>14</v>
      </c>
      <c r="O496">
        <v>42</v>
      </c>
      <c r="P496" t="s">
        <v>74</v>
      </c>
      <c r="Q496" t="s">
        <v>28</v>
      </c>
      <c r="R496" t="str" cm="1">
        <f t="array" ref="R496">_xlfn.IFS(B496&lt;31,"Young-Adult",B496&lt;41,"Adult",B496&lt;61,"Middle-aged",B496&gt;=61,"Senior")</f>
        <v>Adult</v>
      </c>
      <c r="S496" cm="1">
        <f t="array" ref="S496">_xlfn.IFS(Q496 ="Fortnightly",14,Q496="Weekly",7,Q496="Monthly",30,Q496="Quarterly",90,Q496="Bi-Weekly",14,Q496="Annually",365,Q496="Every 3 Months",90,TRUE,"NOT FOUND")</f>
        <v>7</v>
      </c>
    </row>
    <row r="497" spans="1:19" x14ac:dyDescent="0.35">
      <c r="A497">
        <v>496</v>
      </c>
      <c r="B497">
        <v>33</v>
      </c>
      <c r="C497" t="s">
        <v>7</v>
      </c>
      <c r="D497" t="s">
        <v>54</v>
      </c>
      <c r="E497" t="s">
        <v>55</v>
      </c>
      <c r="F497">
        <v>36</v>
      </c>
      <c r="G497" t="s">
        <v>139</v>
      </c>
      <c r="H497" t="s">
        <v>80</v>
      </c>
      <c r="I497" t="s">
        <v>97</v>
      </c>
      <c r="J497" t="s">
        <v>45</v>
      </c>
      <c r="K497">
        <v>3.3</v>
      </c>
      <c r="L497" t="s">
        <v>14</v>
      </c>
      <c r="M497" t="s">
        <v>26</v>
      </c>
      <c r="N497" t="s">
        <v>14</v>
      </c>
      <c r="O497">
        <v>6</v>
      </c>
      <c r="P497" t="s">
        <v>74</v>
      </c>
      <c r="Q497" t="s">
        <v>17</v>
      </c>
      <c r="R497" t="str" cm="1">
        <f t="array" ref="R497">_xlfn.IFS(B497&lt;31,"Young-Adult",B497&lt;41,"Adult",B497&lt;61,"Middle-aged",B497&gt;=61,"Senior")</f>
        <v>Adult</v>
      </c>
      <c r="S497" cm="1">
        <f t="array" ref="S497">_xlfn.IFS(Q497 ="Fortnightly",14,Q497="Weekly",7,Q497="Monthly",30,Q497="Quarterly",90,Q497="Bi-Weekly",14,Q497="Annually",365,Q497="Every 3 Months",90,TRUE,"NOT FOUND")</f>
        <v>14</v>
      </c>
    </row>
    <row r="498" spans="1:19" x14ac:dyDescent="0.35">
      <c r="A498">
        <v>497</v>
      </c>
      <c r="B498">
        <v>30</v>
      </c>
      <c r="C498" t="s">
        <v>7</v>
      </c>
      <c r="D498" t="s">
        <v>69</v>
      </c>
      <c r="E498" t="s">
        <v>9</v>
      </c>
      <c r="F498">
        <v>63</v>
      </c>
      <c r="G498" t="s">
        <v>87</v>
      </c>
      <c r="H498" t="s">
        <v>24</v>
      </c>
      <c r="I498" t="s">
        <v>20</v>
      </c>
      <c r="J498" t="s">
        <v>45</v>
      </c>
      <c r="K498">
        <v>3.3</v>
      </c>
      <c r="L498" t="s">
        <v>14</v>
      </c>
      <c r="M498" t="s">
        <v>15</v>
      </c>
      <c r="N498" t="s">
        <v>14</v>
      </c>
      <c r="O498">
        <v>31</v>
      </c>
      <c r="P498" t="s">
        <v>16</v>
      </c>
      <c r="Q498" t="s">
        <v>17</v>
      </c>
      <c r="R498" t="str" cm="1">
        <f t="array" ref="R498">_xlfn.IFS(B498&lt;31,"Young-Adult",B498&lt;41,"Adult",B498&lt;61,"Middle-aged",B498&gt;=61,"Senior")</f>
        <v>Young-Adult</v>
      </c>
      <c r="S498" cm="1">
        <f t="array" ref="S498">_xlfn.IFS(Q498 ="Fortnightly",14,Q498="Weekly",7,Q498="Monthly",30,Q498="Quarterly",90,Q498="Bi-Weekly",14,Q498="Annually",365,Q498="Every 3 Months",90,TRUE,"NOT FOUND")</f>
        <v>14</v>
      </c>
    </row>
    <row r="499" spans="1:19" x14ac:dyDescent="0.35">
      <c r="A499">
        <v>498</v>
      </c>
      <c r="B499">
        <v>43</v>
      </c>
      <c r="C499" t="s">
        <v>7</v>
      </c>
      <c r="D499" t="s">
        <v>38</v>
      </c>
      <c r="E499" t="s">
        <v>30</v>
      </c>
      <c r="F499">
        <v>39</v>
      </c>
      <c r="G499" t="s">
        <v>89</v>
      </c>
      <c r="H499" t="s">
        <v>24</v>
      </c>
      <c r="I499" t="s">
        <v>53</v>
      </c>
      <c r="J499" t="s">
        <v>13</v>
      </c>
      <c r="K499">
        <v>4.5999999999999996</v>
      </c>
      <c r="L499" t="s">
        <v>14</v>
      </c>
      <c r="M499" t="s">
        <v>26</v>
      </c>
      <c r="N499" t="s">
        <v>14</v>
      </c>
      <c r="O499">
        <v>31</v>
      </c>
      <c r="P499" t="s">
        <v>21</v>
      </c>
      <c r="Q499" t="s">
        <v>28</v>
      </c>
      <c r="R499" t="str" cm="1">
        <f t="array" ref="R499">_xlfn.IFS(B499&lt;31,"Young-Adult",B499&lt;41,"Adult",B499&lt;61,"Middle-aged",B499&gt;=61,"Senior")</f>
        <v>Middle-aged</v>
      </c>
      <c r="S499" cm="1">
        <f t="array" ref="S499">_xlfn.IFS(Q499 ="Fortnightly",14,Q499="Weekly",7,Q499="Monthly",30,Q499="Quarterly",90,Q499="Bi-Weekly",14,Q499="Annually",365,Q499="Every 3 Months",90,TRUE,"NOT FOUND")</f>
        <v>7</v>
      </c>
    </row>
    <row r="500" spans="1:19" x14ac:dyDescent="0.35">
      <c r="A500">
        <v>499</v>
      </c>
      <c r="B500">
        <v>43</v>
      </c>
      <c r="C500" t="s">
        <v>7</v>
      </c>
      <c r="D500" t="s">
        <v>125</v>
      </c>
      <c r="E500" t="s">
        <v>30</v>
      </c>
      <c r="F500">
        <v>78</v>
      </c>
      <c r="G500" t="s">
        <v>134</v>
      </c>
      <c r="H500" t="s">
        <v>32</v>
      </c>
      <c r="I500" t="s">
        <v>81</v>
      </c>
      <c r="J500" t="s">
        <v>25</v>
      </c>
      <c r="K500">
        <v>3.6</v>
      </c>
      <c r="L500" t="s">
        <v>14</v>
      </c>
      <c r="M500" t="s">
        <v>26</v>
      </c>
      <c r="N500" t="s">
        <v>14</v>
      </c>
      <c r="O500">
        <v>27</v>
      </c>
      <c r="P500" t="s">
        <v>63</v>
      </c>
      <c r="Q500" t="s">
        <v>76</v>
      </c>
      <c r="R500" t="str" cm="1">
        <f t="array" ref="R500">_xlfn.IFS(B500&lt;31,"Young-Adult",B500&lt;41,"Adult",B500&lt;61,"Middle-aged",B500&gt;=61,"Senior")</f>
        <v>Middle-aged</v>
      </c>
      <c r="S500" cm="1">
        <f t="array" ref="S500">_xlfn.IFS(Q500 ="Fortnightly",14,Q500="Weekly",7,Q500="Monthly",30,Q500="Quarterly",90,Q500="Bi-Weekly",14,Q500="Annually",365,Q500="Every 3 Months",90,TRUE,"NOT FOUND")</f>
        <v>30</v>
      </c>
    </row>
    <row r="501" spans="1:19" x14ac:dyDescent="0.35">
      <c r="A501">
        <v>500</v>
      </c>
      <c r="B501">
        <v>36</v>
      </c>
      <c r="C501" t="s">
        <v>7</v>
      </c>
      <c r="D501" t="s">
        <v>59</v>
      </c>
      <c r="E501" t="s">
        <v>30</v>
      </c>
      <c r="F501">
        <v>99</v>
      </c>
      <c r="G501" t="s">
        <v>31</v>
      </c>
      <c r="H501" t="s">
        <v>11</v>
      </c>
      <c r="I501" t="s">
        <v>53</v>
      </c>
      <c r="J501" t="s">
        <v>13</v>
      </c>
      <c r="K501">
        <v>4.8</v>
      </c>
      <c r="L501" t="s">
        <v>14</v>
      </c>
      <c r="M501" t="s">
        <v>15</v>
      </c>
      <c r="N501" t="s">
        <v>14</v>
      </c>
      <c r="O501">
        <v>24</v>
      </c>
      <c r="P501" t="s">
        <v>34</v>
      </c>
      <c r="Q501" t="s">
        <v>76</v>
      </c>
      <c r="R501" t="str" cm="1">
        <f t="array" ref="R501">_xlfn.IFS(B501&lt;31,"Young-Adult",B501&lt;41,"Adult",B501&lt;61,"Middle-aged",B501&gt;=61,"Senior")</f>
        <v>Adult</v>
      </c>
      <c r="S501" cm="1">
        <f t="array" ref="S501">_xlfn.IFS(Q501 ="Fortnightly",14,Q501="Weekly",7,Q501="Monthly",30,Q501="Quarterly",90,Q501="Bi-Weekly",14,Q501="Annually",365,Q501="Every 3 Months",90,TRUE,"NOT FOUND")</f>
        <v>30</v>
      </c>
    </row>
    <row r="502" spans="1:19" x14ac:dyDescent="0.35">
      <c r="A502">
        <v>501</v>
      </c>
      <c r="B502">
        <v>36</v>
      </c>
      <c r="C502" t="s">
        <v>7</v>
      </c>
      <c r="D502" t="s">
        <v>101</v>
      </c>
      <c r="E502" t="s">
        <v>9</v>
      </c>
      <c r="F502">
        <v>31</v>
      </c>
      <c r="G502" t="s">
        <v>137</v>
      </c>
      <c r="H502" t="s">
        <v>11</v>
      </c>
      <c r="I502" t="s">
        <v>61</v>
      </c>
      <c r="J502" t="s">
        <v>45</v>
      </c>
      <c r="K502">
        <v>4.8</v>
      </c>
      <c r="L502" t="s">
        <v>14</v>
      </c>
      <c r="M502" t="s">
        <v>33</v>
      </c>
      <c r="N502" t="s">
        <v>14</v>
      </c>
      <c r="O502">
        <v>35</v>
      </c>
      <c r="P502" t="s">
        <v>16</v>
      </c>
      <c r="Q502" t="s">
        <v>85</v>
      </c>
      <c r="R502" t="str" cm="1">
        <f t="array" ref="R502">_xlfn.IFS(B502&lt;31,"Young-Adult",B502&lt;41,"Adult",B502&lt;61,"Middle-aged",B502&gt;=61,"Senior")</f>
        <v>Adult</v>
      </c>
      <c r="S502" cm="1">
        <f t="array" ref="S502">_xlfn.IFS(Q502 ="Fortnightly",14,Q502="Weekly",7,Q502="Monthly",30,Q502="Quarterly",90,Q502="Bi-Weekly",14,Q502="Annually",365,Q502="Every 3 Months",90,TRUE,"NOT FOUND")</f>
        <v>90</v>
      </c>
    </row>
    <row r="503" spans="1:19" x14ac:dyDescent="0.35">
      <c r="A503">
        <v>502</v>
      </c>
      <c r="B503">
        <v>64</v>
      </c>
      <c r="C503" t="s">
        <v>7</v>
      </c>
      <c r="D503" t="s">
        <v>125</v>
      </c>
      <c r="E503" t="s">
        <v>30</v>
      </c>
      <c r="F503">
        <v>45</v>
      </c>
      <c r="G503" t="s">
        <v>91</v>
      </c>
      <c r="H503" t="s">
        <v>32</v>
      </c>
      <c r="I503" t="s">
        <v>97</v>
      </c>
      <c r="J503" t="s">
        <v>25</v>
      </c>
      <c r="K503">
        <v>2.9</v>
      </c>
      <c r="L503" t="s">
        <v>14</v>
      </c>
      <c r="M503" t="s">
        <v>33</v>
      </c>
      <c r="N503" t="s">
        <v>14</v>
      </c>
      <c r="O503">
        <v>21</v>
      </c>
      <c r="P503" t="s">
        <v>16</v>
      </c>
      <c r="Q503" t="s">
        <v>37</v>
      </c>
      <c r="R503" t="str" cm="1">
        <f t="array" ref="R503">_xlfn.IFS(B503&lt;31,"Young-Adult",B503&lt;41,"Adult",B503&lt;61,"Middle-aged",B503&gt;=61,"Senior")</f>
        <v>Senior</v>
      </c>
      <c r="S503" cm="1">
        <f t="array" ref="S503">_xlfn.IFS(Q503 ="Fortnightly",14,Q503="Weekly",7,Q503="Monthly",30,Q503="Quarterly",90,Q503="Bi-Weekly",14,Q503="Annually",365,Q503="Every 3 Months",90,TRUE,"NOT FOUND")</f>
        <v>365</v>
      </c>
    </row>
    <row r="504" spans="1:19" x14ac:dyDescent="0.35">
      <c r="A504">
        <v>503</v>
      </c>
      <c r="B504">
        <v>59</v>
      </c>
      <c r="C504" t="s">
        <v>7</v>
      </c>
      <c r="D504" t="s">
        <v>83</v>
      </c>
      <c r="E504" t="s">
        <v>9</v>
      </c>
      <c r="F504">
        <v>30</v>
      </c>
      <c r="G504" t="s">
        <v>119</v>
      </c>
      <c r="H504" t="s">
        <v>24</v>
      </c>
      <c r="I504" t="s">
        <v>97</v>
      </c>
      <c r="J504" t="s">
        <v>45</v>
      </c>
      <c r="K504">
        <v>2.8</v>
      </c>
      <c r="L504" t="s">
        <v>14</v>
      </c>
      <c r="M504" t="s">
        <v>15</v>
      </c>
      <c r="N504" t="s">
        <v>14</v>
      </c>
      <c r="O504">
        <v>8</v>
      </c>
      <c r="P504" t="s">
        <v>34</v>
      </c>
      <c r="Q504" t="s">
        <v>17</v>
      </c>
      <c r="R504" t="str" cm="1">
        <f t="array" ref="R504">_xlfn.IFS(B504&lt;31,"Young-Adult",B504&lt;41,"Adult",B504&lt;61,"Middle-aged",B504&gt;=61,"Senior")</f>
        <v>Middle-aged</v>
      </c>
      <c r="S504" cm="1">
        <f t="array" ref="S504">_xlfn.IFS(Q504 ="Fortnightly",14,Q504="Weekly",7,Q504="Monthly",30,Q504="Quarterly",90,Q504="Bi-Weekly",14,Q504="Annually",365,Q504="Every 3 Months",90,TRUE,"NOT FOUND")</f>
        <v>14</v>
      </c>
    </row>
    <row r="505" spans="1:19" x14ac:dyDescent="0.35">
      <c r="A505">
        <v>504</v>
      </c>
      <c r="B505">
        <v>55</v>
      </c>
      <c r="C505" t="s">
        <v>7</v>
      </c>
      <c r="D505" t="s">
        <v>59</v>
      </c>
      <c r="E505" t="s">
        <v>30</v>
      </c>
      <c r="F505">
        <v>24</v>
      </c>
      <c r="G505" t="s">
        <v>52</v>
      </c>
      <c r="H505" t="s">
        <v>32</v>
      </c>
      <c r="I505" t="s">
        <v>81</v>
      </c>
      <c r="J505" t="s">
        <v>41</v>
      </c>
      <c r="K505">
        <v>3.2</v>
      </c>
      <c r="L505" t="s">
        <v>14</v>
      </c>
      <c r="M505" t="s">
        <v>33</v>
      </c>
      <c r="N505" t="s">
        <v>14</v>
      </c>
      <c r="O505">
        <v>26</v>
      </c>
      <c r="P505" t="s">
        <v>63</v>
      </c>
      <c r="Q505" t="s">
        <v>46</v>
      </c>
      <c r="R505" t="str" cm="1">
        <f t="array" ref="R505">_xlfn.IFS(B505&lt;31,"Young-Adult",B505&lt;41,"Adult",B505&lt;61,"Middle-aged",B505&gt;=61,"Senior")</f>
        <v>Middle-aged</v>
      </c>
      <c r="S505" cm="1">
        <f t="array" ref="S505">_xlfn.IFS(Q505 ="Fortnightly",14,Q505="Weekly",7,Q505="Monthly",30,Q505="Quarterly",90,Q505="Bi-Weekly",14,Q505="Annually",365,Q505="Every 3 Months",90,TRUE,"NOT FOUND")</f>
        <v>90</v>
      </c>
    </row>
    <row r="506" spans="1:19" x14ac:dyDescent="0.35">
      <c r="A506">
        <v>505</v>
      </c>
      <c r="B506">
        <v>42</v>
      </c>
      <c r="C506" t="s">
        <v>7</v>
      </c>
      <c r="D506" t="s">
        <v>59</v>
      </c>
      <c r="E506" t="s">
        <v>30</v>
      </c>
      <c r="F506">
        <v>22</v>
      </c>
      <c r="G506" t="s">
        <v>56</v>
      </c>
      <c r="H506" t="s">
        <v>32</v>
      </c>
      <c r="I506" t="s">
        <v>20</v>
      </c>
      <c r="J506" t="s">
        <v>13</v>
      </c>
      <c r="K506">
        <v>3.9</v>
      </c>
      <c r="L506" t="s">
        <v>14</v>
      </c>
      <c r="M506" t="s">
        <v>26</v>
      </c>
      <c r="N506" t="s">
        <v>14</v>
      </c>
      <c r="O506">
        <v>26</v>
      </c>
      <c r="P506" t="s">
        <v>34</v>
      </c>
      <c r="Q506" t="s">
        <v>37</v>
      </c>
      <c r="R506" t="str" cm="1">
        <f t="array" ref="R506">_xlfn.IFS(B506&lt;31,"Young-Adult",B506&lt;41,"Adult",B506&lt;61,"Middle-aged",B506&gt;=61,"Senior")</f>
        <v>Middle-aged</v>
      </c>
      <c r="S506" cm="1">
        <f t="array" ref="S506">_xlfn.IFS(Q506 ="Fortnightly",14,Q506="Weekly",7,Q506="Monthly",30,Q506="Quarterly",90,Q506="Bi-Weekly",14,Q506="Annually",365,Q506="Every 3 Months",90,TRUE,"NOT FOUND")</f>
        <v>365</v>
      </c>
    </row>
    <row r="507" spans="1:19" x14ac:dyDescent="0.35">
      <c r="A507">
        <v>506</v>
      </c>
      <c r="B507">
        <v>61</v>
      </c>
      <c r="C507" t="s">
        <v>7</v>
      </c>
      <c r="D507" t="s">
        <v>101</v>
      </c>
      <c r="E507" t="s">
        <v>9</v>
      </c>
      <c r="F507">
        <v>63</v>
      </c>
      <c r="G507" t="s">
        <v>19</v>
      </c>
      <c r="H507" t="s">
        <v>11</v>
      </c>
      <c r="I507" t="s">
        <v>12</v>
      </c>
      <c r="J507" t="s">
        <v>25</v>
      </c>
      <c r="K507">
        <v>4.3</v>
      </c>
      <c r="L507" t="s">
        <v>14</v>
      </c>
      <c r="M507" t="s">
        <v>15</v>
      </c>
      <c r="N507" t="s">
        <v>14</v>
      </c>
      <c r="O507">
        <v>9</v>
      </c>
      <c r="P507" t="s">
        <v>21</v>
      </c>
      <c r="Q507" t="s">
        <v>64</v>
      </c>
      <c r="R507" t="str" cm="1">
        <f t="array" ref="R507">_xlfn.IFS(B507&lt;31,"Young-Adult",B507&lt;41,"Adult",B507&lt;61,"Middle-aged",B507&gt;=61,"Senior")</f>
        <v>Senior</v>
      </c>
      <c r="S507" cm="1">
        <f t="array" ref="S507">_xlfn.IFS(Q507 ="Fortnightly",14,Q507="Weekly",7,Q507="Monthly",30,Q507="Quarterly",90,Q507="Bi-Weekly",14,Q507="Annually",365,Q507="Every 3 Months",90,TRUE,"NOT FOUND")</f>
        <v>14</v>
      </c>
    </row>
    <row r="508" spans="1:19" x14ac:dyDescent="0.35">
      <c r="A508">
        <v>507</v>
      </c>
      <c r="B508">
        <v>28</v>
      </c>
      <c r="C508" t="s">
        <v>7</v>
      </c>
      <c r="D508" t="s">
        <v>107</v>
      </c>
      <c r="E508" t="s">
        <v>55</v>
      </c>
      <c r="F508">
        <v>40</v>
      </c>
      <c r="G508" t="s">
        <v>130</v>
      </c>
      <c r="H508" t="s">
        <v>32</v>
      </c>
      <c r="I508" t="s">
        <v>66</v>
      </c>
      <c r="J508" t="s">
        <v>45</v>
      </c>
      <c r="K508">
        <v>2.7</v>
      </c>
      <c r="L508" t="s">
        <v>14</v>
      </c>
      <c r="M508" t="s">
        <v>58</v>
      </c>
      <c r="N508" t="s">
        <v>14</v>
      </c>
      <c r="O508">
        <v>48</v>
      </c>
      <c r="P508" t="s">
        <v>74</v>
      </c>
      <c r="Q508" t="s">
        <v>37</v>
      </c>
      <c r="R508" t="str" cm="1">
        <f t="array" ref="R508">_xlfn.IFS(B508&lt;31,"Young-Adult",B508&lt;41,"Adult",B508&lt;61,"Middle-aged",B508&gt;=61,"Senior")</f>
        <v>Young-Adult</v>
      </c>
      <c r="S508" cm="1">
        <f t="array" ref="S508">_xlfn.IFS(Q508 ="Fortnightly",14,Q508="Weekly",7,Q508="Monthly",30,Q508="Quarterly",90,Q508="Bi-Weekly",14,Q508="Annually",365,Q508="Every 3 Months",90,TRUE,"NOT FOUND")</f>
        <v>365</v>
      </c>
    </row>
    <row r="509" spans="1:19" x14ac:dyDescent="0.35">
      <c r="A509">
        <v>508</v>
      </c>
      <c r="B509">
        <v>65</v>
      </c>
      <c r="C509" t="s">
        <v>7</v>
      </c>
      <c r="D509" t="s">
        <v>47</v>
      </c>
      <c r="E509" t="s">
        <v>9</v>
      </c>
      <c r="F509">
        <v>20</v>
      </c>
      <c r="G509" t="s">
        <v>19</v>
      </c>
      <c r="H509" t="s">
        <v>32</v>
      </c>
      <c r="I509" t="s">
        <v>124</v>
      </c>
      <c r="J509" t="s">
        <v>25</v>
      </c>
      <c r="K509">
        <v>5</v>
      </c>
      <c r="L509" t="s">
        <v>14</v>
      </c>
      <c r="M509" t="s">
        <v>62</v>
      </c>
      <c r="N509" t="s">
        <v>14</v>
      </c>
      <c r="O509">
        <v>33</v>
      </c>
      <c r="P509" t="s">
        <v>74</v>
      </c>
      <c r="Q509" t="s">
        <v>17</v>
      </c>
      <c r="R509" t="str" cm="1">
        <f t="array" ref="R509">_xlfn.IFS(B509&lt;31,"Young-Adult",B509&lt;41,"Adult",B509&lt;61,"Middle-aged",B509&gt;=61,"Senior")</f>
        <v>Senior</v>
      </c>
      <c r="S509" cm="1">
        <f t="array" ref="S509">_xlfn.IFS(Q509 ="Fortnightly",14,Q509="Weekly",7,Q509="Monthly",30,Q509="Quarterly",90,Q509="Bi-Weekly",14,Q509="Annually",365,Q509="Every 3 Months",90,TRUE,"NOT FOUND")</f>
        <v>14</v>
      </c>
    </row>
    <row r="510" spans="1:19" x14ac:dyDescent="0.35">
      <c r="A510">
        <v>509</v>
      </c>
      <c r="B510">
        <v>27</v>
      </c>
      <c r="C510" t="s">
        <v>7</v>
      </c>
      <c r="D510" t="s">
        <v>94</v>
      </c>
      <c r="E510" t="s">
        <v>55</v>
      </c>
      <c r="F510">
        <v>20</v>
      </c>
      <c r="G510" t="s">
        <v>103</v>
      </c>
      <c r="H510" t="s">
        <v>24</v>
      </c>
      <c r="I510" t="s">
        <v>122</v>
      </c>
      <c r="J510" t="s">
        <v>13</v>
      </c>
      <c r="K510">
        <v>3.7</v>
      </c>
      <c r="L510" t="s">
        <v>14</v>
      </c>
      <c r="M510" t="s">
        <v>62</v>
      </c>
      <c r="N510" t="s">
        <v>14</v>
      </c>
      <c r="O510">
        <v>31</v>
      </c>
      <c r="P510" t="s">
        <v>34</v>
      </c>
      <c r="Q510" t="s">
        <v>46</v>
      </c>
      <c r="R510" t="str" cm="1">
        <f t="array" ref="R510">_xlfn.IFS(B510&lt;31,"Young-Adult",B510&lt;41,"Adult",B510&lt;61,"Middle-aged",B510&gt;=61,"Senior")</f>
        <v>Young-Adult</v>
      </c>
      <c r="S510" cm="1">
        <f t="array" ref="S510">_xlfn.IFS(Q510 ="Fortnightly",14,Q510="Weekly",7,Q510="Monthly",30,Q510="Quarterly",90,Q510="Bi-Weekly",14,Q510="Annually",365,Q510="Every 3 Months",90,TRUE,"NOT FOUND")</f>
        <v>90</v>
      </c>
    </row>
    <row r="511" spans="1:19" x14ac:dyDescent="0.35">
      <c r="A511">
        <v>510</v>
      </c>
      <c r="B511">
        <v>41</v>
      </c>
      <c r="C511" t="s">
        <v>7</v>
      </c>
      <c r="D511" t="s">
        <v>101</v>
      </c>
      <c r="E511" t="s">
        <v>9</v>
      </c>
      <c r="F511">
        <v>80</v>
      </c>
      <c r="G511" t="s">
        <v>67</v>
      </c>
      <c r="H511" t="s">
        <v>11</v>
      </c>
      <c r="I511" t="s">
        <v>97</v>
      </c>
      <c r="J511" t="s">
        <v>41</v>
      </c>
      <c r="K511">
        <v>3.9</v>
      </c>
      <c r="L511" t="s">
        <v>14</v>
      </c>
      <c r="M511" t="s">
        <v>26</v>
      </c>
      <c r="N511" t="s">
        <v>14</v>
      </c>
      <c r="O511">
        <v>17</v>
      </c>
      <c r="P511" t="s">
        <v>74</v>
      </c>
      <c r="Q511" t="s">
        <v>28</v>
      </c>
      <c r="R511" t="str" cm="1">
        <f t="array" ref="R511">_xlfn.IFS(B511&lt;31,"Young-Adult",B511&lt;41,"Adult",B511&lt;61,"Middle-aged",B511&gt;=61,"Senior")</f>
        <v>Middle-aged</v>
      </c>
      <c r="S511" cm="1">
        <f t="array" ref="S511">_xlfn.IFS(Q511 ="Fortnightly",14,Q511="Weekly",7,Q511="Monthly",30,Q511="Quarterly",90,Q511="Bi-Weekly",14,Q511="Annually",365,Q511="Every 3 Months",90,TRUE,"NOT FOUND")</f>
        <v>7</v>
      </c>
    </row>
    <row r="512" spans="1:19" x14ac:dyDescent="0.35">
      <c r="A512">
        <v>511</v>
      </c>
      <c r="B512">
        <v>21</v>
      </c>
      <c r="C512" t="s">
        <v>7</v>
      </c>
      <c r="D512" t="s">
        <v>43</v>
      </c>
      <c r="E512" t="s">
        <v>9</v>
      </c>
      <c r="F512">
        <v>87</v>
      </c>
      <c r="G512" t="s">
        <v>52</v>
      </c>
      <c r="H512" t="s">
        <v>32</v>
      </c>
      <c r="I512" t="s">
        <v>73</v>
      </c>
      <c r="J512" t="s">
        <v>45</v>
      </c>
      <c r="K512">
        <v>3.9</v>
      </c>
      <c r="L512" t="s">
        <v>14</v>
      </c>
      <c r="M512" t="s">
        <v>58</v>
      </c>
      <c r="N512" t="s">
        <v>14</v>
      </c>
      <c r="O512">
        <v>22</v>
      </c>
      <c r="P512" t="s">
        <v>16</v>
      </c>
      <c r="Q512" t="s">
        <v>37</v>
      </c>
      <c r="R512" t="str" cm="1">
        <f t="array" ref="R512">_xlfn.IFS(B512&lt;31,"Young-Adult",B512&lt;41,"Adult",B512&lt;61,"Middle-aged",B512&gt;=61,"Senior")</f>
        <v>Young-Adult</v>
      </c>
      <c r="S512" cm="1">
        <f t="array" ref="S512">_xlfn.IFS(Q512 ="Fortnightly",14,Q512="Weekly",7,Q512="Monthly",30,Q512="Quarterly",90,Q512="Bi-Weekly",14,Q512="Annually",365,Q512="Every 3 Months",90,TRUE,"NOT FOUND")</f>
        <v>365</v>
      </c>
    </row>
    <row r="513" spans="1:19" x14ac:dyDescent="0.35">
      <c r="A513">
        <v>512</v>
      </c>
      <c r="B513">
        <v>61</v>
      </c>
      <c r="C513" t="s">
        <v>7</v>
      </c>
      <c r="D513" t="s">
        <v>43</v>
      </c>
      <c r="E513" t="s">
        <v>9</v>
      </c>
      <c r="F513">
        <v>46</v>
      </c>
      <c r="G513" t="s">
        <v>65</v>
      </c>
      <c r="H513" t="s">
        <v>11</v>
      </c>
      <c r="I513" t="s">
        <v>122</v>
      </c>
      <c r="J513" t="s">
        <v>45</v>
      </c>
      <c r="K513">
        <v>3.1</v>
      </c>
      <c r="L513" t="s">
        <v>14</v>
      </c>
      <c r="M513" t="s">
        <v>26</v>
      </c>
      <c r="N513" t="s">
        <v>14</v>
      </c>
      <c r="O513">
        <v>8</v>
      </c>
      <c r="P513" t="s">
        <v>34</v>
      </c>
      <c r="Q513" t="s">
        <v>37</v>
      </c>
      <c r="R513" t="str" cm="1">
        <f t="array" ref="R513">_xlfn.IFS(B513&lt;31,"Young-Adult",B513&lt;41,"Adult",B513&lt;61,"Middle-aged",B513&gt;=61,"Senior")</f>
        <v>Senior</v>
      </c>
      <c r="S513" cm="1">
        <f t="array" ref="S513">_xlfn.IFS(Q513 ="Fortnightly",14,Q513="Weekly",7,Q513="Monthly",30,Q513="Quarterly",90,Q513="Bi-Weekly",14,Q513="Annually",365,Q513="Every 3 Months",90,TRUE,"NOT FOUND")</f>
        <v>365</v>
      </c>
    </row>
    <row r="514" spans="1:19" x14ac:dyDescent="0.35">
      <c r="A514">
        <v>513</v>
      </c>
      <c r="B514">
        <v>19</v>
      </c>
      <c r="C514" t="s">
        <v>7</v>
      </c>
      <c r="D514" t="s">
        <v>131</v>
      </c>
      <c r="E514" t="s">
        <v>55</v>
      </c>
      <c r="F514">
        <v>49</v>
      </c>
      <c r="G514" t="s">
        <v>72</v>
      </c>
      <c r="H514" t="s">
        <v>11</v>
      </c>
      <c r="I514" t="s">
        <v>88</v>
      </c>
      <c r="J514" t="s">
        <v>13</v>
      </c>
      <c r="K514">
        <v>3.8</v>
      </c>
      <c r="L514" t="s">
        <v>14</v>
      </c>
      <c r="M514" t="s">
        <v>33</v>
      </c>
      <c r="N514" t="s">
        <v>14</v>
      </c>
      <c r="O514">
        <v>2</v>
      </c>
      <c r="P514" t="s">
        <v>63</v>
      </c>
      <c r="Q514" t="s">
        <v>76</v>
      </c>
      <c r="R514" t="str" cm="1">
        <f t="array" ref="R514">_xlfn.IFS(B514&lt;31,"Young-Adult",B514&lt;41,"Adult",B514&lt;61,"Middle-aged",B514&gt;=61,"Senior")</f>
        <v>Young-Adult</v>
      </c>
      <c r="S514" cm="1">
        <f t="array" ref="S514">_xlfn.IFS(Q514 ="Fortnightly",14,Q514="Weekly",7,Q514="Monthly",30,Q514="Quarterly",90,Q514="Bi-Weekly",14,Q514="Annually",365,Q514="Every 3 Months",90,TRUE,"NOT FOUND")</f>
        <v>30</v>
      </c>
    </row>
    <row r="515" spans="1:19" x14ac:dyDescent="0.35">
      <c r="A515">
        <v>514</v>
      </c>
      <c r="B515">
        <v>22</v>
      </c>
      <c r="C515" t="s">
        <v>7</v>
      </c>
      <c r="D515" t="s">
        <v>107</v>
      </c>
      <c r="E515" t="s">
        <v>55</v>
      </c>
      <c r="F515">
        <v>65</v>
      </c>
      <c r="G515" t="s">
        <v>118</v>
      </c>
      <c r="H515" t="s">
        <v>32</v>
      </c>
      <c r="I515" t="s">
        <v>88</v>
      </c>
      <c r="J515" t="s">
        <v>45</v>
      </c>
      <c r="K515">
        <v>3.6</v>
      </c>
      <c r="L515" t="s">
        <v>14</v>
      </c>
      <c r="M515" t="s">
        <v>62</v>
      </c>
      <c r="N515" t="s">
        <v>14</v>
      </c>
      <c r="O515">
        <v>45</v>
      </c>
      <c r="P515" t="s">
        <v>16</v>
      </c>
      <c r="Q515" t="s">
        <v>37</v>
      </c>
      <c r="R515" t="str" cm="1">
        <f t="array" ref="R515">_xlfn.IFS(B515&lt;31,"Young-Adult",B515&lt;41,"Adult",B515&lt;61,"Middle-aged",B515&gt;=61,"Senior")</f>
        <v>Young-Adult</v>
      </c>
      <c r="S515" cm="1">
        <f t="array" ref="S515">_xlfn.IFS(Q515 ="Fortnightly",14,Q515="Weekly",7,Q515="Monthly",30,Q515="Quarterly",90,Q515="Bi-Weekly",14,Q515="Annually",365,Q515="Every 3 Months",90,TRUE,"NOT FOUND")</f>
        <v>365</v>
      </c>
    </row>
    <row r="516" spans="1:19" x14ac:dyDescent="0.35">
      <c r="A516">
        <v>515</v>
      </c>
      <c r="B516">
        <v>64</v>
      </c>
      <c r="C516" t="s">
        <v>7</v>
      </c>
      <c r="D516" t="s">
        <v>75</v>
      </c>
      <c r="E516" t="s">
        <v>9</v>
      </c>
      <c r="F516">
        <v>62</v>
      </c>
      <c r="G516" t="s">
        <v>104</v>
      </c>
      <c r="H516" t="s">
        <v>24</v>
      </c>
      <c r="I516" t="s">
        <v>66</v>
      </c>
      <c r="J516" t="s">
        <v>13</v>
      </c>
      <c r="K516">
        <v>4.3</v>
      </c>
      <c r="L516" t="s">
        <v>14</v>
      </c>
      <c r="M516" t="s">
        <v>42</v>
      </c>
      <c r="N516" t="s">
        <v>14</v>
      </c>
      <c r="O516">
        <v>47</v>
      </c>
      <c r="P516" t="s">
        <v>34</v>
      </c>
      <c r="Q516" t="s">
        <v>46</v>
      </c>
      <c r="R516" t="str" cm="1">
        <f t="array" ref="R516">_xlfn.IFS(B516&lt;31,"Young-Adult",B516&lt;41,"Adult",B516&lt;61,"Middle-aged",B516&gt;=61,"Senior")</f>
        <v>Senior</v>
      </c>
      <c r="S516" cm="1">
        <f t="array" ref="S516">_xlfn.IFS(Q516 ="Fortnightly",14,Q516="Weekly",7,Q516="Monthly",30,Q516="Quarterly",90,Q516="Bi-Weekly",14,Q516="Annually",365,Q516="Every 3 Months",90,TRUE,"NOT FOUND")</f>
        <v>90</v>
      </c>
    </row>
    <row r="517" spans="1:19" x14ac:dyDescent="0.35">
      <c r="A517">
        <v>516</v>
      </c>
      <c r="B517">
        <v>28</v>
      </c>
      <c r="C517" t="s">
        <v>7</v>
      </c>
      <c r="D517" t="s">
        <v>112</v>
      </c>
      <c r="E517" t="s">
        <v>55</v>
      </c>
      <c r="F517">
        <v>67</v>
      </c>
      <c r="G517" t="s">
        <v>10</v>
      </c>
      <c r="H517" t="s">
        <v>11</v>
      </c>
      <c r="I517" t="s">
        <v>49</v>
      </c>
      <c r="J517" t="s">
        <v>25</v>
      </c>
      <c r="K517">
        <v>4.5</v>
      </c>
      <c r="L517" t="s">
        <v>14</v>
      </c>
      <c r="M517" t="s">
        <v>33</v>
      </c>
      <c r="N517" t="s">
        <v>14</v>
      </c>
      <c r="O517">
        <v>7</v>
      </c>
      <c r="P517" t="s">
        <v>21</v>
      </c>
      <c r="Q517" t="s">
        <v>76</v>
      </c>
      <c r="R517" t="str" cm="1">
        <f t="array" ref="R517">_xlfn.IFS(B517&lt;31,"Young-Adult",B517&lt;41,"Adult",B517&lt;61,"Middle-aged",B517&gt;=61,"Senior")</f>
        <v>Young-Adult</v>
      </c>
      <c r="S517" cm="1">
        <f t="array" ref="S517">_xlfn.IFS(Q517 ="Fortnightly",14,Q517="Weekly",7,Q517="Monthly",30,Q517="Quarterly",90,Q517="Bi-Weekly",14,Q517="Annually",365,Q517="Every 3 Months",90,TRUE,"NOT FOUND")</f>
        <v>30</v>
      </c>
    </row>
    <row r="518" spans="1:19" x14ac:dyDescent="0.35">
      <c r="A518">
        <v>517</v>
      </c>
      <c r="B518">
        <v>34</v>
      </c>
      <c r="C518" t="s">
        <v>7</v>
      </c>
      <c r="D518" t="s">
        <v>92</v>
      </c>
      <c r="E518" t="s">
        <v>9</v>
      </c>
      <c r="F518">
        <v>41</v>
      </c>
      <c r="G518" t="s">
        <v>52</v>
      </c>
      <c r="H518" t="s">
        <v>11</v>
      </c>
      <c r="I518" t="s">
        <v>114</v>
      </c>
      <c r="J518" t="s">
        <v>45</v>
      </c>
      <c r="K518">
        <v>2.8</v>
      </c>
      <c r="L518" t="s">
        <v>14</v>
      </c>
      <c r="M518" t="s">
        <v>58</v>
      </c>
      <c r="N518" t="s">
        <v>14</v>
      </c>
      <c r="O518">
        <v>19</v>
      </c>
      <c r="P518" t="s">
        <v>74</v>
      </c>
      <c r="Q518" t="s">
        <v>64</v>
      </c>
      <c r="R518" t="str" cm="1">
        <f t="array" ref="R518">_xlfn.IFS(B518&lt;31,"Young-Adult",B518&lt;41,"Adult",B518&lt;61,"Middle-aged",B518&gt;=61,"Senior")</f>
        <v>Adult</v>
      </c>
      <c r="S518" cm="1">
        <f t="array" ref="S518">_xlfn.IFS(Q518 ="Fortnightly",14,Q518="Weekly",7,Q518="Monthly",30,Q518="Quarterly",90,Q518="Bi-Weekly",14,Q518="Annually",365,Q518="Every 3 Months",90,TRUE,"NOT FOUND")</f>
        <v>14</v>
      </c>
    </row>
    <row r="519" spans="1:19" x14ac:dyDescent="0.35">
      <c r="A519">
        <v>518</v>
      </c>
      <c r="B519">
        <v>61</v>
      </c>
      <c r="C519" t="s">
        <v>7</v>
      </c>
      <c r="D519" t="s">
        <v>125</v>
      </c>
      <c r="E519" t="s">
        <v>30</v>
      </c>
      <c r="F519">
        <v>49</v>
      </c>
      <c r="G519" t="s">
        <v>102</v>
      </c>
      <c r="H519" t="s">
        <v>11</v>
      </c>
      <c r="I519" t="s">
        <v>53</v>
      </c>
      <c r="J519" t="s">
        <v>45</v>
      </c>
      <c r="K519">
        <v>2.7</v>
      </c>
      <c r="L519" t="s">
        <v>14</v>
      </c>
      <c r="M519" t="s">
        <v>26</v>
      </c>
      <c r="N519" t="s">
        <v>14</v>
      </c>
      <c r="O519">
        <v>44</v>
      </c>
      <c r="P519" t="s">
        <v>21</v>
      </c>
      <c r="Q519" t="s">
        <v>85</v>
      </c>
      <c r="R519" t="str" cm="1">
        <f t="array" ref="R519">_xlfn.IFS(B519&lt;31,"Young-Adult",B519&lt;41,"Adult",B519&lt;61,"Middle-aged",B519&gt;=61,"Senior")</f>
        <v>Senior</v>
      </c>
      <c r="S519" cm="1">
        <f t="array" ref="S519">_xlfn.IFS(Q519 ="Fortnightly",14,Q519="Weekly",7,Q519="Monthly",30,Q519="Quarterly",90,Q519="Bi-Weekly",14,Q519="Annually",365,Q519="Every 3 Months",90,TRUE,"NOT FOUND")</f>
        <v>90</v>
      </c>
    </row>
    <row r="520" spans="1:19" x14ac:dyDescent="0.35">
      <c r="A520">
        <v>519</v>
      </c>
      <c r="B520">
        <v>24</v>
      </c>
      <c r="C520" t="s">
        <v>7</v>
      </c>
      <c r="D520" t="s">
        <v>8</v>
      </c>
      <c r="E520" t="s">
        <v>9</v>
      </c>
      <c r="F520">
        <v>100</v>
      </c>
      <c r="G520" t="s">
        <v>35</v>
      </c>
      <c r="H520" t="s">
        <v>32</v>
      </c>
      <c r="I520" t="s">
        <v>106</v>
      </c>
      <c r="J520" t="s">
        <v>45</v>
      </c>
      <c r="K520">
        <v>2.9</v>
      </c>
      <c r="L520" t="s">
        <v>14</v>
      </c>
      <c r="M520" t="s">
        <v>33</v>
      </c>
      <c r="N520" t="s">
        <v>14</v>
      </c>
      <c r="O520">
        <v>16</v>
      </c>
      <c r="P520" t="s">
        <v>16</v>
      </c>
      <c r="Q520" t="s">
        <v>85</v>
      </c>
      <c r="R520" t="str" cm="1">
        <f t="array" ref="R520">_xlfn.IFS(B520&lt;31,"Young-Adult",B520&lt;41,"Adult",B520&lt;61,"Middle-aged",B520&gt;=61,"Senior")</f>
        <v>Young-Adult</v>
      </c>
      <c r="S520" cm="1">
        <f t="array" ref="S520">_xlfn.IFS(Q520 ="Fortnightly",14,Q520="Weekly",7,Q520="Monthly",30,Q520="Quarterly",90,Q520="Bi-Weekly",14,Q520="Annually",365,Q520="Every 3 Months",90,TRUE,"NOT FOUND")</f>
        <v>90</v>
      </c>
    </row>
    <row r="521" spans="1:19" x14ac:dyDescent="0.35">
      <c r="A521">
        <v>520</v>
      </c>
      <c r="B521">
        <v>19</v>
      </c>
      <c r="C521" t="s">
        <v>7</v>
      </c>
      <c r="D521" t="s">
        <v>121</v>
      </c>
      <c r="E521" t="s">
        <v>55</v>
      </c>
      <c r="F521">
        <v>54</v>
      </c>
      <c r="G521" t="s">
        <v>136</v>
      </c>
      <c r="H521" t="s">
        <v>11</v>
      </c>
      <c r="I521" t="s">
        <v>132</v>
      </c>
      <c r="J521" t="s">
        <v>41</v>
      </c>
      <c r="K521">
        <v>4.4000000000000004</v>
      </c>
      <c r="L521" t="s">
        <v>14</v>
      </c>
      <c r="M521" t="s">
        <v>58</v>
      </c>
      <c r="N521" t="s">
        <v>14</v>
      </c>
      <c r="O521">
        <v>17</v>
      </c>
      <c r="P521" t="s">
        <v>63</v>
      </c>
      <c r="Q521" t="s">
        <v>46</v>
      </c>
      <c r="R521" t="str" cm="1">
        <f t="array" ref="R521">_xlfn.IFS(B521&lt;31,"Young-Adult",B521&lt;41,"Adult",B521&lt;61,"Middle-aged",B521&gt;=61,"Senior")</f>
        <v>Young-Adult</v>
      </c>
      <c r="S521" cm="1">
        <f t="array" ref="S521">_xlfn.IFS(Q521 ="Fortnightly",14,Q521="Weekly",7,Q521="Monthly",30,Q521="Quarterly",90,Q521="Bi-Weekly",14,Q521="Annually",365,Q521="Every 3 Months",90,TRUE,"NOT FOUND")</f>
        <v>90</v>
      </c>
    </row>
    <row r="522" spans="1:19" x14ac:dyDescent="0.35">
      <c r="A522">
        <v>521</v>
      </c>
      <c r="B522">
        <v>51</v>
      </c>
      <c r="C522" t="s">
        <v>7</v>
      </c>
      <c r="D522" t="s">
        <v>77</v>
      </c>
      <c r="E522" t="s">
        <v>55</v>
      </c>
      <c r="F522">
        <v>84</v>
      </c>
      <c r="G522" t="s">
        <v>119</v>
      </c>
      <c r="H522" t="s">
        <v>32</v>
      </c>
      <c r="I522" t="s">
        <v>40</v>
      </c>
      <c r="J522" t="s">
        <v>25</v>
      </c>
      <c r="K522">
        <v>3.9</v>
      </c>
      <c r="L522" t="s">
        <v>14</v>
      </c>
      <c r="M522" t="s">
        <v>26</v>
      </c>
      <c r="N522" t="s">
        <v>14</v>
      </c>
      <c r="O522">
        <v>20</v>
      </c>
      <c r="P522" t="s">
        <v>74</v>
      </c>
      <c r="Q522" t="s">
        <v>46</v>
      </c>
      <c r="R522" t="str" cm="1">
        <f t="array" ref="R522">_xlfn.IFS(B522&lt;31,"Young-Adult",B522&lt;41,"Adult",B522&lt;61,"Middle-aged",B522&gt;=61,"Senior")</f>
        <v>Middle-aged</v>
      </c>
      <c r="S522" cm="1">
        <f t="array" ref="S522">_xlfn.IFS(Q522 ="Fortnightly",14,Q522="Weekly",7,Q522="Monthly",30,Q522="Quarterly",90,Q522="Bi-Weekly",14,Q522="Annually",365,Q522="Every 3 Months",90,TRUE,"NOT FOUND")</f>
        <v>90</v>
      </c>
    </row>
    <row r="523" spans="1:19" x14ac:dyDescent="0.35">
      <c r="A523">
        <v>522</v>
      </c>
      <c r="B523">
        <v>36</v>
      </c>
      <c r="C523" t="s">
        <v>7</v>
      </c>
      <c r="D523" t="s">
        <v>47</v>
      </c>
      <c r="E523" t="s">
        <v>9</v>
      </c>
      <c r="F523">
        <v>41</v>
      </c>
      <c r="G523" t="s">
        <v>117</v>
      </c>
      <c r="H523" t="s">
        <v>11</v>
      </c>
      <c r="I523" t="s">
        <v>68</v>
      </c>
      <c r="J523" t="s">
        <v>13</v>
      </c>
      <c r="K523">
        <v>3.5</v>
      </c>
      <c r="L523" t="s">
        <v>14</v>
      </c>
      <c r="M523" t="s">
        <v>42</v>
      </c>
      <c r="N523" t="s">
        <v>14</v>
      </c>
      <c r="O523">
        <v>50</v>
      </c>
      <c r="P523" t="s">
        <v>63</v>
      </c>
      <c r="Q523" t="s">
        <v>37</v>
      </c>
      <c r="R523" t="str" cm="1">
        <f t="array" ref="R523">_xlfn.IFS(B523&lt;31,"Young-Adult",B523&lt;41,"Adult",B523&lt;61,"Middle-aged",B523&gt;=61,"Senior")</f>
        <v>Adult</v>
      </c>
      <c r="S523" cm="1">
        <f t="array" ref="S523">_xlfn.IFS(Q523 ="Fortnightly",14,Q523="Weekly",7,Q523="Monthly",30,Q523="Quarterly",90,Q523="Bi-Weekly",14,Q523="Annually",365,Q523="Every 3 Months",90,TRUE,"NOT FOUND")</f>
        <v>365</v>
      </c>
    </row>
    <row r="524" spans="1:19" x14ac:dyDescent="0.35">
      <c r="A524">
        <v>523</v>
      </c>
      <c r="B524">
        <v>65</v>
      </c>
      <c r="C524" t="s">
        <v>7</v>
      </c>
      <c r="D524" t="s">
        <v>131</v>
      </c>
      <c r="E524" t="s">
        <v>55</v>
      </c>
      <c r="F524">
        <v>88</v>
      </c>
      <c r="G524" t="s">
        <v>136</v>
      </c>
      <c r="H524" t="s">
        <v>32</v>
      </c>
      <c r="I524" t="s">
        <v>132</v>
      </c>
      <c r="J524" t="s">
        <v>25</v>
      </c>
      <c r="K524">
        <v>2.5</v>
      </c>
      <c r="L524" t="s">
        <v>14</v>
      </c>
      <c r="M524" t="s">
        <v>62</v>
      </c>
      <c r="N524" t="s">
        <v>14</v>
      </c>
      <c r="O524">
        <v>37</v>
      </c>
      <c r="P524" t="s">
        <v>21</v>
      </c>
      <c r="Q524" t="s">
        <v>46</v>
      </c>
      <c r="R524" t="str" cm="1">
        <f t="array" ref="R524">_xlfn.IFS(B524&lt;31,"Young-Adult",B524&lt;41,"Adult",B524&lt;61,"Middle-aged",B524&gt;=61,"Senior")</f>
        <v>Senior</v>
      </c>
      <c r="S524" cm="1">
        <f t="array" ref="S524">_xlfn.IFS(Q524 ="Fortnightly",14,Q524="Weekly",7,Q524="Monthly",30,Q524="Quarterly",90,Q524="Bi-Weekly",14,Q524="Annually",365,Q524="Every 3 Months",90,TRUE,"NOT FOUND")</f>
        <v>90</v>
      </c>
    </row>
    <row r="525" spans="1:19" x14ac:dyDescent="0.35">
      <c r="A525">
        <v>524</v>
      </c>
      <c r="B525">
        <v>46</v>
      </c>
      <c r="C525" t="s">
        <v>7</v>
      </c>
      <c r="D525" t="s">
        <v>29</v>
      </c>
      <c r="E525" t="s">
        <v>30</v>
      </c>
      <c r="F525">
        <v>40</v>
      </c>
      <c r="G525" t="s">
        <v>67</v>
      </c>
      <c r="H525" t="s">
        <v>32</v>
      </c>
      <c r="I525" t="s">
        <v>109</v>
      </c>
      <c r="J525" t="s">
        <v>25</v>
      </c>
      <c r="K525">
        <v>4.9000000000000004</v>
      </c>
      <c r="L525" t="s">
        <v>14</v>
      </c>
      <c r="M525" t="s">
        <v>15</v>
      </c>
      <c r="N525" t="s">
        <v>14</v>
      </c>
      <c r="O525">
        <v>5</v>
      </c>
      <c r="P525" t="s">
        <v>34</v>
      </c>
      <c r="Q525" t="s">
        <v>46</v>
      </c>
      <c r="R525" t="str" cm="1">
        <f t="array" ref="R525">_xlfn.IFS(B525&lt;31,"Young-Adult",B525&lt;41,"Adult",B525&lt;61,"Middle-aged",B525&gt;=61,"Senior")</f>
        <v>Middle-aged</v>
      </c>
      <c r="S525" cm="1">
        <f t="array" ref="S525">_xlfn.IFS(Q525 ="Fortnightly",14,Q525="Weekly",7,Q525="Monthly",30,Q525="Quarterly",90,Q525="Bi-Weekly",14,Q525="Annually",365,Q525="Every 3 Months",90,TRUE,"NOT FOUND")</f>
        <v>90</v>
      </c>
    </row>
    <row r="526" spans="1:19" x14ac:dyDescent="0.35">
      <c r="A526">
        <v>525</v>
      </c>
      <c r="B526">
        <v>59</v>
      </c>
      <c r="C526" t="s">
        <v>7</v>
      </c>
      <c r="D526" t="s">
        <v>43</v>
      </c>
      <c r="E526" t="s">
        <v>9</v>
      </c>
      <c r="F526">
        <v>39</v>
      </c>
      <c r="G526" t="s">
        <v>126</v>
      </c>
      <c r="H526" t="s">
        <v>32</v>
      </c>
      <c r="I526" t="s">
        <v>68</v>
      </c>
      <c r="J526" t="s">
        <v>41</v>
      </c>
      <c r="K526">
        <v>4.8</v>
      </c>
      <c r="L526" t="s">
        <v>14</v>
      </c>
      <c r="M526" t="s">
        <v>26</v>
      </c>
      <c r="N526" t="s">
        <v>14</v>
      </c>
      <c r="O526">
        <v>44</v>
      </c>
      <c r="P526" t="s">
        <v>34</v>
      </c>
      <c r="Q526" t="s">
        <v>37</v>
      </c>
      <c r="R526" t="str" cm="1">
        <f t="array" ref="R526">_xlfn.IFS(B526&lt;31,"Young-Adult",B526&lt;41,"Adult",B526&lt;61,"Middle-aged",B526&gt;=61,"Senior")</f>
        <v>Middle-aged</v>
      </c>
      <c r="S526" cm="1">
        <f t="array" ref="S526">_xlfn.IFS(Q526 ="Fortnightly",14,Q526="Weekly",7,Q526="Monthly",30,Q526="Quarterly",90,Q526="Bi-Weekly",14,Q526="Annually",365,Q526="Every 3 Months",90,TRUE,"NOT FOUND")</f>
        <v>365</v>
      </c>
    </row>
    <row r="527" spans="1:19" x14ac:dyDescent="0.35">
      <c r="A527">
        <v>526</v>
      </c>
      <c r="B527">
        <v>51</v>
      </c>
      <c r="C527" t="s">
        <v>7</v>
      </c>
      <c r="D527" t="s">
        <v>50</v>
      </c>
      <c r="E527" t="s">
        <v>51</v>
      </c>
      <c r="F527">
        <v>37</v>
      </c>
      <c r="G527" t="s">
        <v>134</v>
      </c>
      <c r="H527" t="s">
        <v>32</v>
      </c>
      <c r="I527" t="s">
        <v>97</v>
      </c>
      <c r="J527" t="s">
        <v>25</v>
      </c>
      <c r="K527">
        <v>3.2</v>
      </c>
      <c r="L527" t="s">
        <v>14</v>
      </c>
      <c r="M527" t="s">
        <v>33</v>
      </c>
      <c r="N527" t="s">
        <v>14</v>
      </c>
      <c r="O527">
        <v>41</v>
      </c>
      <c r="P527" t="s">
        <v>74</v>
      </c>
      <c r="Q527" t="s">
        <v>76</v>
      </c>
      <c r="R527" t="str" cm="1">
        <f t="array" ref="R527">_xlfn.IFS(B527&lt;31,"Young-Adult",B527&lt;41,"Adult",B527&lt;61,"Middle-aged",B527&gt;=61,"Senior")</f>
        <v>Middle-aged</v>
      </c>
      <c r="S527" cm="1">
        <f t="array" ref="S527">_xlfn.IFS(Q527 ="Fortnightly",14,Q527="Weekly",7,Q527="Monthly",30,Q527="Quarterly",90,Q527="Bi-Weekly",14,Q527="Annually",365,Q527="Every 3 Months",90,TRUE,"NOT FOUND")</f>
        <v>30</v>
      </c>
    </row>
    <row r="528" spans="1:19" x14ac:dyDescent="0.35">
      <c r="A528">
        <v>527</v>
      </c>
      <c r="B528">
        <v>51</v>
      </c>
      <c r="C528" t="s">
        <v>7</v>
      </c>
      <c r="D528" t="s">
        <v>83</v>
      </c>
      <c r="E528" t="s">
        <v>9</v>
      </c>
      <c r="F528">
        <v>52</v>
      </c>
      <c r="G528" t="s">
        <v>115</v>
      </c>
      <c r="H528" t="s">
        <v>24</v>
      </c>
      <c r="I528" t="s">
        <v>96</v>
      </c>
      <c r="J528" t="s">
        <v>13</v>
      </c>
      <c r="K528">
        <v>4.9000000000000004</v>
      </c>
      <c r="L528" t="s">
        <v>14</v>
      </c>
      <c r="M528" t="s">
        <v>42</v>
      </c>
      <c r="N528" t="s">
        <v>14</v>
      </c>
      <c r="O528">
        <v>19</v>
      </c>
      <c r="P528" t="s">
        <v>21</v>
      </c>
      <c r="Q528" t="s">
        <v>76</v>
      </c>
      <c r="R528" t="str" cm="1">
        <f t="array" ref="R528">_xlfn.IFS(B528&lt;31,"Young-Adult",B528&lt;41,"Adult",B528&lt;61,"Middle-aged",B528&gt;=61,"Senior")</f>
        <v>Middle-aged</v>
      </c>
      <c r="S528" cm="1">
        <f t="array" ref="S528">_xlfn.IFS(Q528 ="Fortnightly",14,Q528="Weekly",7,Q528="Monthly",30,Q528="Quarterly",90,Q528="Bi-Weekly",14,Q528="Annually",365,Q528="Every 3 Months",90,TRUE,"NOT FOUND")</f>
        <v>30</v>
      </c>
    </row>
    <row r="529" spans="1:19" x14ac:dyDescent="0.35">
      <c r="A529">
        <v>528</v>
      </c>
      <c r="B529">
        <v>21</v>
      </c>
      <c r="C529" t="s">
        <v>7</v>
      </c>
      <c r="D529" t="s">
        <v>101</v>
      </c>
      <c r="E529" t="s">
        <v>9</v>
      </c>
      <c r="F529">
        <v>23</v>
      </c>
      <c r="G529" t="s">
        <v>119</v>
      </c>
      <c r="H529" t="s">
        <v>11</v>
      </c>
      <c r="I529" t="s">
        <v>122</v>
      </c>
      <c r="J529" t="s">
        <v>13</v>
      </c>
      <c r="K529">
        <v>4.3</v>
      </c>
      <c r="L529" t="s">
        <v>14</v>
      </c>
      <c r="M529" t="s">
        <v>33</v>
      </c>
      <c r="N529" t="s">
        <v>14</v>
      </c>
      <c r="O529">
        <v>47</v>
      </c>
      <c r="P529" t="s">
        <v>63</v>
      </c>
      <c r="Q529" t="s">
        <v>85</v>
      </c>
      <c r="R529" t="str" cm="1">
        <f t="array" ref="R529">_xlfn.IFS(B529&lt;31,"Young-Adult",B529&lt;41,"Adult",B529&lt;61,"Middle-aged",B529&gt;=61,"Senior")</f>
        <v>Young-Adult</v>
      </c>
      <c r="S529" cm="1">
        <f t="array" ref="S529">_xlfn.IFS(Q529 ="Fortnightly",14,Q529="Weekly",7,Q529="Monthly",30,Q529="Quarterly",90,Q529="Bi-Weekly",14,Q529="Annually",365,Q529="Every 3 Months",90,TRUE,"NOT FOUND")</f>
        <v>90</v>
      </c>
    </row>
    <row r="530" spans="1:19" x14ac:dyDescent="0.35">
      <c r="A530">
        <v>529</v>
      </c>
      <c r="B530">
        <v>34</v>
      </c>
      <c r="C530" t="s">
        <v>7</v>
      </c>
      <c r="D530" t="s">
        <v>38</v>
      </c>
      <c r="E530" t="s">
        <v>30</v>
      </c>
      <c r="F530">
        <v>88</v>
      </c>
      <c r="G530" t="s">
        <v>116</v>
      </c>
      <c r="H530" t="s">
        <v>24</v>
      </c>
      <c r="I530" t="s">
        <v>106</v>
      </c>
      <c r="J530" t="s">
        <v>13</v>
      </c>
      <c r="K530">
        <v>3.2</v>
      </c>
      <c r="L530" t="s">
        <v>14</v>
      </c>
      <c r="M530" t="s">
        <v>15</v>
      </c>
      <c r="N530" t="s">
        <v>14</v>
      </c>
      <c r="O530">
        <v>40</v>
      </c>
      <c r="P530" t="s">
        <v>21</v>
      </c>
      <c r="Q530" t="s">
        <v>37</v>
      </c>
      <c r="R530" t="str" cm="1">
        <f t="array" ref="R530">_xlfn.IFS(B530&lt;31,"Young-Adult",B530&lt;41,"Adult",B530&lt;61,"Middle-aged",B530&gt;=61,"Senior")</f>
        <v>Adult</v>
      </c>
      <c r="S530" cm="1">
        <f t="array" ref="S530">_xlfn.IFS(Q530 ="Fortnightly",14,Q530="Weekly",7,Q530="Monthly",30,Q530="Quarterly",90,Q530="Bi-Weekly",14,Q530="Annually",365,Q530="Every 3 Months",90,TRUE,"NOT FOUND")</f>
        <v>365</v>
      </c>
    </row>
    <row r="531" spans="1:19" x14ac:dyDescent="0.35">
      <c r="A531">
        <v>530</v>
      </c>
      <c r="B531">
        <v>32</v>
      </c>
      <c r="C531" t="s">
        <v>7</v>
      </c>
      <c r="D531" t="s">
        <v>47</v>
      </c>
      <c r="E531" t="s">
        <v>9</v>
      </c>
      <c r="F531">
        <v>84</v>
      </c>
      <c r="G531" t="s">
        <v>87</v>
      </c>
      <c r="H531" t="s">
        <v>32</v>
      </c>
      <c r="I531" t="s">
        <v>109</v>
      </c>
      <c r="J531" t="s">
        <v>45</v>
      </c>
      <c r="K531">
        <v>3.7</v>
      </c>
      <c r="L531" t="s">
        <v>14</v>
      </c>
      <c r="M531" t="s">
        <v>42</v>
      </c>
      <c r="N531" t="s">
        <v>14</v>
      </c>
      <c r="O531">
        <v>6</v>
      </c>
      <c r="P531" t="s">
        <v>27</v>
      </c>
      <c r="Q531" t="s">
        <v>76</v>
      </c>
      <c r="R531" t="str" cm="1">
        <f t="array" ref="R531">_xlfn.IFS(B531&lt;31,"Young-Adult",B531&lt;41,"Adult",B531&lt;61,"Middle-aged",B531&gt;=61,"Senior")</f>
        <v>Adult</v>
      </c>
      <c r="S531" cm="1">
        <f t="array" ref="S531">_xlfn.IFS(Q531 ="Fortnightly",14,Q531="Weekly",7,Q531="Monthly",30,Q531="Quarterly",90,Q531="Bi-Weekly",14,Q531="Annually",365,Q531="Every 3 Months",90,TRUE,"NOT FOUND")</f>
        <v>30</v>
      </c>
    </row>
    <row r="532" spans="1:19" x14ac:dyDescent="0.35">
      <c r="A532">
        <v>531</v>
      </c>
      <c r="B532">
        <v>48</v>
      </c>
      <c r="C532" t="s">
        <v>7</v>
      </c>
      <c r="D532" t="s">
        <v>50</v>
      </c>
      <c r="E532" t="s">
        <v>51</v>
      </c>
      <c r="F532">
        <v>37</v>
      </c>
      <c r="G532" t="s">
        <v>44</v>
      </c>
      <c r="H532" t="s">
        <v>80</v>
      </c>
      <c r="I532" t="s">
        <v>124</v>
      </c>
      <c r="J532" t="s">
        <v>13</v>
      </c>
      <c r="K532">
        <v>3.2</v>
      </c>
      <c r="L532" t="s">
        <v>14</v>
      </c>
      <c r="M532" t="s">
        <v>62</v>
      </c>
      <c r="N532" t="s">
        <v>14</v>
      </c>
      <c r="O532">
        <v>25</v>
      </c>
      <c r="P532" t="s">
        <v>27</v>
      </c>
      <c r="Q532" t="s">
        <v>64</v>
      </c>
      <c r="R532" t="str" cm="1">
        <f t="array" ref="R532">_xlfn.IFS(B532&lt;31,"Young-Adult",B532&lt;41,"Adult",B532&lt;61,"Middle-aged",B532&gt;=61,"Senior")</f>
        <v>Middle-aged</v>
      </c>
      <c r="S532" cm="1">
        <f t="array" ref="S532">_xlfn.IFS(Q532 ="Fortnightly",14,Q532="Weekly",7,Q532="Monthly",30,Q532="Quarterly",90,Q532="Bi-Weekly",14,Q532="Annually",365,Q532="Every 3 Months",90,TRUE,"NOT FOUND")</f>
        <v>14</v>
      </c>
    </row>
    <row r="533" spans="1:19" x14ac:dyDescent="0.35">
      <c r="A533">
        <v>532</v>
      </c>
      <c r="B533">
        <v>50</v>
      </c>
      <c r="C533" t="s">
        <v>7</v>
      </c>
      <c r="D533" t="s">
        <v>29</v>
      </c>
      <c r="E533" t="s">
        <v>30</v>
      </c>
      <c r="F533">
        <v>51</v>
      </c>
      <c r="G533" t="s">
        <v>117</v>
      </c>
      <c r="H533" t="s">
        <v>11</v>
      </c>
      <c r="I533" t="s">
        <v>61</v>
      </c>
      <c r="J533" t="s">
        <v>45</v>
      </c>
      <c r="K533">
        <v>3.4</v>
      </c>
      <c r="L533" t="s">
        <v>14</v>
      </c>
      <c r="M533" t="s">
        <v>33</v>
      </c>
      <c r="N533" t="s">
        <v>14</v>
      </c>
      <c r="O533">
        <v>42</v>
      </c>
      <c r="P533" t="s">
        <v>21</v>
      </c>
      <c r="Q533" t="s">
        <v>28</v>
      </c>
      <c r="R533" t="str" cm="1">
        <f t="array" ref="R533">_xlfn.IFS(B533&lt;31,"Young-Adult",B533&lt;41,"Adult",B533&lt;61,"Middle-aged",B533&gt;=61,"Senior")</f>
        <v>Middle-aged</v>
      </c>
      <c r="S533" cm="1">
        <f t="array" ref="S533">_xlfn.IFS(Q533 ="Fortnightly",14,Q533="Weekly",7,Q533="Monthly",30,Q533="Quarterly",90,Q533="Bi-Weekly",14,Q533="Annually",365,Q533="Every 3 Months",90,TRUE,"NOT FOUND")</f>
        <v>7</v>
      </c>
    </row>
    <row r="534" spans="1:19" x14ac:dyDescent="0.35">
      <c r="A534">
        <v>533</v>
      </c>
      <c r="B534">
        <v>26</v>
      </c>
      <c r="C534" t="s">
        <v>7</v>
      </c>
      <c r="D534" t="s">
        <v>83</v>
      </c>
      <c r="E534" t="s">
        <v>9</v>
      </c>
      <c r="F534">
        <v>76</v>
      </c>
      <c r="G534" t="s">
        <v>93</v>
      </c>
      <c r="H534" t="s">
        <v>11</v>
      </c>
      <c r="I534" t="s">
        <v>82</v>
      </c>
      <c r="J534" t="s">
        <v>13</v>
      </c>
      <c r="K534">
        <v>4.0999999999999996</v>
      </c>
      <c r="L534" t="s">
        <v>14</v>
      </c>
      <c r="M534" t="s">
        <v>15</v>
      </c>
      <c r="N534" t="s">
        <v>14</v>
      </c>
      <c r="O534">
        <v>35</v>
      </c>
      <c r="P534" t="s">
        <v>63</v>
      </c>
      <c r="Q534" t="s">
        <v>85</v>
      </c>
      <c r="R534" t="str" cm="1">
        <f t="array" ref="R534">_xlfn.IFS(B534&lt;31,"Young-Adult",B534&lt;41,"Adult",B534&lt;61,"Middle-aged",B534&gt;=61,"Senior")</f>
        <v>Young-Adult</v>
      </c>
      <c r="S534" cm="1">
        <f t="array" ref="S534">_xlfn.IFS(Q534 ="Fortnightly",14,Q534="Weekly",7,Q534="Monthly",30,Q534="Quarterly",90,Q534="Bi-Weekly",14,Q534="Annually",365,Q534="Every 3 Months",90,TRUE,"NOT FOUND")</f>
        <v>90</v>
      </c>
    </row>
    <row r="535" spans="1:19" x14ac:dyDescent="0.35">
      <c r="A535">
        <v>534</v>
      </c>
      <c r="B535">
        <v>57</v>
      </c>
      <c r="C535" t="s">
        <v>7</v>
      </c>
      <c r="D535" t="s">
        <v>29</v>
      </c>
      <c r="E535" t="s">
        <v>30</v>
      </c>
      <c r="F535">
        <v>60</v>
      </c>
      <c r="G535" t="s">
        <v>86</v>
      </c>
      <c r="H535" t="s">
        <v>11</v>
      </c>
      <c r="I535" t="s">
        <v>57</v>
      </c>
      <c r="J535" t="s">
        <v>25</v>
      </c>
      <c r="K535">
        <v>4.5</v>
      </c>
      <c r="L535" t="s">
        <v>14</v>
      </c>
      <c r="M535" t="s">
        <v>33</v>
      </c>
      <c r="N535" t="s">
        <v>14</v>
      </c>
      <c r="O535">
        <v>17</v>
      </c>
      <c r="P535" t="s">
        <v>74</v>
      </c>
      <c r="Q535" t="s">
        <v>28</v>
      </c>
      <c r="R535" t="str" cm="1">
        <f t="array" ref="R535">_xlfn.IFS(B535&lt;31,"Young-Adult",B535&lt;41,"Adult",B535&lt;61,"Middle-aged",B535&gt;=61,"Senior")</f>
        <v>Middle-aged</v>
      </c>
      <c r="S535" cm="1">
        <f t="array" ref="S535">_xlfn.IFS(Q535 ="Fortnightly",14,Q535="Weekly",7,Q535="Monthly",30,Q535="Quarterly",90,Q535="Bi-Weekly",14,Q535="Annually",365,Q535="Every 3 Months",90,TRUE,"NOT FOUND")</f>
        <v>7</v>
      </c>
    </row>
    <row r="536" spans="1:19" x14ac:dyDescent="0.35">
      <c r="A536">
        <v>535</v>
      </c>
      <c r="B536">
        <v>65</v>
      </c>
      <c r="C536" t="s">
        <v>7</v>
      </c>
      <c r="D536" t="s">
        <v>131</v>
      </c>
      <c r="E536" t="s">
        <v>55</v>
      </c>
      <c r="F536">
        <v>72</v>
      </c>
      <c r="G536" t="s">
        <v>91</v>
      </c>
      <c r="H536" t="s">
        <v>11</v>
      </c>
      <c r="I536" t="s">
        <v>57</v>
      </c>
      <c r="J536" t="s">
        <v>45</v>
      </c>
      <c r="K536">
        <v>4.5</v>
      </c>
      <c r="L536" t="s">
        <v>14</v>
      </c>
      <c r="M536" t="s">
        <v>33</v>
      </c>
      <c r="N536" t="s">
        <v>14</v>
      </c>
      <c r="O536">
        <v>4</v>
      </c>
      <c r="P536" t="s">
        <v>34</v>
      </c>
      <c r="Q536" t="s">
        <v>46</v>
      </c>
      <c r="R536" t="str" cm="1">
        <f t="array" ref="R536">_xlfn.IFS(B536&lt;31,"Young-Adult",B536&lt;41,"Adult",B536&lt;61,"Middle-aged",B536&gt;=61,"Senior")</f>
        <v>Senior</v>
      </c>
      <c r="S536" cm="1">
        <f t="array" ref="S536">_xlfn.IFS(Q536 ="Fortnightly",14,Q536="Weekly",7,Q536="Monthly",30,Q536="Quarterly",90,Q536="Bi-Weekly",14,Q536="Annually",365,Q536="Every 3 Months",90,TRUE,"NOT FOUND")</f>
        <v>90</v>
      </c>
    </row>
    <row r="537" spans="1:19" x14ac:dyDescent="0.35">
      <c r="A537">
        <v>536</v>
      </c>
      <c r="B537">
        <v>56</v>
      </c>
      <c r="C537" t="s">
        <v>7</v>
      </c>
      <c r="D537" t="s">
        <v>101</v>
      </c>
      <c r="E537" t="s">
        <v>9</v>
      </c>
      <c r="F537">
        <v>45</v>
      </c>
      <c r="G537" t="s">
        <v>52</v>
      </c>
      <c r="H537" t="s">
        <v>11</v>
      </c>
      <c r="I537" t="s">
        <v>20</v>
      </c>
      <c r="J537" t="s">
        <v>25</v>
      </c>
      <c r="K537">
        <v>3.2</v>
      </c>
      <c r="L537" t="s">
        <v>14</v>
      </c>
      <c r="M537" t="s">
        <v>26</v>
      </c>
      <c r="N537" t="s">
        <v>14</v>
      </c>
      <c r="O537">
        <v>24</v>
      </c>
      <c r="P537" t="s">
        <v>63</v>
      </c>
      <c r="Q537" t="s">
        <v>28</v>
      </c>
      <c r="R537" t="str" cm="1">
        <f t="array" ref="R537">_xlfn.IFS(B537&lt;31,"Young-Adult",B537&lt;41,"Adult",B537&lt;61,"Middle-aged",B537&gt;=61,"Senior")</f>
        <v>Middle-aged</v>
      </c>
      <c r="S537" cm="1">
        <f t="array" ref="S537">_xlfn.IFS(Q537 ="Fortnightly",14,Q537="Weekly",7,Q537="Monthly",30,Q537="Quarterly",90,Q537="Bi-Weekly",14,Q537="Annually",365,Q537="Every 3 Months",90,TRUE,"NOT FOUND")</f>
        <v>7</v>
      </c>
    </row>
    <row r="538" spans="1:19" x14ac:dyDescent="0.35">
      <c r="A538">
        <v>537</v>
      </c>
      <c r="B538">
        <v>44</v>
      </c>
      <c r="C538" t="s">
        <v>7</v>
      </c>
      <c r="D538" t="s">
        <v>90</v>
      </c>
      <c r="E538" t="s">
        <v>51</v>
      </c>
      <c r="F538">
        <v>84</v>
      </c>
      <c r="G538" t="s">
        <v>103</v>
      </c>
      <c r="H538" t="s">
        <v>24</v>
      </c>
      <c r="I538" t="s">
        <v>20</v>
      </c>
      <c r="J538" t="s">
        <v>45</v>
      </c>
      <c r="K538">
        <v>4.4000000000000004</v>
      </c>
      <c r="L538" t="s">
        <v>14</v>
      </c>
      <c r="M538" t="s">
        <v>62</v>
      </c>
      <c r="N538" t="s">
        <v>14</v>
      </c>
      <c r="O538">
        <v>16</v>
      </c>
      <c r="P538" t="s">
        <v>74</v>
      </c>
      <c r="Q538" t="s">
        <v>85</v>
      </c>
      <c r="R538" t="str" cm="1">
        <f t="array" ref="R538">_xlfn.IFS(B538&lt;31,"Young-Adult",B538&lt;41,"Adult",B538&lt;61,"Middle-aged",B538&gt;=61,"Senior")</f>
        <v>Middle-aged</v>
      </c>
      <c r="S538" cm="1">
        <f t="array" ref="S538">_xlfn.IFS(Q538 ="Fortnightly",14,Q538="Weekly",7,Q538="Monthly",30,Q538="Quarterly",90,Q538="Bi-Weekly",14,Q538="Annually",365,Q538="Every 3 Months",90,TRUE,"NOT FOUND")</f>
        <v>90</v>
      </c>
    </row>
    <row r="539" spans="1:19" x14ac:dyDescent="0.35">
      <c r="A539">
        <v>538</v>
      </c>
      <c r="B539">
        <v>50</v>
      </c>
      <c r="C539" t="s">
        <v>7</v>
      </c>
      <c r="D539" t="s">
        <v>8</v>
      </c>
      <c r="E539" t="s">
        <v>9</v>
      </c>
      <c r="F539">
        <v>49</v>
      </c>
      <c r="G539" t="s">
        <v>129</v>
      </c>
      <c r="H539" t="s">
        <v>24</v>
      </c>
      <c r="I539" t="s">
        <v>36</v>
      </c>
      <c r="J539" t="s">
        <v>41</v>
      </c>
      <c r="K539">
        <v>3</v>
      </c>
      <c r="L539" t="s">
        <v>14</v>
      </c>
      <c r="M539" t="s">
        <v>62</v>
      </c>
      <c r="N539" t="s">
        <v>14</v>
      </c>
      <c r="O539">
        <v>14</v>
      </c>
      <c r="P539" t="s">
        <v>74</v>
      </c>
      <c r="Q539" t="s">
        <v>37</v>
      </c>
      <c r="R539" t="str" cm="1">
        <f t="array" ref="R539">_xlfn.IFS(B539&lt;31,"Young-Adult",B539&lt;41,"Adult",B539&lt;61,"Middle-aged",B539&gt;=61,"Senior")</f>
        <v>Middle-aged</v>
      </c>
      <c r="S539" cm="1">
        <f t="array" ref="S539">_xlfn.IFS(Q539 ="Fortnightly",14,Q539="Weekly",7,Q539="Monthly",30,Q539="Quarterly",90,Q539="Bi-Weekly",14,Q539="Annually",365,Q539="Every 3 Months",90,TRUE,"NOT FOUND")</f>
        <v>365</v>
      </c>
    </row>
    <row r="540" spans="1:19" x14ac:dyDescent="0.35">
      <c r="A540">
        <v>539</v>
      </c>
      <c r="B540">
        <v>27</v>
      </c>
      <c r="C540" t="s">
        <v>7</v>
      </c>
      <c r="D540" t="s">
        <v>113</v>
      </c>
      <c r="E540" t="s">
        <v>9</v>
      </c>
      <c r="F540">
        <v>22</v>
      </c>
      <c r="G540" t="s">
        <v>129</v>
      </c>
      <c r="H540" t="s">
        <v>80</v>
      </c>
      <c r="I540" t="s">
        <v>84</v>
      </c>
      <c r="J540" t="s">
        <v>25</v>
      </c>
      <c r="K540">
        <v>3.2</v>
      </c>
      <c r="L540" t="s">
        <v>14</v>
      </c>
      <c r="M540" t="s">
        <v>26</v>
      </c>
      <c r="N540" t="s">
        <v>14</v>
      </c>
      <c r="O540">
        <v>43</v>
      </c>
      <c r="P540" t="s">
        <v>21</v>
      </c>
      <c r="Q540" t="s">
        <v>28</v>
      </c>
      <c r="R540" t="str" cm="1">
        <f t="array" ref="R540">_xlfn.IFS(B540&lt;31,"Young-Adult",B540&lt;41,"Adult",B540&lt;61,"Middle-aged",B540&gt;=61,"Senior")</f>
        <v>Young-Adult</v>
      </c>
      <c r="S540" cm="1">
        <f t="array" ref="S540">_xlfn.IFS(Q540 ="Fortnightly",14,Q540="Weekly",7,Q540="Monthly",30,Q540="Quarterly",90,Q540="Bi-Weekly",14,Q540="Annually",365,Q540="Every 3 Months",90,TRUE,"NOT FOUND")</f>
        <v>7</v>
      </c>
    </row>
    <row r="541" spans="1:19" x14ac:dyDescent="0.35">
      <c r="A541">
        <v>540</v>
      </c>
      <c r="B541">
        <v>49</v>
      </c>
      <c r="C541" t="s">
        <v>7</v>
      </c>
      <c r="D541" t="s">
        <v>50</v>
      </c>
      <c r="E541" t="s">
        <v>51</v>
      </c>
      <c r="F541">
        <v>48</v>
      </c>
      <c r="G541" t="s">
        <v>39</v>
      </c>
      <c r="H541" t="s">
        <v>32</v>
      </c>
      <c r="I541" t="s">
        <v>71</v>
      </c>
      <c r="J541" t="s">
        <v>13</v>
      </c>
      <c r="K541">
        <v>4</v>
      </c>
      <c r="L541" t="s">
        <v>14</v>
      </c>
      <c r="M541" t="s">
        <v>62</v>
      </c>
      <c r="N541" t="s">
        <v>14</v>
      </c>
      <c r="O541">
        <v>49</v>
      </c>
      <c r="P541" t="s">
        <v>74</v>
      </c>
      <c r="Q541" t="s">
        <v>28</v>
      </c>
      <c r="R541" t="str" cm="1">
        <f t="array" ref="R541">_xlfn.IFS(B541&lt;31,"Young-Adult",B541&lt;41,"Adult",B541&lt;61,"Middle-aged",B541&gt;=61,"Senior")</f>
        <v>Middle-aged</v>
      </c>
      <c r="S541" cm="1">
        <f t="array" ref="S541">_xlfn.IFS(Q541 ="Fortnightly",14,Q541="Weekly",7,Q541="Monthly",30,Q541="Quarterly",90,Q541="Bi-Weekly",14,Q541="Annually",365,Q541="Every 3 Months",90,TRUE,"NOT FOUND")</f>
        <v>7</v>
      </c>
    </row>
    <row r="542" spans="1:19" x14ac:dyDescent="0.35">
      <c r="A542">
        <v>541</v>
      </c>
      <c r="B542">
        <v>49</v>
      </c>
      <c r="C542" t="s">
        <v>7</v>
      </c>
      <c r="D542" t="s">
        <v>69</v>
      </c>
      <c r="E542" t="s">
        <v>9</v>
      </c>
      <c r="F542">
        <v>37</v>
      </c>
      <c r="G542" t="s">
        <v>119</v>
      </c>
      <c r="H542" t="s">
        <v>32</v>
      </c>
      <c r="I542" t="s">
        <v>81</v>
      </c>
      <c r="J542" t="s">
        <v>25</v>
      </c>
      <c r="K542">
        <v>3.1</v>
      </c>
      <c r="L542" t="s">
        <v>14</v>
      </c>
      <c r="M542" t="s">
        <v>33</v>
      </c>
      <c r="N542" t="s">
        <v>14</v>
      </c>
      <c r="O542">
        <v>33</v>
      </c>
      <c r="P542" t="s">
        <v>21</v>
      </c>
      <c r="Q542" t="s">
        <v>85</v>
      </c>
      <c r="R542" t="str" cm="1">
        <f t="array" ref="R542">_xlfn.IFS(B542&lt;31,"Young-Adult",B542&lt;41,"Adult",B542&lt;61,"Middle-aged",B542&gt;=61,"Senior")</f>
        <v>Middle-aged</v>
      </c>
      <c r="S542" cm="1">
        <f t="array" ref="S542">_xlfn.IFS(Q542 ="Fortnightly",14,Q542="Weekly",7,Q542="Monthly",30,Q542="Quarterly",90,Q542="Bi-Weekly",14,Q542="Annually",365,Q542="Every 3 Months",90,TRUE,"NOT FOUND")</f>
        <v>90</v>
      </c>
    </row>
    <row r="543" spans="1:19" x14ac:dyDescent="0.35">
      <c r="A543">
        <v>542</v>
      </c>
      <c r="B543">
        <v>52</v>
      </c>
      <c r="C543" t="s">
        <v>7</v>
      </c>
      <c r="D543" t="s">
        <v>90</v>
      </c>
      <c r="E543" t="s">
        <v>51</v>
      </c>
      <c r="F543">
        <v>27</v>
      </c>
      <c r="G543" t="s">
        <v>127</v>
      </c>
      <c r="H543" t="s">
        <v>11</v>
      </c>
      <c r="I543" t="s">
        <v>12</v>
      </c>
      <c r="J543" t="s">
        <v>45</v>
      </c>
      <c r="K543">
        <v>2.8</v>
      </c>
      <c r="L543" t="s">
        <v>14</v>
      </c>
      <c r="M543" t="s">
        <v>33</v>
      </c>
      <c r="N543" t="s">
        <v>14</v>
      </c>
      <c r="O543">
        <v>45</v>
      </c>
      <c r="P543" t="s">
        <v>21</v>
      </c>
      <c r="Q543" t="s">
        <v>64</v>
      </c>
      <c r="R543" t="str" cm="1">
        <f t="array" ref="R543">_xlfn.IFS(B543&lt;31,"Young-Adult",B543&lt;41,"Adult",B543&lt;61,"Middle-aged",B543&gt;=61,"Senior")</f>
        <v>Middle-aged</v>
      </c>
      <c r="S543" cm="1">
        <f t="array" ref="S543">_xlfn.IFS(Q543 ="Fortnightly",14,Q543="Weekly",7,Q543="Monthly",30,Q543="Quarterly",90,Q543="Bi-Weekly",14,Q543="Annually",365,Q543="Every 3 Months",90,TRUE,"NOT FOUND")</f>
        <v>14</v>
      </c>
    </row>
    <row r="544" spans="1:19" x14ac:dyDescent="0.35">
      <c r="A544">
        <v>543</v>
      </c>
      <c r="B544">
        <v>27</v>
      </c>
      <c r="C544" t="s">
        <v>7</v>
      </c>
      <c r="D544" t="s">
        <v>125</v>
      </c>
      <c r="E544" t="s">
        <v>30</v>
      </c>
      <c r="F544">
        <v>79</v>
      </c>
      <c r="G544" t="s">
        <v>103</v>
      </c>
      <c r="H544" t="s">
        <v>80</v>
      </c>
      <c r="I544" t="s">
        <v>73</v>
      </c>
      <c r="J544" t="s">
        <v>25</v>
      </c>
      <c r="K544">
        <v>4.5999999999999996</v>
      </c>
      <c r="L544" t="s">
        <v>14</v>
      </c>
      <c r="M544" t="s">
        <v>33</v>
      </c>
      <c r="N544" t="s">
        <v>14</v>
      </c>
      <c r="O544">
        <v>35</v>
      </c>
      <c r="P544" t="s">
        <v>21</v>
      </c>
      <c r="Q544" t="s">
        <v>64</v>
      </c>
      <c r="R544" t="str" cm="1">
        <f t="array" ref="R544">_xlfn.IFS(B544&lt;31,"Young-Adult",B544&lt;41,"Adult",B544&lt;61,"Middle-aged",B544&gt;=61,"Senior")</f>
        <v>Young-Adult</v>
      </c>
      <c r="S544" cm="1">
        <f t="array" ref="S544">_xlfn.IFS(Q544 ="Fortnightly",14,Q544="Weekly",7,Q544="Monthly",30,Q544="Quarterly",90,Q544="Bi-Weekly",14,Q544="Annually",365,Q544="Every 3 Months",90,TRUE,"NOT FOUND")</f>
        <v>14</v>
      </c>
    </row>
    <row r="545" spans="1:19" x14ac:dyDescent="0.35">
      <c r="A545">
        <v>544</v>
      </c>
      <c r="B545">
        <v>53</v>
      </c>
      <c r="C545" t="s">
        <v>7</v>
      </c>
      <c r="D545" t="s">
        <v>75</v>
      </c>
      <c r="E545" t="s">
        <v>9</v>
      </c>
      <c r="F545">
        <v>98</v>
      </c>
      <c r="G545" t="s">
        <v>78</v>
      </c>
      <c r="H545" t="s">
        <v>24</v>
      </c>
      <c r="I545" t="s">
        <v>96</v>
      </c>
      <c r="J545" t="s">
        <v>25</v>
      </c>
      <c r="K545">
        <v>4.3</v>
      </c>
      <c r="L545" t="s">
        <v>14</v>
      </c>
      <c r="M545" t="s">
        <v>15</v>
      </c>
      <c r="N545" t="s">
        <v>14</v>
      </c>
      <c r="O545">
        <v>11</v>
      </c>
      <c r="P545" t="s">
        <v>27</v>
      </c>
      <c r="Q545" t="s">
        <v>76</v>
      </c>
      <c r="R545" t="str" cm="1">
        <f t="array" ref="R545">_xlfn.IFS(B545&lt;31,"Young-Adult",B545&lt;41,"Adult",B545&lt;61,"Middle-aged",B545&gt;=61,"Senior")</f>
        <v>Middle-aged</v>
      </c>
      <c r="S545" cm="1">
        <f t="array" ref="S545">_xlfn.IFS(Q545 ="Fortnightly",14,Q545="Weekly",7,Q545="Monthly",30,Q545="Quarterly",90,Q545="Bi-Weekly",14,Q545="Annually",365,Q545="Every 3 Months",90,TRUE,"NOT FOUND")</f>
        <v>30</v>
      </c>
    </row>
    <row r="546" spans="1:19" x14ac:dyDescent="0.35">
      <c r="A546">
        <v>545</v>
      </c>
      <c r="B546">
        <v>34</v>
      </c>
      <c r="C546" t="s">
        <v>7</v>
      </c>
      <c r="D546" t="s">
        <v>29</v>
      </c>
      <c r="E546" t="s">
        <v>30</v>
      </c>
      <c r="F546">
        <v>64</v>
      </c>
      <c r="G546" t="s">
        <v>137</v>
      </c>
      <c r="H546" t="s">
        <v>24</v>
      </c>
      <c r="I546" t="s">
        <v>122</v>
      </c>
      <c r="J546" t="s">
        <v>41</v>
      </c>
      <c r="K546">
        <v>3.3</v>
      </c>
      <c r="L546" t="s">
        <v>14</v>
      </c>
      <c r="M546" t="s">
        <v>42</v>
      </c>
      <c r="N546" t="s">
        <v>14</v>
      </c>
      <c r="O546">
        <v>30</v>
      </c>
      <c r="P546" t="s">
        <v>63</v>
      </c>
      <c r="Q546" t="s">
        <v>85</v>
      </c>
      <c r="R546" t="str" cm="1">
        <f t="array" ref="R546">_xlfn.IFS(B546&lt;31,"Young-Adult",B546&lt;41,"Adult",B546&lt;61,"Middle-aged",B546&gt;=61,"Senior")</f>
        <v>Adult</v>
      </c>
      <c r="S546" cm="1">
        <f t="array" ref="S546">_xlfn.IFS(Q546 ="Fortnightly",14,Q546="Weekly",7,Q546="Monthly",30,Q546="Quarterly",90,Q546="Bi-Weekly",14,Q546="Annually",365,Q546="Every 3 Months",90,TRUE,"NOT FOUND")</f>
        <v>90</v>
      </c>
    </row>
    <row r="547" spans="1:19" x14ac:dyDescent="0.35">
      <c r="A547">
        <v>546</v>
      </c>
      <c r="B547">
        <v>33</v>
      </c>
      <c r="C547" t="s">
        <v>7</v>
      </c>
      <c r="D547" t="s">
        <v>50</v>
      </c>
      <c r="E547" t="s">
        <v>51</v>
      </c>
      <c r="F547">
        <v>32</v>
      </c>
      <c r="G547" t="s">
        <v>78</v>
      </c>
      <c r="H547" t="s">
        <v>11</v>
      </c>
      <c r="I547" t="s">
        <v>124</v>
      </c>
      <c r="J547" t="s">
        <v>41</v>
      </c>
      <c r="K547">
        <v>3.5</v>
      </c>
      <c r="L547" t="s">
        <v>14</v>
      </c>
      <c r="M547" t="s">
        <v>58</v>
      </c>
      <c r="N547" t="s">
        <v>14</v>
      </c>
      <c r="O547">
        <v>48</v>
      </c>
      <c r="P547" t="s">
        <v>74</v>
      </c>
      <c r="Q547" t="s">
        <v>37</v>
      </c>
      <c r="R547" t="str" cm="1">
        <f t="array" ref="R547">_xlfn.IFS(B547&lt;31,"Young-Adult",B547&lt;41,"Adult",B547&lt;61,"Middle-aged",B547&gt;=61,"Senior")</f>
        <v>Adult</v>
      </c>
      <c r="S547" cm="1">
        <f t="array" ref="S547">_xlfn.IFS(Q547 ="Fortnightly",14,Q547="Weekly",7,Q547="Monthly",30,Q547="Quarterly",90,Q547="Bi-Weekly",14,Q547="Annually",365,Q547="Every 3 Months",90,TRUE,"NOT FOUND")</f>
        <v>365</v>
      </c>
    </row>
    <row r="548" spans="1:19" x14ac:dyDescent="0.35">
      <c r="A548">
        <v>547</v>
      </c>
      <c r="B548">
        <v>62</v>
      </c>
      <c r="C548" t="s">
        <v>7</v>
      </c>
      <c r="D548" t="s">
        <v>92</v>
      </c>
      <c r="E548" t="s">
        <v>9</v>
      </c>
      <c r="F548">
        <v>74</v>
      </c>
      <c r="G548" t="s">
        <v>118</v>
      </c>
      <c r="H548" t="s">
        <v>32</v>
      </c>
      <c r="I548" t="s">
        <v>98</v>
      </c>
      <c r="J548" t="s">
        <v>13</v>
      </c>
      <c r="K548">
        <v>3.4</v>
      </c>
      <c r="L548" t="s">
        <v>14</v>
      </c>
      <c r="M548" t="s">
        <v>26</v>
      </c>
      <c r="N548" t="s">
        <v>14</v>
      </c>
      <c r="O548">
        <v>45</v>
      </c>
      <c r="P548" t="s">
        <v>16</v>
      </c>
      <c r="Q548" t="s">
        <v>64</v>
      </c>
      <c r="R548" t="str" cm="1">
        <f t="array" ref="R548">_xlfn.IFS(B548&lt;31,"Young-Adult",B548&lt;41,"Adult",B548&lt;61,"Middle-aged",B548&gt;=61,"Senior")</f>
        <v>Senior</v>
      </c>
      <c r="S548" cm="1">
        <f t="array" ref="S548">_xlfn.IFS(Q548 ="Fortnightly",14,Q548="Weekly",7,Q548="Monthly",30,Q548="Quarterly",90,Q548="Bi-Weekly",14,Q548="Annually",365,Q548="Every 3 Months",90,TRUE,"NOT FOUND")</f>
        <v>14</v>
      </c>
    </row>
    <row r="549" spans="1:19" x14ac:dyDescent="0.35">
      <c r="A549">
        <v>548</v>
      </c>
      <c r="B549">
        <v>38</v>
      </c>
      <c r="C549" t="s">
        <v>7</v>
      </c>
      <c r="D549" t="s">
        <v>90</v>
      </c>
      <c r="E549" t="s">
        <v>51</v>
      </c>
      <c r="F549">
        <v>50</v>
      </c>
      <c r="G549" t="s">
        <v>95</v>
      </c>
      <c r="H549" t="s">
        <v>32</v>
      </c>
      <c r="I549" t="s">
        <v>132</v>
      </c>
      <c r="J549" t="s">
        <v>13</v>
      </c>
      <c r="K549">
        <v>2.8</v>
      </c>
      <c r="L549" t="s">
        <v>14</v>
      </c>
      <c r="M549" t="s">
        <v>26</v>
      </c>
      <c r="N549" t="s">
        <v>14</v>
      </c>
      <c r="O549">
        <v>26</v>
      </c>
      <c r="P549" t="s">
        <v>16</v>
      </c>
      <c r="Q549" t="s">
        <v>28</v>
      </c>
      <c r="R549" t="str" cm="1">
        <f t="array" ref="R549">_xlfn.IFS(B549&lt;31,"Young-Adult",B549&lt;41,"Adult",B549&lt;61,"Middle-aged",B549&gt;=61,"Senior")</f>
        <v>Adult</v>
      </c>
      <c r="S549" cm="1">
        <f t="array" ref="S549">_xlfn.IFS(Q549 ="Fortnightly",14,Q549="Weekly",7,Q549="Monthly",30,Q549="Quarterly",90,Q549="Bi-Weekly",14,Q549="Annually",365,Q549="Every 3 Months",90,TRUE,"NOT FOUND")</f>
        <v>7</v>
      </c>
    </row>
    <row r="550" spans="1:19" x14ac:dyDescent="0.35">
      <c r="A550">
        <v>549</v>
      </c>
      <c r="B550">
        <v>36</v>
      </c>
      <c r="C550" t="s">
        <v>7</v>
      </c>
      <c r="D550" t="s">
        <v>120</v>
      </c>
      <c r="E550" t="s">
        <v>55</v>
      </c>
      <c r="F550">
        <v>64</v>
      </c>
      <c r="G550" t="s">
        <v>133</v>
      </c>
      <c r="H550" t="s">
        <v>32</v>
      </c>
      <c r="I550" t="s">
        <v>82</v>
      </c>
      <c r="J550" t="s">
        <v>13</v>
      </c>
      <c r="K550">
        <v>4.5999999999999996</v>
      </c>
      <c r="L550" t="s">
        <v>14</v>
      </c>
      <c r="M550" t="s">
        <v>62</v>
      </c>
      <c r="N550" t="s">
        <v>14</v>
      </c>
      <c r="O550">
        <v>41</v>
      </c>
      <c r="P550" t="s">
        <v>74</v>
      </c>
      <c r="Q550" t="s">
        <v>85</v>
      </c>
      <c r="R550" t="str" cm="1">
        <f t="array" ref="R550">_xlfn.IFS(B550&lt;31,"Young-Adult",B550&lt;41,"Adult",B550&lt;61,"Middle-aged",B550&gt;=61,"Senior")</f>
        <v>Adult</v>
      </c>
      <c r="S550" cm="1">
        <f t="array" ref="S550">_xlfn.IFS(Q550 ="Fortnightly",14,Q550="Weekly",7,Q550="Monthly",30,Q550="Quarterly",90,Q550="Bi-Weekly",14,Q550="Annually",365,Q550="Every 3 Months",90,TRUE,"NOT FOUND")</f>
        <v>90</v>
      </c>
    </row>
    <row r="551" spans="1:19" x14ac:dyDescent="0.35">
      <c r="A551">
        <v>550</v>
      </c>
      <c r="B551">
        <v>31</v>
      </c>
      <c r="C551" t="s">
        <v>7</v>
      </c>
      <c r="D551" t="s">
        <v>120</v>
      </c>
      <c r="E551" t="s">
        <v>55</v>
      </c>
      <c r="F551">
        <v>29</v>
      </c>
      <c r="G551" t="s">
        <v>105</v>
      </c>
      <c r="H551" t="s">
        <v>24</v>
      </c>
      <c r="I551" t="s">
        <v>66</v>
      </c>
      <c r="J551" t="s">
        <v>45</v>
      </c>
      <c r="K551">
        <v>3.6</v>
      </c>
      <c r="L551" t="s">
        <v>14</v>
      </c>
      <c r="M551" t="s">
        <v>15</v>
      </c>
      <c r="N551" t="s">
        <v>14</v>
      </c>
      <c r="O551">
        <v>37</v>
      </c>
      <c r="P551" t="s">
        <v>16</v>
      </c>
      <c r="Q551" t="s">
        <v>64</v>
      </c>
      <c r="R551" t="str" cm="1">
        <f t="array" ref="R551">_xlfn.IFS(B551&lt;31,"Young-Adult",B551&lt;41,"Adult",B551&lt;61,"Middle-aged",B551&gt;=61,"Senior")</f>
        <v>Adult</v>
      </c>
      <c r="S551" cm="1">
        <f t="array" ref="S551">_xlfn.IFS(Q551 ="Fortnightly",14,Q551="Weekly",7,Q551="Monthly",30,Q551="Quarterly",90,Q551="Bi-Weekly",14,Q551="Annually",365,Q551="Every 3 Months",90,TRUE,"NOT FOUND")</f>
        <v>14</v>
      </c>
    </row>
    <row r="552" spans="1:19" x14ac:dyDescent="0.35">
      <c r="A552">
        <v>551</v>
      </c>
      <c r="B552">
        <v>62</v>
      </c>
      <c r="C552" t="s">
        <v>7</v>
      </c>
      <c r="D552" t="s">
        <v>121</v>
      </c>
      <c r="E552" t="s">
        <v>55</v>
      </c>
      <c r="F552">
        <v>62</v>
      </c>
      <c r="G552" t="s">
        <v>130</v>
      </c>
      <c r="H552" t="s">
        <v>32</v>
      </c>
      <c r="I552" t="s">
        <v>66</v>
      </c>
      <c r="J552" t="s">
        <v>41</v>
      </c>
      <c r="K552">
        <v>3.3</v>
      </c>
      <c r="L552" t="s">
        <v>14</v>
      </c>
      <c r="M552" t="s">
        <v>62</v>
      </c>
      <c r="N552" t="s">
        <v>14</v>
      </c>
      <c r="O552">
        <v>12</v>
      </c>
      <c r="P552" t="s">
        <v>34</v>
      </c>
      <c r="Q552" t="s">
        <v>28</v>
      </c>
      <c r="R552" t="str" cm="1">
        <f t="array" ref="R552">_xlfn.IFS(B552&lt;31,"Young-Adult",B552&lt;41,"Adult",B552&lt;61,"Middle-aged",B552&gt;=61,"Senior")</f>
        <v>Senior</v>
      </c>
      <c r="S552" cm="1">
        <f t="array" ref="S552">_xlfn.IFS(Q552 ="Fortnightly",14,Q552="Weekly",7,Q552="Monthly",30,Q552="Quarterly",90,Q552="Bi-Weekly",14,Q552="Annually",365,Q552="Every 3 Months",90,TRUE,"NOT FOUND")</f>
        <v>7</v>
      </c>
    </row>
    <row r="553" spans="1:19" x14ac:dyDescent="0.35">
      <c r="A553">
        <v>552</v>
      </c>
      <c r="B553">
        <v>29</v>
      </c>
      <c r="C553" t="s">
        <v>7</v>
      </c>
      <c r="D553" t="s">
        <v>50</v>
      </c>
      <c r="E553" t="s">
        <v>51</v>
      </c>
      <c r="F553">
        <v>78</v>
      </c>
      <c r="G553" t="s">
        <v>123</v>
      </c>
      <c r="H553" t="s">
        <v>80</v>
      </c>
      <c r="I553" t="s">
        <v>84</v>
      </c>
      <c r="J553" t="s">
        <v>45</v>
      </c>
      <c r="K553">
        <v>3.1</v>
      </c>
      <c r="L553" t="s">
        <v>14</v>
      </c>
      <c r="M553" t="s">
        <v>58</v>
      </c>
      <c r="N553" t="s">
        <v>14</v>
      </c>
      <c r="O553">
        <v>27</v>
      </c>
      <c r="P553" t="s">
        <v>21</v>
      </c>
      <c r="Q553" t="s">
        <v>64</v>
      </c>
      <c r="R553" t="str" cm="1">
        <f t="array" ref="R553">_xlfn.IFS(B553&lt;31,"Young-Adult",B553&lt;41,"Adult",B553&lt;61,"Middle-aged",B553&gt;=61,"Senior")</f>
        <v>Young-Adult</v>
      </c>
      <c r="S553" cm="1">
        <f t="array" ref="S553">_xlfn.IFS(Q553 ="Fortnightly",14,Q553="Weekly",7,Q553="Monthly",30,Q553="Quarterly",90,Q553="Bi-Weekly",14,Q553="Annually",365,Q553="Every 3 Months",90,TRUE,"NOT FOUND")</f>
        <v>14</v>
      </c>
    </row>
    <row r="554" spans="1:19" x14ac:dyDescent="0.35">
      <c r="A554">
        <v>553</v>
      </c>
      <c r="B554">
        <v>24</v>
      </c>
      <c r="C554" t="s">
        <v>7</v>
      </c>
      <c r="D554" t="s">
        <v>101</v>
      </c>
      <c r="E554" t="s">
        <v>9</v>
      </c>
      <c r="F554">
        <v>94</v>
      </c>
      <c r="G554" t="s">
        <v>56</v>
      </c>
      <c r="H554" t="s">
        <v>32</v>
      </c>
      <c r="I554" t="s">
        <v>88</v>
      </c>
      <c r="J554" t="s">
        <v>45</v>
      </c>
      <c r="K554">
        <v>3.5</v>
      </c>
      <c r="L554" t="s">
        <v>14</v>
      </c>
      <c r="M554" t="s">
        <v>15</v>
      </c>
      <c r="N554" t="s">
        <v>14</v>
      </c>
      <c r="O554">
        <v>18</v>
      </c>
      <c r="P554" t="s">
        <v>63</v>
      </c>
      <c r="Q554" t="s">
        <v>28</v>
      </c>
      <c r="R554" t="str" cm="1">
        <f t="array" ref="R554">_xlfn.IFS(B554&lt;31,"Young-Adult",B554&lt;41,"Adult",B554&lt;61,"Middle-aged",B554&gt;=61,"Senior")</f>
        <v>Young-Adult</v>
      </c>
      <c r="S554" cm="1">
        <f t="array" ref="S554">_xlfn.IFS(Q554 ="Fortnightly",14,Q554="Weekly",7,Q554="Monthly",30,Q554="Quarterly",90,Q554="Bi-Weekly",14,Q554="Annually",365,Q554="Every 3 Months",90,TRUE,"NOT FOUND")</f>
        <v>7</v>
      </c>
    </row>
    <row r="555" spans="1:19" x14ac:dyDescent="0.35">
      <c r="A555">
        <v>554</v>
      </c>
      <c r="B555">
        <v>63</v>
      </c>
      <c r="C555" t="s">
        <v>7</v>
      </c>
      <c r="D555" t="s">
        <v>77</v>
      </c>
      <c r="E555" t="s">
        <v>55</v>
      </c>
      <c r="F555">
        <v>59</v>
      </c>
      <c r="G555" t="s">
        <v>91</v>
      </c>
      <c r="H555" t="s">
        <v>32</v>
      </c>
      <c r="I555" t="s">
        <v>40</v>
      </c>
      <c r="J555" t="s">
        <v>13</v>
      </c>
      <c r="K555">
        <v>3.2</v>
      </c>
      <c r="L555" t="s">
        <v>14</v>
      </c>
      <c r="M555" t="s">
        <v>15</v>
      </c>
      <c r="N555" t="s">
        <v>14</v>
      </c>
      <c r="O555">
        <v>15</v>
      </c>
      <c r="P555" t="s">
        <v>27</v>
      </c>
      <c r="Q555" t="s">
        <v>46</v>
      </c>
      <c r="R555" t="str" cm="1">
        <f t="array" ref="R555">_xlfn.IFS(B555&lt;31,"Young-Adult",B555&lt;41,"Adult",B555&lt;61,"Middle-aged",B555&gt;=61,"Senior")</f>
        <v>Senior</v>
      </c>
      <c r="S555" cm="1">
        <f t="array" ref="S555">_xlfn.IFS(Q555 ="Fortnightly",14,Q555="Weekly",7,Q555="Monthly",30,Q555="Quarterly",90,Q555="Bi-Weekly",14,Q555="Annually",365,Q555="Every 3 Months",90,TRUE,"NOT FOUND")</f>
        <v>90</v>
      </c>
    </row>
    <row r="556" spans="1:19" x14ac:dyDescent="0.35">
      <c r="A556">
        <v>555</v>
      </c>
      <c r="B556">
        <v>56</v>
      </c>
      <c r="C556" t="s">
        <v>7</v>
      </c>
      <c r="D556" t="s">
        <v>38</v>
      </c>
      <c r="E556" t="s">
        <v>30</v>
      </c>
      <c r="F556">
        <v>47</v>
      </c>
      <c r="G556" t="s">
        <v>136</v>
      </c>
      <c r="H556" t="s">
        <v>32</v>
      </c>
      <c r="I556" t="s">
        <v>96</v>
      </c>
      <c r="J556" t="s">
        <v>41</v>
      </c>
      <c r="K556">
        <v>3</v>
      </c>
      <c r="L556" t="s">
        <v>14</v>
      </c>
      <c r="M556" t="s">
        <v>15</v>
      </c>
      <c r="N556" t="s">
        <v>14</v>
      </c>
      <c r="O556">
        <v>34</v>
      </c>
      <c r="P556" t="s">
        <v>63</v>
      </c>
      <c r="Q556" t="s">
        <v>28</v>
      </c>
      <c r="R556" t="str" cm="1">
        <f t="array" ref="R556">_xlfn.IFS(B556&lt;31,"Young-Adult",B556&lt;41,"Adult",B556&lt;61,"Middle-aged",B556&gt;=61,"Senior")</f>
        <v>Middle-aged</v>
      </c>
      <c r="S556" cm="1">
        <f t="array" ref="S556">_xlfn.IFS(Q556 ="Fortnightly",14,Q556="Weekly",7,Q556="Monthly",30,Q556="Quarterly",90,Q556="Bi-Weekly",14,Q556="Annually",365,Q556="Every 3 Months",90,TRUE,"NOT FOUND")</f>
        <v>7</v>
      </c>
    </row>
    <row r="557" spans="1:19" x14ac:dyDescent="0.35">
      <c r="A557">
        <v>556</v>
      </c>
      <c r="B557">
        <v>63</v>
      </c>
      <c r="C557" t="s">
        <v>7</v>
      </c>
      <c r="D557" t="s">
        <v>131</v>
      </c>
      <c r="E557" t="s">
        <v>55</v>
      </c>
      <c r="F557">
        <v>57</v>
      </c>
      <c r="G557" t="s">
        <v>19</v>
      </c>
      <c r="H557" t="s">
        <v>32</v>
      </c>
      <c r="I557" t="s">
        <v>40</v>
      </c>
      <c r="J557" t="s">
        <v>45</v>
      </c>
      <c r="K557">
        <v>4.8</v>
      </c>
      <c r="L557" t="s">
        <v>14</v>
      </c>
      <c r="M557" t="s">
        <v>15</v>
      </c>
      <c r="N557" t="s">
        <v>14</v>
      </c>
      <c r="O557">
        <v>37</v>
      </c>
      <c r="P557" t="s">
        <v>16</v>
      </c>
      <c r="Q557" t="s">
        <v>37</v>
      </c>
      <c r="R557" t="str" cm="1">
        <f t="array" ref="R557">_xlfn.IFS(B557&lt;31,"Young-Adult",B557&lt;41,"Adult",B557&lt;61,"Middle-aged",B557&gt;=61,"Senior")</f>
        <v>Senior</v>
      </c>
      <c r="S557" cm="1">
        <f t="array" ref="S557">_xlfn.IFS(Q557 ="Fortnightly",14,Q557="Weekly",7,Q557="Monthly",30,Q557="Quarterly",90,Q557="Bi-Weekly",14,Q557="Annually",365,Q557="Every 3 Months",90,TRUE,"NOT FOUND")</f>
        <v>365</v>
      </c>
    </row>
    <row r="558" spans="1:19" x14ac:dyDescent="0.35">
      <c r="A558">
        <v>557</v>
      </c>
      <c r="B558">
        <v>40</v>
      </c>
      <c r="C558" t="s">
        <v>7</v>
      </c>
      <c r="D558" t="s">
        <v>50</v>
      </c>
      <c r="E558" t="s">
        <v>51</v>
      </c>
      <c r="F558">
        <v>90</v>
      </c>
      <c r="G558" t="s">
        <v>44</v>
      </c>
      <c r="H558" t="s">
        <v>11</v>
      </c>
      <c r="I558" t="s">
        <v>114</v>
      </c>
      <c r="J558" t="s">
        <v>13</v>
      </c>
      <c r="K558">
        <v>5</v>
      </c>
      <c r="L558" t="s">
        <v>14</v>
      </c>
      <c r="M558" t="s">
        <v>62</v>
      </c>
      <c r="N558" t="s">
        <v>14</v>
      </c>
      <c r="O558">
        <v>21</v>
      </c>
      <c r="P558" t="s">
        <v>21</v>
      </c>
      <c r="Q558" t="s">
        <v>17</v>
      </c>
      <c r="R558" t="str" cm="1">
        <f t="array" ref="R558">_xlfn.IFS(B558&lt;31,"Young-Adult",B558&lt;41,"Adult",B558&lt;61,"Middle-aged",B558&gt;=61,"Senior")</f>
        <v>Adult</v>
      </c>
      <c r="S558" cm="1">
        <f t="array" ref="S558">_xlfn.IFS(Q558 ="Fortnightly",14,Q558="Weekly",7,Q558="Monthly",30,Q558="Quarterly",90,Q558="Bi-Weekly",14,Q558="Annually",365,Q558="Every 3 Months",90,TRUE,"NOT FOUND")</f>
        <v>14</v>
      </c>
    </row>
    <row r="559" spans="1:19" x14ac:dyDescent="0.35">
      <c r="A559">
        <v>558</v>
      </c>
      <c r="B559">
        <v>18</v>
      </c>
      <c r="C559" t="s">
        <v>7</v>
      </c>
      <c r="D559" t="s">
        <v>43</v>
      </c>
      <c r="E559" t="s">
        <v>9</v>
      </c>
      <c r="F559">
        <v>60</v>
      </c>
      <c r="G559" t="s">
        <v>108</v>
      </c>
      <c r="H559" t="s">
        <v>32</v>
      </c>
      <c r="I559" t="s">
        <v>40</v>
      </c>
      <c r="J559" t="s">
        <v>25</v>
      </c>
      <c r="K559">
        <v>2.9</v>
      </c>
      <c r="L559" t="s">
        <v>14</v>
      </c>
      <c r="M559" t="s">
        <v>26</v>
      </c>
      <c r="N559" t="s">
        <v>14</v>
      </c>
      <c r="O559">
        <v>31</v>
      </c>
      <c r="P559" t="s">
        <v>74</v>
      </c>
      <c r="Q559" t="s">
        <v>28</v>
      </c>
      <c r="R559" t="str" cm="1">
        <f t="array" ref="R559">_xlfn.IFS(B559&lt;31,"Young-Adult",B559&lt;41,"Adult",B559&lt;61,"Middle-aged",B559&gt;=61,"Senior")</f>
        <v>Young-Adult</v>
      </c>
      <c r="S559" cm="1">
        <f t="array" ref="S559">_xlfn.IFS(Q559 ="Fortnightly",14,Q559="Weekly",7,Q559="Monthly",30,Q559="Quarterly",90,Q559="Bi-Weekly",14,Q559="Annually",365,Q559="Every 3 Months",90,TRUE,"NOT FOUND")</f>
        <v>7</v>
      </c>
    </row>
    <row r="560" spans="1:19" x14ac:dyDescent="0.35">
      <c r="A560">
        <v>559</v>
      </c>
      <c r="B560">
        <v>50</v>
      </c>
      <c r="C560" t="s">
        <v>7</v>
      </c>
      <c r="D560" t="s">
        <v>38</v>
      </c>
      <c r="E560" t="s">
        <v>30</v>
      </c>
      <c r="F560">
        <v>77</v>
      </c>
      <c r="G560" t="s">
        <v>134</v>
      </c>
      <c r="H560" t="s">
        <v>11</v>
      </c>
      <c r="I560" t="s">
        <v>73</v>
      </c>
      <c r="J560" t="s">
        <v>45</v>
      </c>
      <c r="K560">
        <v>3.2</v>
      </c>
      <c r="L560" t="s">
        <v>14</v>
      </c>
      <c r="M560" t="s">
        <v>15</v>
      </c>
      <c r="N560" t="s">
        <v>14</v>
      </c>
      <c r="O560">
        <v>43</v>
      </c>
      <c r="P560" t="s">
        <v>74</v>
      </c>
      <c r="Q560" t="s">
        <v>85</v>
      </c>
      <c r="R560" t="str" cm="1">
        <f t="array" ref="R560">_xlfn.IFS(B560&lt;31,"Young-Adult",B560&lt;41,"Adult",B560&lt;61,"Middle-aged",B560&gt;=61,"Senior")</f>
        <v>Middle-aged</v>
      </c>
      <c r="S560" cm="1">
        <f t="array" ref="S560">_xlfn.IFS(Q560 ="Fortnightly",14,Q560="Weekly",7,Q560="Monthly",30,Q560="Quarterly",90,Q560="Bi-Weekly",14,Q560="Annually",365,Q560="Every 3 Months",90,TRUE,"NOT FOUND")</f>
        <v>90</v>
      </c>
    </row>
    <row r="561" spans="1:19" x14ac:dyDescent="0.35">
      <c r="A561">
        <v>560</v>
      </c>
      <c r="B561">
        <v>66</v>
      </c>
      <c r="C561" t="s">
        <v>7</v>
      </c>
      <c r="D561" t="s">
        <v>107</v>
      </c>
      <c r="E561" t="s">
        <v>55</v>
      </c>
      <c r="F561">
        <v>41</v>
      </c>
      <c r="G561" t="s">
        <v>105</v>
      </c>
      <c r="H561" t="s">
        <v>32</v>
      </c>
      <c r="I561" t="s">
        <v>114</v>
      </c>
      <c r="J561" t="s">
        <v>45</v>
      </c>
      <c r="K561">
        <v>2.9</v>
      </c>
      <c r="L561" t="s">
        <v>14</v>
      </c>
      <c r="M561" t="s">
        <v>62</v>
      </c>
      <c r="N561" t="s">
        <v>14</v>
      </c>
      <c r="O561">
        <v>22</v>
      </c>
      <c r="P561" t="s">
        <v>63</v>
      </c>
      <c r="Q561" t="s">
        <v>76</v>
      </c>
      <c r="R561" t="str" cm="1">
        <f t="array" ref="R561">_xlfn.IFS(B561&lt;31,"Young-Adult",B561&lt;41,"Adult",B561&lt;61,"Middle-aged",B561&gt;=61,"Senior")</f>
        <v>Senior</v>
      </c>
      <c r="S561" cm="1">
        <f t="array" ref="S561">_xlfn.IFS(Q561 ="Fortnightly",14,Q561="Weekly",7,Q561="Monthly",30,Q561="Quarterly",90,Q561="Bi-Weekly",14,Q561="Annually",365,Q561="Every 3 Months",90,TRUE,"NOT FOUND")</f>
        <v>30</v>
      </c>
    </row>
    <row r="562" spans="1:19" x14ac:dyDescent="0.35">
      <c r="A562">
        <v>561</v>
      </c>
      <c r="B562">
        <v>25</v>
      </c>
      <c r="C562" t="s">
        <v>7</v>
      </c>
      <c r="D562" t="s">
        <v>94</v>
      </c>
      <c r="E562" t="s">
        <v>55</v>
      </c>
      <c r="F562">
        <v>48</v>
      </c>
      <c r="G562" t="s">
        <v>48</v>
      </c>
      <c r="H562" t="s">
        <v>11</v>
      </c>
      <c r="I562" t="s">
        <v>96</v>
      </c>
      <c r="J562" t="s">
        <v>45</v>
      </c>
      <c r="K562">
        <v>3.8</v>
      </c>
      <c r="L562" t="s">
        <v>14</v>
      </c>
      <c r="M562" t="s">
        <v>26</v>
      </c>
      <c r="N562" t="s">
        <v>14</v>
      </c>
      <c r="O562">
        <v>12</v>
      </c>
      <c r="P562" t="s">
        <v>74</v>
      </c>
      <c r="Q562" t="s">
        <v>37</v>
      </c>
      <c r="R562" t="str" cm="1">
        <f t="array" ref="R562">_xlfn.IFS(B562&lt;31,"Young-Adult",B562&lt;41,"Adult",B562&lt;61,"Middle-aged",B562&gt;=61,"Senior")</f>
        <v>Young-Adult</v>
      </c>
      <c r="S562" cm="1">
        <f t="array" ref="S562">_xlfn.IFS(Q562 ="Fortnightly",14,Q562="Weekly",7,Q562="Monthly",30,Q562="Quarterly",90,Q562="Bi-Weekly",14,Q562="Annually",365,Q562="Every 3 Months",90,TRUE,"NOT FOUND")</f>
        <v>365</v>
      </c>
    </row>
    <row r="563" spans="1:19" x14ac:dyDescent="0.35">
      <c r="A563">
        <v>562</v>
      </c>
      <c r="B563">
        <v>65</v>
      </c>
      <c r="C563" t="s">
        <v>7</v>
      </c>
      <c r="D563" t="s">
        <v>90</v>
      </c>
      <c r="E563" t="s">
        <v>51</v>
      </c>
      <c r="F563">
        <v>65</v>
      </c>
      <c r="G563" t="s">
        <v>78</v>
      </c>
      <c r="H563" t="s">
        <v>32</v>
      </c>
      <c r="I563" t="s">
        <v>132</v>
      </c>
      <c r="J563" t="s">
        <v>45</v>
      </c>
      <c r="K563">
        <v>2.6</v>
      </c>
      <c r="L563" t="s">
        <v>14</v>
      </c>
      <c r="M563" t="s">
        <v>33</v>
      </c>
      <c r="N563" t="s">
        <v>14</v>
      </c>
      <c r="O563">
        <v>25</v>
      </c>
      <c r="P563" t="s">
        <v>34</v>
      </c>
      <c r="Q563" t="s">
        <v>17</v>
      </c>
      <c r="R563" t="str" cm="1">
        <f t="array" ref="R563">_xlfn.IFS(B563&lt;31,"Young-Adult",B563&lt;41,"Adult",B563&lt;61,"Middle-aged",B563&gt;=61,"Senior")</f>
        <v>Senior</v>
      </c>
      <c r="S563" cm="1">
        <f t="array" ref="S563">_xlfn.IFS(Q563 ="Fortnightly",14,Q563="Weekly",7,Q563="Monthly",30,Q563="Quarterly",90,Q563="Bi-Weekly",14,Q563="Annually",365,Q563="Every 3 Months",90,TRUE,"NOT FOUND")</f>
        <v>14</v>
      </c>
    </row>
    <row r="564" spans="1:19" x14ac:dyDescent="0.35">
      <c r="A564">
        <v>563</v>
      </c>
      <c r="B564">
        <v>53</v>
      </c>
      <c r="C564" t="s">
        <v>7</v>
      </c>
      <c r="D564" t="s">
        <v>22</v>
      </c>
      <c r="E564" t="s">
        <v>9</v>
      </c>
      <c r="F564">
        <v>62</v>
      </c>
      <c r="G564" t="s">
        <v>56</v>
      </c>
      <c r="H564" t="s">
        <v>32</v>
      </c>
      <c r="I564" t="s">
        <v>132</v>
      </c>
      <c r="J564" t="s">
        <v>41</v>
      </c>
      <c r="K564">
        <v>3.5</v>
      </c>
      <c r="L564" t="s">
        <v>14</v>
      </c>
      <c r="M564" t="s">
        <v>42</v>
      </c>
      <c r="N564" t="s">
        <v>14</v>
      </c>
      <c r="O564">
        <v>40</v>
      </c>
      <c r="P564" t="s">
        <v>74</v>
      </c>
      <c r="Q564" t="s">
        <v>37</v>
      </c>
      <c r="R564" t="str" cm="1">
        <f t="array" ref="R564">_xlfn.IFS(B564&lt;31,"Young-Adult",B564&lt;41,"Adult",B564&lt;61,"Middle-aged",B564&gt;=61,"Senior")</f>
        <v>Middle-aged</v>
      </c>
      <c r="S564" cm="1">
        <f t="array" ref="S564">_xlfn.IFS(Q564 ="Fortnightly",14,Q564="Weekly",7,Q564="Monthly",30,Q564="Quarterly",90,Q564="Bi-Weekly",14,Q564="Annually",365,Q564="Every 3 Months",90,TRUE,"NOT FOUND")</f>
        <v>365</v>
      </c>
    </row>
    <row r="565" spans="1:19" x14ac:dyDescent="0.35">
      <c r="A565">
        <v>564</v>
      </c>
      <c r="B565">
        <v>61</v>
      </c>
      <c r="C565" t="s">
        <v>7</v>
      </c>
      <c r="D565" t="s">
        <v>59</v>
      </c>
      <c r="E565" t="s">
        <v>30</v>
      </c>
      <c r="F565">
        <v>99</v>
      </c>
      <c r="G565" t="s">
        <v>123</v>
      </c>
      <c r="H565" t="s">
        <v>32</v>
      </c>
      <c r="I565" t="s">
        <v>82</v>
      </c>
      <c r="J565" t="s">
        <v>45</v>
      </c>
      <c r="K565">
        <v>4.4000000000000004</v>
      </c>
      <c r="L565" t="s">
        <v>14</v>
      </c>
      <c r="M565" t="s">
        <v>42</v>
      </c>
      <c r="N565" t="s">
        <v>14</v>
      </c>
      <c r="O565">
        <v>16</v>
      </c>
      <c r="P565" t="s">
        <v>74</v>
      </c>
      <c r="Q565" t="s">
        <v>46</v>
      </c>
      <c r="R565" t="str" cm="1">
        <f t="array" ref="R565">_xlfn.IFS(B565&lt;31,"Young-Adult",B565&lt;41,"Adult",B565&lt;61,"Middle-aged",B565&gt;=61,"Senior")</f>
        <v>Senior</v>
      </c>
      <c r="S565" cm="1">
        <f t="array" ref="S565">_xlfn.IFS(Q565 ="Fortnightly",14,Q565="Weekly",7,Q565="Monthly",30,Q565="Quarterly",90,Q565="Bi-Weekly",14,Q565="Annually",365,Q565="Every 3 Months",90,TRUE,"NOT FOUND")</f>
        <v>90</v>
      </c>
    </row>
    <row r="566" spans="1:19" x14ac:dyDescent="0.35">
      <c r="A566">
        <v>565</v>
      </c>
      <c r="B566">
        <v>67</v>
      </c>
      <c r="C566" t="s">
        <v>7</v>
      </c>
      <c r="D566" t="s">
        <v>92</v>
      </c>
      <c r="E566" t="s">
        <v>9</v>
      </c>
      <c r="F566">
        <v>58</v>
      </c>
      <c r="G566" t="s">
        <v>91</v>
      </c>
      <c r="H566" t="s">
        <v>32</v>
      </c>
      <c r="I566" t="s">
        <v>66</v>
      </c>
      <c r="J566" t="s">
        <v>13</v>
      </c>
      <c r="K566">
        <v>3.4</v>
      </c>
      <c r="L566" t="s">
        <v>14</v>
      </c>
      <c r="M566" t="s">
        <v>33</v>
      </c>
      <c r="N566" t="s">
        <v>14</v>
      </c>
      <c r="O566">
        <v>30</v>
      </c>
      <c r="P566" t="s">
        <v>63</v>
      </c>
      <c r="Q566" t="s">
        <v>28</v>
      </c>
      <c r="R566" t="str" cm="1">
        <f t="array" ref="R566">_xlfn.IFS(B566&lt;31,"Young-Adult",B566&lt;41,"Adult",B566&lt;61,"Middle-aged",B566&gt;=61,"Senior")</f>
        <v>Senior</v>
      </c>
      <c r="S566" cm="1">
        <f t="array" ref="S566">_xlfn.IFS(Q566 ="Fortnightly",14,Q566="Weekly",7,Q566="Monthly",30,Q566="Quarterly",90,Q566="Bi-Weekly",14,Q566="Annually",365,Q566="Every 3 Months",90,TRUE,"NOT FOUND")</f>
        <v>7</v>
      </c>
    </row>
    <row r="567" spans="1:19" x14ac:dyDescent="0.35">
      <c r="A567">
        <v>566</v>
      </c>
      <c r="B567">
        <v>59</v>
      </c>
      <c r="C567" t="s">
        <v>7</v>
      </c>
      <c r="D567" t="s">
        <v>120</v>
      </c>
      <c r="E567" t="s">
        <v>55</v>
      </c>
      <c r="F567">
        <v>43</v>
      </c>
      <c r="G567" t="s">
        <v>123</v>
      </c>
      <c r="H567" t="s">
        <v>11</v>
      </c>
      <c r="I567" t="s">
        <v>81</v>
      </c>
      <c r="J567" t="s">
        <v>45</v>
      </c>
      <c r="K567">
        <v>4.2</v>
      </c>
      <c r="L567" t="s">
        <v>14</v>
      </c>
      <c r="M567" t="s">
        <v>62</v>
      </c>
      <c r="N567" t="s">
        <v>14</v>
      </c>
      <c r="O567">
        <v>10</v>
      </c>
      <c r="P567" t="s">
        <v>16</v>
      </c>
      <c r="Q567" t="s">
        <v>28</v>
      </c>
      <c r="R567" t="str" cm="1">
        <f t="array" ref="R567">_xlfn.IFS(B567&lt;31,"Young-Adult",B567&lt;41,"Adult",B567&lt;61,"Middle-aged",B567&gt;=61,"Senior")</f>
        <v>Middle-aged</v>
      </c>
      <c r="S567" cm="1">
        <f t="array" ref="S567">_xlfn.IFS(Q567 ="Fortnightly",14,Q567="Weekly",7,Q567="Monthly",30,Q567="Quarterly",90,Q567="Bi-Weekly",14,Q567="Annually",365,Q567="Every 3 Months",90,TRUE,"NOT FOUND")</f>
        <v>7</v>
      </c>
    </row>
    <row r="568" spans="1:19" x14ac:dyDescent="0.35">
      <c r="A568">
        <v>567</v>
      </c>
      <c r="B568">
        <v>55</v>
      </c>
      <c r="C568" t="s">
        <v>7</v>
      </c>
      <c r="D568" t="s">
        <v>38</v>
      </c>
      <c r="E568" t="s">
        <v>30</v>
      </c>
      <c r="F568">
        <v>93</v>
      </c>
      <c r="G568" t="s">
        <v>78</v>
      </c>
      <c r="H568" t="s">
        <v>32</v>
      </c>
      <c r="I568" t="s">
        <v>114</v>
      </c>
      <c r="J568" t="s">
        <v>25</v>
      </c>
      <c r="K568">
        <v>3.6</v>
      </c>
      <c r="L568" t="s">
        <v>14</v>
      </c>
      <c r="M568" t="s">
        <v>62</v>
      </c>
      <c r="N568" t="s">
        <v>14</v>
      </c>
      <c r="O568">
        <v>1</v>
      </c>
      <c r="P568" t="s">
        <v>74</v>
      </c>
      <c r="Q568" t="s">
        <v>17</v>
      </c>
      <c r="R568" t="str" cm="1">
        <f t="array" ref="R568">_xlfn.IFS(B568&lt;31,"Young-Adult",B568&lt;41,"Adult",B568&lt;61,"Middle-aged",B568&gt;=61,"Senior")</f>
        <v>Middle-aged</v>
      </c>
      <c r="S568" cm="1">
        <f t="array" ref="S568">_xlfn.IFS(Q568 ="Fortnightly",14,Q568="Weekly",7,Q568="Monthly",30,Q568="Quarterly",90,Q568="Bi-Weekly",14,Q568="Annually",365,Q568="Every 3 Months",90,TRUE,"NOT FOUND")</f>
        <v>14</v>
      </c>
    </row>
    <row r="569" spans="1:19" x14ac:dyDescent="0.35">
      <c r="A569">
        <v>568</v>
      </c>
      <c r="B569">
        <v>21</v>
      </c>
      <c r="C569" t="s">
        <v>7</v>
      </c>
      <c r="D569" t="s">
        <v>8</v>
      </c>
      <c r="E569" t="s">
        <v>9</v>
      </c>
      <c r="F569">
        <v>50</v>
      </c>
      <c r="G569" t="s">
        <v>70</v>
      </c>
      <c r="H569" t="s">
        <v>24</v>
      </c>
      <c r="I569" t="s">
        <v>96</v>
      </c>
      <c r="J569" t="s">
        <v>13</v>
      </c>
      <c r="K569">
        <v>3</v>
      </c>
      <c r="L569" t="s">
        <v>14</v>
      </c>
      <c r="M569" t="s">
        <v>33</v>
      </c>
      <c r="N569" t="s">
        <v>14</v>
      </c>
      <c r="O569">
        <v>24</v>
      </c>
      <c r="P569" t="s">
        <v>16</v>
      </c>
      <c r="Q569" t="s">
        <v>17</v>
      </c>
      <c r="R569" t="str" cm="1">
        <f t="array" ref="R569">_xlfn.IFS(B569&lt;31,"Young-Adult",B569&lt;41,"Adult",B569&lt;61,"Middle-aged",B569&gt;=61,"Senior")</f>
        <v>Young-Adult</v>
      </c>
      <c r="S569" cm="1">
        <f t="array" ref="S569">_xlfn.IFS(Q569 ="Fortnightly",14,Q569="Weekly",7,Q569="Monthly",30,Q569="Quarterly",90,Q569="Bi-Weekly",14,Q569="Annually",365,Q569="Every 3 Months",90,TRUE,"NOT FOUND")</f>
        <v>14</v>
      </c>
    </row>
    <row r="570" spans="1:19" x14ac:dyDescent="0.35">
      <c r="A570">
        <v>569</v>
      </c>
      <c r="B570">
        <v>44</v>
      </c>
      <c r="C570" t="s">
        <v>7</v>
      </c>
      <c r="D570" t="s">
        <v>83</v>
      </c>
      <c r="E570" t="s">
        <v>9</v>
      </c>
      <c r="F570">
        <v>88</v>
      </c>
      <c r="G570" t="s">
        <v>128</v>
      </c>
      <c r="H570" t="s">
        <v>11</v>
      </c>
      <c r="I570" t="s">
        <v>96</v>
      </c>
      <c r="J570" t="s">
        <v>41</v>
      </c>
      <c r="K570">
        <v>4</v>
      </c>
      <c r="L570" t="s">
        <v>14</v>
      </c>
      <c r="M570" t="s">
        <v>26</v>
      </c>
      <c r="N570" t="s">
        <v>14</v>
      </c>
      <c r="O570">
        <v>36</v>
      </c>
      <c r="P570" t="s">
        <v>34</v>
      </c>
      <c r="Q570" t="s">
        <v>76</v>
      </c>
      <c r="R570" t="str" cm="1">
        <f t="array" ref="R570">_xlfn.IFS(B570&lt;31,"Young-Adult",B570&lt;41,"Adult",B570&lt;61,"Middle-aged",B570&gt;=61,"Senior")</f>
        <v>Middle-aged</v>
      </c>
      <c r="S570" cm="1">
        <f t="array" ref="S570">_xlfn.IFS(Q570 ="Fortnightly",14,Q570="Weekly",7,Q570="Monthly",30,Q570="Quarterly",90,Q570="Bi-Weekly",14,Q570="Annually",365,Q570="Every 3 Months",90,TRUE,"NOT FOUND")</f>
        <v>30</v>
      </c>
    </row>
    <row r="571" spans="1:19" x14ac:dyDescent="0.35">
      <c r="A571">
        <v>570</v>
      </c>
      <c r="B571">
        <v>65</v>
      </c>
      <c r="C571" t="s">
        <v>7</v>
      </c>
      <c r="D571" t="s">
        <v>75</v>
      </c>
      <c r="E571" t="s">
        <v>9</v>
      </c>
      <c r="F571">
        <v>33</v>
      </c>
      <c r="G571" t="s">
        <v>78</v>
      </c>
      <c r="H571" t="s">
        <v>32</v>
      </c>
      <c r="I571" t="s">
        <v>57</v>
      </c>
      <c r="J571" t="s">
        <v>45</v>
      </c>
      <c r="K571">
        <v>4.4000000000000004</v>
      </c>
      <c r="L571" t="s">
        <v>14</v>
      </c>
      <c r="M571" t="s">
        <v>15</v>
      </c>
      <c r="N571" t="s">
        <v>14</v>
      </c>
      <c r="O571">
        <v>46</v>
      </c>
      <c r="P571" t="s">
        <v>27</v>
      </c>
      <c r="Q571" t="s">
        <v>85</v>
      </c>
      <c r="R571" t="str" cm="1">
        <f t="array" ref="R571">_xlfn.IFS(B571&lt;31,"Young-Adult",B571&lt;41,"Adult",B571&lt;61,"Middle-aged",B571&gt;=61,"Senior")</f>
        <v>Senior</v>
      </c>
      <c r="S571" cm="1">
        <f t="array" ref="S571">_xlfn.IFS(Q571 ="Fortnightly",14,Q571="Weekly",7,Q571="Monthly",30,Q571="Quarterly",90,Q571="Bi-Weekly",14,Q571="Annually",365,Q571="Every 3 Months",90,TRUE,"NOT FOUND")</f>
        <v>90</v>
      </c>
    </row>
    <row r="572" spans="1:19" x14ac:dyDescent="0.35">
      <c r="A572">
        <v>571</v>
      </c>
      <c r="B572">
        <v>65</v>
      </c>
      <c r="C572" t="s">
        <v>7</v>
      </c>
      <c r="D572" t="s">
        <v>101</v>
      </c>
      <c r="E572" t="s">
        <v>9</v>
      </c>
      <c r="F572">
        <v>99</v>
      </c>
      <c r="G572" t="s">
        <v>134</v>
      </c>
      <c r="H572" t="s">
        <v>80</v>
      </c>
      <c r="I572" t="s">
        <v>61</v>
      </c>
      <c r="J572" t="s">
        <v>45</v>
      </c>
      <c r="K572">
        <v>4.0999999999999996</v>
      </c>
      <c r="L572" t="s">
        <v>14</v>
      </c>
      <c r="M572" t="s">
        <v>42</v>
      </c>
      <c r="N572" t="s">
        <v>14</v>
      </c>
      <c r="O572">
        <v>20</v>
      </c>
      <c r="P572" t="s">
        <v>21</v>
      </c>
      <c r="Q572" t="s">
        <v>37</v>
      </c>
      <c r="R572" t="str" cm="1">
        <f t="array" ref="R572">_xlfn.IFS(B572&lt;31,"Young-Adult",B572&lt;41,"Adult",B572&lt;61,"Middle-aged",B572&gt;=61,"Senior")</f>
        <v>Senior</v>
      </c>
      <c r="S572" cm="1">
        <f t="array" ref="S572">_xlfn.IFS(Q572 ="Fortnightly",14,Q572="Weekly",7,Q572="Monthly",30,Q572="Quarterly",90,Q572="Bi-Weekly",14,Q572="Annually",365,Q572="Every 3 Months",90,TRUE,"NOT FOUND")</f>
        <v>365</v>
      </c>
    </row>
    <row r="573" spans="1:19" x14ac:dyDescent="0.35">
      <c r="A573">
        <v>572</v>
      </c>
      <c r="B573">
        <v>54</v>
      </c>
      <c r="C573" t="s">
        <v>7</v>
      </c>
      <c r="D573" t="s">
        <v>90</v>
      </c>
      <c r="E573" t="s">
        <v>51</v>
      </c>
      <c r="F573">
        <v>76</v>
      </c>
      <c r="G573" t="s">
        <v>10</v>
      </c>
      <c r="H573" t="s">
        <v>80</v>
      </c>
      <c r="I573" t="s">
        <v>97</v>
      </c>
      <c r="J573" t="s">
        <v>25</v>
      </c>
      <c r="K573">
        <v>3.6</v>
      </c>
      <c r="L573" t="s">
        <v>14</v>
      </c>
      <c r="M573" t="s">
        <v>26</v>
      </c>
      <c r="N573" t="s">
        <v>14</v>
      </c>
      <c r="O573">
        <v>37</v>
      </c>
      <c r="P573" t="s">
        <v>16</v>
      </c>
      <c r="Q573" t="s">
        <v>28</v>
      </c>
      <c r="R573" t="str" cm="1">
        <f t="array" ref="R573">_xlfn.IFS(B573&lt;31,"Young-Adult",B573&lt;41,"Adult",B573&lt;61,"Middle-aged",B573&gt;=61,"Senior")</f>
        <v>Middle-aged</v>
      </c>
      <c r="S573" cm="1">
        <f t="array" ref="S573">_xlfn.IFS(Q573 ="Fortnightly",14,Q573="Weekly",7,Q573="Monthly",30,Q573="Quarterly",90,Q573="Bi-Weekly",14,Q573="Annually",365,Q573="Every 3 Months",90,TRUE,"NOT FOUND")</f>
        <v>7</v>
      </c>
    </row>
    <row r="574" spans="1:19" x14ac:dyDescent="0.35">
      <c r="A574">
        <v>573</v>
      </c>
      <c r="B574">
        <v>56</v>
      </c>
      <c r="C574" t="s">
        <v>7</v>
      </c>
      <c r="D574" t="s">
        <v>107</v>
      </c>
      <c r="E574" t="s">
        <v>55</v>
      </c>
      <c r="F574">
        <v>97</v>
      </c>
      <c r="G574" t="s">
        <v>119</v>
      </c>
      <c r="H574" t="s">
        <v>80</v>
      </c>
      <c r="I574" t="s">
        <v>97</v>
      </c>
      <c r="J574" t="s">
        <v>41</v>
      </c>
      <c r="K574">
        <v>4.5999999999999996</v>
      </c>
      <c r="L574" t="s">
        <v>14</v>
      </c>
      <c r="M574" t="s">
        <v>33</v>
      </c>
      <c r="N574" t="s">
        <v>14</v>
      </c>
      <c r="O574">
        <v>26</v>
      </c>
      <c r="P574" t="s">
        <v>63</v>
      </c>
      <c r="Q574" t="s">
        <v>37</v>
      </c>
      <c r="R574" t="str" cm="1">
        <f t="array" ref="R574">_xlfn.IFS(B574&lt;31,"Young-Adult",B574&lt;41,"Adult",B574&lt;61,"Middle-aged",B574&gt;=61,"Senior")</f>
        <v>Middle-aged</v>
      </c>
      <c r="S574" cm="1">
        <f t="array" ref="S574">_xlfn.IFS(Q574 ="Fortnightly",14,Q574="Weekly",7,Q574="Monthly",30,Q574="Quarterly",90,Q574="Bi-Weekly",14,Q574="Annually",365,Q574="Every 3 Months",90,TRUE,"NOT FOUND")</f>
        <v>365</v>
      </c>
    </row>
    <row r="575" spans="1:19" x14ac:dyDescent="0.35">
      <c r="A575">
        <v>574</v>
      </c>
      <c r="B575">
        <v>58</v>
      </c>
      <c r="C575" t="s">
        <v>7</v>
      </c>
      <c r="D575" t="s">
        <v>83</v>
      </c>
      <c r="E575" t="s">
        <v>9</v>
      </c>
      <c r="F575">
        <v>68</v>
      </c>
      <c r="G575" t="s">
        <v>87</v>
      </c>
      <c r="H575" t="s">
        <v>32</v>
      </c>
      <c r="I575" t="s">
        <v>49</v>
      </c>
      <c r="J575" t="s">
        <v>41</v>
      </c>
      <c r="K575">
        <v>3.2</v>
      </c>
      <c r="L575" t="s">
        <v>14</v>
      </c>
      <c r="M575" t="s">
        <v>58</v>
      </c>
      <c r="N575" t="s">
        <v>14</v>
      </c>
      <c r="O575">
        <v>23</v>
      </c>
      <c r="P575" t="s">
        <v>27</v>
      </c>
      <c r="Q575" t="s">
        <v>64</v>
      </c>
      <c r="R575" t="str" cm="1">
        <f t="array" ref="R575">_xlfn.IFS(B575&lt;31,"Young-Adult",B575&lt;41,"Adult",B575&lt;61,"Middle-aged",B575&gt;=61,"Senior")</f>
        <v>Middle-aged</v>
      </c>
      <c r="S575" cm="1">
        <f t="array" ref="S575">_xlfn.IFS(Q575 ="Fortnightly",14,Q575="Weekly",7,Q575="Monthly",30,Q575="Quarterly",90,Q575="Bi-Weekly",14,Q575="Annually",365,Q575="Every 3 Months",90,TRUE,"NOT FOUND")</f>
        <v>14</v>
      </c>
    </row>
    <row r="576" spans="1:19" x14ac:dyDescent="0.35">
      <c r="A576">
        <v>575</v>
      </c>
      <c r="B576">
        <v>54</v>
      </c>
      <c r="C576" t="s">
        <v>7</v>
      </c>
      <c r="D576" t="s">
        <v>38</v>
      </c>
      <c r="E576" t="s">
        <v>30</v>
      </c>
      <c r="F576">
        <v>79</v>
      </c>
      <c r="G576" t="s">
        <v>19</v>
      </c>
      <c r="H576" t="s">
        <v>11</v>
      </c>
      <c r="I576" t="s">
        <v>96</v>
      </c>
      <c r="J576" t="s">
        <v>45</v>
      </c>
      <c r="K576">
        <v>4.8</v>
      </c>
      <c r="L576" t="s">
        <v>14</v>
      </c>
      <c r="M576" t="s">
        <v>26</v>
      </c>
      <c r="N576" t="s">
        <v>14</v>
      </c>
      <c r="O576">
        <v>20</v>
      </c>
      <c r="P576" t="s">
        <v>63</v>
      </c>
      <c r="Q576" t="s">
        <v>64</v>
      </c>
      <c r="R576" t="str" cm="1">
        <f t="array" ref="R576">_xlfn.IFS(B576&lt;31,"Young-Adult",B576&lt;41,"Adult",B576&lt;61,"Middle-aged",B576&gt;=61,"Senior")</f>
        <v>Middle-aged</v>
      </c>
      <c r="S576" cm="1">
        <f t="array" ref="S576">_xlfn.IFS(Q576 ="Fortnightly",14,Q576="Weekly",7,Q576="Monthly",30,Q576="Quarterly",90,Q576="Bi-Weekly",14,Q576="Annually",365,Q576="Every 3 Months",90,TRUE,"NOT FOUND")</f>
        <v>14</v>
      </c>
    </row>
    <row r="577" spans="1:19" x14ac:dyDescent="0.35">
      <c r="A577">
        <v>576</v>
      </c>
      <c r="B577">
        <v>58</v>
      </c>
      <c r="C577" t="s">
        <v>7</v>
      </c>
      <c r="D577" t="s">
        <v>22</v>
      </c>
      <c r="E577" t="s">
        <v>9</v>
      </c>
      <c r="F577">
        <v>86</v>
      </c>
      <c r="G577" t="s">
        <v>133</v>
      </c>
      <c r="H577" t="s">
        <v>32</v>
      </c>
      <c r="I577" t="s">
        <v>88</v>
      </c>
      <c r="J577" t="s">
        <v>45</v>
      </c>
      <c r="K577">
        <v>4.8</v>
      </c>
      <c r="L577" t="s">
        <v>14</v>
      </c>
      <c r="M577" t="s">
        <v>15</v>
      </c>
      <c r="N577" t="s">
        <v>14</v>
      </c>
      <c r="O577">
        <v>38</v>
      </c>
      <c r="P577" t="s">
        <v>34</v>
      </c>
      <c r="Q577" t="s">
        <v>76</v>
      </c>
      <c r="R577" t="str" cm="1">
        <f t="array" ref="R577">_xlfn.IFS(B577&lt;31,"Young-Adult",B577&lt;41,"Adult",B577&lt;61,"Middle-aged",B577&gt;=61,"Senior")</f>
        <v>Middle-aged</v>
      </c>
      <c r="S577" cm="1">
        <f t="array" ref="S577">_xlfn.IFS(Q577 ="Fortnightly",14,Q577="Weekly",7,Q577="Monthly",30,Q577="Quarterly",90,Q577="Bi-Weekly",14,Q577="Annually",365,Q577="Every 3 Months",90,TRUE,"NOT FOUND")</f>
        <v>30</v>
      </c>
    </row>
    <row r="578" spans="1:19" x14ac:dyDescent="0.35">
      <c r="A578">
        <v>577</v>
      </c>
      <c r="B578">
        <v>48</v>
      </c>
      <c r="C578" t="s">
        <v>7</v>
      </c>
      <c r="D578" t="s">
        <v>112</v>
      </c>
      <c r="E578" t="s">
        <v>55</v>
      </c>
      <c r="F578">
        <v>68</v>
      </c>
      <c r="G578" t="s">
        <v>137</v>
      </c>
      <c r="H578" t="s">
        <v>32</v>
      </c>
      <c r="I578" t="s">
        <v>82</v>
      </c>
      <c r="J578" t="s">
        <v>13</v>
      </c>
      <c r="K578">
        <v>5</v>
      </c>
      <c r="L578" t="s">
        <v>14</v>
      </c>
      <c r="M578" t="s">
        <v>58</v>
      </c>
      <c r="N578" t="s">
        <v>14</v>
      </c>
      <c r="O578">
        <v>5</v>
      </c>
      <c r="P578" t="s">
        <v>27</v>
      </c>
      <c r="Q578" t="s">
        <v>85</v>
      </c>
      <c r="R578" t="str" cm="1">
        <f t="array" ref="R578">_xlfn.IFS(B578&lt;31,"Young-Adult",B578&lt;41,"Adult",B578&lt;61,"Middle-aged",B578&gt;=61,"Senior")</f>
        <v>Middle-aged</v>
      </c>
      <c r="S578" cm="1">
        <f t="array" ref="S578">_xlfn.IFS(Q578 ="Fortnightly",14,Q578="Weekly",7,Q578="Monthly",30,Q578="Quarterly",90,Q578="Bi-Weekly",14,Q578="Annually",365,Q578="Every 3 Months",90,TRUE,"NOT FOUND")</f>
        <v>90</v>
      </c>
    </row>
    <row r="579" spans="1:19" x14ac:dyDescent="0.35">
      <c r="A579">
        <v>578</v>
      </c>
      <c r="B579">
        <v>19</v>
      </c>
      <c r="C579" t="s">
        <v>7</v>
      </c>
      <c r="D579" t="s">
        <v>75</v>
      </c>
      <c r="E579" t="s">
        <v>9</v>
      </c>
      <c r="F579">
        <v>52</v>
      </c>
      <c r="G579" t="s">
        <v>78</v>
      </c>
      <c r="H579" t="s">
        <v>32</v>
      </c>
      <c r="I579" t="s">
        <v>82</v>
      </c>
      <c r="J579" t="s">
        <v>45</v>
      </c>
      <c r="K579">
        <v>3.7</v>
      </c>
      <c r="L579" t="s">
        <v>14</v>
      </c>
      <c r="M579" t="s">
        <v>62</v>
      </c>
      <c r="N579" t="s">
        <v>14</v>
      </c>
      <c r="O579">
        <v>41</v>
      </c>
      <c r="P579" t="s">
        <v>16</v>
      </c>
      <c r="Q579" t="s">
        <v>37</v>
      </c>
      <c r="R579" t="str" cm="1">
        <f t="array" ref="R579">_xlfn.IFS(B579&lt;31,"Young-Adult",B579&lt;41,"Adult",B579&lt;61,"Middle-aged",B579&gt;=61,"Senior")</f>
        <v>Young-Adult</v>
      </c>
      <c r="S579" cm="1">
        <f t="array" ref="S579">_xlfn.IFS(Q579 ="Fortnightly",14,Q579="Weekly",7,Q579="Monthly",30,Q579="Quarterly",90,Q579="Bi-Weekly",14,Q579="Annually",365,Q579="Every 3 Months",90,TRUE,"NOT FOUND")</f>
        <v>365</v>
      </c>
    </row>
    <row r="580" spans="1:19" x14ac:dyDescent="0.35">
      <c r="A580">
        <v>579</v>
      </c>
      <c r="B580">
        <v>69</v>
      </c>
      <c r="C580" t="s">
        <v>7</v>
      </c>
      <c r="D580" t="s">
        <v>29</v>
      </c>
      <c r="E580" t="s">
        <v>30</v>
      </c>
      <c r="F580">
        <v>90</v>
      </c>
      <c r="G580" t="s">
        <v>19</v>
      </c>
      <c r="H580" t="s">
        <v>32</v>
      </c>
      <c r="I580" t="s">
        <v>61</v>
      </c>
      <c r="J580" t="s">
        <v>45</v>
      </c>
      <c r="K580">
        <v>4.5999999999999996</v>
      </c>
      <c r="L580" t="s">
        <v>14</v>
      </c>
      <c r="M580" t="s">
        <v>33</v>
      </c>
      <c r="N580" t="s">
        <v>14</v>
      </c>
      <c r="O580">
        <v>22</v>
      </c>
      <c r="P580" t="s">
        <v>27</v>
      </c>
      <c r="Q580" t="s">
        <v>17</v>
      </c>
      <c r="R580" t="str" cm="1">
        <f t="array" ref="R580">_xlfn.IFS(B580&lt;31,"Young-Adult",B580&lt;41,"Adult",B580&lt;61,"Middle-aged",B580&gt;=61,"Senior")</f>
        <v>Senior</v>
      </c>
      <c r="S580" cm="1">
        <f t="array" ref="S580">_xlfn.IFS(Q580 ="Fortnightly",14,Q580="Weekly",7,Q580="Monthly",30,Q580="Quarterly",90,Q580="Bi-Weekly",14,Q580="Annually",365,Q580="Every 3 Months",90,TRUE,"NOT FOUND")</f>
        <v>14</v>
      </c>
    </row>
    <row r="581" spans="1:19" x14ac:dyDescent="0.35">
      <c r="A581">
        <v>580</v>
      </c>
      <c r="B581">
        <v>58</v>
      </c>
      <c r="C581" t="s">
        <v>7</v>
      </c>
      <c r="D581" t="s">
        <v>29</v>
      </c>
      <c r="E581" t="s">
        <v>30</v>
      </c>
      <c r="F581">
        <v>41</v>
      </c>
      <c r="G581" t="s">
        <v>87</v>
      </c>
      <c r="H581" t="s">
        <v>32</v>
      </c>
      <c r="I581" t="s">
        <v>71</v>
      </c>
      <c r="J581" t="s">
        <v>13</v>
      </c>
      <c r="K581">
        <v>3.7</v>
      </c>
      <c r="L581" t="s">
        <v>14</v>
      </c>
      <c r="M581" t="s">
        <v>26</v>
      </c>
      <c r="N581" t="s">
        <v>14</v>
      </c>
      <c r="O581">
        <v>48</v>
      </c>
      <c r="P581" t="s">
        <v>27</v>
      </c>
      <c r="Q581" t="s">
        <v>37</v>
      </c>
      <c r="R581" t="str" cm="1">
        <f t="array" ref="R581">_xlfn.IFS(B581&lt;31,"Young-Adult",B581&lt;41,"Adult",B581&lt;61,"Middle-aged",B581&gt;=61,"Senior")</f>
        <v>Middle-aged</v>
      </c>
      <c r="S581" cm="1">
        <f t="array" ref="S581">_xlfn.IFS(Q581 ="Fortnightly",14,Q581="Weekly",7,Q581="Monthly",30,Q581="Quarterly",90,Q581="Bi-Weekly",14,Q581="Annually",365,Q581="Every 3 Months",90,TRUE,"NOT FOUND")</f>
        <v>365</v>
      </c>
    </row>
    <row r="582" spans="1:19" x14ac:dyDescent="0.35">
      <c r="A582">
        <v>581</v>
      </c>
      <c r="B582">
        <v>49</v>
      </c>
      <c r="C582" t="s">
        <v>7</v>
      </c>
      <c r="D582" t="s">
        <v>18</v>
      </c>
      <c r="E582" t="s">
        <v>9</v>
      </c>
      <c r="F582">
        <v>80</v>
      </c>
      <c r="G582" t="s">
        <v>134</v>
      </c>
      <c r="H582" t="s">
        <v>32</v>
      </c>
      <c r="I582" t="s">
        <v>109</v>
      </c>
      <c r="J582" t="s">
        <v>25</v>
      </c>
      <c r="K582">
        <v>4.0999999999999996</v>
      </c>
      <c r="L582" t="s">
        <v>14</v>
      </c>
      <c r="M582" t="s">
        <v>26</v>
      </c>
      <c r="N582" t="s">
        <v>14</v>
      </c>
      <c r="O582">
        <v>10</v>
      </c>
      <c r="P582" t="s">
        <v>34</v>
      </c>
      <c r="Q582" t="s">
        <v>28</v>
      </c>
      <c r="R582" t="str" cm="1">
        <f t="array" ref="R582">_xlfn.IFS(B582&lt;31,"Young-Adult",B582&lt;41,"Adult",B582&lt;61,"Middle-aged",B582&gt;=61,"Senior")</f>
        <v>Middle-aged</v>
      </c>
      <c r="S582" cm="1">
        <f t="array" ref="S582">_xlfn.IFS(Q582 ="Fortnightly",14,Q582="Weekly",7,Q582="Monthly",30,Q582="Quarterly",90,Q582="Bi-Weekly",14,Q582="Annually",365,Q582="Every 3 Months",90,TRUE,"NOT FOUND")</f>
        <v>7</v>
      </c>
    </row>
    <row r="583" spans="1:19" x14ac:dyDescent="0.35">
      <c r="A583">
        <v>582</v>
      </c>
      <c r="B583">
        <v>32</v>
      </c>
      <c r="C583" t="s">
        <v>7</v>
      </c>
      <c r="D583" t="s">
        <v>18</v>
      </c>
      <c r="E583" t="s">
        <v>9</v>
      </c>
      <c r="F583">
        <v>100</v>
      </c>
      <c r="G583" t="s">
        <v>134</v>
      </c>
      <c r="H583" t="s">
        <v>80</v>
      </c>
      <c r="I583" t="s">
        <v>49</v>
      </c>
      <c r="J583" t="s">
        <v>13</v>
      </c>
      <c r="K583">
        <v>2.7</v>
      </c>
      <c r="L583" t="s">
        <v>14</v>
      </c>
      <c r="M583" t="s">
        <v>62</v>
      </c>
      <c r="N583" t="s">
        <v>14</v>
      </c>
      <c r="O583">
        <v>12</v>
      </c>
      <c r="P583" t="s">
        <v>63</v>
      </c>
      <c r="Q583" t="s">
        <v>85</v>
      </c>
      <c r="R583" t="str" cm="1">
        <f t="array" ref="R583">_xlfn.IFS(B583&lt;31,"Young-Adult",B583&lt;41,"Adult",B583&lt;61,"Middle-aged",B583&gt;=61,"Senior")</f>
        <v>Adult</v>
      </c>
      <c r="S583" cm="1">
        <f t="array" ref="S583">_xlfn.IFS(Q583 ="Fortnightly",14,Q583="Weekly",7,Q583="Monthly",30,Q583="Quarterly",90,Q583="Bi-Weekly",14,Q583="Annually",365,Q583="Every 3 Months",90,TRUE,"NOT FOUND")</f>
        <v>90</v>
      </c>
    </row>
    <row r="584" spans="1:19" x14ac:dyDescent="0.35">
      <c r="A584">
        <v>583</v>
      </c>
      <c r="B584">
        <v>40</v>
      </c>
      <c r="C584" t="s">
        <v>7</v>
      </c>
      <c r="D584" t="s">
        <v>90</v>
      </c>
      <c r="E584" t="s">
        <v>51</v>
      </c>
      <c r="F584">
        <v>77</v>
      </c>
      <c r="G584" t="s">
        <v>100</v>
      </c>
      <c r="H584" t="s">
        <v>11</v>
      </c>
      <c r="I584" t="s">
        <v>36</v>
      </c>
      <c r="J584" t="s">
        <v>25</v>
      </c>
      <c r="K584">
        <v>4.9000000000000004</v>
      </c>
      <c r="L584" t="s">
        <v>14</v>
      </c>
      <c r="M584" t="s">
        <v>62</v>
      </c>
      <c r="N584" t="s">
        <v>14</v>
      </c>
      <c r="O584">
        <v>2</v>
      </c>
      <c r="P584" t="s">
        <v>63</v>
      </c>
      <c r="Q584" t="s">
        <v>46</v>
      </c>
      <c r="R584" t="str" cm="1">
        <f t="array" ref="R584">_xlfn.IFS(B584&lt;31,"Young-Adult",B584&lt;41,"Adult",B584&lt;61,"Middle-aged",B584&gt;=61,"Senior")</f>
        <v>Adult</v>
      </c>
      <c r="S584" cm="1">
        <f t="array" ref="S584">_xlfn.IFS(Q584 ="Fortnightly",14,Q584="Weekly",7,Q584="Monthly",30,Q584="Quarterly",90,Q584="Bi-Weekly",14,Q584="Annually",365,Q584="Every 3 Months",90,TRUE,"NOT FOUND")</f>
        <v>90</v>
      </c>
    </row>
    <row r="585" spans="1:19" x14ac:dyDescent="0.35">
      <c r="A585">
        <v>584</v>
      </c>
      <c r="B585">
        <v>25</v>
      </c>
      <c r="C585" t="s">
        <v>7</v>
      </c>
      <c r="D585" t="s">
        <v>47</v>
      </c>
      <c r="E585" t="s">
        <v>9</v>
      </c>
      <c r="F585">
        <v>78</v>
      </c>
      <c r="G585" t="s">
        <v>87</v>
      </c>
      <c r="H585" t="s">
        <v>11</v>
      </c>
      <c r="I585" t="s">
        <v>122</v>
      </c>
      <c r="J585" t="s">
        <v>25</v>
      </c>
      <c r="K585">
        <v>4</v>
      </c>
      <c r="L585" t="s">
        <v>14</v>
      </c>
      <c r="M585" t="s">
        <v>62</v>
      </c>
      <c r="N585" t="s">
        <v>14</v>
      </c>
      <c r="O585">
        <v>38</v>
      </c>
      <c r="P585" t="s">
        <v>34</v>
      </c>
      <c r="Q585" t="s">
        <v>76</v>
      </c>
      <c r="R585" t="str" cm="1">
        <f t="array" ref="R585">_xlfn.IFS(B585&lt;31,"Young-Adult",B585&lt;41,"Adult",B585&lt;61,"Middle-aged",B585&gt;=61,"Senior")</f>
        <v>Young-Adult</v>
      </c>
      <c r="S585" cm="1">
        <f t="array" ref="S585">_xlfn.IFS(Q585 ="Fortnightly",14,Q585="Weekly",7,Q585="Monthly",30,Q585="Quarterly",90,Q585="Bi-Weekly",14,Q585="Annually",365,Q585="Every 3 Months",90,TRUE,"NOT FOUND")</f>
        <v>30</v>
      </c>
    </row>
    <row r="586" spans="1:19" x14ac:dyDescent="0.35">
      <c r="A586">
        <v>585</v>
      </c>
      <c r="B586">
        <v>70</v>
      </c>
      <c r="C586" t="s">
        <v>7</v>
      </c>
      <c r="D586" t="s">
        <v>113</v>
      </c>
      <c r="E586" t="s">
        <v>9</v>
      </c>
      <c r="F586">
        <v>94</v>
      </c>
      <c r="G586" t="s">
        <v>104</v>
      </c>
      <c r="H586" t="s">
        <v>32</v>
      </c>
      <c r="I586" t="s">
        <v>40</v>
      </c>
      <c r="J586" t="s">
        <v>25</v>
      </c>
      <c r="K586">
        <v>4.7</v>
      </c>
      <c r="L586" t="s">
        <v>14</v>
      </c>
      <c r="M586" t="s">
        <v>26</v>
      </c>
      <c r="N586" t="s">
        <v>14</v>
      </c>
      <c r="O586">
        <v>20</v>
      </c>
      <c r="P586" t="s">
        <v>74</v>
      </c>
      <c r="Q586" t="s">
        <v>76</v>
      </c>
      <c r="R586" t="str" cm="1">
        <f t="array" ref="R586">_xlfn.IFS(B586&lt;31,"Young-Adult",B586&lt;41,"Adult",B586&lt;61,"Middle-aged",B586&gt;=61,"Senior")</f>
        <v>Senior</v>
      </c>
      <c r="S586" cm="1">
        <f t="array" ref="S586">_xlfn.IFS(Q586 ="Fortnightly",14,Q586="Weekly",7,Q586="Monthly",30,Q586="Quarterly",90,Q586="Bi-Weekly",14,Q586="Annually",365,Q586="Every 3 Months",90,TRUE,"NOT FOUND")</f>
        <v>30</v>
      </c>
    </row>
    <row r="587" spans="1:19" x14ac:dyDescent="0.35">
      <c r="A587">
        <v>586</v>
      </c>
      <c r="B587">
        <v>69</v>
      </c>
      <c r="C587" t="s">
        <v>7</v>
      </c>
      <c r="D587" t="s">
        <v>113</v>
      </c>
      <c r="E587" t="s">
        <v>9</v>
      </c>
      <c r="F587">
        <v>23</v>
      </c>
      <c r="G587" t="s">
        <v>119</v>
      </c>
      <c r="H587" t="s">
        <v>32</v>
      </c>
      <c r="I587" t="s">
        <v>12</v>
      </c>
      <c r="J587" t="s">
        <v>45</v>
      </c>
      <c r="K587">
        <v>2.8</v>
      </c>
      <c r="L587" t="s">
        <v>14</v>
      </c>
      <c r="M587" t="s">
        <v>33</v>
      </c>
      <c r="N587" t="s">
        <v>14</v>
      </c>
      <c r="O587">
        <v>5</v>
      </c>
      <c r="P587" t="s">
        <v>21</v>
      </c>
      <c r="Q587" t="s">
        <v>85</v>
      </c>
      <c r="R587" t="str" cm="1">
        <f t="array" ref="R587">_xlfn.IFS(B587&lt;31,"Young-Adult",B587&lt;41,"Adult",B587&lt;61,"Middle-aged",B587&gt;=61,"Senior")</f>
        <v>Senior</v>
      </c>
      <c r="S587" cm="1">
        <f t="array" ref="S587">_xlfn.IFS(Q587 ="Fortnightly",14,Q587="Weekly",7,Q587="Monthly",30,Q587="Quarterly",90,Q587="Bi-Weekly",14,Q587="Annually",365,Q587="Every 3 Months",90,TRUE,"NOT FOUND")</f>
        <v>90</v>
      </c>
    </row>
    <row r="588" spans="1:19" x14ac:dyDescent="0.35">
      <c r="A588">
        <v>587</v>
      </c>
      <c r="B588">
        <v>45</v>
      </c>
      <c r="C588" t="s">
        <v>7</v>
      </c>
      <c r="D588" t="s">
        <v>92</v>
      </c>
      <c r="E588" t="s">
        <v>9</v>
      </c>
      <c r="F588">
        <v>20</v>
      </c>
      <c r="G588" t="s">
        <v>138</v>
      </c>
      <c r="H588" t="s">
        <v>24</v>
      </c>
      <c r="I588" t="s">
        <v>132</v>
      </c>
      <c r="J588" t="s">
        <v>13</v>
      </c>
      <c r="K588">
        <v>4.9000000000000004</v>
      </c>
      <c r="L588" t="s">
        <v>14</v>
      </c>
      <c r="M588" t="s">
        <v>58</v>
      </c>
      <c r="N588" t="s">
        <v>14</v>
      </c>
      <c r="O588">
        <v>9</v>
      </c>
      <c r="P588" t="s">
        <v>16</v>
      </c>
      <c r="Q588" t="s">
        <v>37</v>
      </c>
      <c r="R588" t="str" cm="1">
        <f t="array" ref="R588">_xlfn.IFS(B588&lt;31,"Young-Adult",B588&lt;41,"Adult",B588&lt;61,"Middle-aged",B588&gt;=61,"Senior")</f>
        <v>Middle-aged</v>
      </c>
      <c r="S588" cm="1">
        <f t="array" ref="S588">_xlfn.IFS(Q588 ="Fortnightly",14,Q588="Weekly",7,Q588="Monthly",30,Q588="Quarterly",90,Q588="Bi-Weekly",14,Q588="Annually",365,Q588="Every 3 Months",90,TRUE,"NOT FOUND")</f>
        <v>365</v>
      </c>
    </row>
    <row r="589" spans="1:19" x14ac:dyDescent="0.35">
      <c r="A589">
        <v>588</v>
      </c>
      <c r="B589">
        <v>29</v>
      </c>
      <c r="C589" t="s">
        <v>7</v>
      </c>
      <c r="D589" t="s">
        <v>113</v>
      </c>
      <c r="E589" t="s">
        <v>9</v>
      </c>
      <c r="F589">
        <v>86</v>
      </c>
      <c r="G589" t="s">
        <v>137</v>
      </c>
      <c r="H589" t="s">
        <v>24</v>
      </c>
      <c r="I589" t="s">
        <v>20</v>
      </c>
      <c r="J589" t="s">
        <v>45</v>
      </c>
      <c r="K589">
        <v>4.2</v>
      </c>
      <c r="L589" t="s">
        <v>14</v>
      </c>
      <c r="M589" t="s">
        <v>15</v>
      </c>
      <c r="N589" t="s">
        <v>14</v>
      </c>
      <c r="O589">
        <v>48</v>
      </c>
      <c r="P589" t="s">
        <v>74</v>
      </c>
      <c r="Q589" t="s">
        <v>85</v>
      </c>
      <c r="R589" t="str" cm="1">
        <f t="array" ref="R589">_xlfn.IFS(B589&lt;31,"Young-Adult",B589&lt;41,"Adult",B589&lt;61,"Middle-aged",B589&gt;=61,"Senior")</f>
        <v>Young-Adult</v>
      </c>
      <c r="S589" cm="1">
        <f t="array" ref="S589">_xlfn.IFS(Q589 ="Fortnightly",14,Q589="Weekly",7,Q589="Monthly",30,Q589="Quarterly",90,Q589="Bi-Weekly",14,Q589="Annually",365,Q589="Every 3 Months",90,TRUE,"NOT FOUND")</f>
        <v>90</v>
      </c>
    </row>
    <row r="590" spans="1:19" x14ac:dyDescent="0.35">
      <c r="A590">
        <v>589</v>
      </c>
      <c r="B590">
        <v>47</v>
      </c>
      <c r="C590" t="s">
        <v>7</v>
      </c>
      <c r="D590" t="s">
        <v>125</v>
      </c>
      <c r="E590" t="s">
        <v>30</v>
      </c>
      <c r="F590">
        <v>60</v>
      </c>
      <c r="G590" t="s">
        <v>135</v>
      </c>
      <c r="H590" t="s">
        <v>32</v>
      </c>
      <c r="I590" t="s">
        <v>71</v>
      </c>
      <c r="J590" t="s">
        <v>45</v>
      </c>
      <c r="K590">
        <v>3</v>
      </c>
      <c r="L590" t="s">
        <v>14</v>
      </c>
      <c r="M590" t="s">
        <v>42</v>
      </c>
      <c r="N590" t="s">
        <v>14</v>
      </c>
      <c r="O590">
        <v>9</v>
      </c>
      <c r="P590" t="s">
        <v>74</v>
      </c>
      <c r="Q590" t="s">
        <v>46</v>
      </c>
      <c r="R590" t="str" cm="1">
        <f t="array" ref="R590">_xlfn.IFS(B590&lt;31,"Young-Adult",B590&lt;41,"Adult",B590&lt;61,"Middle-aged",B590&gt;=61,"Senior")</f>
        <v>Middle-aged</v>
      </c>
      <c r="S590" cm="1">
        <f t="array" ref="S590">_xlfn.IFS(Q590 ="Fortnightly",14,Q590="Weekly",7,Q590="Monthly",30,Q590="Quarterly",90,Q590="Bi-Weekly",14,Q590="Annually",365,Q590="Every 3 Months",90,TRUE,"NOT FOUND")</f>
        <v>90</v>
      </c>
    </row>
    <row r="591" spans="1:19" x14ac:dyDescent="0.35">
      <c r="A591">
        <v>590</v>
      </c>
      <c r="B591">
        <v>28</v>
      </c>
      <c r="C591" t="s">
        <v>7</v>
      </c>
      <c r="D591" t="s">
        <v>43</v>
      </c>
      <c r="E591" t="s">
        <v>9</v>
      </c>
      <c r="F591">
        <v>70</v>
      </c>
      <c r="G591" t="s">
        <v>136</v>
      </c>
      <c r="H591" t="s">
        <v>32</v>
      </c>
      <c r="I591" t="s">
        <v>109</v>
      </c>
      <c r="J591" t="s">
        <v>45</v>
      </c>
      <c r="K591">
        <v>3.4</v>
      </c>
      <c r="L591" t="s">
        <v>14</v>
      </c>
      <c r="M591" t="s">
        <v>58</v>
      </c>
      <c r="N591" t="s">
        <v>14</v>
      </c>
      <c r="O591">
        <v>40</v>
      </c>
      <c r="P591" t="s">
        <v>34</v>
      </c>
      <c r="Q591" t="s">
        <v>37</v>
      </c>
      <c r="R591" t="str" cm="1">
        <f t="array" ref="R591">_xlfn.IFS(B591&lt;31,"Young-Adult",B591&lt;41,"Adult",B591&lt;61,"Middle-aged",B591&gt;=61,"Senior")</f>
        <v>Young-Adult</v>
      </c>
      <c r="S591" cm="1">
        <f t="array" ref="S591">_xlfn.IFS(Q591 ="Fortnightly",14,Q591="Weekly",7,Q591="Monthly",30,Q591="Quarterly",90,Q591="Bi-Weekly",14,Q591="Annually",365,Q591="Every 3 Months",90,TRUE,"NOT FOUND")</f>
        <v>365</v>
      </c>
    </row>
    <row r="592" spans="1:19" x14ac:dyDescent="0.35">
      <c r="A592">
        <v>591</v>
      </c>
      <c r="B592">
        <v>64</v>
      </c>
      <c r="C592" t="s">
        <v>7</v>
      </c>
      <c r="D592" t="s">
        <v>121</v>
      </c>
      <c r="E592" t="s">
        <v>55</v>
      </c>
      <c r="F592">
        <v>39</v>
      </c>
      <c r="G592" t="s">
        <v>108</v>
      </c>
      <c r="H592" t="s">
        <v>24</v>
      </c>
      <c r="I592" t="s">
        <v>36</v>
      </c>
      <c r="J592" t="s">
        <v>45</v>
      </c>
      <c r="K592">
        <v>4.5999999999999996</v>
      </c>
      <c r="L592" t="s">
        <v>14</v>
      </c>
      <c r="M592" t="s">
        <v>42</v>
      </c>
      <c r="N592" t="s">
        <v>14</v>
      </c>
      <c r="O592">
        <v>30</v>
      </c>
      <c r="P592" t="s">
        <v>16</v>
      </c>
      <c r="Q592" t="s">
        <v>17</v>
      </c>
      <c r="R592" t="str" cm="1">
        <f t="array" ref="R592">_xlfn.IFS(B592&lt;31,"Young-Adult",B592&lt;41,"Adult",B592&lt;61,"Middle-aged",B592&gt;=61,"Senior")</f>
        <v>Senior</v>
      </c>
      <c r="S592" cm="1">
        <f t="array" ref="S592">_xlfn.IFS(Q592 ="Fortnightly",14,Q592="Weekly",7,Q592="Monthly",30,Q592="Quarterly",90,Q592="Bi-Weekly",14,Q592="Annually",365,Q592="Every 3 Months",90,TRUE,"NOT FOUND")</f>
        <v>14</v>
      </c>
    </row>
    <row r="593" spans="1:19" x14ac:dyDescent="0.35">
      <c r="A593">
        <v>592</v>
      </c>
      <c r="B593">
        <v>47</v>
      </c>
      <c r="C593" t="s">
        <v>7</v>
      </c>
      <c r="D593" t="s">
        <v>120</v>
      </c>
      <c r="E593" t="s">
        <v>55</v>
      </c>
      <c r="F593">
        <v>37</v>
      </c>
      <c r="G593" t="s">
        <v>10</v>
      </c>
      <c r="H593" t="s">
        <v>11</v>
      </c>
      <c r="I593" t="s">
        <v>66</v>
      </c>
      <c r="J593" t="s">
        <v>45</v>
      </c>
      <c r="K593">
        <v>4.2</v>
      </c>
      <c r="L593" t="s">
        <v>14</v>
      </c>
      <c r="M593" t="s">
        <v>62</v>
      </c>
      <c r="N593" t="s">
        <v>14</v>
      </c>
      <c r="O593">
        <v>6</v>
      </c>
      <c r="P593" t="s">
        <v>74</v>
      </c>
      <c r="Q593" t="s">
        <v>64</v>
      </c>
      <c r="R593" t="str" cm="1">
        <f t="array" ref="R593">_xlfn.IFS(B593&lt;31,"Young-Adult",B593&lt;41,"Adult",B593&lt;61,"Middle-aged",B593&gt;=61,"Senior")</f>
        <v>Middle-aged</v>
      </c>
      <c r="S593" cm="1">
        <f t="array" ref="S593">_xlfn.IFS(Q593 ="Fortnightly",14,Q593="Weekly",7,Q593="Monthly",30,Q593="Quarterly",90,Q593="Bi-Weekly",14,Q593="Annually",365,Q593="Every 3 Months",90,TRUE,"NOT FOUND")</f>
        <v>14</v>
      </c>
    </row>
    <row r="594" spans="1:19" x14ac:dyDescent="0.35">
      <c r="A594">
        <v>593</v>
      </c>
      <c r="B594">
        <v>60</v>
      </c>
      <c r="C594" t="s">
        <v>7</v>
      </c>
      <c r="D594" t="s">
        <v>125</v>
      </c>
      <c r="E594" t="s">
        <v>30</v>
      </c>
      <c r="F594">
        <v>29</v>
      </c>
      <c r="G594" t="s">
        <v>102</v>
      </c>
      <c r="H594" t="s">
        <v>32</v>
      </c>
      <c r="I594" t="s">
        <v>98</v>
      </c>
      <c r="J594" t="s">
        <v>45</v>
      </c>
      <c r="K594">
        <v>3.2</v>
      </c>
      <c r="L594" t="s">
        <v>14</v>
      </c>
      <c r="M594" t="s">
        <v>26</v>
      </c>
      <c r="N594" t="s">
        <v>14</v>
      </c>
      <c r="O594">
        <v>42</v>
      </c>
      <c r="P594" t="s">
        <v>16</v>
      </c>
      <c r="Q594" t="s">
        <v>85</v>
      </c>
      <c r="R594" t="str" cm="1">
        <f t="array" ref="R594">_xlfn.IFS(B594&lt;31,"Young-Adult",B594&lt;41,"Adult",B594&lt;61,"Middle-aged",B594&gt;=61,"Senior")</f>
        <v>Middle-aged</v>
      </c>
      <c r="S594" cm="1">
        <f t="array" ref="S594">_xlfn.IFS(Q594 ="Fortnightly",14,Q594="Weekly",7,Q594="Monthly",30,Q594="Quarterly",90,Q594="Bi-Weekly",14,Q594="Annually",365,Q594="Every 3 Months",90,TRUE,"NOT FOUND")</f>
        <v>90</v>
      </c>
    </row>
    <row r="595" spans="1:19" x14ac:dyDescent="0.35">
      <c r="A595">
        <v>594</v>
      </c>
      <c r="B595">
        <v>67</v>
      </c>
      <c r="C595" t="s">
        <v>7</v>
      </c>
      <c r="D595" t="s">
        <v>50</v>
      </c>
      <c r="E595" t="s">
        <v>51</v>
      </c>
      <c r="F595">
        <v>35</v>
      </c>
      <c r="G595" t="s">
        <v>108</v>
      </c>
      <c r="H595" t="s">
        <v>24</v>
      </c>
      <c r="I595" t="s">
        <v>84</v>
      </c>
      <c r="J595" t="s">
        <v>13</v>
      </c>
      <c r="K595">
        <v>4.4000000000000004</v>
      </c>
      <c r="L595" t="s">
        <v>14</v>
      </c>
      <c r="M595" t="s">
        <v>62</v>
      </c>
      <c r="N595" t="s">
        <v>14</v>
      </c>
      <c r="O595">
        <v>9</v>
      </c>
      <c r="P595" t="s">
        <v>34</v>
      </c>
      <c r="Q595" t="s">
        <v>85</v>
      </c>
      <c r="R595" t="str" cm="1">
        <f t="array" ref="R595">_xlfn.IFS(B595&lt;31,"Young-Adult",B595&lt;41,"Adult",B595&lt;61,"Middle-aged",B595&gt;=61,"Senior")</f>
        <v>Senior</v>
      </c>
      <c r="S595" cm="1">
        <f t="array" ref="S595">_xlfn.IFS(Q595 ="Fortnightly",14,Q595="Weekly",7,Q595="Monthly",30,Q595="Quarterly",90,Q595="Bi-Weekly",14,Q595="Annually",365,Q595="Every 3 Months",90,TRUE,"NOT FOUND")</f>
        <v>90</v>
      </c>
    </row>
    <row r="596" spans="1:19" x14ac:dyDescent="0.35">
      <c r="A596">
        <v>595</v>
      </c>
      <c r="B596">
        <v>35</v>
      </c>
      <c r="C596" t="s">
        <v>7</v>
      </c>
      <c r="D596" t="s">
        <v>92</v>
      </c>
      <c r="E596" t="s">
        <v>9</v>
      </c>
      <c r="F596">
        <v>83</v>
      </c>
      <c r="G596" t="s">
        <v>89</v>
      </c>
      <c r="H596" t="s">
        <v>24</v>
      </c>
      <c r="I596" t="s">
        <v>98</v>
      </c>
      <c r="J596" t="s">
        <v>13</v>
      </c>
      <c r="K596">
        <v>2.5</v>
      </c>
      <c r="L596" t="s">
        <v>14</v>
      </c>
      <c r="M596" t="s">
        <v>33</v>
      </c>
      <c r="N596" t="s">
        <v>14</v>
      </c>
      <c r="O596">
        <v>6</v>
      </c>
      <c r="P596" t="s">
        <v>74</v>
      </c>
      <c r="Q596" t="s">
        <v>76</v>
      </c>
      <c r="R596" t="str" cm="1">
        <f t="array" ref="R596">_xlfn.IFS(B596&lt;31,"Young-Adult",B596&lt;41,"Adult",B596&lt;61,"Middle-aged",B596&gt;=61,"Senior")</f>
        <v>Adult</v>
      </c>
      <c r="S596" cm="1">
        <f t="array" ref="S596">_xlfn.IFS(Q596 ="Fortnightly",14,Q596="Weekly",7,Q596="Monthly",30,Q596="Quarterly",90,Q596="Bi-Weekly",14,Q596="Annually",365,Q596="Every 3 Months",90,TRUE,"NOT FOUND")</f>
        <v>30</v>
      </c>
    </row>
    <row r="597" spans="1:19" x14ac:dyDescent="0.35">
      <c r="A597">
        <v>596</v>
      </c>
      <c r="B597">
        <v>30</v>
      </c>
      <c r="C597" t="s">
        <v>7</v>
      </c>
      <c r="D597" t="s">
        <v>59</v>
      </c>
      <c r="E597" t="s">
        <v>30</v>
      </c>
      <c r="F597">
        <v>77</v>
      </c>
      <c r="G597" t="s">
        <v>67</v>
      </c>
      <c r="H597" t="s">
        <v>32</v>
      </c>
      <c r="I597" t="s">
        <v>53</v>
      </c>
      <c r="J597" t="s">
        <v>41</v>
      </c>
      <c r="K597">
        <v>3.6</v>
      </c>
      <c r="L597" t="s">
        <v>14</v>
      </c>
      <c r="M597" t="s">
        <v>33</v>
      </c>
      <c r="N597" t="s">
        <v>14</v>
      </c>
      <c r="O597">
        <v>47</v>
      </c>
      <c r="P597" t="s">
        <v>34</v>
      </c>
      <c r="Q597" t="s">
        <v>46</v>
      </c>
      <c r="R597" t="str" cm="1">
        <f t="array" ref="R597">_xlfn.IFS(B597&lt;31,"Young-Adult",B597&lt;41,"Adult",B597&lt;61,"Middle-aged",B597&gt;=61,"Senior")</f>
        <v>Young-Adult</v>
      </c>
      <c r="S597" cm="1">
        <f t="array" ref="S597">_xlfn.IFS(Q597 ="Fortnightly",14,Q597="Weekly",7,Q597="Monthly",30,Q597="Quarterly",90,Q597="Bi-Weekly",14,Q597="Annually",365,Q597="Every 3 Months",90,TRUE,"NOT FOUND")</f>
        <v>90</v>
      </c>
    </row>
    <row r="598" spans="1:19" x14ac:dyDescent="0.35">
      <c r="A598">
        <v>597</v>
      </c>
      <c r="B598">
        <v>23</v>
      </c>
      <c r="C598" t="s">
        <v>7</v>
      </c>
      <c r="D598" t="s">
        <v>59</v>
      </c>
      <c r="E598" t="s">
        <v>30</v>
      </c>
      <c r="F598">
        <v>37</v>
      </c>
      <c r="G598" t="s">
        <v>44</v>
      </c>
      <c r="H598" t="s">
        <v>80</v>
      </c>
      <c r="I598" t="s">
        <v>40</v>
      </c>
      <c r="J598" t="s">
        <v>41</v>
      </c>
      <c r="K598">
        <v>4.5</v>
      </c>
      <c r="L598" t="s">
        <v>14</v>
      </c>
      <c r="M598" t="s">
        <v>62</v>
      </c>
      <c r="N598" t="s">
        <v>14</v>
      </c>
      <c r="O598">
        <v>36</v>
      </c>
      <c r="P598" t="s">
        <v>16</v>
      </c>
      <c r="Q598" t="s">
        <v>37</v>
      </c>
      <c r="R598" t="str" cm="1">
        <f t="array" ref="R598">_xlfn.IFS(B598&lt;31,"Young-Adult",B598&lt;41,"Adult",B598&lt;61,"Middle-aged",B598&gt;=61,"Senior")</f>
        <v>Young-Adult</v>
      </c>
      <c r="S598" cm="1">
        <f t="array" ref="S598">_xlfn.IFS(Q598 ="Fortnightly",14,Q598="Weekly",7,Q598="Monthly",30,Q598="Quarterly",90,Q598="Bi-Weekly",14,Q598="Annually",365,Q598="Every 3 Months",90,TRUE,"NOT FOUND")</f>
        <v>365</v>
      </c>
    </row>
    <row r="599" spans="1:19" x14ac:dyDescent="0.35">
      <c r="A599">
        <v>598</v>
      </c>
      <c r="B599">
        <v>70</v>
      </c>
      <c r="C599" t="s">
        <v>7</v>
      </c>
      <c r="D599" t="s">
        <v>94</v>
      </c>
      <c r="E599" t="s">
        <v>55</v>
      </c>
      <c r="F599">
        <v>69</v>
      </c>
      <c r="G599" t="s">
        <v>108</v>
      </c>
      <c r="H599" t="s">
        <v>11</v>
      </c>
      <c r="I599" t="s">
        <v>68</v>
      </c>
      <c r="J599" t="s">
        <v>41</v>
      </c>
      <c r="K599">
        <v>3.4</v>
      </c>
      <c r="L599" t="s">
        <v>14</v>
      </c>
      <c r="M599" t="s">
        <v>42</v>
      </c>
      <c r="N599" t="s">
        <v>14</v>
      </c>
      <c r="O599">
        <v>19</v>
      </c>
      <c r="P599" t="s">
        <v>63</v>
      </c>
      <c r="Q599" t="s">
        <v>17</v>
      </c>
      <c r="R599" t="str" cm="1">
        <f t="array" ref="R599">_xlfn.IFS(B599&lt;31,"Young-Adult",B599&lt;41,"Adult",B599&lt;61,"Middle-aged",B599&gt;=61,"Senior")</f>
        <v>Senior</v>
      </c>
      <c r="S599" cm="1">
        <f t="array" ref="S599">_xlfn.IFS(Q599 ="Fortnightly",14,Q599="Weekly",7,Q599="Monthly",30,Q599="Quarterly",90,Q599="Bi-Weekly",14,Q599="Annually",365,Q599="Every 3 Months",90,TRUE,"NOT FOUND")</f>
        <v>14</v>
      </c>
    </row>
    <row r="600" spans="1:19" x14ac:dyDescent="0.35">
      <c r="A600">
        <v>599</v>
      </c>
      <c r="B600">
        <v>21</v>
      </c>
      <c r="C600" t="s">
        <v>7</v>
      </c>
      <c r="D600" t="s">
        <v>69</v>
      </c>
      <c r="E600" t="s">
        <v>9</v>
      </c>
      <c r="F600">
        <v>66</v>
      </c>
      <c r="G600" t="s">
        <v>87</v>
      </c>
      <c r="H600" t="s">
        <v>11</v>
      </c>
      <c r="I600" t="s">
        <v>84</v>
      </c>
      <c r="J600" t="s">
        <v>13</v>
      </c>
      <c r="K600">
        <v>3.2</v>
      </c>
      <c r="L600" t="s">
        <v>14</v>
      </c>
      <c r="M600" t="s">
        <v>58</v>
      </c>
      <c r="N600" t="s">
        <v>14</v>
      </c>
      <c r="O600">
        <v>30</v>
      </c>
      <c r="P600" t="s">
        <v>21</v>
      </c>
      <c r="Q600" t="s">
        <v>85</v>
      </c>
      <c r="R600" t="str" cm="1">
        <f t="array" ref="R600">_xlfn.IFS(B600&lt;31,"Young-Adult",B600&lt;41,"Adult",B600&lt;61,"Middle-aged",B600&gt;=61,"Senior")</f>
        <v>Young-Adult</v>
      </c>
      <c r="S600" cm="1">
        <f t="array" ref="S600">_xlfn.IFS(Q600 ="Fortnightly",14,Q600="Weekly",7,Q600="Monthly",30,Q600="Quarterly",90,Q600="Bi-Weekly",14,Q600="Annually",365,Q600="Every 3 Months",90,TRUE,"NOT FOUND")</f>
        <v>90</v>
      </c>
    </row>
    <row r="601" spans="1:19" x14ac:dyDescent="0.35">
      <c r="A601">
        <v>600</v>
      </c>
      <c r="B601">
        <v>51</v>
      </c>
      <c r="C601" t="s">
        <v>7</v>
      </c>
      <c r="D601" t="s">
        <v>125</v>
      </c>
      <c r="E601" t="s">
        <v>30</v>
      </c>
      <c r="F601">
        <v>26</v>
      </c>
      <c r="G601" t="s">
        <v>23</v>
      </c>
      <c r="H601" t="s">
        <v>11</v>
      </c>
      <c r="I601" t="s">
        <v>73</v>
      </c>
      <c r="J601" t="s">
        <v>25</v>
      </c>
      <c r="K601">
        <v>4.2</v>
      </c>
      <c r="L601" t="s">
        <v>14</v>
      </c>
      <c r="M601" t="s">
        <v>42</v>
      </c>
      <c r="N601" t="s">
        <v>14</v>
      </c>
      <c r="O601">
        <v>27</v>
      </c>
      <c r="P601" t="s">
        <v>74</v>
      </c>
      <c r="Q601" t="s">
        <v>85</v>
      </c>
      <c r="R601" t="str" cm="1">
        <f t="array" ref="R601">_xlfn.IFS(B601&lt;31,"Young-Adult",B601&lt;41,"Adult",B601&lt;61,"Middle-aged",B601&gt;=61,"Senior")</f>
        <v>Middle-aged</v>
      </c>
      <c r="S601" cm="1">
        <f t="array" ref="S601">_xlfn.IFS(Q601 ="Fortnightly",14,Q601="Weekly",7,Q601="Monthly",30,Q601="Quarterly",90,Q601="Bi-Weekly",14,Q601="Annually",365,Q601="Every 3 Months",90,TRUE,"NOT FOUND")</f>
        <v>90</v>
      </c>
    </row>
    <row r="602" spans="1:19" x14ac:dyDescent="0.35">
      <c r="A602">
        <v>601</v>
      </c>
      <c r="B602">
        <v>22</v>
      </c>
      <c r="C602" t="s">
        <v>7</v>
      </c>
      <c r="D602" t="s">
        <v>112</v>
      </c>
      <c r="E602" t="s">
        <v>55</v>
      </c>
      <c r="F602">
        <v>63</v>
      </c>
      <c r="G602" t="s">
        <v>119</v>
      </c>
      <c r="H602" t="s">
        <v>32</v>
      </c>
      <c r="I602" t="s">
        <v>49</v>
      </c>
      <c r="J602" t="s">
        <v>25</v>
      </c>
      <c r="K602">
        <v>5</v>
      </c>
      <c r="L602" t="s">
        <v>14</v>
      </c>
      <c r="M602" t="s">
        <v>58</v>
      </c>
      <c r="N602" t="s">
        <v>14</v>
      </c>
      <c r="O602">
        <v>25</v>
      </c>
      <c r="P602" t="s">
        <v>16</v>
      </c>
      <c r="Q602" t="s">
        <v>76</v>
      </c>
      <c r="R602" t="str" cm="1">
        <f t="array" ref="R602">_xlfn.IFS(B602&lt;31,"Young-Adult",B602&lt;41,"Adult",B602&lt;61,"Middle-aged",B602&gt;=61,"Senior")</f>
        <v>Young-Adult</v>
      </c>
      <c r="S602" cm="1">
        <f t="array" ref="S602">_xlfn.IFS(Q602 ="Fortnightly",14,Q602="Weekly",7,Q602="Monthly",30,Q602="Quarterly",90,Q602="Bi-Weekly",14,Q602="Annually",365,Q602="Every 3 Months",90,TRUE,"NOT FOUND")</f>
        <v>30</v>
      </c>
    </row>
    <row r="603" spans="1:19" x14ac:dyDescent="0.35">
      <c r="A603">
        <v>602</v>
      </c>
      <c r="B603">
        <v>32</v>
      </c>
      <c r="C603" t="s">
        <v>7</v>
      </c>
      <c r="D603" t="s">
        <v>120</v>
      </c>
      <c r="E603" t="s">
        <v>55</v>
      </c>
      <c r="F603">
        <v>38</v>
      </c>
      <c r="G603" t="s">
        <v>52</v>
      </c>
      <c r="H603" t="s">
        <v>32</v>
      </c>
      <c r="I603" t="s">
        <v>20</v>
      </c>
      <c r="J603" t="s">
        <v>41</v>
      </c>
      <c r="K603">
        <v>4.7</v>
      </c>
      <c r="L603" t="s">
        <v>14</v>
      </c>
      <c r="M603" t="s">
        <v>62</v>
      </c>
      <c r="N603" t="s">
        <v>14</v>
      </c>
      <c r="O603">
        <v>5</v>
      </c>
      <c r="P603" t="s">
        <v>21</v>
      </c>
      <c r="Q603" t="s">
        <v>17</v>
      </c>
      <c r="R603" t="str" cm="1">
        <f t="array" ref="R603">_xlfn.IFS(B603&lt;31,"Young-Adult",B603&lt;41,"Adult",B603&lt;61,"Middle-aged",B603&gt;=61,"Senior")</f>
        <v>Adult</v>
      </c>
      <c r="S603" cm="1">
        <f t="array" ref="S603">_xlfn.IFS(Q603 ="Fortnightly",14,Q603="Weekly",7,Q603="Monthly",30,Q603="Quarterly",90,Q603="Bi-Weekly",14,Q603="Annually",365,Q603="Every 3 Months",90,TRUE,"NOT FOUND")</f>
        <v>14</v>
      </c>
    </row>
    <row r="604" spans="1:19" x14ac:dyDescent="0.35">
      <c r="A604">
        <v>603</v>
      </c>
      <c r="B604">
        <v>37</v>
      </c>
      <c r="C604" t="s">
        <v>7</v>
      </c>
      <c r="D604" t="s">
        <v>59</v>
      </c>
      <c r="E604" t="s">
        <v>30</v>
      </c>
      <c r="F604">
        <v>58</v>
      </c>
      <c r="G604" t="s">
        <v>35</v>
      </c>
      <c r="H604" t="s">
        <v>11</v>
      </c>
      <c r="I604" t="s">
        <v>81</v>
      </c>
      <c r="J604" t="s">
        <v>41</v>
      </c>
      <c r="K604">
        <v>4.2</v>
      </c>
      <c r="L604" t="s">
        <v>14</v>
      </c>
      <c r="M604" t="s">
        <v>33</v>
      </c>
      <c r="N604" t="s">
        <v>14</v>
      </c>
      <c r="O604">
        <v>10</v>
      </c>
      <c r="P604" t="s">
        <v>21</v>
      </c>
      <c r="Q604" t="s">
        <v>85</v>
      </c>
      <c r="R604" t="str" cm="1">
        <f t="array" ref="R604">_xlfn.IFS(B604&lt;31,"Young-Adult",B604&lt;41,"Adult",B604&lt;61,"Middle-aged",B604&gt;=61,"Senior")</f>
        <v>Adult</v>
      </c>
      <c r="S604" cm="1">
        <f t="array" ref="S604">_xlfn.IFS(Q604 ="Fortnightly",14,Q604="Weekly",7,Q604="Monthly",30,Q604="Quarterly",90,Q604="Bi-Weekly",14,Q604="Annually",365,Q604="Every 3 Months",90,TRUE,"NOT FOUND")</f>
        <v>90</v>
      </c>
    </row>
    <row r="605" spans="1:19" x14ac:dyDescent="0.35">
      <c r="A605">
        <v>604</v>
      </c>
      <c r="B605">
        <v>31</v>
      </c>
      <c r="C605" t="s">
        <v>7</v>
      </c>
      <c r="D605" t="s">
        <v>54</v>
      </c>
      <c r="E605" t="s">
        <v>55</v>
      </c>
      <c r="F605">
        <v>46</v>
      </c>
      <c r="G605" t="s">
        <v>23</v>
      </c>
      <c r="H605" t="s">
        <v>11</v>
      </c>
      <c r="I605" t="s">
        <v>84</v>
      </c>
      <c r="J605" t="s">
        <v>13</v>
      </c>
      <c r="K605">
        <v>3.4</v>
      </c>
      <c r="L605" t="s">
        <v>14</v>
      </c>
      <c r="M605" t="s">
        <v>58</v>
      </c>
      <c r="N605" t="s">
        <v>14</v>
      </c>
      <c r="O605">
        <v>26</v>
      </c>
      <c r="P605" t="s">
        <v>34</v>
      </c>
      <c r="Q605" t="s">
        <v>85</v>
      </c>
      <c r="R605" t="str" cm="1">
        <f t="array" ref="R605">_xlfn.IFS(B605&lt;31,"Young-Adult",B605&lt;41,"Adult",B605&lt;61,"Middle-aged",B605&gt;=61,"Senior")</f>
        <v>Adult</v>
      </c>
      <c r="S605" cm="1">
        <f t="array" ref="S605">_xlfn.IFS(Q605 ="Fortnightly",14,Q605="Weekly",7,Q605="Monthly",30,Q605="Quarterly",90,Q605="Bi-Weekly",14,Q605="Annually",365,Q605="Every 3 Months",90,TRUE,"NOT FOUND")</f>
        <v>90</v>
      </c>
    </row>
    <row r="606" spans="1:19" x14ac:dyDescent="0.35">
      <c r="A606">
        <v>605</v>
      </c>
      <c r="B606">
        <v>44</v>
      </c>
      <c r="C606" t="s">
        <v>7</v>
      </c>
      <c r="D606" t="s">
        <v>77</v>
      </c>
      <c r="E606" t="s">
        <v>55</v>
      </c>
      <c r="F606">
        <v>92</v>
      </c>
      <c r="G606" t="s">
        <v>52</v>
      </c>
      <c r="H606" t="s">
        <v>24</v>
      </c>
      <c r="I606" t="s">
        <v>57</v>
      </c>
      <c r="J606" t="s">
        <v>45</v>
      </c>
      <c r="K606">
        <v>4.4000000000000004</v>
      </c>
      <c r="L606" t="s">
        <v>14</v>
      </c>
      <c r="M606" t="s">
        <v>62</v>
      </c>
      <c r="N606" t="s">
        <v>14</v>
      </c>
      <c r="O606">
        <v>11</v>
      </c>
      <c r="P606" t="s">
        <v>27</v>
      </c>
      <c r="Q606" t="s">
        <v>85</v>
      </c>
      <c r="R606" t="str" cm="1">
        <f t="array" ref="R606">_xlfn.IFS(B606&lt;31,"Young-Adult",B606&lt;41,"Adult",B606&lt;61,"Middle-aged",B606&gt;=61,"Senior")</f>
        <v>Middle-aged</v>
      </c>
      <c r="S606" cm="1">
        <f t="array" ref="S606">_xlfn.IFS(Q606 ="Fortnightly",14,Q606="Weekly",7,Q606="Monthly",30,Q606="Quarterly",90,Q606="Bi-Weekly",14,Q606="Annually",365,Q606="Every 3 Months",90,TRUE,"NOT FOUND")</f>
        <v>90</v>
      </c>
    </row>
    <row r="607" spans="1:19" x14ac:dyDescent="0.35">
      <c r="A607">
        <v>606</v>
      </c>
      <c r="B607">
        <v>40</v>
      </c>
      <c r="C607" t="s">
        <v>7</v>
      </c>
      <c r="D607" t="s">
        <v>112</v>
      </c>
      <c r="E607" t="s">
        <v>55</v>
      </c>
      <c r="F607">
        <v>32</v>
      </c>
      <c r="G607" t="s">
        <v>87</v>
      </c>
      <c r="H607" t="s">
        <v>80</v>
      </c>
      <c r="I607" t="s">
        <v>49</v>
      </c>
      <c r="J607" t="s">
        <v>13</v>
      </c>
      <c r="K607">
        <v>4.2</v>
      </c>
      <c r="L607" t="s">
        <v>14</v>
      </c>
      <c r="M607" t="s">
        <v>42</v>
      </c>
      <c r="N607" t="s">
        <v>14</v>
      </c>
      <c r="O607">
        <v>17</v>
      </c>
      <c r="P607" t="s">
        <v>63</v>
      </c>
      <c r="Q607" t="s">
        <v>28</v>
      </c>
      <c r="R607" t="str" cm="1">
        <f t="array" ref="R607">_xlfn.IFS(B607&lt;31,"Young-Adult",B607&lt;41,"Adult",B607&lt;61,"Middle-aged",B607&gt;=61,"Senior")</f>
        <v>Adult</v>
      </c>
      <c r="S607" cm="1">
        <f t="array" ref="S607">_xlfn.IFS(Q607 ="Fortnightly",14,Q607="Weekly",7,Q607="Monthly",30,Q607="Quarterly",90,Q607="Bi-Weekly",14,Q607="Annually",365,Q607="Every 3 Months",90,TRUE,"NOT FOUND")</f>
        <v>7</v>
      </c>
    </row>
    <row r="608" spans="1:19" x14ac:dyDescent="0.35">
      <c r="A608">
        <v>607</v>
      </c>
      <c r="B608">
        <v>27</v>
      </c>
      <c r="C608" t="s">
        <v>7</v>
      </c>
      <c r="D608" t="s">
        <v>107</v>
      </c>
      <c r="E608" t="s">
        <v>55</v>
      </c>
      <c r="F608">
        <v>90</v>
      </c>
      <c r="G608" t="s">
        <v>100</v>
      </c>
      <c r="H608" t="s">
        <v>32</v>
      </c>
      <c r="I608" t="s">
        <v>132</v>
      </c>
      <c r="J608" t="s">
        <v>25</v>
      </c>
      <c r="K608">
        <v>4.5</v>
      </c>
      <c r="L608" t="s">
        <v>14</v>
      </c>
      <c r="M608" t="s">
        <v>42</v>
      </c>
      <c r="N608" t="s">
        <v>14</v>
      </c>
      <c r="O608">
        <v>44</v>
      </c>
      <c r="P608" t="s">
        <v>34</v>
      </c>
      <c r="Q608" t="s">
        <v>76</v>
      </c>
      <c r="R608" t="str" cm="1">
        <f t="array" ref="R608">_xlfn.IFS(B608&lt;31,"Young-Adult",B608&lt;41,"Adult",B608&lt;61,"Middle-aged",B608&gt;=61,"Senior")</f>
        <v>Young-Adult</v>
      </c>
      <c r="S608" cm="1">
        <f t="array" ref="S608">_xlfn.IFS(Q608 ="Fortnightly",14,Q608="Weekly",7,Q608="Monthly",30,Q608="Quarterly",90,Q608="Bi-Weekly",14,Q608="Annually",365,Q608="Every 3 Months",90,TRUE,"NOT FOUND")</f>
        <v>30</v>
      </c>
    </row>
    <row r="609" spans="1:19" x14ac:dyDescent="0.35">
      <c r="A609">
        <v>608</v>
      </c>
      <c r="B609">
        <v>47</v>
      </c>
      <c r="C609" t="s">
        <v>7</v>
      </c>
      <c r="D609" t="s">
        <v>92</v>
      </c>
      <c r="E609" t="s">
        <v>9</v>
      </c>
      <c r="F609">
        <v>23</v>
      </c>
      <c r="G609" t="s">
        <v>104</v>
      </c>
      <c r="H609" t="s">
        <v>11</v>
      </c>
      <c r="I609" t="s">
        <v>61</v>
      </c>
      <c r="J609" t="s">
        <v>45</v>
      </c>
      <c r="K609">
        <v>2.8</v>
      </c>
      <c r="L609" t="s">
        <v>14</v>
      </c>
      <c r="M609" t="s">
        <v>33</v>
      </c>
      <c r="N609" t="s">
        <v>14</v>
      </c>
      <c r="O609">
        <v>44</v>
      </c>
      <c r="P609" t="s">
        <v>21</v>
      </c>
      <c r="Q609" t="s">
        <v>76</v>
      </c>
      <c r="R609" t="str" cm="1">
        <f t="array" ref="R609">_xlfn.IFS(B609&lt;31,"Young-Adult",B609&lt;41,"Adult",B609&lt;61,"Middle-aged",B609&gt;=61,"Senior")</f>
        <v>Middle-aged</v>
      </c>
      <c r="S609" cm="1">
        <f t="array" ref="S609">_xlfn.IFS(Q609 ="Fortnightly",14,Q609="Weekly",7,Q609="Monthly",30,Q609="Quarterly",90,Q609="Bi-Weekly",14,Q609="Annually",365,Q609="Every 3 Months",90,TRUE,"NOT FOUND")</f>
        <v>30</v>
      </c>
    </row>
    <row r="610" spans="1:19" x14ac:dyDescent="0.35">
      <c r="A610">
        <v>609</v>
      </c>
      <c r="B610">
        <v>41</v>
      </c>
      <c r="C610" t="s">
        <v>7</v>
      </c>
      <c r="D610" t="s">
        <v>120</v>
      </c>
      <c r="E610" t="s">
        <v>55</v>
      </c>
      <c r="F610">
        <v>25</v>
      </c>
      <c r="G610" t="s">
        <v>67</v>
      </c>
      <c r="H610" t="s">
        <v>24</v>
      </c>
      <c r="I610" t="s">
        <v>68</v>
      </c>
      <c r="J610" t="s">
        <v>45</v>
      </c>
      <c r="K610">
        <v>3.3</v>
      </c>
      <c r="L610" t="s">
        <v>14</v>
      </c>
      <c r="M610" t="s">
        <v>33</v>
      </c>
      <c r="N610" t="s">
        <v>14</v>
      </c>
      <c r="O610">
        <v>21</v>
      </c>
      <c r="P610" t="s">
        <v>16</v>
      </c>
      <c r="Q610" t="s">
        <v>85</v>
      </c>
      <c r="R610" t="str" cm="1">
        <f t="array" ref="R610">_xlfn.IFS(B610&lt;31,"Young-Adult",B610&lt;41,"Adult",B610&lt;61,"Middle-aged",B610&gt;=61,"Senior")</f>
        <v>Middle-aged</v>
      </c>
      <c r="S610" cm="1">
        <f t="array" ref="S610">_xlfn.IFS(Q610 ="Fortnightly",14,Q610="Weekly",7,Q610="Monthly",30,Q610="Quarterly",90,Q610="Bi-Weekly",14,Q610="Annually",365,Q610="Every 3 Months",90,TRUE,"NOT FOUND")</f>
        <v>90</v>
      </c>
    </row>
    <row r="611" spans="1:19" x14ac:dyDescent="0.35">
      <c r="A611">
        <v>610</v>
      </c>
      <c r="B611">
        <v>51</v>
      </c>
      <c r="C611" t="s">
        <v>7</v>
      </c>
      <c r="D611" t="s">
        <v>18</v>
      </c>
      <c r="E611" t="s">
        <v>9</v>
      </c>
      <c r="F611">
        <v>54</v>
      </c>
      <c r="G611" t="s">
        <v>111</v>
      </c>
      <c r="H611" t="s">
        <v>11</v>
      </c>
      <c r="I611" t="s">
        <v>61</v>
      </c>
      <c r="J611" t="s">
        <v>45</v>
      </c>
      <c r="K611">
        <v>4.5999999999999996</v>
      </c>
      <c r="L611" t="s">
        <v>14</v>
      </c>
      <c r="M611" t="s">
        <v>33</v>
      </c>
      <c r="N611" t="s">
        <v>14</v>
      </c>
      <c r="O611">
        <v>49</v>
      </c>
      <c r="P611" t="s">
        <v>27</v>
      </c>
      <c r="Q611" t="s">
        <v>17</v>
      </c>
      <c r="R611" t="str" cm="1">
        <f t="array" ref="R611">_xlfn.IFS(B611&lt;31,"Young-Adult",B611&lt;41,"Adult",B611&lt;61,"Middle-aged",B611&gt;=61,"Senior")</f>
        <v>Middle-aged</v>
      </c>
      <c r="S611" cm="1">
        <f t="array" ref="S611">_xlfn.IFS(Q611 ="Fortnightly",14,Q611="Weekly",7,Q611="Monthly",30,Q611="Quarterly",90,Q611="Bi-Weekly",14,Q611="Annually",365,Q611="Every 3 Months",90,TRUE,"NOT FOUND")</f>
        <v>14</v>
      </c>
    </row>
    <row r="612" spans="1:19" x14ac:dyDescent="0.35">
      <c r="A612">
        <v>611</v>
      </c>
      <c r="B612">
        <v>53</v>
      </c>
      <c r="C612" t="s">
        <v>7</v>
      </c>
      <c r="D612" t="s">
        <v>47</v>
      </c>
      <c r="E612" t="s">
        <v>9</v>
      </c>
      <c r="F612">
        <v>72</v>
      </c>
      <c r="G612" t="s">
        <v>89</v>
      </c>
      <c r="H612" t="s">
        <v>32</v>
      </c>
      <c r="I612" t="s">
        <v>49</v>
      </c>
      <c r="J612" t="s">
        <v>41</v>
      </c>
      <c r="K612">
        <v>2.5</v>
      </c>
      <c r="L612" t="s">
        <v>14</v>
      </c>
      <c r="M612" t="s">
        <v>26</v>
      </c>
      <c r="N612" t="s">
        <v>14</v>
      </c>
      <c r="O612">
        <v>27</v>
      </c>
      <c r="P612" t="s">
        <v>63</v>
      </c>
      <c r="Q612" t="s">
        <v>85</v>
      </c>
      <c r="R612" t="str" cm="1">
        <f t="array" ref="R612">_xlfn.IFS(B612&lt;31,"Young-Adult",B612&lt;41,"Adult",B612&lt;61,"Middle-aged",B612&gt;=61,"Senior")</f>
        <v>Middle-aged</v>
      </c>
      <c r="S612" cm="1">
        <f t="array" ref="S612">_xlfn.IFS(Q612 ="Fortnightly",14,Q612="Weekly",7,Q612="Monthly",30,Q612="Quarterly",90,Q612="Bi-Weekly",14,Q612="Annually",365,Q612="Every 3 Months",90,TRUE,"NOT FOUND")</f>
        <v>90</v>
      </c>
    </row>
    <row r="613" spans="1:19" x14ac:dyDescent="0.35">
      <c r="A613">
        <v>612</v>
      </c>
      <c r="B613">
        <v>43</v>
      </c>
      <c r="C613" t="s">
        <v>7</v>
      </c>
      <c r="D613" t="s">
        <v>107</v>
      </c>
      <c r="E613" t="s">
        <v>55</v>
      </c>
      <c r="F613">
        <v>33</v>
      </c>
      <c r="G613" t="s">
        <v>87</v>
      </c>
      <c r="H613" t="s">
        <v>32</v>
      </c>
      <c r="I613" t="s">
        <v>82</v>
      </c>
      <c r="J613" t="s">
        <v>13</v>
      </c>
      <c r="K613">
        <v>4.7</v>
      </c>
      <c r="L613" t="s">
        <v>14</v>
      </c>
      <c r="M613" t="s">
        <v>62</v>
      </c>
      <c r="N613" t="s">
        <v>14</v>
      </c>
      <c r="O613">
        <v>19</v>
      </c>
      <c r="P613" t="s">
        <v>21</v>
      </c>
      <c r="Q613" t="s">
        <v>76</v>
      </c>
      <c r="R613" t="str" cm="1">
        <f t="array" ref="R613">_xlfn.IFS(B613&lt;31,"Young-Adult",B613&lt;41,"Adult",B613&lt;61,"Middle-aged",B613&gt;=61,"Senior")</f>
        <v>Middle-aged</v>
      </c>
      <c r="S613" cm="1">
        <f t="array" ref="S613">_xlfn.IFS(Q613 ="Fortnightly",14,Q613="Weekly",7,Q613="Monthly",30,Q613="Quarterly",90,Q613="Bi-Weekly",14,Q613="Annually",365,Q613="Every 3 Months",90,TRUE,"NOT FOUND")</f>
        <v>30</v>
      </c>
    </row>
    <row r="614" spans="1:19" x14ac:dyDescent="0.35">
      <c r="A614">
        <v>613</v>
      </c>
      <c r="B614">
        <v>67</v>
      </c>
      <c r="C614" t="s">
        <v>7</v>
      </c>
      <c r="D614" t="s">
        <v>112</v>
      </c>
      <c r="E614" t="s">
        <v>55</v>
      </c>
      <c r="F614">
        <v>43</v>
      </c>
      <c r="G614" t="s">
        <v>70</v>
      </c>
      <c r="H614" t="s">
        <v>11</v>
      </c>
      <c r="I614" t="s">
        <v>81</v>
      </c>
      <c r="J614" t="s">
        <v>45</v>
      </c>
      <c r="K614">
        <v>4.5999999999999996</v>
      </c>
      <c r="L614" t="s">
        <v>14</v>
      </c>
      <c r="M614" t="s">
        <v>15</v>
      </c>
      <c r="N614" t="s">
        <v>14</v>
      </c>
      <c r="O614">
        <v>33</v>
      </c>
      <c r="P614" t="s">
        <v>27</v>
      </c>
      <c r="Q614" t="s">
        <v>46</v>
      </c>
      <c r="R614" t="str" cm="1">
        <f t="array" ref="R614">_xlfn.IFS(B614&lt;31,"Young-Adult",B614&lt;41,"Adult",B614&lt;61,"Middle-aged",B614&gt;=61,"Senior")</f>
        <v>Senior</v>
      </c>
      <c r="S614" cm="1">
        <f t="array" ref="S614">_xlfn.IFS(Q614 ="Fortnightly",14,Q614="Weekly",7,Q614="Monthly",30,Q614="Quarterly",90,Q614="Bi-Weekly",14,Q614="Annually",365,Q614="Every 3 Months",90,TRUE,"NOT FOUND")</f>
        <v>90</v>
      </c>
    </row>
    <row r="615" spans="1:19" x14ac:dyDescent="0.35">
      <c r="A615">
        <v>614</v>
      </c>
      <c r="B615">
        <v>61</v>
      </c>
      <c r="C615" t="s">
        <v>7</v>
      </c>
      <c r="D615" t="s">
        <v>50</v>
      </c>
      <c r="E615" t="s">
        <v>51</v>
      </c>
      <c r="F615">
        <v>51</v>
      </c>
      <c r="G615" t="s">
        <v>126</v>
      </c>
      <c r="H615" t="s">
        <v>11</v>
      </c>
      <c r="I615" t="s">
        <v>81</v>
      </c>
      <c r="J615" t="s">
        <v>45</v>
      </c>
      <c r="K615">
        <v>2.6</v>
      </c>
      <c r="L615" t="s">
        <v>14</v>
      </c>
      <c r="M615" t="s">
        <v>42</v>
      </c>
      <c r="N615" t="s">
        <v>14</v>
      </c>
      <c r="O615">
        <v>46</v>
      </c>
      <c r="P615" t="s">
        <v>21</v>
      </c>
      <c r="Q615" t="s">
        <v>64</v>
      </c>
      <c r="R615" t="str" cm="1">
        <f t="array" ref="R615">_xlfn.IFS(B615&lt;31,"Young-Adult",B615&lt;41,"Adult",B615&lt;61,"Middle-aged",B615&gt;=61,"Senior")</f>
        <v>Senior</v>
      </c>
      <c r="S615" cm="1">
        <f t="array" ref="S615">_xlfn.IFS(Q615 ="Fortnightly",14,Q615="Weekly",7,Q615="Monthly",30,Q615="Quarterly",90,Q615="Bi-Weekly",14,Q615="Annually",365,Q615="Every 3 Months",90,TRUE,"NOT FOUND")</f>
        <v>14</v>
      </c>
    </row>
    <row r="616" spans="1:19" x14ac:dyDescent="0.35">
      <c r="A616">
        <v>615</v>
      </c>
      <c r="B616">
        <v>68</v>
      </c>
      <c r="C616" t="s">
        <v>7</v>
      </c>
      <c r="D616" t="s">
        <v>94</v>
      </c>
      <c r="E616" t="s">
        <v>55</v>
      </c>
      <c r="F616">
        <v>85</v>
      </c>
      <c r="G616" t="s">
        <v>123</v>
      </c>
      <c r="H616" t="s">
        <v>32</v>
      </c>
      <c r="I616" t="s">
        <v>81</v>
      </c>
      <c r="J616" t="s">
        <v>13</v>
      </c>
      <c r="K616">
        <v>4</v>
      </c>
      <c r="L616" t="s">
        <v>14</v>
      </c>
      <c r="M616" t="s">
        <v>42</v>
      </c>
      <c r="N616" t="s">
        <v>14</v>
      </c>
      <c r="O616">
        <v>21</v>
      </c>
      <c r="P616" t="s">
        <v>27</v>
      </c>
      <c r="Q616" t="s">
        <v>64</v>
      </c>
      <c r="R616" t="str" cm="1">
        <f t="array" ref="R616">_xlfn.IFS(B616&lt;31,"Young-Adult",B616&lt;41,"Adult",B616&lt;61,"Middle-aged",B616&gt;=61,"Senior")</f>
        <v>Senior</v>
      </c>
      <c r="S616" cm="1">
        <f t="array" ref="S616">_xlfn.IFS(Q616 ="Fortnightly",14,Q616="Weekly",7,Q616="Monthly",30,Q616="Quarterly",90,Q616="Bi-Weekly",14,Q616="Annually",365,Q616="Every 3 Months",90,TRUE,"NOT FOUND")</f>
        <v>14</v>
      </c>
    </row>
    <row r="617" spans="1:19" x14ac:dyDescent="0.35">
      <c r="A617">
        <v>616</v>
      </c>
      <c r="B617">
        <v>67</v>
      </c>
      <c r="C617" t="s">
        <v>7</v>
      </c>
      <c r="D617" t="s">
        <v>29</v>
      </c>
      <c r="E617" t="s">
        <v>30</v>
      </c>
      <c r="F617">
        <v>100</v>
      </c>
      <c r="G617" t="s">
        <v>116</v>
      </c>
      <c r="H617" t="s">
        <v>11</v>
      </c>
      <c r="I617" t="s">
        <v>66</v>
      </c>
      <c r="J617" t="s">
        <v>41</v>
      </c>
      <c r="K617">
        <v>2.6</v>
      </c>
      <c r="L617" t="s">
        <v>14</v>
      </c>
      <c r="M617" t="s">
        <v>33</v>
      </c>
      <c r="N617" t="s">
        <v>14</v>
      </c>
      <c r="O617">
        <v>23</v>
      </c>
      <c r="P617" t="s">
        <v>16</v>
      </c>
      <c r="Q617" t="s">
        <v>37</v>
      </c>
      <c r="R617" t="str" cm="1">
        <f t="array" ref="R617">_xlfn.IFS(B617&lt;31,"Young-Adult",B617&lt;41,"Adult",B617&lt;61,"Middle-aged",B617&gt;=61,"Senior")</f>
        <v>Senior</v>
      </c>
      <c r="S617" cm="1">
        <f t="array" ref="S617">_xlfn.IFS(Q617 ="Fortnightly",14,Q617="Weekly",7,Q617="Monthly",30,Q617="Quarterly",90,Q617="Bi-Weekly",14,Q617="Annually",365,Q617="Every 3 Months",90,TRUE,"NOT FOUND")</f>
        <v>365</v>
      </c>
    </row>
    <row r="618" spans="1:19" x14ac:dyDescent="0.35">
      <c r="A618">
        <v>617</v>
      </c>
      <c r="B618">
        <v>29</v>
      </c>
      <c r="C618" t="s">
        <v>7</v>
      </c>
      <c r="D618" t="s">
        <v>131</v>
      </c>
      <c r="E618" t="s">
        <v>55</v>
      </c>
      <c r="F618">
        <v>72</v>
      </c>
      <c r="G618" t="s">
        <v>126</v>
      </c>
      <c r="H618" t="s">
        <v>11</v>
      </c>
      <c r="I618" t="s">
        <v>73</v>
      </c>
      <c r="J618" t="s">
        <v>25</v>
      </c>
      <c r="K618">
        <v>4.5999999999999996</v>
      </c>
      <c r="L618" t="s">
        <v>14</v>
      </c>
      <c r="M618" t="s">
        <v>26</v>
      </c>
      <c r="N618" t="s">
        <v>14</v>
      </c>
      <c r="O618">
        <v>38</v>
      </c>
      <c r="P618" t="s">
        <v>27</v>
      </c>
      <c r="Q618" t="s">
        <v>85</v>
      </c>
      <c r="R618" t="str" cm="1">
        <f t="array" ref="R618">_xlfn.IFS(B618&lt;31,"Young-Adult",B618&lt;41,"Adult",B618&lt;61,"Middle-aged",B618&gt;=61,"Senior")</f>
        <v>Young-Adult</v>
      </c>
      <c r="S618" cm="1">
        <f t="array" ref="S618">_xlfn.IFS(Q618 ="Fortnightly",14,Q618="Weekly",7,Q618="Monthly",30,Q618="Quarterly",90,Q618="Bi-Weekly",14,Q618="Annually",365,Q618="Every 3 Months",90,TRUE,"NOT FOUND")</f>
        <v>90</v>
      </c>
    </row>
    <row r="619" spans="1:19" x14ac:dyDescent="0.35">
      <c r="A619">
        <v>618</v>
      </c>
      <c r="B619">
        <v>50</v>
      </c>
      <c r="C619" t="s">
        <v>7</v>
      </c>
      <c r="D619" t="s">
        <v>120</v>
      </c>
      <c r="E619" t="s">
        <v>55</v>
      </c>
      <c r="F619">
        <v>57</v>
      </c>
      <c r="G619" t="s">
        <v>100</v>
      </c>
      <c r="H619" t="s">
        <v>32</v>
      </c>
      <c r="I619" t="s">
        <v>20</v>
      </c>
      <c r="J619" t="s">
        <v>45</v>
      </c>
      <c r="K619">
        <v>2.6</v>
      </c>
      <c r="L619" t="s">
        <v>14</v>
      </c>
      <c r="M619" t="s">
        <v>42</v>
      </c>
      <c r="N619" t="s">
        <v>14</v>
      </c>
      <c r="O619">
        <v>2</v>
      </c>
      <c r="P619" t="s">
        <v>63</v>
      </c>
      <c r="Q619" t="s">
        <v>46</v>
      </c>
      <c r="R619" t="str" cm="1">
        <f t="array" ref="R619">_xlfn.IFS(B619&lt;31,"Young-Adult",B619&lt;41,"Adult",B619&lt;61,"Middle-aged",B619&gt;=61,"Senior")</f>
        <v>Middle-aged</v>
      </c>
      <c r="S619" cm="1">
        <f t="array" ref="S619">_xlfn.IFS(Q619 ="Fortnightly",14,Q619="Weekly",7,Q619="Monthly",30,Q619="Quarterly",90,Q619="Bi-Weekly",14,Q619="Annually",365,Q619="Every 3 Months",90,TRUE,"NOT FOUND")</f>
        <v>90</v>
      </c>
    </row>
    <row r="620" spans="1:19" x14ac:dyDescent="0.35">
      <c r="A620">
        <v>619</v>
      </c>
      <c r="B620">
        <v>61</v>
      </c>
      <c r="C620" t="s">
        <v>7</v>
      </c>
      <c r="D620" t="s">
        <v>90</v>
      </c>
      <c r="E620" t="s">
        <v>51</v>
      </c>
      <c r="F620">
        <v>94</v>
      </c>
      <c r="G620" t="s">
        <v>104</v>
      </c>
      <c r="H620" t="s">
        <v>11</v>
      </c>
      <c r="I620" t="s">
        <v>97</v>
      </c>
      <c r="J620" t="s">
        <v>25</v>
      </c>
      <c r="K620">
        <v>4</v>
      </c>
      <c r="L620" t="s">
        <v>14</v>
      </c>
      <c r="M620" t="s">
        <v>15</v>
      </c>
      <c r="N620" t="s">
        <v>14</v>
      </c>
      <c r="O620">
        <v>21</v>
      </c>
      <c r="P620" t="s">
        <v>74</v>
      </c>
      <c r="Q620" t="s">
        <v>64</v>
      </c>
      <c r="R620" t="str" cm="1">
        <f t="array" ref="R620">_xlfn.IFS(B620&lt;31,"Young-Adult",B620&lt;41,"Adult",B620&lt;61,"Middle-aged",B620&gt;=61,"Senior")</f>
        <v>Senior</v>
      </c>
      <c r="S620" cm="1">
        <f t="array" ref="S620">_xlfn.IFS(Q620 ="Fortnightly",14,Q620="Weekly",7,Q620="Monthly",30,Q620="Quarterly",90,Q620="Bi-Weekly",14,Q620="Annually",365,Q620="Every 3 Months",90,TRUE,"NOT FOUND")</f>
        <v>14</v>
      </c>
    </row>
    <row r="621" spans="1:19" x14ac:dyDescent="0.35">
      <c r="A621">
        <v>620</v>
      </c>
      <c r="B621">
        <v>19</v>
      </c>
      <c r="C621" t="s">
        <v>7</v>
      </c>
      <c r="D621" t="s">
        <v>120</v>
      </c>
      <c r="E621" t="s">
        <v>55</v>
      </c>
      <c r="F621">
        <v>34</v>
      </c>
      <c r="G621" t="s">
        <v>133</v>
      </c>
      <c r="H621" t="s">
        <v>32</v>
      </c>
      <c r="I621" t="s">
        <v>49</v>
      </c>
      <c r="J621" t="s">
        <v>41</v>
      </c>
      <c r="K621">
        <v>4.5999999999999996</v>
      </c>
      <c r="L621" t="s">
        <v>14</v>
      </c>
      <c r="M621" t="s">
        <v>62</v>
      </c>
      <c r="N621" t="s">
        <v>14</v>
      </c>
      <c r="O621">
        <v>1</v>
      </c>
      <c r="P621" t="s">
        <v>74</v>
      </c>
      <c r="Q621" t="s">
        <v>85</v>
      </c>
      <c r="R621" t="str" cm="1">
        <f t="array" ref="R621">_xlfn.IFS(B621&lt;31,"Young-Adult",B621&lt;41,"Adult",B621&lt;61,"Middle-aged",B621&gt;=61,"Senior")</f>
        <v>Young-Adult</v>
      </c>
      <c r="S621" cm="1">
        <f t="array" ref="S621">_xlfn.IFS(Q621 ="Fortnightly",14,Q621="Weekly",7,Q621="Monthly",30,Q621="Quarterly",90,Q621="Bi-Weekly",14,Q621="Annually",365,Q621="Every 3 Months",90,TRUE,"NOT FOUND")</f>
        <v>90</v>
      </c>
    </row>
    <row r="622" spans="1:19" x14ac:dyDescent="0.35">
      <c r="A622">
        <v>621</v>
      </c>
      <c r="B622">
        <v>33</v>
      </c>
      <c r="C622" t="s">
        <v>7</v>
      </c>
      <c r="D622" t="s">
        <v>120</v>
      </c>
      <c r="E622" t="s">
        <v>55</v>
      </c>
      <c r="F622">
        <v>89</v>
      </c>
      <c r="G622" t="s">
        <v>31</v>
      </c>
      <c r="H622" t="s">
        <v>32</v>
      </c>
      <c r="I622" t="s">
        <v>82</v>
      </c>
      <c r="J622" t="s">
        <v>45</v>
      </c>
      <c r="K622">
        <v>3.7</v>
      </c>
      <c r="L622" t="s">
        <v>14</v>
      </c>
      <c r="M622" t="s">
        <v>58</v>
      </c>
      <c r="N622" t="s">
        <v>14</v>
      </c>
      <c r="O622">
        <v>10</v>
      </c>
      <c r="P622" t="s">
        <v>16</v>
      </c>
      <c r="Q622" t="s">
        <v>85</v>
      </c>
      <c r="R622" t="str" cm="1">
        <f t="array" ref="R622">_xlfn.IFS(B622&lt;31,"Young-Adult",B622&lt;41,"Adult",B622&lt;61,"Middle-aged",B622&gt;=61,"Senior")</f>
        <v>Adult</v>
      </c>
      <c r="S622" cm="1">
        <f t="array" ref="S622">_xlfn.IFS(Q622 ="Fortnightly",14,Q622="Weekly",7,Q622="Monthly",30,Q622="Quarterly",90,Q622="Bi-Weekly",14,Q622="Annually",365,Q622="Every 3 Months",90,TRUE,"NOT FOUND")</f>
        <v>90</v>
      </c>
    </row>
    <row r="623" spans="1:19" x14ac:dyDescent="0.35">
      <c r="A623">
        <v>622</v>
      </c>
      <c r="B623">
        <v>51</v>
      </c>
      <c r="C623" t="s">
        <v>7</v>
      </c>
      <c r="D623" t="s">
        <v>77</v>
      </c>
      <c r="E623" t="s">
        <v>55</v>
      </c>
      <c r="F623">
        <v>27</v>
      </c>
      <c r="G623" t="s">
        <v>99</v>
      </c>
      <c r="H623" t="s">
        <v>24</v>
      </c>
      <c r="I623" t="s">
        <v>96</v>
      </c>
      <c r="J623" t="s">
        <v>45</v>
      </c>
      <c r="K623">
        <v>4.4000000000000004</v>
      </c>
      <c r="L623" t="s">
        <v>14</v>
      </c>
      <c r="M623" t="s">
        <v>62</v>
      </c>
      <c r="N623" t="s">
        <v>14</v>
      </c>
      <c r="O623">
        <v>45</v>
      </c>
      <c r="P623" t="s">
        <v>27</v>
      </c>
      <c r="Q623" t="s">
        <v>28</v>
      </c>
      <c r="R623" t="str" cm="1">
        <f t="array" ref="R623">_xlfn.IFS(B623&lt;31,"Young-Adult",B623&lt;41,"Adult",B623&lt;61,"Middle-aged",B623&gt;=61,"Senior")</f>
        <v>Middle-aged</v>
      </c>
      <c r="S623" cm="1">
        <f t="array" ref="S623">_xlfn.IFS(Q623 ="Fortnightly",14,Q623="Weekly",7,Q623="Monthly",30,Q623="Quarterly",90,Q623="Bi-Weekly",14,Q623="Annually",365,Q623="Every 3 Months",90,TRUE,"NOT FOUND")</f>
        <v>7</v>
      </c>
    </row>
    <row r="624" spans="1:19" x14ac:dyDescent="0.35">
      <c r="A624">
        <v>623</v>
      </c>
      <c r="B624">
        <v>69</v>
      </c>
      <c r="C624" t="s">
        <v>7</v>
      </c>
      <c r="D624" t="s">
        <v>113</v>
      </c>
      <c r="E624" t="s">
        <v>9</v>
      </c>
      <c r="F624">
        <v>63</v>
      </c>
      <c r="G624" t="s">
        <v>130</v>
      </c>
      <c r="H624" t="s">
        <v>24</v>
      </c>
      <c r="I624" t="s">
        <v>88</v>
      </c>
      <c r="J624" t="s">
        <v>25</v>
      </c>
      <c r="K624">
        <v>4</v>
      </c>
      <c r="L624" t="s">
        <v>14</v>
      </c>
      <c r="M624" t="s">
        <v>33</v>
      </c>
      <c r="N624" t="s">
        <v>14</v>
      </c>
      <c r="O624">
        <v>44</v>
      </c>
      <c r="P624" t="s">
        <v>63</v>
      </c>
      <c r="Q624" t="s">
        <v>17</v>
      </c>
      <c r="R624" t="str" cm="1">
        <f t="array" ref="R624">_xlfn.IFS(B624&lt;31,"Young-Adult",B624&lt;41,"Adult",B624&lt;61,"Middle-aged",B624&gt;=61,"Senior")</f>
        <v>Senior</v>
      </c>
      <c r="S624" cm="1">
        <f t="array" ref="S624">_xlfn.IFS(Q624 ="Fortnightly",14,Q624="Weekly",7,Q624="Monthly",30,Q624="Quarterly",90,Q624="Bi-Weekly",14,Q624="Annually",365,Q624="Every 3 Months",90,TRUE,"NOT FOUND")</f>
        <v>14</v>
      </c>
    </row>
    <row r="625" spans="1:19" x14ac:dyDescent="0.35">
      <c r="A625">
        <v>624</v>
      </c>
      <c r="B625">
        <v>19</v>
      </c>
      <c r="C625" t="s">
        <v>7</v>
      </c>
      <c r="D625" t="s">
        <v>59</v>
      </c>
      <c r="E625" t="s">
        <v>30</v>
      </c>
      <c r="F625">
        <v>70</v>
      </c>
      <c r="G625" t="s">
        <v>95</v>
      </c>
      <c r="H625" t="s">
        <v>32</v>
      </c>
      <c r="I625" t="s">
        <v>40</v>
      </c>
      <c r="J625" t="s">
        <v>45</v>
      </c>
      <c r="K625">
        <v>4.7</v>
      </c>
      <c r="L625" t="s">
        <v>14</v>
      </c>
      <c r="M625" t="s">
        <v>42</v>
      </c>
      <c r="N625" t="s">
        <v>14</v>
      </c>
      <c r="O625">
        <v>48</v>
      </c>
      <c r="P625" t="s">
        <v>34</v>
      </c>
      <c r="Q625" t="s">
        <v>64</v>
      </c>
      <c r="R625" t="str" cm="1">
        <f t="array" ref="R625">_xlfn.IFS(B625&lt;31,"Young-Adult",B625&lt;41,"Adult",B625&lt;61,"Middle-aged",B625&gt;=61,"Senior")</f>
        <v>Young-Adult</v>
      </c>
      <c r="S625" cm="1">
        <f t="array" ref="S625">_xlfn.IFS(Q625 ="Fortnightly",14,Q625="Weekly",7,Q625="Monthly",30,Q625="Quarterly",90,Q625="Bi-Weekly",14,Q625="Annually",365,Q625="Every 3 Months",90,TRUE,"NOT FOUND")</f>
        <v>14</v>
      </c>
    </row>
    <row r="626" spans="1:19" x14ac:dyDescent="0.35">
      <c r="A626">
        <v>625</v>
      </c>
      <c r="B626">
        <v>55</v>
      </c>
      <c r="C626" t="s">
        <v>7</v>
      </c>
      <c r="D626" t="s">
        <v>83</v>
      </c>
      <c r="E626" t="s">
        <v>9</v>
      </c>
      <c r="F626">
        <v>87</v>
      </c>
      <c r="G626" t="s">
        <v>119</v>
      </c>
      <c r="H626" t="s">
        <v>80</v>
      </c>
      <c r="I626" t="s">
        <v>57</v>
      </c>
      <c r="J626" t="s">
        <v>45</v>
      </c>
      <c r="K626">
        <v>3.4</v>
      </c>
      <c r="L626" t="s">
        <v>14</v>
      </c>
      <c r="M626" t="s">
        <v>15</v>
      </c>
      <c r="N626" t="s">
        <v>14</v>
      </c>
      <c r="O626">
        <v>21</v>
      </c>
      <c r="P626" t="s">
        <v>34</v>
      </c>
      <c r="Q626" t="s">
        <v>37</v>
      </c>
      <c r="R626" t="str" cm="1">
        <f t="array" ref="R626">_xlfn.IFS(B626&lt;31,"Young-Adult",B626&lt;41,"Adult",B626&lt;61,"Middle-aged",B626&gt;=61,"Senior")</f>
        <v>Middle-aged</v>
      </c>
      <c r="S626" cm="1">
        <f t="array" ref="S626">_xlfn.IFS(Q626 ="Fortnightly",14,Q626="Weekly",7,Q626="Monthly",30,Q626="Quarterly",90,Q626="Bi-Weekly",14,Q626="Annually",365,Q626="Every 3 Months",90,TRUE,"NOT FOUND")</f>
        <v>365</v>
      </c>
    </row>
    <row r="627" spans="1:19" x14ac:dyDescent="0.35">
      <c r="A627">
        <v>626</v>
      </c>
      <c r="B627">
        <v>49</v>
      </c>
      <c r="C627" t="s">
        <v>7</v>
      </c>
      <c r="D627" t="s">
        <v>94</v>
      </c>
      <c r="E627" t="s">
        <v>55</v>
      </c>
      <c r="F627">
        <v>79</v>
      </c>
      <c r="G627" t="s">
        <v>67</v>
      </c>
      <c r="H627" t="s">
        <v>32</v>
      </c>
      <c r="I627" t="s">
        <v>96</v>
      </c>
      <c r="J627" t="s">
        <v>45</v>
      </c>
      <c r="K627">
        <v>4</v>
      </c>
      <c r="L627" t="s">
        <v>14</v>
      </c>
      <c r="M627" t="s">
        <v>33</v>
      </c>
      <c r="N627" t="s">
        <v>14</v>
      </c>
      <c r="O627">
        <v>1</v>
      </c>
      <c r="P627" t="s">
        <v>16</v>
      </c>
      <c r="Q627" t="s">
        <v>28</v>
      </c>
      <c r="R627" t="str" cm="1">
        <f t="array" ref="R627">_xlfn.IFS(B627&lt;31,"Young-Adult",B627&lt;41,"Adult",B627&lt;61,"Middle-aged",B627&gt;=61,"Senior")</f>
        <v>Middle-aged</v>
      </c>
      <c r="S627" cm="1">
        <f t="array" ref="S627">_xlfn.IFS(Q627 ="Fortnightly",14,Q627="Weekly",7,Q627="Monthly",30,Q627="Quarterly",90,Q627="Bi-Weekly",14,Q627="Annually",365,Q627="Every 3 Months",90,TRUE,"NOT FOUND")</f>
        <v>7</v>
      </c>
    </row>
    <row r="628" spans="1:19" x14ac:dyDescent="0.35">
      <c r="A628">
        <v>627</v>
      </c>
      <c r="B628">
        <v>31</v>
      </c>
      <c r="C628" t="s">
        <v>7</v>
      </c>
      <c r="D628" t="s">
        <v>77</v>
      </c>
      <c r="E628" t="s">
        <v>55</v>
      </c>
      <c r="F628">
        <v>79</v>
      </c>
      <c r="G628" t="s">
        <v>70</v>
      </c>
      <c r="H628" t="s">
        <v>32</v>
      </c>
      <c r="I628" t="s">
        <v>114</v>
      </c>
      <c r="J628" t="s">
        <v>25</v>
      </c>
      <c r="K628">
        <v>3.9</v>
      </c>
      <c r="L628" t="s">
        <v>14</v>
      </c>
      <c r="M628" t="s">
        <v>42</v>
      </c>
      <c r="N628" t="s">
        <v>14</v>
      </c>
      <c r="O628">
        <v>10</v>
      </c>
      <c r="P628" t="s">
        <v>16</v>
      </c>
      <c r="Q628" t="s">
        <v>37</v>
      </c>
      <c r="R628" t="str" cm="1">
        <f t="array" ref="R628">_xlfn.IFS(B628&lt;31,"Young-Adult",B628&lt;41,"Adult",B628&lt;61,"Middle-aged",B628&gt;=61,"Senior")</f>
        <v>Adult</v>
      </c>
      <c r="S628" cm="1">
        <f t="array" ref="S628">_xlfn.IFS(Q628 ="Fortnightly",14,Q628="Weekly",7,Q628="Monthly",30,Q628="Quarterly",90,Q628="Bi-Weekly",14,Q628="Annually",365,Q628="Every 3 Months",90,TRUE,"NOT FOUND")</f>
        <v>365</v>
      </c>
    </row>
    <row r="629" spans="1:19" x14ac:dyDescent="0.35">
      <c r="A629">
        <v>628</v>
      </c>
      <c r="B629">
        <v>42</v>
      </c>
      <c r="C629" t="s">
        <v>7</v>
      </c>
      <c r="D629" t="s">
        <v>29</v>
      </c>
      <c r="E629" t="s">
        <v>30</v>
      </c>
      <c r="F629">
        <v>44</v>
      </c>
      <c r="G629" t="s">
        <v>35</v>
      </c>
      <c r="H629" t="s">
        <v>11</v>
      </c>
      <c r="I629" t="s">
        <v>82</v>
      </c>
      <c r="J629" t="s">
        <v>13</v>
      </c>
      <c r="K629">
        <v>4.0999999999999996</v>
      </c>
      <c r="L629" t="s">
        <v>14</v>
      </c>
      <c r="M629" t="s">
        <v>15</v>
      </c>
      <c r="N629" t="s">
        <v>14</v>
      </c>
      <c r="O629">
        <v>24</v>
      </c>
      <c r="P629" t="s">
        <v>34</v>
      </c>
      <c r="Q629" t="s">
        <v>76</v>
      </c>
      <c r="R629" t="str" cm="1">
        <f t="array" ref="R629">_xlfn.IFS(B629&lt;31,"Young-Adult",B629&lt;41,"Adult",B629&lt;61,"Middle-aged",B629&gt;=61,"Senior")</f>
        <v>Middle-aged</v>
      </c>
      <c r="S629" cm="1">
        <f t="array" ref="S629">_xlfn.IFS(Q629 ="Fortnightly",14,Q629="Weekly",7,Q629="Monthly",30,Q629="Quarterly",90,Q629="Bi-Weekly",14,Q629="Annually",365,Q629="Every 3 Months",90,TRUE,"NOT FOUND")</f>
        <v>30</v>
      </c>
    </row>
    <row r="630" spans="1:19" x14ac:dyDescent="0.35">
      <c r="A630">
        <v>629</v>
      </c>
      <c r="B630">
        <v>69</v>
      </c>
      <c r="C630" t="s">
        <v>7</v>
      </c>
      <c r="D630" t="s">
        <v>18</v>
      </c>
      <c r="E630" t="s">
        <v>9</v>
      </c>
      <c r="F630">
        <v>85</v>
      </c>
      <c r="G630" t="s">
        <v>23</v>
      </c>
      <c r="H630" t="s">
        <v>32</v>
      </c>
      <c r="I630" t="s">
        <v>40</v>
      </c>
      <c r="J630" t="s">
        <v>45</v>
      </c>
      <c r="K630">
        <v>3.8</v>
      </c>
      <c r="L630" t="s">
        <v>14</v>
      </c>
      <c r="M630" t="s">
        <v>58</v>
      </c>
      <c r="N630" t="s">
        <v>14</v>
      </c>
      <c r="O630">
        <v>29</v>
      </c>
      <c r="P630" t="s">
        <v>27</v>
      </c>
      <c r="Q630" t="s">
        <v>76</v>
      </c>
      <c r="R630" t="str" cm="1">
        <f t="array" ref="R630">_xlfn.IFS(B630&lt;31,"Young-Adult",B630&lt;41,"Adult",B630&lt;61,"Middle-aged",B630&gt;=61,"Senior")</f>
        <v>Senior</v>
      </c>
      <c r="S630" cm="1">
        <f t="array" ref="S630">_xlfn.IFS(Q630 ="Fortnightly",14,Q630="Weekly",7,Q630="Monthly",30,Q630="Quarterly",90,Q630="Bi-Weekly",14,Q630="Annually",365,Q630="Every 3 Months",90,TRUE,"NOT FOUND")</f>
        <v>30</v>
      </c>
    </row>
    <row r="631" spans="1:19" x14ac:dyDescent="0.35">
      <c r="A631">
        <v>630</v>
      </c>
      <c r="B631">
        <v>26</v>
      </c>
      <c r="C631" t="s">
        <v>7</v>
      </c>
      <c r="D631" t="s">
        <v>59</v>
      </c>
      <c r="E631" t="s">
        <v>30</v>
      </c>
      <c r="F631">
        <v>90</v>
      </c>
      <c r="G631" t="s">
        <v>117</v>
      </c>
      <c r="H631" t="s">
        <v>11</v>
      </c>
      <c r="I631" t="s">
        <v>106</v>
      </c>
      <c r="J631" t="s">
        <v>25</v>
      </c>
      <c r="K631">
        <v>4.7</v>
      </c>
      <c r="L631" t="s">
        <v>14</v>
      </c>
      <c r="M631" t="s">
        <v>42</v>
      </c>
      <c r="N631" t="s">
        <v>14</v>
      </c>
      <c r="O631">
        <v>11</v>
      </c>
      <c r="P631" t="s">
        <v>74</v>
      </c>
      <c r="Q631" t="s">
        <v>37</v>
      </c>
      <c r="R631" t="str" cm="1">
        <f t="array" ref="R631">_xlfn.IFS(B631&lt;31,"Young-Adult",B631&lt;41,"Adult",B631&lt;61,"Middle-aged",B631&gt;=61,"Senior")</f>
        <v>Young-Adult</v>
      </c>
      <c r="S631" cm="1">
        <f t="array" ref="S631">_xlfn.IFS(Q631 ="Fortnightly",14,Q631="Weekly",7,Q631="Monthly",30,Q631="Quarterly",90,Q631="Bi-Weekly",14,Q631="Annually",365,Q631="Every 3 Months",90,TRUE,"NOT FOUND")</f>
        <v>365</v>
      </c>
    </row>
    <row r="632" spans="1:19" x14ac:dyDescent="0.35">
      <c r="A632">
        <v>631</v>
      </c>
      <c r="B632">
        <v>41</v>
      </c>
      <c r="C632" t="s">
        <v>7</v>
      </c>
      <c r="D632" t="s">
        <v>94</v>
      </c>
      <c r="E632" t="s">
        <v>55</v>
      </c>
      <c r="F632">
        <v>94</v>
      </c>
      <c r="G632" t="s">
        <v>79</v>
      </c>
      <c r="H632" t="s">
        <v>24</v>
      </c>
      <c r="I632" t="s">
        <v>53</v>
      </c>
      <c r="J632" t="s">
        <v>45</v>
      </c>
      <c r="K632">
        <v>4.3</v>
      </c>
      <c r="L632" t="s">
        <v>14</v>
      </c>
      <c r="M632" t="s">
        <v>58</v>
      </c>
      <c r="N632" t="s">
        <v>14</v>
      </c>
      <c r="O632">
        <v>33</v>
      </c>
      <c r="P632" t="s">
        <v>74</v>
      </c>
      <c r="Q632" t="s">
        <v>37</v>
      </c>
      <c r="R632" t="str" cm="1">
        <f t="array" ref="R632">_xlfn.IFS(B632&lt;31,"Young-Adult",B632&lt;41,"Adult",B632&lt;61,"Middle-aged",B632&gt;=61,"Senior")</f>
        <v>Middle-aged</v>
      </c>
      <c r="S632" cm="1">
        <f t="array" ref="S632">_xlfn.IFS(Q632 ="Fortnightly",14,Q632="Weekly",7,Q632="Monthly",30,Q632="Quarterly",90,Q632="Bi-Weekly",14,Q632="Annually",365,Q632="Every 3 Months",90,TRUE,"NOT FOUND")</f>
        <v>365</v>
      </c>
    </row>
    <row r="633" spans="1:19" x14ac:dyDescent="0.35">
      <c r="A633">
        <v>632</v>
      </c>
      <c r="B633">
        <v>55</v>
      </c>
      <c r="C633" t="s">
        <v>7</v>
      </c>
      <c r="D633" t="s">
        <v>125</v>
      </c>
      <c r="E633" t="s">
        <v>30</v>
      </c>
      <c r="F633">
        <v>68</v>
      </c>
      <c r="G633" t="s">
        <v>137</v>
      </c>
      <c r="H633" t="s">
        <v>24</v>
      </c>
      <c r="I633" t="s">
        <v>71</v>
      </c>
      <c r="J633" t="s">
        <v>41</v>
      </c>
      <c r="K633">
        <v>4.0999999999999996</v>
      </c>
      <c r="L633" t="s">
        <v>14</v>
      </c>
      <c r="M633" t="s">
        <v>62</v>
      </c>
      <c r="N633" t="s">
        <v>14</v>
      </c>
      <c r="O633">
        <v>27</v>
      </c>
      <c r="P633" t="s">
        <v>21</v>
      </c>
      <c r="Q633" t="s">
        <v>17</v>
      </c>
      <c r="R633" t="str" cm="1">
        <f t="array" ref="R633">_xlfn.IFS(B633&lt;31,"Young-Adult",B633&lt;41,"Adult",B633&lt;61,"Middle-aged",B633&gt;=61,"Senior")</f>
        <v>Middle-aged</v>
      </c>
      <c r="S633" cm="1">
        <f t="array" ref="S633">_xlfn.IFS(Q633 ="Fortnightly",14,Q633="Weekly",7,Q633="Monthly",30,Q633="Quarterly",90,Q633="Bi-Weekly",14,Q633="Annually",365,Q633="Every 3 Months",90,TRUE,"NOT FOUND")</f>
        <v>14</v>
      </c>
    </row>
    <row r="634" spans="1:19" x14ac:dyDescent="0.35">
      <c r="A634">
        <v>633</v>
      </c>
      <c r="B634">
        <v>35</v>
      </c>
      <c r="C634" t="s">
        <v>7</v>
      </c>
      <c r="D634" t="s">
        <v>120</v>
      </c>
      <c r="E634" t="s">
        <v>55</v>
      </c>
      <c r="F634">
        <v>51</v>
      </c>
      <c r="G634" t="s">
        <v>39</v>
      </c>
      <c r="H634" t="s">
        <v>32</v>
      </c>
      <c r="I634" t="s">
        <v>96</v>
      </c>
      <c r="J634" t="s">
        <v>13</v>
      </c>
      <c r="K634">
        <v>3.9</v>
      </c>
      <c r="L634" t="s">
        <v>14</v>
      </c>
      <c r="M634" t="s">
        <v>33</v>
      </c>
      <c r="N634" t="s">
        <v>14</v>
      </c>
      <c r="O634">
        <v>19</v>
      </c>
      <c r="P634" t="s">
        <v>16</v>
      </c>
      <c r="Q634" t="s">
        <v>17</v>
      </c>
      <c r="R634" t="str" cm="1">
        <f t="array" ref="R634">_xlfn.IFS(B634&lt;31,"Young-Adult",B634&lt;41,"Adult",B634&lt;61,"Middle-aged",B634&gt;=61,"Senior")</f>
        <v>Adult</v>
      </c>
      <c r="S634" cm="1">
        <f t="array" ref="S634">_xlfn.IFS(Q634 ="Fortnightly",14,Q634="Weekly",7,Q634="Monthly",30,Q634="Quarterly",90,Q634="Bi-Weekly",14,Q634="Annually",365,Q634="Every 3 Months",90,TRUE,"NOT FOUND")</f>
        <v>14</v>
      </c>
    </row>
    <row r="635" spans="1:19" x14ac:dyDescent="0.35">
      <c r="A635">
        <v>634</v>
      </c>
      <c r="B635">
        <v>66</v>
      </c>
      <c r="C635" t="s">
        <v>7</v>
      </c>
      <c r="D635" t="s">
        <v>29</v>
      </c>
      <c r="E635" t="s">
        <v>30</v>
      </c>
      <c r="F635">
        <v>33</v>
      </c>
      <c r="G635" t="s">
        <v>136</v>
      </c>
      <c r="H635" t="s">
        <v>32</v>
      </c>
      <c r="I635" t="s">
        <v>109</v>
      </c>
      <c r="J635" t="s">
        <v>25</v>
      </c>
      <c r="K635">
        <v>2.9</v>
      </c>
      <c r="L635" t="s">
        <v>14</v>
      </c>
      <c r="M635" t="s">
        <v>15</v>
      </c>
      <c r="N635" t="s">
        <v>14</v>
      </c>
      <c r="O635">
        <v>50</v>
      </c>
      <c r="P635" t="s">
        <v>74</v>
      </c>
      <c r="Q635" t="s">
        <v>46</v>
      </c>
      <c r="R635" t="str" cm="1">
        <f t="array" ref="R635">_xlfn.IFS(B635&lt;31,"Young-Adult",B635&lt;41,"Adult",B635&lt;61,"Middle-aged",B635&gt;=61,"Senior")</f>
        <v>Senior</v>
      </c>
      <c r="S635" cm="1">
        <f t="array" ref="S635">_xlfn.IFS(Q635 ="Fortnightly",14,Q635="Weekly",7,Q635="Monthly",30,Q635="Quarterly",90,Q635="Bi-Weekly",14,Q635="Annually",365,Q635="Every 3 Months",90,TRUE,"NOT FOUND")</f>
        <v>90</v>
      </c>
    </row>
    <row r="636" spans="1:19" x14ac:dyDescent="0.35">
      <c r="A636">
        <v>635</v>
      </c>
      <c r="B636">
        <v>36</v>
      </c>
      <c r="C636" t="s">
        <v>7</v>
      </c>
      <c r="D636" t="s">
        <v>38</v>
      </c>
      <c r="E636" t="s">
        <v>30</v>
      </c>
      <c r="F636">
        <v>60</v>
      </c>
      <c r="G636" t="s">
        <v>111</v>
      </c>
      <c r="H636" t="s">
        <v>32</v>
      </c>
      <c r="I636" t="s">
        <v>73</v>
      </c>
      <c r="J636" t="s">
        <v>41</v>
      </c>
      <c r="K636">
        <v>3.9</v>
      </c>
      <c r="L636" t="s">
        <v>14</v>
      </c>
      <c r="M636" t="s">
        <v>42</v>
      </c>
      <c r="N636" t="s">
        <v>14</v>
      </c>
      <c r="O636">
        <v>46</v>
      </c>
      <c r="P636" t="s">
        <v>34</v>
      </c>
      <c r="Q636" t="s">
        <v>28</v>
      </c>
      <c r="R636" t="str" cm="1">
        <f t="array" ref="R636">_xlfn.IFS(B636&lt;31,"Young-Adult",B636&lt;41,"Adult",B636&lt;61,"Middle-aged",B636&gt;=61,"Senior")</f>
        <v>Adult</v>
      </c>
      <c r="S636" cm="1">
        <f t="array" ref="S636">_xlfn.IFS(Q636 ="Fortnightly",14,Q636="Weekly",7,Q636="Monthly",30,Q636="Quarterly",90,Q636="Bi-Weekly",14,Q636="Annually",365,Q636="Every 3 Months",90,TRUE,"NOT FOUND")</f>
        <v>7</v>
      </c>
    </row>
    <row r="637" spans="1:19" x14ac:dyDescent="0.35">
      <c r="A637">
        <v>636</v>
      </c>
      <c r="B637">
        <v>27</v>
      </c>
      <c r="C637" t="s">
        <v>7</v>
      </c>
      <c r="D637" t="s">
        <v>92</v>
      </c>
      <c r="E637" t="s">
        <v>9</v>
      </c>
      <c r="F637">
        <v>59</v>
      </c>
      <c r="G637" t="s">
        <v>119</v>
      </c>
      <c r="H637" t="s">
        <v>32</v>
      </c>
      <c r="I637" t="s">
        <v>98</v>
      </c>
      <c r="J637" t="s">
        <v>45</v>
      </c>
      <c r="K637">
        <v>4.3</v>
      </c>
      <c r="L637" t="s">
        <v>14</v>
      </c>
      <c r="M637" t="s">
        <v>58</v>
      </c>
      <c r="N637" t="s">
        <v>14</v>
      </c>
      <c r="O637">
        <v>28</v>
      </c>
      <c r="P637" t="s">
        <v>21</v>
      </c>
      <c r="Q637" t="s">
        <v>46</v>
      </c>
      <c r="R637" t="str" cm="1">
        <f t="array" ref="R637">_xlfn.IFS(B637&lt;31,"Young-Adult",B637&lt;41,"Adult",B637&lt;61,"Middle-aged",B637&gt;=61,"Senior")</f>
        <v>Young-Adult</v>
      </c>
      <c r="S637" cm="1">
        <f t="array" ref="S637">_xlfn.IFS(Q637 ="Fortnightly",14,Q637="Weekly",7,Q637="Monthly",30,Q637="Quarterly",90,Q637="Bi-Weekly",14,Q637="Annually",365,Q637="Every 3 Months",90,TRUE,"NOT FOUND")</f>
        <v>90</v>
      </c>
    </row>
    <row r="638" spans="1:19" x14ac:dyDescent="0.35">
      <c r="A638">
        <v>637</v>
      </c>
      <c r="B638">
        <v>41</v>
      </c>
      <c r="C638" t="s">
        <v>7</v>
      </c>
      <c r="D638" t="s">
        <v>54</v>
      </c>
      <c r="E638" t="s">
        <v>55</v>
      </c>
      <c r="F638">
        <v>30</v>
      </c>
      <c r="G638" t="s">
        <v>138</v>
      </c>
      <c r="H638" t="s">
        <v>32</v>
      </c>
      <c r="I638" t="s">
        <v>114</v>
      </c>
      <c r="J638" t="s">
        <v>41</v>
      </c>
      <c r="K638">
        <v>2.8</v>
      </c>
      <c r="L638" t="s">
        <v>14</v>
      </c>
      <c r="M638" t="s">
        <v>62</v>
      </c>
      <c r="N638" t="s">
        <v>14</v>
      </c>
      <c r="O638">
        <v>14</v>
      </c>
      <c r="P638" t="s">
        <v>63</v>
      </c>
      <c r="Q638" t="s">
        <v>85</v>
      </c>
      <c r="R638" t="str" cm="1">
        <f t="array" ref="R638">_xlfn.IFS(B638&lt;31,"Young-Adult",B638&lt;41,"Adult",B638&lt;61,"Middle-aged",B638&gt;=61,"Senior")</f>
        <v>Middle-aged</v>
      </c>
      <c r="S638" cm="1">
        <f t="array" ref="S638">_xlfn.IFS(Q638 ="Fortnightly",14,Q638="Weekly",7,Q638="Monthly",30,Q638="Quarterly",90,Q638="Bi-Weekly",14,Q638="Annually",365,Q638="Every 3 Months",90,TRUE,"NOT FOUND")</f>
        <v>90</v>
      </c>
    </row>
    <row r="639" spans="1:19" x14ac:dyDescent="0.35">
      <c r="A639">
        <v>638</v>
      </c>
      <c r="B639">
        <v>21</v>
      </c>
      <c r="C639" t="s">
        <v>7</v>
      </c>
      <c r="D639" t="s">
        <v>18</v>
      </c>
      <c r="E639" t="s">
        <v>9</v>
      </c>
      <c r="F639">
        <v>20</v>
      </c>
      <c r="G639" t="s">
        <v>110</v>
      </c>
      <c r="H639" t="s">
        <v>32</v>
      </c>
      <c r="I639" t="s">
        <v>97</v>
      </c>
      <c r="J639" t="s">
        <v>13</v>
      </c>
      <c r="K639">
        <v>3.4</v>
      </c>
      <c r="L639" t="s">
        <v>14</v>
      </c>
      <c r="M639" t="s">
        <v>58</v>
      </c>
      <c r="N639" t="s">
        <v>14</v>
      </c>
      <c r="O639">
        <v>46</v>
      </c>
      <c r="P639" t="s">
        <v>21</v>
      </c>
      <c r="Q639" t="s">
        <v>17</v>
      </c>
      <c r="R639" t="str" cm="1">
        <f t="array" ref="R639">_xlfn.IFS(B639&lt;31,"Young-Adult",B639&lt;41,"Adult",B639&lt;61,"Middle-aged",B639&gt;=61,"Senior")</f>
        <v>Young-Adult</v>
      </c>
      <c r="S639" cm="1">
        <f t="array" ref="S639">_xlfn.IFS(Q639 ="Fortnightly",14,Q639="Weekly",7,Q639="Monthly",30,Q639="Quarterly",90,Q639="Bi-Weekly",14,Q639="Annually",365,Q639="Every 3 Months",90,TRUE,"NOT FOUND")</f>
        <v>14</v>
      </c>
    </row>
    <row r="640" spans="1:19" x14ac:dyDescent="0.35">
      <c r="A640">
        <v>639</v>
      </c>
      <c r="B640">
        <v>53</v>
      </c>
      <c r="C640" t="s">
        <v>7</v>
      </c>
      <c r="D640" t="s">
        <v>29</v>
      </c>
      <c r="E640" t="s">
        <v>30</v>
      </c>
      <c r="F640">
        <v>20</v>
      </c>
      <c r="G640" t="s">
        <v>116</v>
      </c>
      <c r="H640" t="s">
        <v>24</v>
      </c>
      <c r="I640" t="s">
        <v>132</v>
      </c>
      <c r="J640" t="s">
        <v>41</v>
      </c>
      <c r="K640">
        <v>2.7</v>
      </c>
      <c r="L640" t="s">
        <v>14</v>
      </c>
      <c r="M640" t="s">
        <v>15</v>
      </c>
      <c r="N640" t="s">
        <v>14</v>
      </c>
      <c r="O640">
        <v>41</v>
      </c>
      <c r="P640" t="s">
        <v>34</v>
      </c>
      <c r="Q640" t="s">
        <v>76</v>
      </c>
      <c r="R640" t="str" cm="1">
        <f t="array" ref="R640">_xlfn.IFS(B640&lt;31,"Young-Adult",B640&lt;41,"Adult",B640&lt;61,"Middle-aged",B640&gt;=61,"Senior")</f>
        <v>Middle-aged</v>
      </c>
      <c r="S640" cm="1">
        <f t="array" ref="S640">_xlfn.IFS(Q640 ="Fortnightly",14,Q640="Weekly",7,Q640="Monthly",30,Q640="Quarterly",90,Q640="Bi-Weekly",14,Q640="Annually",365,Q640="Every 3 Months",90,TRUE,"NOT FOUND")</f>
        <v>30</v>
      </c>
    </row>
    <row r="641" spans="1:19" x14ac:dyDescent="0.35">
      <c r="A641">
        <v>640</v>
      </c>
      <c r="B641">
        <v>54</v>
      </c>
      <c r="C641" t="s">
        <v>7</v>
      </c>
      <c r="D641" t="s">
        <v>69</v>
      </c>
      <c r="E641" t="s">
        <v>9</v>
      </c>
      <c r="F641">
        <v>24</v>
      </c>
      <c r="G641" t="s">
        <v>79</v>
      </c>
      <c r="H641" t="s">
        <v>11</v>
      </c>
      <c r="I641" t="s">
        <v>66</v>
      </c>
      <c r="J641" t="s">
        <v>25</v>
      </c>
      <c r="K641">
        <v>4</v>
      </c>
      <c r="L641" t="s">
        <v>14</v>
      </c>
      <c r="M641" t="s">
        <v>58</v>
      </c>
      <c r="N641" t="s">
        <v>14</v>
      </c>
      <c r="O641">
        <v>50</v>
      </c>
      <c r="P641" t="s">
        <v>27</v>
      </c>
      <c r="Q641" t="s">
        <v>37</v>
      </c>
      <c r="R641" t="str" cm="1">
        <f t="array" ref="R641">_xlfn.IFS(B641&lt;31,"Young-Adult",B641&lt;41,"Adult",B641&lt;61,"Middle-aged",B641&gt;=61,"Senior")</f>
        <v>Middle-aged</v>
      </c>
      <c r="S641" cm="1">
        <f t="array" ref="S641">_xlfn.IFS(Q641 ="Fortnightly",14,Q641="Weekly",7,Q641="Monthly",30,Q641="Quarterly",90,Q641="Bi-Weekly",14,Q641="Annually",365,Q641="Every 3 Months",90,TRUE,"NOT FOUND")</f>
        <v>365</v>
      </c>
    </row>
    <row r="642" spans="1:19" x14ac:dyDescent="0.35">
      <c r="A642">
        <v>641</v>
      </c>
      <c r="B642">
        <v>53</v>
      </c>
      <c r="C642" t="s">
        <v>7</v>
      </c>
      <c r="D642" t="s">
        <v>75</v>
      </c>
      <c r="E642" t="s">
        <v>9</v>
      </c>
      <c r="F642">
        <v>88</v>
      </c>
      <c r="G642" t="s">
        <v>136</v>
      </c>
      <c r="H642" t="s">
        <v>32</v>
      </c>
      <c r="I642" t="s">
        <v>12</v>
      </c>
      <c r="J642" t="s">
        <v>41</v>
      </c>
      <c r="K642">
        <v>4.4000000000000004</v>
      </c>
      <c r="L642" t="s">
        <v>14</v>
      </c>
      <c r="M642" t="s">
        <v>62</v>
      </c>
      <c r="N642" t="s">
        <v>14</v>
      </c>
      <c r="O642">
        <v>28</v>
      </c>
      <c r="P642" t="s">
        <v>74</v>
      </c>
      <c r="Q642" t="s">
        <v>17</v>
      </c>
      <c r="R642" t="str" cm="1">
        <f t="array" ref="R642">_xlfn.IFS(B642&lt;31,"Young-Adult",B642&lt;41,"Adult",B642&lt;61,"Middle-aged",B642&gt;=61,"Senior")</f>
        <v>Middle-aged</v>
      </c>
      <c r="S642" cm="1">
        <f t="array" ref="S642">_xlfn.IFS(Q642 ="Fortnightly",14,Q642="Weekly",7,Q642="Monthly",30,Q642="Quarterly",90,Q642="Bi-Weekly",14,Q642="Annually",365,Q642="Every 3 Months",90,TRUE,"NOT FOUND")</f>
        <v>14</v>
      </c>
    </row>
    <row r="643" spans="1:19" x14ac:dyDescent="0.35">
      <c r="A643">
        <v>642</v>
      </c>
      <c r="B643">
        <v>47</v>
      </c>
      <c r="C643" t="s">
        <v>7</v>
      </c>
      <c r="D643" t="s">
        <v>8</v>
      </c>
      <c r="E643" t="s">
        <v>9</v>
      </c>
      <c r="F643">
        <v>78</v>
      </c>
      <c r="G643" t="s">
        <v>108</v>
      </c>
      <c r="H643" t="s">
        <v>32</v>
      </c>
      <c r="I643" t="s">
        <v>96</v>
      </c>
      <c r="J643" t="s">
        <v>13</v>
      </c>
      <c r="K643">
        <v>3.9</v>
      </c>
      <c r="L643" t="s">
        <v>14</v>
      </c>
      <c r="M643" t="s">
        <v>58</v>
      </c>
      <c r="N643" t="s">
        <v>14</v>
      </c>
      <c r="O643">
        <v>23</v>
      </c>
      <c r="P643" t="s">
        <v>27</v>
      </c>
      <c r="Q643" t="s">
        <v>85</v>
      </c>
      <c r="R643" t="str" cm="1">
        <f t="array" ref="R643">_xlfn.IFS(B643&lt;31,"Young-Adult",B643&lt;41,"Adult",B643&lt;61,"Middle-aged",B643&gt;=61,"Senior")</f>
        <v>Middle-aged</v>
      </c>
      <c r="S643" cm="1">
        <f t="array" ref="S643">_xlfn.IFS(Q643 ="Fortnightly",14,Q643="Weekly",7,Q643="Monthly",30,Q643="Quarterly",90,Q643="Bi-Weekly",14,Q643="Annually",365,Q643="Every 3 Months",90,TRUE,"NOT FOUND")</f>
        <v>90</v>
      </c>
    </row>
    <row r="644" spans="1:19" x14ac:dyDescent="0.35">
      <c r="A644">
        <v>643</v>
      </c>
      <c r="B644">
        <v>64</v>
      </c>
      <c r="C644" t="s">
        <v>7</v>
      </c>
      <c r="D644" t="s">
        <v>75</v>
      </c>
      <c r="E644" t="s">
        <v>9</v>
      </c>
      <c r="F644">
        <v>25</v>
      </c>
      <c r="G644" t="s">
        <v>60</v>
      </c>
      <c r="H644" t="s">
        <v>11</v>
      </c>
      <c r="I644" t="s">
        <v>96</v>
      </c>
      <c r="J644" t="s">
        <v>25</v>
      </c>
      <c r="K644">
        <v>2.8</v>
      </c>
      <c r="L644" t="s">
        <v>14</v>
      </c>
      <c r="M644" t="s">
        <v>58</v>
      </c>
      <c r="N644" t="s">
        <v>14</v>
      </c>
      <c r="O644">
        <v>14</v>
      </c>
      <c r="P644" t="s">
        <v>74</v>
      </c>
      <c r="Q644" t="s">
        <v>64</v>
      </c>
      <c r="R644" t="str" cm="1">
        <f t="array" ref="R644">_xlfn.IFS(B644&lt;31,"Young-Adult",B644&lt;41,"Adult",B644&lt;61,"Middle-aged",B644&gt;=61,"Senior")</f>
        <v>Senior</v>
      </c>
      <c r="S644" cm="1">
        <f t="array" ref="S644">_xlfn.IFS(Q644 ="Fortnightly",14,Q644="Weekly",7,Q644="Monthly",30,Q644="Quarterly",90,Q644="Bi-Weekly",14,Q644="Annually",365,Q644="Every 3 Months",90,TRUE,"NOT FOUND")</f>
        <v>14</v>
      </c>
    </row>
    <row r="645" spans="1:19" x14ac:dyDescent="0.35">
      <c r="A645">
        <v>644</v>
      </c>
      <c r="B645">
        <v>18</v>
      </c>
      <c r="C645" t="s">
        <v>7</v>
      </c>
      <c r="D645" t="s">
        <v>18</v>
      </c>
      <c r="E645" t="s">
        <v>9</v>
      </c>
      <c r="F645">
        <v>57</v>
      </c>
      <c r="G645" t="s">
        <v>35</v>
      </c>
      <c r="H645" t="s">
        <v>80</v>
      </c>
      <c r="I645" t="s">
        <v>84</v>
      </c>
      <c r="J645" t="s">
        <v>13</v>
      </c>
      <c r="K645">
        <v>3.2</v>
      </c>
      <c r="L645" t="s">
        <v>14</v>
      </c>
      <c r="M645" t="s">
        <v>33</v>
      </c>
      <c r="N645" t="s">
        <v>14</v>
      </c>
      <c r="O645">
        <v>10</v>
      </c>
      <c r="P645" t="s">
        <v>63</v>
      </c>
      <c r="Q645" t="s">
        <v>85</v>
      </c>
      <c r="R645" t="str" cm="1">
        <f t="array" ref="R645">_xlfn.IFS(B645&lt;31,"Young-Adult",B645&lt;41,"Adult",B645&lt;61,"Middle-aged",B645&gt;=61,"Senior")</f>
        <v>Young-Adult</v>
      </c>
      <c r="S645" cm="1">
        <f t="array" ref="S645">_xlfn.IFS(Q645 ="Fortnightly",14,Q645="Weekly",7,Q645="Monthly",30,Q645="Quarterly",90,Q645="Bi-Weekly",14,Q645="Annually",365,Q645="Every 3 Months",90,TRUE,"NOT FOUND")</f>
        <v>90</v>
      </c>
    </row>
    <row r="646" spans="1:19" x14ac:dyDescent="0.35">
      <c r="A646">
        <v>645</v>
      </c>
      <c r="B646">
        <v>68</v>
      </c>
      <c r="C646" t="s">
        <v>7</v>
      </c>
      <c r="D646" t="s">
        <v>120</v>
      </c>
      <c r="E646" t="s">
        <v>55</v>
      </c>
      <c r="F646">
        <v>93</v>
      </c>
      <c r="G646" t="s">
        <v>48</v>
      </c>
      <c r="H646" t="s">
        <v>24</v>
      </c>
      <c r="I646" t="s">
        <v>132</v>
      </c>
      <c r="J646" t="s">
        <v>41</v>
      </c>
      <c r="K646">
        <v>4.3</v>
      </c>
      <c r="L646" t="s">
        <v>14</v>
      </c>
      <c r="M646" t="s">
        <v>33</v>
      </c>
      <c r="N646" t="s">
        <v>14</v>
      </c>
      <c r="O646">
        <v>37</v>
      </c>
      <c r="P646" t="s">
        <v>21</v>
      </c>
      <c r="Q646" t="s">
        <v>28</v>
      </c>
      <c r="R646" t="str" cm="1">
        <f t="array" ref="R646">_xlfn.IFS(B646&lt;31,"Young-Adult",B646&lt;41,"Adult",B646&lt;61,"Middle-aged",B646&gt;=61,"Senior")</f>
        <v>Senior</v>
      </c>
      <c r="S646" cm="1">
        <f t="array" ref="S646">_xlfn.IFS(Q646 ="Fortnightly",14,Q646="Weekly",7,Q646="Monthly",30,Q646="Quarterly",90,Q646="Bi-Weekly",14,Q646="Annually",365,Q646="Every 3 Months",90,TRUE,"NOT FOUND")</f>
        <v>7</v>
      </c>
    </row>
    <row r="647" spans="1:19" x14ac:dyDescent="0.35">
      <c r="A647">
        <v>646</v>
      </c>
      <c r="B647">
        <v>62</v>
      </c>
      <c r="C647" t="s">
        <v>7</v>
      </c>
      <c r="D647" t="s">
        <v>92</v>
      </c>
      <c r="E647" t="s">
        <v>9</v>
      </c>
      <c r="F647">
        <v>42</v>
      </c>
      <c r="G647" t="s">
        <v>89</v>
      </c>
      <c r="H647" t="s">
        <v>24</v>
      </c>
      <c r="I647" t="s">
        <v>61</v>
      </c>
      <c r="J647" t="s">
        <v>41</v>
      </c>
      <c r="K647">
        <v>4.2</v>
      </c>
      <c r="L647" t="s">
        <v>14</v>
      </c>
      <c r="M647" t="s">
        <v>15</v>
      </c>
      <c r="N647" t="s">
        <v>14</v>
      </c>
      <c r="O647">
        <v>15</v>
      </c>
      <c r="P647" t="s">
        <v>16</v>
      </c>
      <c r="Q647" t="s">
        <v>64</v>
      </c>
      <c r="R647" t="str" cm="1">
        <f t="array" ref="R647">_xlfn.IFS(B647&lt;31,"Young-Adult",B647&lt;41,"Adult",B647&lt;61,"Middle-aged",B647&gt;=61,"Senior")</f>
        <v>Senior</v>
      </c>
      <c r="S647" cm="1">
        <f t="array" ref="S647">_xlfn.IFS(Q647 ="Fortnightly",14,Q647="Weekly",7,Q647="Monthly",30,Q647="Quarterly",90,Q647="Bi-Weekly",14,Q647="Annually",365,Q647="Every 3 Months",90,TRUE,"NOT FOUND")</f>
        <v>14</v>
      </c>
    </row>
    <row r="648" spans="1:19" x14ac:dyDescent="0.35">
      <c r="A648">
        <v>647</v>
      </c>
      <c r="B648">
        <v>51</v>
      </c>
      <c r="C648" t="s">
        <v>7</v>
      </c>
      <c r="D648" t="s">
        <v>125</v>
      </c>
      <c r="E648" t="s">
        <v>30</v>
      </c>
      <c r="F648">
        <v>54</v>
      </c>
      <c r="G648" t="s">
        <v>104</v>
      </c>
      <c r="H648" t="s">
        <v>80</v>
      </c>
      <c r="I648" t="s">
        <v>57</v>
      </c>
      <c r="J648" t="s">
        <v>25</v>
      </c>
      <c r="K648">
        <v>4.9000000000000004</v>
      </c>
      <c r="L648" t="s">
        <v>14</v>
      </c>
      <c r="M648" t="s">
        <v>42</v>
      </c>
      <c r="N648" t="s">
        <v>14</v>
      </c>
      <c r="O648">
        <v>19</v>
      </c>
      <c r="P648" t="s">
        <v>16</v>
      </c>
      <c r="Q648" t="s">
        <v>64</v>
      </c>
      <c r="R648" t="str" cm="1">
        <f t="array" ref="R648">_xlfn.IFS(B648&lt;31,"Young-Adult",B648&lt;41,"Adult",B648&lt;61,"Middle-aged",B648&gt;=61,"Senior")</f>
        <v>Middle-aged</v>
      </c>
      <c r="S648" cm="1">
        <f t="array" ref="S648">_xlfn.IFS(Q648 ="Fortnightly",14,Q648="Weekly",7,Q648="Monthly",30,Q648="Quarterly",90,Q648="Bi-Weekly",14,Q648="Annually",365,Q648="Every 3 Months",90,TRUE,"NOT FOUND")</f>
        <v>14</v>
      </c>
    </row>
    <row r="649" spans="1:19" x14ac:dyDescent="0.35">
      <c r="A649">
        <v>648</v>
      </c>
      <c r="B649">
        <v>54</v>
      </c>
      <c r="C649" t="s">
        <v>7</v>
      </c>
      <c r="D649" t="s">
        <v>8</v>
      </c>
      <c r="E649" t="s">
        <v>9</v>
      </c>
      <c r="F649">
        <v>70</v>
      </c>
      <c r="G649" t="s">
        <v>79</v>
      </c>
      <c r="H649" t="s">
        <v>80</v>
      </c>
      <c r="I649" t="s">
        <v>49</v>
      </c>
      <c r="J649" t="s">
        <v>41</v>
      </c>
      <c r="K649">
        <v>3.7</v>
      </c>
      <c r="L649" t="s">
        <v>14</v>
      </c>
      <c r="M649" t="s">
        <v>15</v>
      </c>
      <c r="N649" t="s">
        <v>14</v>
      </c>
      <c r="O649">
        <v>23</v>
      </c>
      <c r="P649" t="s">
        <v>27</v>
      </c>
      <c r="Q649" t="s">
        <v>17</v>
      </c>
      <c r="R649" t="str" cm="1">
        <f t="array" ref="R649">_xlfn.IFS(B649&lt;31,"Young-Adult",B649&lt;41,"Adult",B649&lt;61,"Middle-aged",B649&gt;=61,"Senior")</f>
        <v>Middle-aged</v>
      </c>
      <c r="S649" cm="1">
        <f t="array" ref="S649">_xlfn.IFS(Q649 ="Fortnightly",14,Q649="Weekly",7,Q649="Monthly",30,Q649="Quarterly",90,Q649="Bi-Weekly",14,Q649="Annually",365,Q649="Every 3 Months",90,TRUE,"NOT FOUND")</f>
        <v>14</v>
      </c>
    </row>
    <row r="650" spans="1:19" x14ac:dyDescent="0.35">
      <c r="A650">
        <v>649</v>
      </c>
      <c r="B650">
        <v>22</v>
      </c>
      <c r="C650" t="s">
        <v>7</v>
      </c>
      <c r="D650" t="s">
        <v>92</v>
      </c>
      <c r="E650" t="s">
        <v>9</v>
      </c>
      <c r="F650">
        <v>31</v>
      </c>
      <c r="G650" t="s">
        <v>139</v>
      </c>
      <c r="H650" t="s">
        <v>32</v>
      </c>
      <c r="I650" t="s">
        <v>98</v>
      </c>
      <c r="J650" t="s">
        <v>13</v>
      </c>
      <c r="K650">
        <v>4.0999999999999996</v>
      </c>
      <c r="L650" t="s">
        <v>14</v>
      </c>
      <c r="M650" t="s">
        <v>62</v>
      </c>
      <c r="N650" t="s">
        <v>14</v>
      </c>
      <c r="O650">
        <v>35</v>
      </c>
      <c r="P650" t="s">
        <v>27</v>
      </c>
      <c r="Q650" t="s">
        <v>28</v>
      </c>
      <c r="R650" t="str" cm="1">
        <f t="array" ref="R650">_xlfn.IFS(B650&lt;31,"Young-Adult",B650&lt;41,"Adult",B650&lt;61,"Middle-aged",B650&gt;=61,"Senior")</f>
        <v>Young-Adult</v>
      </c>
      <c r="S650" cm="1">
        <f t="array" ref="S650">_xlfn.IFS(Q650 ="Fortnightly",14,Q650="Weekly",7,Q650="Monthly",30,Q650="Quarterly",90,Q650="Bi-Weekly",14,Q650="Annually",365,Q650="Every 3 Months",90,TRUE,"NOT FOUND")</f>
        <v>7</v>
      </c>
    </row>
    <row r="651" spans="1:19" x14ac:dyDescent="0.35">
      <c r="A651">
        <v>650</v>
      </c>
      <c r="B651">
        <v>53</v>
      </c>
      <c r="C651" t="s">
        <v>7</v>
      </c>
      <c r="D651" t="s">
        <v>83</v>
      </c>
      <c r="E651" t="s">
        <v>9</v>
      </c>
      <c r="F651">
        <v>93</v>
      </c>
      <c r="G651" t="s">
        <v>67</v>
      </c>
      <c r="H651" t="s">
        <v>11</v>
      </c>
      <c r="I651" t="s">
        <v>109</v>
      </c>
      <c r="J651" t="s">
        <v>25</v>
      </c>
      <c r="K651">
        <v>4.2</v>
      </c>
      <c r="L651" t="s">
        <v>14</v>
      </c>
      <c r="M651" t="s">
        <v>62</v>
      </c>
      <c r="N651" t="s">
        <v>14</v>
      </c>
      <c r="O651">
        <v>33</v>
      </c>
      <c r="P651" t="s">
        <v>34</v>
      </c>
      <c r="Q651" t="s">
        <v>85</v>
      </c>
      <c r="R651" t="str" cm="1">
        <f t="array" ref="R651">_xlfn.IFS(B651&lt;31,"Young-Adult",B651&lt;41,"Adult",B651&lt;61,"Middle-aged",B651&gt;=61,"Senior")</f>
        <v>Middle-aged</v>
      </c>
      <c r="S651" cm="1">
        <f t="array" ref="S651">_xlfn.IFS(Q651 ="Fortnightly",14,Q651="Weekly",7,Q651="Monthly",30,Q651="Quarterly",90,Q651="Bi-Weekly",14,Q651="Annually",365,Q651="Every 3 Months",90,TRUE,"NOT FOUND")</f>
        <v>90</v>
      </c>
    </row>
    <row r="652" spans="1:19" x14ac:dyDescent="0.35">
      <c r="A652">
        <v>651</v>
      </c>
      <c r="B652">
        <v>34</v>
      </c>
      <c r="C652" t="s">
        <v>7</v>
      </c>
      <c r="D652" t="s">
        <v>131</v>
      </c>
      <c r="E652" t="s">
        <v>55</v>
      </c>
      <c r="F652">
        <v>40</v>
      </c>
      <c r="G652" t="s">
        <v>91</v>
      </c>
      <c r="H652" t="s">
        <v>32</v>
      </c>
      <c r="I652" t="s">
        <v>124</v>
      </c>
      <c r="J652" t="s">
        <v>25</v>
      </c>
      <c r="K652">
        <v>3.9</v>
      </c>
      <c r="L652" t="s">
        <v>14</v>
      </c>
      <c r="M652" t="s">
        <v>33</v>
      </c>
      <c r="N652" t="s">
        <v>14</v>
      </c>
      <c r="O652">
        <v>12</v>
      </c>
      <c r="P652" t="s">
        <v>63</v>
      </c>
      <c r="Q652" t="s">
        <v>37</v>
      </c>
      <c r="R652" t="str" cm="1">
        <f t="array" ref="R652">_xlfn.IFS(B652&lt;31,"Young-Adult",B652&lt;41,"Adult",B652&lt;61,"Middle-aged",B652&gt;=61,"Senior")</f>
        <v>Adult</v>
      </c>
      <c r="S652" cm="1">
        <f t="array" ref="S652">_xlfn.IFS(Q652 ="Fortnightly",14,Q652="Weekly",7,Q652="Monthly",30,Q652="Quarterly",90,Q652="Bi-Weekly",14,Q652="Annually",365,Q652="Every 3 Months",90,TRUE,"NOT FOUND")</f>
        <v>365</v>
      </c>
    </row>
    <row r="653" spans="1:19" x14ac:dyDescent="0.35">
      <c r="A653">
        <v>652</v>
      </c>
      <c r="B653">
        <v>32</v>
      </c>
      <c r="C653" t="s">
        <v>7</v>
      </c>
      <c r="D653" t="s">
        <v>112</v>
      </c>
      <c r="E653" t="s">
        <v>55</v>
      </c>
      <c r="F653">
        <v>32</v>
      </c>
      <c r="G653" t="s">
        <v>60</v>
      </c>
      <c r="H653" t="s">
        <v>11</v>
      </c>
      <c r="I653" t="s">
        <v>122</v>
      </c>
      <c r="J653" t="s">
        <v>41</v>
      </c>
      <c r="K653">
        <v>2.9</v>
      </c>
      <c r="L653" t="s">
        <v>14</v>
      </c>
      <c r="M653" t="s">
        <v>33</v>
      </c>
      <c r="N653" t="s">
        <v>14</v>
      </c>
      <c r="O653">
        <v>41</v>
      </c>
      <c r="P653" t="s">
        <v>16</v>
      </c>
      <c r="Q653" t="s">
        <v>17</v>
      </c>
      <c r="R653" t="str" cm="1">
        <f t="array" ref="R653">_xlfn.IFS(B653&lt;31,"Young-Adult",B653&lt;41,"Adult",B653&lt;61,"Middle-aged",B653&gt;=61,"Senior")</f>
        <v>Adult</v>
      </c>
      <c r="S653" cm="1">
        <f t="array" ref="S653">_xlfn.IFS(Q653 ="Fortnightly",14,Q653="Weekly",7,Q653="Monthly",30,Q653="Quarterly",90,Q653="Bi-Weekly",14,Q653="Annually",365,Q653="Every 3 Months",90,TRUE,"NOT FOUND")</f>
        <v>14</v>
      </c>
    </row>
    <row r="654" spans="1:19" x14ac:dyDescent="0.35">
      <c r="A654">
        <v>653</v>
      </c>
      <c r="B654">
        <v>64</v>
      </c>
      <c r="C654" t="s">
        <v>7</v>
      </c>
      <c r="D654" t="s">
        <v>77</v>
      </c>
      <c r="E654" t="s">
        <v>55</v>
      </c>
      <c r="F654">
        <v>27</v>
      </c>
      <c r="G654" t="s">
        <v>136</v>
      </c>
      <c r="H654" t="s">
        <v>32</v>
      </c>
      <c r="I654" t="s">
        <v>106</v>
      </c>
      <c r="J654" t="s">
        <v>13</v>
      </c>
      <c r="K654">
        <v>3.1</v>
      </c>
      <c r="L654" t="s">
        <v>14</v>
      </c>
      <c r="M654" t="s">
        <v>26</v>
      </c>
      <c r="N654" t="s">
        <v>14</v>
      </c>
      <c r="O654">
        <v>27</v>
      </c>
      <c r="P654" t="s">
        <v>16</v>
      </c>
      <c r="Q654" t="s">
        <v>28</v>
      </c>
      <c r="R654" t="str" cm="1">
        <f t="array" ref="R654">_xlfn.IFS(B654&lt;31,"Young-Adult",B654&lt;41,"Adult",B654&lt;61,"Middle-aged",B654&gt;=61,"Senior")</f>
        <v>Senior</v>
      </c>
      <c r="S654" cm="1">
        <f t="array" ref="S654">_xlfn.IFS(Q654 ="Fortnightly",14,Q654="Weekly",7,Q654="Monthly",30,Q654="Quarterly",90,Q654="Bi-Weekly",14,Q654="Annually",365,Q654="Every 3 Months",90,TRUE,"NOT FOUND")</f>
        <v>7</v>
      </c>
    </row>
    <row r="655" spans="1:19" x14ac:dyDescent="0.35">
      <c r="A655">
        <v>654</v>
      </c>
      <c r="B655">
        <v>20</v>
      </c>
      <c r="C655" t="s">
        <v>7</v>
      </c>
      <c r="D655" t="s">
        <v>107</v>
      </c>
      <c r="E655" t="s">
        <v>55</v>
      </c>
      <c r="F655">
        <v>68</v>
      </c>
      <c r="G655" t="s">
        <v>102</v>
      </c>
      <c r="H655" t="s">
        <v>32</v>
      </c>
      <c r="I655" t="s">
        <v>66</v>
      </c>
      <c r="J655" t="s">
        <v>13</v>
      </c>
      <c r="K655">
        <v>3.6</v>
      </c>
      <c r="L655" t="s">
        <v>14</v>
      </c>
      <c r="M655" t="s">
        <v>58</v>
      </c>
      <c r="N655" t="s">
        <v>14</v>
      </c>
      <c r="O655">
        <v>45</v>
      </c>
      <c r="P655" t="s">
        <v>21</v>
      </c>
      <c r="Q655" t="s">
        <v>17</v>
      </c>
      <c r="R655" t="str" cm="1">
        <f t="array" ref="R655">_xlfn.IFS(B655&lt;31,"Young-Adult",B655&lt;41,"Adult",B655&lt;61,"Middle-aged",B655&gt;=61,"Senior")</f>
        <v>Young-Adult</v>
      </c>
      <c r="S655" cm="1">
        <f t="array" ref="S655">_xlfn.IFS(Q655 ="Fortnightly",14,Q655="Weekly",7,Q655="Monthly",30,Q655="Quarterly",90,Q655="Bi-Weekly",14,Q655="Annually",365,Q655="Every 3 Months",90,TRUE,"NOT FOUND")</f>
        <v>14</v>
      </c>
    </row>
    <row r="656" spans="1:19" x14ac:dyDescent="0.35">
      <c r="A656">
        <v>655</v>
      </c>
      <c r="B656">
        <v>24</v>
      </c>
      <c r="C656" t="s">
        <v>7</v>
      </c>
      <c r="D656" t="s">
        <v>54</v>
      </c>
      <c r="E656" t="s">
        <v>55</v>
      </c>
      <c r="F656">
        <v>59</v>
      </c>
      <c r="G656" t="s">
        <v>87</v>
      </c>
      <c r="H656" t="s">
        <v>11</v>
      </c>
      <c r="I656" t="s">
        <v>12</v>
      </c>
      <c r="J656" t="s">
        <v>41</v>
      </c>
      <c r="K656">
        <v>4.4000000000000004</v>
      </c>
      <c r="L656" t="s">
        <v>14</v>
      </c>
      <c r="M656" t="s">
        <v>58</v>
      </c>
      <c r="N656" t="s">
        <v>14</v>
      </c>
      <c r="O656">
        <v>23</v>
      </c>
      <c r="P656" t="s">
        <v>16</v>
      </c>
      <c r="Q656" t="s">
        <v>37</v>
      </c>
      <c r="R656" t="str" cm="1">
        <f t="array" ref="R656">_xlfn.IFS(B656&lt;31,"Young-Adult",B656&lt;41,"Adult",B656&lt;61,"Middle-aged",B656&gt;=61,"Senior")</f>
        <v>Young-Adult</v>
      </c>
      <c r="S656" cm="1">
        <f t="array" ref="S656">_xlfn.IFS(Q656 ="Fortnightly",14,Q656="Weekly",7,Q656="Monthly",30,Q656="Quarterly",90,Q656="Bi-Weekly",14,Q656="Annually",365,Q656="Every 3 Months",90,TRUE,"NOT FOUND")</f>
        <v>365</v>
      </c>
    </row>
    <row r="657" spans="1:19" x14ac:dyDescent="0.35">
      <c r="A657">
        <v>656</v>
      </c>
      <c r="B657">
        <v>20</v>
      </c>
      <c r="C657" t="s">
        <v>7</v>
      </c>
      <c r="D657" t="s">
        <v>54</v>
      </c>
      <c r="E657" t="s">
        <v>55</v>
      </c>
      <c r="F657">
        <v>36</v>
      </c>
      <c r="G657" t="s">
        <v>79</v>
      </c>
      <c r="H657" t="s">
        <v>24</v>
      </c>
      <c r="I657" t="s">
        <v>61</v>
      </c>
      <c r="J657" t="s">
        <v>45</v>
      </c>
      <c r="K657">
        <v>3.1</v>
      </c>
      <c r="L657" t="s">
        <v>14</v>
      </c>
      <c r="M657" t="s">
        <v>26</v>
      </c>
      <c r="N657" t="s">
        <v>14</v>
      </c>
      <c r="O657">
        <v>19</v>
      </c>
      <c r="P657" t="s">
        <v>16</v>
      </c>
      <c r="Q657" t="s">
        <v>76</v>
      </c>
      <c r="R657" t="str" cm="1">
        <f t="array" ref="R657">_xlfn.IFS(B657&lt;31,"Young-Adult",B657&lt;41,"Adult",B657&lt;61,"Middle-aged",B657&gt;=61,"Senior")</f>
        <v>Young-Adult</v>
      </c>
      <c r="S657" cm="1">
        <f t="array" ref="S657">_xlfn.IFS(Q657 ="Fortnightly",14,Q657="Weekly",7,Q657="Monthly",30,Q657="Quarterly",90,Q657="Bi-Weekly",14,Q657="Annually",365,Q657="Every 3 Months",90,TRUE,"NOT FOUND")</f>
        <v>30</v>
      </c>
    </row>
    <row r="658" spans="1:19" x14ac:dyDescent="0.35">
      <c r="A658">
        <v>657</v>
      </c>
      <c r="B658">
        <v>42</v>
      </c>
      <c r="C658" t="s">
        <v>7</v>
      </c>
      <c r="D658" t="s">
        <v>22</v>
      </c>
      <c r="E658" t="s">
        <v>9</v>
      </c>
      <c r="F658">
        <v>23</v>
      </c>
      <c r="G658" t="s">
        <v>126</v>
      </c>
      <c r="H658" t="s">
        <v>32</v>
      </c>
      <c r="I658" t="s">
        <v>106</v>
      </c>
      <c r="J658" t="s">
        <v>41</v>
      </c>
      <c r="K658">
        <v>3.9</v>
      </c>
      <c r="L658" t="s">
        <v>14</v>
      </c>
      <c r="M658" t="s">
        <v>42</v>
      </c>
      <c r="N658" t="s">
        <v>14</v>
      </c>
      <c r="O658">
        <v>6</v>
      </c>
      <c r="P658" t="s">
        <v>34</v>
      </c>
      <c r="Q658" t="s">
        <v>46</v>
      </c>
      <c r="R658" t="str" cm="1">
        <f t="array" ref="R658">_xlfn.IFS(B658&lt;31,"Young-Adult",B658&lt;41,"Adult",B658&lt;61,"Middle-aged",B658&gt;=61,"Senior")</f>
        <v>Middle-aged</v>
      </c>
      <c r="S658" cm="1">
        <f t="array" ref="S658">_xlfn.IFS(Q658 ="Fortnightly",14,Q658="Weekly",7,Q658="Monthly",30,Q658="Quarterly",90,Q658="Bi-Weekly",14,Q658="Annually",365,Q658="Every 3 Months",90,TRUE,"NOT FOUND")</f>
        <v>90</v>
      </c>
    </row>
    <row r="659" spans="1:19" x14ac:dyDescent="0.35">
      <c r="A659">
        <v>658</v>
      </c>
      <c r="B659">
        <v>48</v>
      </c>
      <c r="C659" t="s">
        <v>7</v>
      </c>
      <c r="D659" t="s">
        <v>90</v>
      </c>
      <c r="E659" t="s">
        <v>51</v>
      </c>
      <c r="F659">
        <v>80</v>
      </c>
      <c r="G659" t="s">
        <v>105</v>
      </c>
      <c r="H659" t="s">
        <v>32</v>
      </c>
      <c r="I659" t="s">
        <v>40</v>
      </c>
      <c r="J659" t="s">
        <v>13</v>
      </c>
      <c r="K659">
        <v>4.3</v>
      </c>
      <c r="L659" t="s">
        <v>14</v>
      </c>
      <c r="M659" t="s">
        <v>26</v>
      </c>
      <c r="N659" t="s">
        <v>14</v>
      </c>
      <c r="O659">
        <v>6</v>
      </c>
      <c r="P659" t="s">
        <v>34</v>
      </c>
      <c r="Q659" t="s">
        <v>46</v>
      </c>
      <c r="R659" t="str" cm="1">
        <f t="array" ref="R659">_xlfn.IFS(B659&lt;31,"Young-Adult",B659&lt;41,"Adult",B659&lt;61,"Middle-aged",B659&gt;=61,"Senior")</f>
        <v>Middle-aged</v>
      </c>
      <c r="S659" cm="1">
        <f t="array" ref="S659">_xlfn.IFS(Q659 ="Fortnightly",14,Q659="Weekly",7,Q659="Monthly",30,Q659="Quarterly",90,Q659="Bi-Weekly",14,Q659="Annually",365,Q659="Every 3 Months",90,TRUE,"NOT FOUND")</f>
        <v>90</v>
      </c>
    </row>
    <row r="660" spans="1:19" x14ac:dyDescent="0.35">
      <c r="A660">
        <v>659</v>
      </c>
      <c r="B660">
        <v>62</v>
      </c>
      <c r="C660" t="s">
        <v>7</v>
      </c>
      <c r="D660" t="s">
        <v>120</v>
      </c>
      <c r="E660" t="s">
        <v>55</v>
      </c>
      <c r="F660">
        <v>37</v>
      </c>
      <c r="G660" t="s">
        <v>48</v>
      </c>
      <c r="H660" t="s">
        <v>24</v>
      </c>
      <c r="I660" t="s">
        <v>40</v>
      </c>
      <c r="J660" t="s">
        <v>45</v>
      </c>
      <c r="K660">
        <v>4.9000000000000004</v>
      </c>
      <c r="L660" t="s">
        <v>14</v>
      </c>
      <c r="M660" t="s">
        <v>62</v>
      </c>
      <c r="N660" t="s">
        <v>14</v>
      </c>
      <c r="O660">
        <v>20</v>
      </c>
      <c r="P660" t="s">
        <v>16</v>
      </c>
      <c r="Q660" t="s">
        <v>28</v>
      </c>
      <c r="R660" t="str" cm="1">
        <f t="array" ref="R660">_xlfn.IFS(B660&lt;31,"Young-Adult",B660&lt;41,"Adult",B660&lt;61,"Middle-aged",B660&gt;=61,"Senior")</f>
        <v>Senior</v>
      </c>
      <c r="S660" cm="1">
        <f t="array" ref="S660">_xlfn.IFS(Q660 ="Fortnightly",14,Q660="Weekly",7,Q660="Monthly",30,Q660="Quarterly",90,Q660="Bi-Weekly",14,Q660="Annually",365,Q660="Every 3 Months",90,TRUE,"NOT FOUND")</f>
        <v>7</v>
      </c>
    </row>
    <row r="661" spans="1:19" x14ac:dyDescent="0.35">
      <c r="A661">
        <v>660</v>
      </c>
      <c r="B661">
        <v>62</v>
      </c>
      <c r="C661" t="s">
        <v>7</v>
      </c>
      <c r="D661" t="s">
        <v>47</v>
      </c>
      <c r="E661" t="s">
        <v>9</v>
      </c>
      <c r="F661">
        <v>52</v>
      </c>
      <c r="G661" t="s">
        <v>129</v>
      </c>
      <c r="H661" t="s">
        <v>24</v>
      </c>
      <c r="I661" t="s">
        <v>68</v>
      </c>
      <c r="J661" t="s">
        <v>25</v>
      </c>
      <c r="K661">
        <v>3.6</v>
      </c>
      <c r="L661" t="s">
        <v>14</v>
      </c>
      <c r="M661" t="s">
        <v>58</v>
      </c>
      <c r="N661" t="s">
        <v>14</v>
      </c>
      <c r="O661">
        <v>8</v>
      </c>
      <c r="P661" t="s">
        <v>21</v>
      </c>
      <c r="Q661" t="s">
        <v>28</v>
      </c>
      <c r="R661" t="str" cm="1">
        <f t="array" ref="R661">_xlfn.IFS(B661&lt;31,"Young-Adult",B661&lt;41,"Adult",B661&lt;61,"Middle-aged",B661&gt;=61,"Senior")</f>
        <v>Senior</v>
      </c>
      <c r="S661" cm="1">
        <f t="array" ref="S661">_xlfn.IFS(Q661 ="Fortnightly",14,Q661="Weekly",7,Q661="Monthly",30,Q661="Quarterly",90,Q661="Bi-Weekly",14,Q661="Annually",365,Q661="Every 3 Months",90,TRUE,"NOT FOUND")</f>
        <v>7</v>
      </c>
    </row>
    <row r="662" spans="1:19" x14ac:dyDescent="0.35">
      <c r="A662">
        <v>661</v>
      </c>
      <c r="B662">
        <v>50</v>
      </c>
      <c r="C662" t="s">
        <v>7</v>
      </c>
      <c r="D662" t="s">
        <v>50</v>
      </c>
      <c r="E662" t="s">
        <v>51</v>
      </c>
      <c r="F662">
        <v>79</v>
      </c>
      <c r="G662" t="s">
        <v>44</v>
      </c>
      <c r="H662" t="s">
        <v>32</v>
      </c>
      <c r="I662" t="s">
        <v>66</v>
      </c>
      <c r="J662" t="s">
        <v>45</v>
      </c>
      <c r="K662">
        <v>5</v>
      </c>
      <c r="L662" t="s">
        <v>14</v>
      </c>
      <c r="M662" t="s">
        <v>58</v>
      </c>
      <c r="N662" t="s">
        <v>14</v>
      </c>
      <c r="O662">
        <v>39</v>
      </c>
      <c r="P662" t="s">
        <v>27</v>
      </c>
      <c r="Q662" t="s">
        <v>46</v>
      </c>
      <c r="R662" t="str" cm="1">
        <f t="array" ref="R662">_xlfn.IFS(B662&lt;31,"Young-Adult",B662&lt;41,"Adult",B662&lt;61,"Middle-aged",B662&gt;=61,"Senior")</f>
        <v>Middle-aged</v>
      </c>
      <c r="S662" cm="1">
        <f t="array" ref="S662">_xlfn.IFS(Q662 ="Fortnightly",14,Q662="Weekly",7,Q662="Monthly",30,Q662="Quarterly",90,Q662="Bi-Weekly",14,Q662="Annually",365,Q662="Every 3 Months",90,TRUE,"NOT FOUND")</f>
        <v>90</v>
      </c>
    </row>
    <row r="663" spans="1:19" x14ac:dyDescent="0.35">
      <c r="A663">
        <v>662</v>
      </c>
      <c r="B663">
        <v>57</v>
      </c>
      <c r="C663" t="s">
        <v>7</v>
      </c>
      <c r="D663" t="s">
        <v>43</v>
      </c>
      <c r="E663" t="s">
        <v>9</v>
      </c>
      <c r="F663">
        <v>68</v>
      </c>
      <c r="G663" t="s">
        <v>134</v>
      </c>
      <c r="H663" t="s">
        <v>80</v>
      </c>
      <c r="I663" t="s">
        <v>84</v>
      </c>
      <c r="J663" t="s">
        <v>45</v>
      </c>
      <c r="K663">
        <v>4.0999999999999996</v>
      </c>
      <c r="L663" t="s">
        <v>14</v>
      </c>
      <c r="M663" t="s">
        <v>62</v>
      </c>
      <c r="N663" t="s">
        <v>14</v>
      </c>
      <c r="O663">
        <v>39</v>
      </c>
      <c r="P663" t="s">
        <v>27</v>
      </c>
      <c r="Q663" t="s">
        <v>46</v>
      </c>
      <c r="R663" t="str" cm="1">
        <f t="array" ref="R663">_xlfn.IFS(B663&lt;31,"Young-Adult",B663&lt;41,"Adult",B663&lt;61,"Middle-aged",B663&gt;=61,"Senior")</f>
        <v>Middle-aged</v>
      </c>
      <c r="S663" cm="1">
        <f t="array" ref="S663">_xlfn.IFS(Q663 ="Fortnightly",14,Q663="Weekly",7,Q663="Monthly",30,Q663="Quarterly",90,Q663="Bi-Weekly",14,Q663="Annually",365,Q663="Every 3 Months",90,TRUE,"NOT FOUND")</f>
        <v>90</v>
      </c>
    </row>
    <row r="664" spans="1:19" x14ac:dyDescent="0.35">
      <c r="A664">
        <v>663</v>
      </c>
      <c r="B664">
        <v>24</v>
      </c>
      <c r="C664" t="s">
        <v>7</v>
      </c>
      <c r="D664" t="s">
        <v>131</v>
      </c>
      <c r="E664" t="s">
        <v>55</v>
      </c>
      <c r="F664">
        <v>98</v>
      </c>
      <c r="G664" t="s">
        <v>103</v>
      </c>
      <c r="H664" t="s">
        <v>11</v>
      </c>
      <c r="I664" t="s">
        <v>124</v>
      </c>
      <c r="J664" t="s">
        <v>45</v>
      </c>
      <c r="K664">
        <v>2.8</v>
      </c>
      <c r="L664" t="s">
        <v>14</v>
      </c>
      <c r="M664" t="s">
        <v>15</v>
      </c>
      <c r="N664" t="s">
        <v>14</v>
      </c>
      <c r="O664">
        <v>39</v>
      </c>
      <c r="P664" t="s">
        <v>16</v>
      </c>
      <c r="Q664" t="s">
        <v>64</v>
      </c>
      <c r="R664" t="str" cm="1">
        <f t="array" ref="R664">_xlfn.IFS(B664&lt;31,"Young-Adult",B664&lt;41,"Adult",B664&lt;61,"Middle-aged",B664&gt;=61,"Senior")</f>
        <v>Young-Adult</v>
      </c>
      <c r="S664" cm="1">
        <f t="array" ref="S664">_xlfn.IFS(Q664 ="Fortnightly",14,Q664="Weekly",7,Q664="Monthly",30,Q664="Quarterly",90,Q664="Bi-Weekly",14,Q664="Annually",365,Q664="Every 3 Months",90,TRUE,"NOT FOUND")</f>
        <v>14</v>
      </c>
    </row>
    <row r="665" spans="1:19" x14ac:dyDescent="0.35">
      <c r="A665">
        <v>664</v>
      </c>
      <c r="B665">
        <v>59</v>
      </c>
      <c r="C665" t="s">
        <v>7</v>
      </c>
      <c r="D665" t="s">
        <v>69</v>
      </c>
      <c r="E665" t="s">
        <v>9</v>
      </c>
      <c r="F665">
        <v>83</v>
      </c>
      <c r="G665" t="s">
        <v>108</v>
      </c>
      <c r="H665" t="s">
        <v>32</v>
      </c>
      <c r="I665" t="s">
        <v>49</v>
      </c>
      <c r="J665" t="s">
        <v>45</v>
      </c>
      <c r="K665">
        <v>4.7</v>
      </c>
      <c r="L665" t="s">
        <v>14</v>
      </c>
      <c r="M665" t="s">
        <v>15</v>
      </c>
      <c r="N665" t="s">
        <v>14</v>
      </c>
      <c r="O665">
        <v>23</v>
      </c>
      <c r="P665" t="s">
        <v>27</v>
      </c>
      <c r="Q665" t="s">
        <v>76</v>
      </c>
      <c r="R665" t="str" cm="1">
        <f t="array" ref="R665">_xlfn.IFS(B665&lt;31,"Young-Adult",B665&lt;41,"Adult",B665&lt;61,"Middle-aged",B665&gt;=61,"Senior")</f>
        <v>Middle-aged</v>
      </c>
      <c r="S665" cm="1">
        <f t="array" ref="S665">_xlfn.IFS(Q665 ="Fortnightly",14,Q665="Weekly",7,Q665="Monthly",30,Q665="Quarterly",90,Q665="Bi-Weekly",14,Q665="Annually",365,Q665="Every 3 Months",90,TRUE,"NOT FOUND")</f>
        <v>30</v>
      </c>
    </row>
    <row r="666" spans="1:19" x14ac:dyDescent="0.35">
      <c r="A666">
        <v>665</v>
      </c>
      <c r="B666">
        <v>63</v>
      </c>
      <c r="C666" t="s">
        <v>7</v>
      </c>
      <c r="D666" t="s">
        <v>83</v>
      </c>
      <c r="E666" t="s">
        <v>9</v>
      </c>
      <c r="F666">
        <v>83</v>
      </c>
      <c r="G666" t="s">
        <v>100</v>
      </c>
      <c r="H666" t="s">
        <v>32</v>
      </c>
      <c r="I666" t="s">
        <v>114</v>
      </c>
      <c r="J666" t="s">
        <v>13</v>
      </c>
      <c r="K666">
        <v>4.4000000000000004</v>
      </c>
      <c r="L666" t="s">
        <v>14</v>
      </c>
      <c r="M666" t="s">
        <v>15</v>
      </c>
      <c r="N666" t="s">
        <v>14</v>
      </c>
      <c r="O666">
        <v>41</v>
      </c>
      <c r="P666" t="s">
        <v>34</v>
      </c>
      <c r="Q666" t="s">
        <v>64</v>
      </c>
      <c r="R666" t="str" cm="1">
        <f t="array" ref="R666">_xlfn.IFS(B666&lt;31,"Young-Adult",B666&lt;41,"Adult",B666&lt;61,"Middle-aged",B666&gt;=61,"Senior")</f>
        <v>Senior</v>
      </c>
      <c r="S666" cm="1">
        <f t="array" ref="S666">_xlfn.IFS(Q666 ="Fortnightly",14,Q666="Weekly",7,Q666="Monthly",30,Q666="Quarterly",90,Q666="Bi-Weekly",14,Q666="Annually",365,Q666="Every 3 Months",90,TRUE,"NOT FOUND")</f>
        <v>14</v>
      </c>
    </row>
    <row r="667" spans="1:19" x14ac:dyDescent="0.35">
      <c r="A667">
        <v>666</v>
      </c>
      <c r="B667">
        <v>41</v>
      </c>
      <c r="C667" t="s">
        <v>7</v>
      </c>
      <c r="D667" t="s">
        <v>83</v>
      </c>
      <c r="E667" t="s">
        <v>9</v>
      </c>
      <c r="F667">
        <v>55</v>
      </c>
      <c r="G667" t="s">
        <v>118</v>
      </c>
      <c r="H667" t="s">
        <v>32</v>
      </c>
      <c r="I667" t="s">
        <v>88</v>
      </c>
      <c r="J667" t="s">
        <v>25</v>
      </c>
      <c r="K667">
        <v>4.9000000000000004</v>
      </c>
      <c r="L667" t="s">
        <v>14</v>
      </c>
      <c r="M667" t="s">
        <v>58</v>
      </c>
      <c r="N667" t="s">
        <v>14</v>
      </c>
      <c r="O667">
        <v>50</v>
      </c>
      <c r="P667" t="s">
        <v>27</v>
      </c>
      <c r="Q667" t="s">
        <v>37</v>
      </c>
      <c r="R667" t="str" cm="1">
        <f t="array" ref="R667">_xlfn.IFS(B667&lt;31,"Young-Adult",B667&lt;41,"Adult",B667&lt;61,"Middle-aged",B667&gt;=61,"Senior")</f>
        <v>Middle-aged</v>
      </c>
      <c r="S667" cm="1">
        <f t="array" ref="S667">_xlfn.IFS(Q667 ="Fortnightly",14,Q667="Weekly",7,Q667="Monthly",30,Q667="Quarterly",90,Q667="Bi-Weekly",14,Q667="Annually",365,Q667="Every 3 Months",90,TRUE,"NOT FOUND")</f>
        <v>365</v>
      </c>
    </row>
    <row r="668" spans="1:19" x14ac:dyDescent="0.35">
      <c r="A668">
        <v>667</v>
      </c>
      <c r="B668">
        <v>35</v>
      </c>
      <c r="C668" t="s">
        <v>7</v>
      </c>
      <c r="D668" t="s">
        <v>92</v>
      </c>
      <c r="E668" t="s">
        <v>9</v>
      </c>
      <c r="F668">
        <v>26</v>
      </c>
      <c r="G668" t="s">
        <v>100</v>
      </c>
      <c r="H668" t="s">
        <v>11</v>
      </c>
      <c r="I668" t="s">
        <v>36</v>
      </c>
      <c r="J668" t="s">
        <v>13</v>
      </c>
      <c r="K668">
        <v>3.1</v>
      </c>
      <c r="L668" t="s">
        <v>14</v>
      </c>
      <c r="M668" t="s">
        <v>26</v>
      </c>
      <c r="N668" t="s">
        <v>14</v>
      </c>
      <c r="O668">
        <v>30</v>
      </c>
      <c r="P668" t="s">
        <v>74</v>
      </c>
      <c r="Q668" t="s">
        <v>46</v>
      </c>
      <c r="R668" t="str" cm="1">
        <f t="array" ref="R668">_xlfn.IFS(B668&lt;31,"Young-Adult",B668&lt;41,"Adult",B668&lt;61,"Middle-aged",B668&gt;=61,"Senior")</f>
        <v>Adult</v>
      </c>
      <c r="S668" cm="1">
        <f t="array" ref="S668">_xlfn.IFS(Q668 ="Fortnightly",14,Q668="Weekly",7,Q668="Monthly",30,Q668="Quarterly",90,Q668="Bi-Weekly",14,Q668="Annually",365,Q668="Every 3 Months",90,TRUE,"NOT FOUND")</f>
        <v>90</v>
      </c>
    </row>
    <row r="669" spans="1:19" x14ac:dyDescent="0.35">
      <c r="A669">
        <v>668</v>
      </c>
      <c r="B669">
        <v>34</v>
      </c>
      <c r="C669" t="s">
        <v>7</v>
      </c>
      <c r="D669" t="s">
        <v>77</v>
      </c>
      <c r="E669" t="s">
        <v>55</v>
      </c>
      <c r="F669">
        <v>76</v>
      </c>
      <c r="G669" t="s">
        <v>105</v>
      </c>
      <c r="H669" t="s">
        <v>24</v>
      </c>
      <c r="I669" t="s">
        <v>132</v>
      </c>
      <c r="J669" t="s">
        <v>13</v>
      </c>
      <c r="K669">
        <v>2.6</v>
      </c>
      <c r="L669" t="s">
        <v>14</v>
      </c>
      <c r="M669" t="s">
        <v>42</v>
      </c>
      <c r="N669" t="s">
        <v>14</v>
      </c>
      <c r="O669">
        <v>32</v>
      </c>
      <c r="P669" t="s">
        <v>63</v>
      </c>
      <c r="Q669" t="s">
        <v>46</v>
      </c>
      <c r="R669" t="str" cm="1">
        <f t="array" ref="R669">_xlfn.IFS(B669&lt;31,"Young-Adult",B669&lt;41,"Adult",B669&lt;61,"Middle-aged",B669&gt;=61,"Senior")</f>
        <v>Adult</v>
      </c>
      <c r="S669" cm="1">
        <f t="array" ref="S669">_xlfn.IFS(Q669 ="Fortnightly",14,Q669="Weekly",7,Q669="Monthly",30,Q669="Quarterly",90,Q669="Bi-Weekly",14,Q669="Annually",365,Q669="Every 3 Months",90,TRUE,"NOT FOUND")</f>
        <v>90</v>
      </c>
    </row>
    <row r="670" spans="1:19" x14ac:dyDescent="0.35">
      <c r="A670">
        <v>669</v>
      </c>
      <c r="B670">
        <v>49</v>
      </c>
      <c r="C670" t="s">
        <v>7</v>
      </c>
      <c r="D670" t="s">
        <v>101</v>
      </c>
      <c r="E670" t="s">
        <v>9</v>
      </c>
      <c r="F670">
        <v>85</v>
      </c>
      <c r="G670" t="s">
        <v>65</v>
      </c>
      <c r="H670" t="s">
        <v>24</v>
      </c>
      <c r="I670" t="s">
        <v>36</v>
      </c>
      <c r="J670" t="s">
        <v>45</v>
      </c>
      <c r="K670">
        <v>2.9</v>
      </c>
      <c r="L670" t="s">
        <v>14</v>
      </c>
      <c r="M670" t="s">
        <v>15</v>
      </c>
      <c r="N670" t="s">
        <v>14</v>
      </c>
      <c r="O670">
        <v>35</v>
      </c>
      <c r="P670" t="s">
        <v>63</v>
      </c>
      <c r="Q670" t="s">
        <v>76</v>
      </c>
      <c r="R670" t="str" cm="1">
        <f t="array" ref="R670">_xlfn.IFS(B670&lt;31,"Young-Adult",B670&lt;41,"Adult",B670&lt;61,"Middle-aged",B670&gt;=61,"Senior")</f>
        <v>Middle-aged</v>
      </c>
      <c r="S670" cm="1">
        <f t="array" ref="S670">_xlfn.IFS(Q670 ="Fortnightly",14,Q670="Weekly",7,Q670="Monthly",30,Q670="Quarterly",90,Q670="Bi-Weekly",14,Q670="Annually",365,Q670="Every 3 Months",90,TRUE,"NOT FOUND")</f>
        <v>30</v>
      </c>
    </row>
    <row r="671" spans="1:19" x14ac:dyDescent="0.35">
      <c r="A671">
        <v>670</v>
      </c>
      <c r="B671">
        <v>43</v>
      </c>
      <c r="C671" t="s">
        <v>7</v>
      </c>
      <c r="D671" t="s">
        <v>90</v>
      </c>
      <c r="E671" t="s">
        <v>51</v>
      </c>
      <c r="F671">
        <v>89</v>
      </c>
      <c r="G671" t="s">
        <v>103</v>
      </c>
      <c r="H671" t="s">
        <v>32</v>
      </c>
      <c r="I671" t="s">
        <v>12</v>
      </c>
      <c r="J671" t="s">
        <v>25</v>
      </c>
      <c r="K671">
        <v>3.3</v>
      </c>
      <c r="L671" t="s">
        <v>14</v>
      </c>
      <c r="M671" t="s">
        <v>26</v>
      </c>
      <c r="N671" t="s">
        <v>14</v>
      </c>
      <c r="O671">
        <v>45</v>
      </c>
      <c r="P671" t="s">
        <v>16</v>
      </c>
      <c r="Q671" t="s">
        <v>64</v>
      </c>
      <c r="R671" t="str" cm="1">
        <f t="array" ref="R671">_xlfn.IFS(B671&lt;31,"Young-Adult",B671&lt;41,"Adult",B671&lt;61,"Middle-aged",B671&gt;=61,"Senior")</f>
        <v>Middle-aged</v>
      </c>
      <c r="S671" cm="1">
        <f t="array" ref="S671">_xlfn.IFS(Q671 ="Fortnightly",14,Q671="Weekly",7,Q671="Monthly",30,Q671="Quarterly",90,Q671="Bi-Weekly",14,Q671="Annually",365,Q671="Every 3 Months",90,TRUE,"NOT FOUND")</f>
        <v>14</v>
      </c>
    </row>
    <row r="672" spans="1:19" x14ac:dyDescent="0.35">
      <c r="A672">
        <v>671</v>
      </c>
      <c r="B672">
        <v>63</v>
      </c>
      <c r="C672" t="s">
        <v>7</v>
      </c>
      <c r="D672" t="s">
        <v>18</v>
      </c>
      <c r="E672" t="s">
        <v>9</v>
      </c>
      <c r="F672">
        <v>41</v>
      </c>
      <c r="G672" t="s">
        <v>48</v>
      </c>
      <c r="H672" t="s">
        <v>80</v>
      </c>
      <c r="I672" t="s">
        <v>61</v>
      </c>
      <c r="J672" t="s">
        <v>25</v>
      </c>
      <c r="K672">
        <v>4.8</v>
      </c>
      <c r="L672" t="s">
        <v>14</v>
      </c>
      <c r="M672" t="s">
        <v>33</v>
      </c>
      <c r="N672" t="s">
        <v>14</v>
      </c>
      <c r="O672">
        <v>37</v>
      </c>
      <c r="P672" t="s">
        <v>21</v>
      </c>
      <c r="Q672" t="s">
        <v>64</v>
      </c>
      <c r="R672" t="str" cm="1">
        <f t="array" ref="R672">_xlfn.IFS(B672&lt;31,"Young-Adult",B672&lt;41,"Adult",B672&lt;61,"Middle-aged",B672&gt;=61,"Senior")</f>
        <v>Senior</v>
      </c>
      <c r="S672" cm="1">
        <f t="array" ref="S672">_xlfn.IFS(Q672 ="Fortnightly",14,Q672="Weekly",7,Q672="Monthly",30,Q672="Quarterly",90,Q672="Bi-Weekly",14,Q672="Annually",365,Q672="Every 3 Months",90,TRUE,"NOT FOUND")</f>
        <v>14</v>
      </c>
    </row>
    <row r="673" spans="1:19" x14ac:dyDescent="0.35">
      <c r="A673">
        <v>672</v>
      </c>
      <c r="B673">
        <v>38</v>
      </c>
      <c r="C673" t="s">
        <v>7</v>
      </c>
      <c r="D673" t="s">
        <v>90</v>
      </c>
      <c r="E673" t="s">
        <v>51</v>
      </c>
      <c r="F673">
        <v>30</v>
      </c>
      <c r="G673" t="s">
        <v>134</v>
      </c>
      <c r="H673" t="s">
        <v>11</v>
      </c>
      <c r="I673" t="s">
        <v>82</v>
      </c>
      <c r="J673" t="s">
        <v>13</v>
      </c>
      <c r="K673">
        <v>4.7</v>
      </c>
      <c r="L673" t="s">
        <v>14</v>
      </c>
      <c r="M673" t="s">
        <v>15</v>
      </c>
      <c r="N673" t="s">
        <v>14</v>
      </c>
      <c r="O673">
        <v>45</v>
      </c>
      <c r="P673" t="s">
        <v>21</v>
      </c>
      <c r="Q673" t="s">
        <v>28</v>
      </c>
      <c r="R673" t="str" cm="1">
        <f t="array" ref="R673">_xlfn.IFS(B673&lt;31,"Young-Adult",B673&lt;41,"Adult",B673&lt;61,"Middle-aged",B673&gt;=61,"Senior")</f>
        <v>Adult</v>
      </c>
      <c r="S673" cm="1">
        <f t="array" ref="S673">_xlfn.IFS(Q673 ="Fortnightly",14,Q673="Weekly",7,Q673="Monthly",30,Q673="Quarterly",90,Q673="Bi-Weekly",14,Q673="Annually",365,Q673="Every 3 Months",90,TRUE,"NOT FOUND")</f>
        <v>7</v>
      </c>
    </row>
    <row r="674" spans="1:19" x14ac:dyDescent="0.35">
      <c r="A674">
        <v>673</v>
      </c>
      <c r="B674">
        <v>59</v>
      </c>
      <c r="C674" t="s">
        <v>7</v>
      </c>
      <c r="D674" t="s">
        <v>113</v>
      </c>
      <c r="E674" t="s">
        <v>9</v>
      </c>
      <c r="F674">
        <v>53</v>
      </c>
      <c r="G674" t="s">
        <v>137</v>
      </c>
      <c r="H674" t="s">
        <v>32</v>
      </c>
      <c r="I674" t="s">
        <v>88</v>
      </c>
      <c r="J674" t="s">
        <v>13</v>
      </c>
      <c r="K674">
        <v>3.3</v>
      </c>
      <c r="L674" t="s">
        <v>14</v>
      </c>
      <c r="M674" t="s">
        <v>58</v>
      </c>
      <c r="N674" t="s">
        <v>14</v>
      </c>
      <c r="O674">
        <v>29</v>
      </c>
      <c r="P674" t="s">
        <v>21</v>
      </c>
      <c r="Q674" t="s">
        <v>46</v>
      </c>
      <c r="R674" t="str" cm="1">
        <f t="array" ref="R674">_xlfn.IFS(B674&lt;31,"Young-Adult",B674&lt;41,"Adult",B674&lt;61,"Middle-aged",B674&gt;=61,"Senior")</f>
        <v>Middle-aged</v>
      </c>
      <c r="S674" cm="1">
        <f t="array" ref="S674">_xlfn.IFS(Q674 ="Fortnightly",14,Q674="Weekly",7,Q674="Monthly",30,Q674="Quarterly",90,Q674="Bi-Weekly",14,Q674="Annually",365,Q674="Every 3 Months",90,TRUE,"NOT FOUND")</f>
        <v>90</v>
      </c>
    </row>
    <row r="675" spans="1:19" x14ac:dyDescent="0.35">
      <c r="A675">
        <v>674</v>
      </c>
      <c r="B675">
        <v>35</v>
      </c>
      <c r="C675" t="s">
        <v>7</v>
      </c>
      <c r="D675" t="s">
        <v>43</v>
      </c>
      <c r="E675" t="s">
        <v>9</v>
      </c>
      <c r="F675">
        <v>66</v>
      </c>
      <c r="G675" t="s">
        <v>89</v>
      </c>
      <c r="H675" t="s">
        <v>32</v>
      </c>
      <c r="I675" t="s">
        <v>114</v>
      </c>
      <c r="J675" t="s">
        <v>25</v>
      </c>
      <c r="K675">
        <v>4.2</v>
      </c>
      <c r="L675" t="s">
        <v>14</v>
      </c>
      <c r="M675" t="s">
        <v>26</v>
      </c>
      <c r="N675" t="s">
        <v>14</v>
      </c>
      <c r="O675">
        <v>27</v>
      </c>
      <c r="P675" t="s">
        <v>16</v>
      </c>
      <c r="Q675" t="s">
        <v>64</v>
      </c>
      <c r="R675" t="str" cm="1">
        <f t="array" ref="R675">_xlfn.IFS(B675&lt;31,"Young-Adult",B675&lt;41,"Adult",B675&lt;61,"Middle-aged",B675&gt;=61,"Senior")</f>
        <v>Adult</v>
      </c>
      <c r="S675" cm="1">
        <f t="array" ref="S675">_xlfn.IFS(Q675 ="Fortnightly",14,Q675="Weekly",7,Q675="Monthly",30,Q675="Quarterly",90,Q675="Bi-Weekly",14,Q675="Annually",365,Q675="Every 3 Months",90,TRUE,"NOT FOUND")</f>
        <v>14</v>
      </c>
    </row>
    <row r="676" spans="1:19" x14ac:dyDescent="0.35">
      <c r="A676">
        <v>675</v>
      </c>
      <c r="B676">
        <v>48</v>
      </c>
      <c r="C676" t="s">
        <v>7</v>
      </c>
      <c r="D676" t="s">
        <v>94</v>
      </c>
      <c r="E676" t="s">
        <v>55</v>
      </c>
      <c r="F676">
        <v>33</v>
      </c>
      <c r="G676" t="s">
        <v>137</v>
      </c>
      <c r="H676" t="s">
        <v>80</v>
      </c>
      <c r="I676" t="s">
        <v>106</v>
      </c>
      <c r="J676" t="s">
        <v>13</v>
      </c>
      <c r="K676">
        <v>4.7</v>
      </c>
      <c r="L676" t="s">
        <v>14</v>
      </c>
      <c r="M676" t="s">
        <v>62</v>
      </c>
      <c r="N676" t="s">
        <v>14</v>
      </c>
      <c r="O676">
        <v>36</v>
      </c>
      <c r="P676" t="s">
        <v>63</v>
      </c>
      <c r="Q676" t="s">
        <v>37</v>
      </c>
      <c r="R676" t="str" cm="1">
        <f t="array" ref="R676">_xlfn.IFS(B676&lt;31,"Young-Adult",B676&lt;41,"Adult",B676&lt;61,"Middle-aged",B676&gt;=61,"Senior")</f>
        <v>Middle-aged</v>
      </c>
      <c r="S676" cm="1">
        <f t="array" ref="S676">_xlfn.IFS(Q676 ="Fortnightly",14,Q676="Weekly",7,Q676="Monthly",30,Q676="Quarterly",90,Q676="Bi-Weekly",14,Q676="Annually",365,Q676="Every 3 Months",90,TRUE,"NOT FOUND")</f>
        <v>365</v>
      </c>
    </row>
    <row r="677" spans="1:19" x14ac:dyDescent="0.35">
      <c r="A677">
        <v>676</v>
      </c>
      <c r="B677">
        <v>64</v>
      </c>
      <c r="C677" t="s">
        <v>7</v>
      </c>
      <c r="D677" t="s">
        <v>77</v>
      </c>
      <c r="E677" t="s">
        <v>55</v>
      </c>
      <c r="F677">
        <v>86</v>
      </c>
      <c r="G677" t="s">
        <v>60</v>
      </c>
      <c r="H677" t="s">
        <v>32</v>
      </c>
      <c r="I677" t="s">
        <v>122</v>
      </c>
      <c r="J677" t="s">
        <v>25</v>
      </c>
      <c r="K677">
        <v>2.6</v>
      </c>
      <c r="L677" t="s">
        <v>14</v>
      </c>
      <c r="M677" t="s">
        <v>58</v>
      </c>
      <c r="N677" t="s">
        <v>14</v>
      </c>
      <c r="O677">
        <v>9</v>
      </c>
      <c r="P677" t="s">
        <v>21</v>
      </c>
      <c r="Q677" t="s">
        <v>37</v>
      </c>
      <c r="R677" t="str" cm="1">
        <f t="array" ref="R677">_xlfn.IFS(B677&lt;31,"Young-Adult",B677&lt;41,"Adult",B677&lt;61,"Middle-aged",B677&gt;=61,"Senior")</f>
        <v>Senior</v>
      </c>
      <c r="S677" cm="1">
        <f t="array" ref="S677">_xlfn.IFS(Q677 ="Fortnightly",14,Q677="Weekly",7,Q677="Monthly",30,Q677="Quarterly",90,Q677="Bi-Weekly",14,Q677="Annually",365,Q677="Every 3 Months",90,TRUE,"NOT FOUND")</f>
        <v>365</v>
      </c>
    </row>
    <row r="678" spans="1:19" x14ac:dyDescent="0.35">
      <c r="A678">
        <v>677</v>
      </c>
      <c r="B678">
        <v>28</v>
      </c>
      <c r="C678" t="s">
        <v>7</v>
      </c>
      <c r="D678" t="s">
        <v>83</v>
      </c>
      <c r="E678" t="s">
        <v>9</v>
      </c>
      <c r="F678">
        <v>60</v>
      </c>
      <c r="G678" t="s">
        <v>127</v>
      </c>
      <c r="H678" t="s">
        <v>32</v>
      </c>
      <c r="I678" t="s">
        <v>88</v>
      </c>
      <c r="J678" t="s">
        <v>13</v>
      </c>
      <c r="K678">
        <v>2.9</v>
      </c>
      <c r="L678" t="s">
        <v>14</v>
      </c>
      <c r="M678" t="s">
        <v>58</v>
      </c>
      <c r="N678" t="s">
        <v>14</v>
      </c>
      <c r="O678">
        <v>38</v>
      </c>
      <c r="P678" t="s">
        <v>16</v>
      </c>
      <c r="Q678" t="s">
        <v>64</v>
      </c>
      <c r="R678" t="str" cm="1">
        <f t="array" ref="R678">_xlfn.IFS(B678&lt;31,"Young-Adult",B678&lt;41,"Adult",B678&lt;61,"Middle-aged",B678&gt;=61,"Senior")</f>
        <v>Young-Adult</v>
      </c>
      <c r="S678" cm="1">
        <f t="array" ref="S678">_xlfn.IFS(Q678 ="Fortnightly",14,Q678="Weekly",7,Q678="Monthly",30,Q678="Quarterly",90,Q678="Bi-Weekly",14,Q678="Annually",365,Q678="Every 3 Months",90,TRUE,"NOT FOUND")</f>
        <v>14</v>
      </c>
    </row>
    <row r="679" spans="1:19" x14ac:dyDescent="0.35">
      <c r="A679">
        <v>678</v>
      </c>
      <c r="B679">
        <v>60</v>
      </c>
      <c r="C679" t="s">
        <v>7</v>
      </c>
      <c r="D679" t="s">
        <v>113</v>
      </c>
      <c r="E679" t="s">
        <v>9</v>
      </c>
      <c r="F679">
        <v>62</v>
      </c>
      <c r="G679" t="s">
        <v>137</v>
      </c>
      <c r="H679" t="s">
        <v>24</v>
      </c>
      <c r="I679" t="s">
        <v>36</v>
      </c>
      <c r="J679" t="s">
        <v>41</v>
      </c>
      <c r="K679">
        <v>2.7</v>
      </c>
      <c r="L679" t="s">
        <v>14</v>
      </c>
      <c r="M679" t="s">
        <v>15</v>
      </c>
      <c r="N679" t="s">
        <v>14</v>
      </c>
      <c r="O679">
        <v>41</v>
      </c>
      <c r="P679" t="s">
        <v>34</v>
      </c>
      <c r="Q679" t="s">
        <v>37</v>
      </c>
      <c r="R679" t="str" cm="1">
        <f t="array" ref="R679">_xlfn.IFS(B679&lt;31,"Young-Adult",B679&lt;41,"Adult",B679&lt;61,"Middle-aged",B679&gt;=61,"Senior")</f>
        <v>Middle-aged</v>
      </c>
      <c r="S679" cm="1">
        <f t="array" ref="S679">_xlfn.IFS(Q679 ="Fortnightly",14,Q679="Weekly",7,Q679="Monthly",30,Q679="Quarterly",90,Q679="Bi-Weekly",14,Q679="Annually",365,Q679="Every 3 Months",90,TRUE,"NOT FOUND")</f>
        <v>365</v>
      </c>
    </row>
    <row r="680" spans="1:19" x14ac:dyDescent="0.35">
      <c r="A680">
        <v>679</v>
      </c>
      <c r="B680">
        <v>27</v>
      </c>
      <c r="C680" t="s">
        <v>7</v>
      </c>
      <c r="D680" t="s">
        <v>8</v>
      </c>
      <c r="E680" t="s">
        <v>9</v>
      </c>
      <c r="F680">
        <v>74</v>
      </c>
      <c r="G680" t="s">
        <v>19</v>
      </c>
      <c r="H680" t="s">
        <v>32</v>
      </c>
      <c r="I680" t="s">
        <v>73</v>
      </c>
      <c r="J680" t="s">
        <v>45</v>
      </c>
      <c r="K680">
        <v>3.3</v>
      </c>
      <c r="L680" t="s">
        <v>14</v>
      </c>
      <c r="M680" t="s">
        <v>62</v>
      </c>
      <c r="N680" t="s">
        <v>14</v>
      </c>
      <c r="O680">
        <v>25</v>
      </c>
      <c r="P680" t="s">
        <v>74</v>
      </c>
      <c r="Q680" t="s">
        <v>85</v>
      </c>
      <c r="R680" t="str" cm="1">
        <f t="array" ref="R680">_xlfn.IFS(B680&lt;31,"Young-Adult",B680&lt;41,"Adult",B680&lt;61,"Middle-aged",B680&gt;=61,"Senior")</f>
        <v>Young-Adult</v>
      </c>
      <c r="S680" cm="1">
        <f t="array" ref="S680">_xlfn.IFS(Q680 ="Fortnightly",14,Q680="Weekly",7,Q680="Monthly",30,Q680="Quarterly",90,Q680="Bi-Weekly",14,Q680="Annually",365,Q680="Every 3 Months",90,TRUE,"NOT FOUND")</f>
        <v>90</v>
      </c>
    </row>
    <row r="681" spans="1:19" x14ac:dyDescent="0.35">
      <c r="A681">
        <v>680</v>
      </c>
      <c r="B681">
        <v>56</v>
      </c>
      <c r="C681" t="s">
        <v>7</v>
      </c>
      <c r="D681" t="s">
        <v>29</v>
      </c>
      <c r="E681" t="s">
        <v>30</v>
      </c>
      <c r="F681">
        <v>95</v>
      </c>
      <c r="G681" t="s">
        <v>139</v>
      </c>
      <c r="H681" t="s">
        <v>32</v>
      </c>
      <c r="I681" t="s">
        <v>36</v>
      </c>
      <c r="J681" t="s">
        <v>45</v>
      </c>
      <c r="K681">
        <v>3.4</v>
      </c>
      <c r="L681" t="s">
        <v>14</v>
      </c>
      <c r="M681" t="s">
        <v>15</v>
      </c>
      <c r="N681" t="s">
        <v>14</v>
      </c>
      <c r="O681">
        <v>37</v>
      </c>
      <c r="P681" t="s">
        <v>16</v>
      </c>
      <c r="Q681" t="s">
        <v>17</v>
      </c>
      <c r="R681" t="str" cm="1">
        <f t="array" ref="R681">_xlfn.IFS(B681&lt;31,"Young-Adult",B681&lt;41,"Adult",B681&lt;61,"Middle-aged",B681&gt;=61,"Senior")</f>
        <v>Middle-aged</v>
      </c>
      <c r="S681" cm="1">
        <f t="array" ref="S681">_xlfn.IFS(Q681 ="Fortnightly",14,Q681="Weekly",7,Q681="Monthly",30,Q681="Quarterly",90,Q681="Bi-Weekly",14,Q681="Annually",365,Q681="Every 3 Months",90,TRUE,"NOT FOUND")</f>
        <v>14</v>
      </c>
    </row>
    <row r="682" spans="1:19" x14ac:dyDescent="0.35">
      <c r="A682">
        <v>681</v>
      </c>
      <c r="B682">
        <v>58</v>
      </c>
      <c r="C682" t="s">
        <v>7</v>
      </c>
      <c r="D682" t="s">
        <v>38</v>
      </c>
      <c r="E682" t="s">
        <v>30</v>
      </c>
      <c r="F682">
        <v>25</v>
      </c>
      <c r="G682" t="s">
        <v>110</v>
      </c>
      <c r="H682" t="s">
        <v>32</v>
      </c>
      <c r="I682" t="s">
        <v>124</v>
      </c>
      <c r="J682" t="s">
        <v>25</v>
      </c>
      <c r="K682">
        <v>4.2</v>
      </c>
      <c r="L682" t="s">
        <v>14</v>
      </c>
      <c r="M682" t="s">
        <v>15</v>
      </c>
      <c r="N682" t="s">
        <v>14</v>
      </c>
      <c r="O682">
        <v>3</v>
      </c>
      <c r="P682" t="s">
        <v>34</v>
      </c>
      <c r="Q682" t="s">
        <v>37</v>
      </c>
      <c r="R682" t="str" cm="1">
        <f t="array" ref="R682">_xlfn.IFS(B682&lt;31,"Young-Adult",B682&lt;41,"Adult",B682&lt;61,"Middle-aged",B682&gt;=61,"Senior")</f>
        <v>Middle-aged</v>
      </c>
      <c r="S682" cm="1">
        <f t="array" ref="S682">_xlfn.IFS(Q682 ="Fortnightly",14,Q682="Weekly",7,Q682="Monthly",30,Q682="Quarterly",90,Q682="Bi-Weekly",14,Q682="Annually",365,Q682="Every 3 Months",90,TRUE,"NOT FOUND")</f>
        <v>365</v>
      </c>
    </row>
    <row r="683" spans="1:19" x14ac:dyDescent="0.35">
      <c r="A683">
        <v>682</v>
      </c>
      <c r="B683">
        <v>30</v>
      </c>
      <c r="C683" t="s">
        <v>7</v>
      </c>
      <c r="D683" t="s">
        <v>43</v>
      </c>
      <c r="E683" t="s">
        <v>9</v>
      </c>
      <c r="F683">
        <v>59</v>
      </c>
      <c r="G683" t="s">
        <v>48</v>
      </c>
      <c r="H683" t="s">
        <v>80</v>
      </c>
      <c r="I683" t="s">
        <v>61</v>
      </c>
      <c r="J683" t="s">
        <v>13</v>
      </c>
      <c r="K683">
        <v>3.8</v>
      </c>
      <c r="L683" t="s">
        <v>14</v>
      </c>
      <c r="M683" t="s">
        <v>58</v>
      </c>
      <c r="N683" t="s">
        <v>14</v>
      </c>
      <c r="O683">
        <v>24</v>
      </c>
      <c r="P683" t="s">
        <v>27</v>
      </c>
      <c r="Q683" t="s">
        <v>85</v>
      </c>
      <c r="R683" t="str" cm="1">
        <f t="array" ref="R683">_xlfn.IFS(B683&lt;31,"Young-Adult",B683&lt;41,"Adult",B683&lt;61,"Middle-aged",B683&gt;=61,"Senior")</f>
        <v>Young-Adult</v>
      </c>
      <c r="S683" cm="1">
        <f t="array" ref="S683">_xlfn.IFS(Q683 ="Fortnightly",14,Q683="Weekly",7,Q683="Monthly",30,Q683="Quarterly",90,Q683="Bi-Weekly",14,Q683="Annually",365,Q683="Every 3 Months",90,TRUE,"NOT FOUND")</f>
        <v>90</v>
      </c>
    </row>
    <row r="684" spans="1:19" x14ac:dyDescent="0.35">
      <c r="A684">
        <v>683</v>
      </c>
      <c r="B684">
        <v>23</v>
      </c>
      <c r="C684" t="s">
        <v>7</v>
      </c>
      <c r="D684" t="s">
        <v>90</v>
      </c>
      <c r="E684" t="s">
        <v>51</v>
      </c>
      <c r="F684">
        <v>29</v>
      </c>
      <c r="G684" t="s">
        <v>56</v>
      </c>
      <c r="H684" t="s">
        <v>32</v>
      </c>
      <c r="I684" t="s">
        <v>98</v>
      </c>
      <c r="J684" t="s">
        <v>41</v>
      </c>
      <c r="K684">
        <v>4</v>
      </c>
      <c r="L684" t="s">
        <v>14</v>
      </c>
      <c r="M684" t="s">
        <v>42</v>
      </c>
      <c r="N684" t="s">
        <v>14</v>
      </c>
      <c r="O684">
        <v>49</v>
      </c>
      <c r="P684" t="s">
        <v>27</v>
      </c>
      <c r="Q684" t="s">
        <v>64</v>
      </c>
      <c r="R684" t="str" cm="1">
        <f t="array" ref="R684">_xlfn.IFS(B684&lt;31,"Young-Adult",B684&lt;41,"Adult",B684&lt;61,"Middle-aged",B684&gt;=61,"Senior")</f>
        <v>Young-Adult</v>
      </c>
      <c r="S684" cm="1">
        <f t="array" ref="S684">_xlfn.IFS(Q684 ="Fortnightly",14,Q684="Weekly",7,Q684="Monthly",30,Q684="Quarterly",90,Q684="Bi-Weekly",14,Q684="Annually",365,Q684="Every 3 Months",90,TRUE,"NOT FOUND")</f>
        <v>14</v>
      </c>
    </row>
    <row r="685" spans="1:19" x14ac:dyDescent="0.35">
      <c r="A685">
        <v>684</v>
      </c>
      <c r="B685">
        <v>33</v>
      </c>
      <c r="C685" t="s">
        <v>7</v>
      </c>
      <c r="D685" t="s">
        <v>29</v>
      </c>
      <c r="E685" t="s">
        <v>30</v>
      </c>
      <c r="F685">
        <v>36</v>
      </c>
      <c r="G685" t="s">
        <v>139</v>
      </c>
      <c r="H685" t="s">
        <v>24</v>
      </c>
      <c r="I685" t="s">
        <v>71</v>
      </c>
      <c r="J685" t="s">
        <v>13</v>
      </c>
      <c r="K685">
        <v>2.7</v>
      </c>
      <c r="L685" t="s">
        <v>14</v>
      </c>
      <c r="M685" t="s">
        <v>26</v>
      </c>
      <c r="N685" t="s">
        <v>14</v>
      </c>
      <c r="O685">
        <v>3</v>
      </c>
      <c r="P685" t="s">
        <v>63</v>
      </c>
      <c r="Q685" t="s">
        <v>76</v>
      </c>
      <c r="R685" t="str" cm="1">
        <f t="array" ref="R685">_xlfn.IFS(B685&lt;31,"Young-Adult",B685&lt;41,"Adult",B685&lt;61,"Middle-aged",B685&gt;=61,"Senior")</f>
        <v>Adult</v>
      </c>
      <c r="S685" cm="1">
        <f t="array" ref="S685">_xlfn.IFS(Q685 ="Fortnightly",14,Q685="Weekly",7,Q685="Monthly",30,Q685="Quarterly",90,Q685="Bi-Weekly",14,Q685="Annually",365,Q685="Every 3 Months",90,TRUE,"NOT FOUND")</f>
        <v>30</v>
      </c>
    </row>
    <row r="686" spans="1:19" x14ac:dyDescent="0.35">
      <c r="A686">
        <v>685</v>
      </c>
      <c r="B686">
        <v>63</v>
      </c>
      <c r="C686" t="s">
        <v>7</v>
      </c>
      <c r="D686" t="s">
        <v>112</v>
      </c>
      <c r="E686" t="s">
        <v>55</v>
      </c>
      <c r="F686">
        <v>82</v>
      </c>
      <c r="G686" t="s">
        <v>78</v>
      </c>
      <c r="H686" t="s">
        <v>32</v>
      </c>
      <c r="I686" t="s">
        <v>122</v>
      </c>
      <c r="J686" t="s">
        <v>41</v>
      </c>
      <c r="K686">
        <v>4.7</v>
      </c>
      <c r="L686" t="s">
        <v>14</v>
      </c>
      <c r="M686" t="s">
        <v>15</v>
      </c>
      <c r="N686" t="s">
        <v>14</v>
      </c>
      <c r="O686">
        <v>42</v>
      </c>
      <c r="P686" t="s">
        <v>74</v>
      </c>
      <c r="Q686" t="s">
        <v>76</v>
      </c>
      <c r="R686" t="str" cm="1">
        <f t="array" ref="R686">_xlfn.IFS(B686&lt;31,"Young-Adult",B686&lt;41,"Adult",B686&lt;61,"Middle-aged",B686&gt;=61,"Senior")</f>
        <v>Senior</v>
      </c>
      <c r="S686" cm="1">
        <f t="array" ref="S686">_xlfn.IFS(Q686 ="Fortnightly",14,Q686="Weekly",7,Q686="Monthly",30,Q686="Quarterly",90,Q686="Bi-Weekly",14,Q686="Annually",365,Q686="Every 3 Months",90,TRUE,"NOT FOUND")</f>
        <v>30</v>
      </c>
    </row>
    <row r="687" spans="1:19" x14ac:dyDescent="0.35">
      <c r="A687">
        <v>686</v>
      </c>
      <c r="B687">
        <v>70</v>
      </c>
      <c r="C687" t="s">
        <v>7</v>
      </c>
      <c r="D687" t="s">
        <v>8</v>
      </c>
      <c r="E687" t="s">
        <v>9</v>
      </c>
      <c r="F687">
        <v>71</v>
      </c>
      <c r="G687" t="s">
        <v>23</v>
      </c>
      <c r="H687" t="s">
        <v>80</v>
      </c>
      <c r="I687" t="s">
        <v>124</v>
      </c>
      <c r="J687" t="s">
        <v>13</v>
      </c>
      <c r="K687">
        <v>3.5</v>
      </c>
      <c r="L687" t="s">
        <v>14</v>
      </c>
      <c r="M687" t="s">
        <v>42</v>
      </c>
      <c r="N687" t="s">
        <v>14</v>
      </c>
      <c r="O687">
        <v>32</v>
      </c>
      <c r="P687" t="s">
        <v>21</v>
      </c>
      <c r="Q687" t="s">
        <v>17</v>
      </c>
      <c r="R687" t="str" cm="1">
        <f t="array" ref="R687">_xlfn.IFS(B687&lt;31,"Young-Adult",B687&lt;41,"Adult",B687&lt;61,"Middle-aged",B687&gt;=61,"Senior")</f>
        <v>Senior</v>
      </c>
      <c r="S687" cm="1">
        <f t="array" ref="S687">_xlfn.IFS(Q687 ="Fortnightly",14,Q687="Weekly",7,Q687="Monthly",30,Q687="Quarterly",90,Q687="Bi-Weekly",14,Q687="Annually",365,Q687="Every 3 Months",90,TRUE,"NOT FOUND")</f>
        <v>14</v>
      </c>
    </row>
    <row r="688" spans="1:19" x14ac:dyDescent="0.35">
      <c r="A688">
        <v>687</v>
      </c>
      <c r="B688">
        <v>70</v>
      </c>
      <c r="C688" t="s">
        <v>7</v>
      </c>
      <c r="D688" t="s">
        <v>18</v>
      </c>
      <c r="E688" t="s">
        <v>9</v>
      </c>
      <c r="F688">
        <v>35</v>
      </c>
      <c r="G688" t="s">
        <v>104</v>
      </c>
      <c r="H688" t="s">
        <v>11</v>
      </c>
      <c r="I688" t="s">
        <v>106</v>
      </c>
      <c r="J688" t="s">
        <v>45</v>
      </c>
      <c r="K688">
        <v>3</v>
      </c>
      <c r="L688" t="s">
        <v>14</v>
      </c>
      <c r="M688" t="s">
        <v>58</v>
      </c>
      <c r="N688" t="s">
        <v>14</v>
      </c>
      <c r="O688">
        <v>33</v>
      </c>
      <c r="P688" t="s">
        <v>16</v>
      </c>
      <c r="Q688" t="s">
        <v>17</v>
      </c>
      <c r="R688" t="str" cm="1">
        <f t="array" ref="R688">_xlfn.IFS(B688&lt;31,"Young-Adult",B688&lt;41,"Adult",B688&lt;61,"Middle-aged",B688&gt;=61,"Senior")</f>
        <v>Senior</v>
      </c>
      <c r="S688" cm="1">
        <f t="array" ref="S688">_xlfn.IFS(Q688 ="Fortnightly",14,Q688="Weekly",7,Q688="Monthly",30,Q688="Quarterly",90,Q688="Bi-Weekly",14,Q688="Annually",365,Q688="Every 3 Months",90,TRUE,"NOT FOUND")</f>
        <v>14</v>
      </c>
    </row>
    <row r="689" spans="1:19" x14ac:dyDescent="0.35">
      <c r="A689">
        <v>688</v>
      </c>
      <c r="B689">
        <v>19</v>
      </c>
      <c r="C689" t="s">
        <v>7</v>
      </c>
      <c r="D689" t="s">
        <v>131</v>
      </c>
      <c r="E689" t="s">
        <v>55</v>
      </c>
      <c r="F689">
        <v>38</v>
      </c>
      <c r="G689" t="s">
        <v>52</v>
      </c>
      <c r="H689" t="s">
        <v>80</v>
      </c>
      <c r="I689" t="s">
        <v>36</v>
      </c>
      <c r="J689" t="s">
        <v>13</v>
      </c>
      <c r="K689">
        <v>3.3</v>
      </c>
      <c r="L689" t="s">
        <v>14</v>
      </c>
      <c r="M689" t="s">
        <v>26</v>
      </c>
      <c r="N689" t="s">
        <v>14</v>
      </c>
      <c r="O689">
        <v>46</v>
      </c>
      <c r="P689" t="s">
        <v>63</v>
      </c>
      <c r="Q689" t="s">
        <v>46</v>
      </c>
      <c r="R689" t="str" cm="1">
        <f t="array" ref="R689">_xlfn.IFS(B689&lt;31,"Young-Adult",B689&lt;41,"Adult",B689&lt;61,"Middle-aged",B689&gt;=61,"Senior")</f>
        <v>Young-Adult</v>
      </c>
      <c r="S689" cm="1">
        <f t="array" ref="S689">_xlfn.IFS(Q689 ="Fortnightly",14,Q689="Weekly",7,Q689="Monthly",30,Q689="Quarterly",90,Q689="Bi-Weekly",14,Q689="Annually",365,Q689="Every 3 Months",90,TRUE,"NOT FOUND")</f>
        <v>90</v>
      </c>
    </row>
    <row r="690" spans="1:19" x14ac:dyDescent="0.35">
      <c r="A690">
        <v>689</v>
      </c>
      <c r="B690">
        <v>25</v>
      </c>
      <c r="C690" t="s">
        <v>7</v>
      </c>
      <c r="D690" t="s">
        <v>107</v>
      </c>
      <c r="E690" t="s">
        <v>55</v>
      </c>
      <c r="F690">
        <v>59</v>
      </c>
      <c r="G690" t="s">
        <v>139</v>
      </c>
      <c r="H690" t="s">
        <v>24</v>
      </c>
      <c r="I690" t="s">
        <v>88</v>
      </c>
      <c r="J690" t="s">
        <v>41</v>
      </c>
      <c r="K690">
        <v>4.7</v>
      </c>
      <c r="L690" t="s">
        <v>14</v>
      </c>
      <c r="M690" t="s">
        <v>62</v>
      </c>
      <c r="N690" t="s">
        <v>14</v>
      </c>
      <c r="O690">
        <v>44</v>
      </c>
      <c r="P690" t="s">
        <v>16</v>
      </c>
      <c r="Q690" t="s">
        <v>76</v>
      </c>
      <c r="R690" t="str" cm="1">
        <f t="array" ref="R690">_xlfn.IFS(B690&lt;31,"Young-Adult",B690&lt;41,"Adult",B690&lt;61,"Middle-aged",B690&gt;=61,"Senior")</f>
        <v>Young-Adult</v>
      </c>
      <c r="S690" cm="1">
        <f t="array" ref="S690">_xlfn.IFS(Q690 ="Fortnightly",14,Q690="Weekly",7,Q690="Monthly",30,Q690="Quarterly",90,Q690="Bi-Weekly",14,Q690="Annually",365,Q690="Every 3 Months",90,TRUE,"NOT FOUND")</f>
        <v>30</v>
      </c>
    </row>
    <row r="691" spans="1:19" x14ac:dyDescent="0.35">
      <c r="A691">
        <v>690</v>
      </c>
      <c r="B691">
        <v>19</v>
      </c>
      <c r="C691" t="s">
        <v>7</v>
      </c>
      <c r="D691" t="s">
        <v>92</v>
      </c>
      <c r="E691" t="s">
        <v>9</v>
      </c>
      <c r="F691">
        <v>91</v>
      </c>
      <c r="G691" t="s">
        <v>126</v>
      </c>
      <c r="H691" t="s">
        <v>32</v>
      </c>
      <c r="I691" t="s">
        <v>109</v>
      </c>
      <c r="J691" t="s">
        <v>41</v>
      </c>
      <c r="K691">
        <v>4.7</v>
      </c>
      <c r="L691" t="s">
        <v>14</v>
      </c>
      <c r="M691" t="s">
        <v>15</v>
      </c>
      <c r="N691" t="s">
        <v>14</v>
      </c>
      <c r="O691">
        <v>35</v>
      </c>
      <c r="P691" t="s">
        <v>27</v>
      </c>
      <c r="Q691" t="s">
        <v>85</v>
      </c>
      <c r="R691" t="str" cm="1">
        <f t="array" ref="R691">_xlfn.IFS(B691&lt;31,"Young-Adult",B691&lt;41,"Adult",B691&lt;61,"Middle-aged",B691&gt;=61,"Senior")</f>
        <v>Young-Adult</v>
      </c>
      <c r="S691" cm="1">
        <f t="array" ref="S691">_xlfn.IFS(Q691 ="Fortnightly",14,Q691="Weekly",7,Q691="Monthly",30,Q691="Quarterly",90,Q691="Bi-Weekly",14,Q691="Annually",365,Q691="Every 3 Months",90,TRUE,"NOT FOUND")</f>
        <v>90</v>
      </c>
    </row>
    <row r="692" spans="1:19" x14ac:dyDescent="0.35">
      <c r="A692">
        <v>691</v>
      </c>
      <c r="B692">
        <v>25</v>
      </c>
      <c r="C692" t="s">
        <v>7</v>
      </c>
      <c r="D692" t="s">
        <v>47</v>
      </c>
      <c r="E692" t="s">
        <v>9</v>
      </c>
      <c r="F692">
        <v>68</v>
      </c>
      <c r="G692" t="s">
        <v>108</v>
      </c>
      <c r="H692" t="s">
        <v>80</v>
      </c>
      <c r="I692" t="s">
        <v>96</v>
      </c>
      <c r="J692" t="s">
        <v>25</v>
      </c>
      <c r="K692">
        <v>4.8</v>
      </c>
      <c r="L692" t="s">
        <v>14</v>
      </c>
      <c r="M692" t="s">
        <v>42</v>
      </c>
      <c r="N692" t="s">
        <v>14</v>
      </c>
      <c r="O692">
        <v>45</v>
      </c>
      <c r="P692" t="s">
        <v>63</v>
      </c>
      <c r="Q692" t="s">
        <v>28</v>
      </c>
      <c r="R692" t="str" cm="1">
        <f t="array" ref="R692">_xlfn.IFS(B692&lt;31,"Young-Adult",B692&lt;41,"Adult",B692&lt;61,"Middle-aged",B692&gt;=61,"Senior")</f>
        <v>Young-Adult</v>
      </c>
      <c r="S692" cm="1">
        <f t="array" ref="S692">_xlfn.IFS(Q692 ="Fortnightly",14,Q692="Weekly",7,Q692="Monthly",30,Q692="Quarterly",90,Q692="Bi-Weekly",14,Q692="Annually",365,Q692="Every 3 Months",90,TRUE,"NOT FOUND")</f>
        <v>7</v>
      </c>
    </row>
    <row r="693" spans="1:19" x14ac:dyDescent="0.35">
      <c r="A693">
        <v>692</v>
      </c>
      <c r="B693">
        <v>60</v>
      </c>
      <c r="C693" t="s">
        <v>7</v>
      </c>
      <c r="D693" t="s">
        <v>120</v>
      </c>
      <c r="E693" t="s">
        <v>55</v>
      </c>
      <c r="F693">
        <v>21</v>
      </c>
      <c r="G693" t="s">
        <v>23</v>
      </c>
      <c r="H693" t="s">
        <v>11</v>
      </c>
      <c r="I693" t="s">
        <v>53</v>
      </c>
      <c r="J693" t="s">
        <v>41</v>
      </c>
      <c r="K693">
        <v>2.9</v>
      </c>
      <c r="L693" t="s">
        <v>14</v>
      </c>
      <c r="M693" t="s">
        <v>42</v>
      </c>
      <c r="N693" t="s">
        <v>14</v>
      </c>
      <c r="O693">
        <v>37</v>
      </c>
      <c r="P693" t="s">
        <v>34</v>
      </c>
      <c r="Q693" t="s">
        <v>64</v>
      </c>
      <c r="R693" t="str" cm="1">
        <f t="array" ref="R693">_xlfn.IFS(B693&lt;31,"Young-Adult",B693&lt;41,"Adult",B693&lt;61,"Middle-aged",B693&gt;=61,"Senior")</f>
        <v>Middle-aged</v>
      </c>
      <c r="S693" cm="1">
        <f t="array" ref="S693">_xlfn.IFS(Q693 ="Fortnightly",14,Q693="Weekly",7,Q693="Monthly",30,Q693="Quarterly",90,Q693="Bi-Weekly",14,Q693="Annually",365,Q693="Every 3 Months",90,TRUE,"NOT FOUND")</f>
        <v>14</v>
      </c>
    </row>
    <row r="694" spans="1:19" x14ac:dyDescent="0.35">
      <c r="A694">
        <v>693</v>
      </c>
      <c r="B694">
        <v>35</v>
      </c>
      <c r="C694" t="s">
        <v>7</v>
      </c>
      <c r="D694" t="s">
        <v>77</v>
      </c>
      <c r="E694" t="s">
        <v>55</v>
      </c>
      <c r="F694">
        <v>95</v>
      </c>
      <c r="G694" t="s">
        <v>102</v>
      </c>
      <c r="H694" t="s">
        <v>32</v>
      </c>
      <c r="I694" t="s">
        <v>97</v>
      </c>
      <c r="J694" t="s">
        <v>25</v>
      </c>
      <c r="K694">
        <v>4</v>
      </c>
      <c r="L694" t="s">
        <v>14</v>
      </c>
      <c r="M694" t="s">
        <v>58</v>
      </c>
      <c r="N694" t="s">
        <v>14</v>
      </c>
      <c r="O694">
        <v>40</v>
      </c>
      <c r="P694" t="s">
        <v>74</v>
      </c>
      <c r="Q694" t="s">
        <v>85</v>
      </c>
      <c r="R694" t="str" cm="1">
        <f t="array" ref="R694">_xlfn.IFS(B694&lt;31,"Young-Adult",B694&lt;41,"Adult",B694&lt;61,"Middle-aged",B694&gt;=61,"Senior")</f>
        <v>Adult</v>
      </c>
      <c r="S694" cm="1">
        <f t="array" ref="S694">_xlfn.IFS(Q694 ="Fortnightly",14,Q694="Weekly",7,Q694="Monthly",30,Q694="Quarterly",90,Q694="Bi-Weekly",14,Q694="Annually",365,Q694="Every 3 Months",90,TRUE,"NOT FOUND")</f>
        <v>90</v>
      </c>
    </row>
    <row r="695" spans="1:19" x14ac:dyDescent="0.35">
      <c r="A695">
        <v>694</v>
      </c>
      <c r="B695">
        <v>46</v>
      </c>
      <c r="C695" t="s">
        <v>7</v>
      </c>
      <c r="D695" t="s">
        <v>47</v>
      </c>
      <c r="E695" t="s">
        <v>9</v>
      </c>
      <c r="F695">
        <v>52</v>
      </c>
      <c r="G695" t="s">
        <v>117</v>
      </c>
      <c r="H695" t="s">
        <v>11</v>
      </c>
      <c r="I695" t="s">
        <v>36</v>
      </c>
      <c r="J695" t="s">
        <v>25</v>
      </c>
      <c r="K695">
        <v>3.1</v>
      </c>
      <c r="L695" t="s">
        <v>14</v>
      </c>
      <c r="M695" t="s">
        <v>26</v>
      </c>
      <c r="N695" t="s">
        <v>14</v>
      </c>
      <c r="O695">
        <v>30</v>
      </c>
      <c r="P695" t="s">
        <v>21</v>
      </c>
      <c r="Q695" t="s">
        <v>85</v>
      </c>
      <c r="R695" t="str" cm="1">
        <f t="array" ref="R695">_xlfn.IFS(B695&lt;31,"Young-Adult",B695&lt;41,"Adult",B695&lt;61,"Middle-aged",B695&gt;=61,"Senior")</f>
        <v>Middle-aged</v>
      </c>
      <c r="S695" cm="1">
        <f t="array" ref="S695">_xlfn.IFS(Q695 ="Fortnightly",14,Q695="Weekly",7,Q695="Monthly",30,Q695="Quarterly",90,Q695="Bi-Weekly",14,Q695="Annually",365,Q695="Every 3 Months",90,TRUE,"NOT FOUND")</f>
        <v>90</v>
      </c>
    </row>
    <row r="696" spans="1:19" x14ac:dyDescent="0.35">
      <c r="A696">
        <v>695</v>
      </c>
      <c r="B696">
        <v>41</v>
      </c>
      <c r="C696" t="s">
        <v>7</v>
      </c>
      <c r="D696" t="s">
        <v>69</v>
      </c>
      <c r="E696" t="s">
        <v>9</v>
      </c>
      <c r="F696">
        <v>21</v>
      </c>
      <c r="G696" t="s">
        <v>10</v>
      </c>
      <c r="H696" t="s">
        <v>24</v>
      </c>
      <c r="I696" t="s">
        <v>49</v>
      </c>
      <c r="J696" t="s">
        <v>45</v>
      </c>
      <c r="K696">
        <v>3.5</v>
      </c>
      <c r="L696" t="s">
        <v>14</v>
      </c>
      <c r="M696" t="s">
        <v>58</v>
      </c>
      <c r="N696" t="s">
        <v>14</v>
      </c>
      <c r="O696">
        <v>38</v>
      </c>
      <c r="P696" t="s">
        <v>16</v>
      </c>
      <c r="Q696" t="s">
        <v>85</v>
      </c>
      <c r="R696" t="str" cm="1">
        <f t="array" ref="R696">_xlfn.IFS(B696&lt;31,"Young-Adult",B696&lt;41,"Adult",B696&lt;61,"Middle-aged",B696&gt;=61,"Senior")</f>
        <v>Middle-aged</v>
      </c>
      <c r="S696" cm="1">
        <f t="array" ref="S696">_xlfn.IFS(Q696 ="Fortnightly",14,Q696="Weekly",7,Q696="Monthly",30,Q696="Quarterly",90,Q696="Bi-Weekly",14,Q696="Annually",365,Q696="Every 3 Months",90,TRUE,"NOT FOUND")</f>
        <v>90</v>
      </c>
    </row>
    <row r="697" spans="1:19" x14ac:dyDescent="0.35">
      <c r="A697">
        <v>696</v>
      </c>
      <c r="B697">
        <v>30</v>
      </c>
      <c r="C697" t="s">
        <v>7</v>
      </c>
      <c r="D697" t="s">
        <v>47</v>
      </c>
      <c r="E697" t="s">
        <v>9</v>
      </c>
      <c r="F697">
        <v>67</v>
      </c>
      <c r="G697" t="s">
        <v>95</v>
      </c>
      <c r="H697" t="s">
        <v>80</v>
      </c>
      <c r="I697" t="s">
        <v>88</v>
      </c>
      <c r="J697" t="s">
        <v>41</v>
      </c>
      <c r="K697">
        <v>3.7</v>
      </c>
      <c r="L697" t="s">
        <v>14</v>
      </c>
      <c r="M697" t="s">
        <v>33</v>
      </c>
      <c r="N697" t="s">
        <v>14</v>
      </c>
      <c r="O697">
        <v>15</v>
      </c>
      <c r="P697" t="s">
        <v>74</v>
      </c>
      <c r="Q697" t="s">
        <v>85</v>
      </c>
      <c r="R697" t="str" cm="1">
        <f t="array" ref="R697">_xlfn.IFS(B697&lt;31,"Young-Adult",B697&lt;41,"Adult",B697&lt;61,"Middle-aged",B697&gt;=61,"Senior")</f>
        <v>Young-Adult</v>
      </c>
      <c r="S697" cm="1">
        <f t="array" ref="S697">_xlfn.IFS(Q697 ="Fortnightly",14,Q697="Weekly",7,Q697="Monthly",30,Q697="Quarterly",90,Q697="Bi-Weekly",14,Q697="Annually",365,Q697="Every 3 Months",90,TRUE,"NOT FOUND")</f>
        <v>90</v>
      </c>
    </row>
    <row r="698" spans="1:19" x14ac:dyDescent="0.35">
      <c r="A698">
        <v>697</v>
      </c>
      <c r="B698">
        <v>44</v>
      </c>
      <c r="C698" t="s">
        <v>7</v>
      </c>
      <c r="D698" t="s">
        <v>121</v>
      </c>
      <c r="E698" t="s">
        <v>55</v>
      </c>
      <c r="F698">
        <v>42</v>
      </c>
      <c r="G698" t="s">
        <v>128</v>
      </c>
      <c r="H698" t="s">
        <v>11</v>
      </c>
      <c r="I698" t="s">
        <v>84</v>
      </c>
      <c r="J698" t="s">
        <v>45</v>
      </c>
      <c r="K698">
        <v>2.8</v>
      </c>
      <c r="L698" t="s">
        <v>14</v>
      </c>
      <c r="M698" t="s">
        <v>42</v>
      </c>
      <c r="N698" t="s">
        <v>14</v>
      </c>
      <c r="O698">
        <v>49</v>
      </c>
      <c r="P698" t="s">
        <v>21</v>
      </c>
      <c r="Q698" t="s">
        <v>76</v>
      </c>
      <c r="R698" t="str" cm="1">
        <f t="array" ref="R698">_xlfn.IFS(B698&lt;31,"Young-Adult",B698&lt;41,"Adult",B698&lt;61,"Middle-aged",B698&gt;=61,"Senior")</f>
        <v>Middle-aged</v>
      </c>
      <c r="S698" cm="1">
        <f t="array" ref="S698">_xlfn.IFS(Q698 ="Fortnightly",14,Q698="Weekly",7,Q698="Monthly",30,Q698="Quarterly",90,Q698="Bi-Weekly",14,Q698="Annually",365,Q698="Every 3 Months",90,TRUE,"NOT FOUND")</f>
        <v>30</v>
      </c>
    </row>
    <row r="699" spans="1:19" x14ac:dyDescent="0.35">
      <c r="A699">
        <v>698</v>
      </c>
      <c r="B699">
        <v>61</v>
      </c>
      <c r="C699" t="s">
        <v>7</v>
      </c>
      <c r="D699" t="s">
        <v>107</v>
      </c>
      <c r="E699" t="s">
        <v>55</v>
      </c>
      <c r="F699">
        <v>63</v>
      </c>
      <c r="G699" t="s">
        <v>102</v>
      </c>
      <c r="H699" t="s">
        <v>80</v>
      </c>
      <c r="I699" t="s">
        <v>98</v>
      </c>
      <c r="J699" t="s">
        <v>41</v>
      </c>
      <c r="K699">
        <v>4.5999999999999996</v>
      </c>
      <c r="L699" t="s">
        <v>14</v>
      </c>
      <c r="M699" t="s">
        <v>26</v>
      </c>
      <c r="N699" t="s">
        <v>14</v>
      </c>
      <c r="O699">
        <v>40</v>
      </c>
      <c r="P699" t="s">
        <v>74</v>
      </c>
      <c r="Q699" t="s">
        <v>46</v>
      </c>
      <c r="R699" t="str" cm="1">
        <f t="array" ref="R699">_xlfn.IFS(B699&lt;31,"Young-Adult",B699&lt;41,"Adult",B699&lt;61,"Middle-aged",B699&gt;=61,"Senior")</f>
        <v>Senior</v>
      </c>
      <c r="S699" cm="1">
        <f t="array" ref="S699">_xlfn.IFS(Q699 ="Fortnightly",14,Q699="Weekly",7,Q699="Monthly",30,Q699="Quarterly",90,Q699="Bi-Weekly",14,Q699="Annually",365,Q699="Every 3 Months",90,TRUE,"NOT FOUND")</f>
        <v>90</v>
      </c>
    </row>
    <row r="700" spans="1:19" x14ac:dyDescent="0.35">
      <c r="A700">
        <v>699</v>
      </c>
      <c r="B700">
        <v>55</v>
      </c>
      <c r="C700" t="s">
        <v>7</v>
      </c>
      <c r="D700" t="s">
        <v>125</v>
      </c>
      <c r="E700" t="s">
        <v>30</v>
      </c>
      <c r="F700">
        <v>41</v>
      </c>
      <c r="G700" t="s">
        <v>134</v>
      </c>
      <c r="H700" t="s">
        <v>32</v>
      </c>
      <c r="I700" t="s">
        <v>122</v>
      </c>
      <c r="J700" t="s">
        <v>13</v>
      </c>
      <c r="K700">
        <v>3.8</v>
      </c>
      <c r="L700" t="s">
        <v>14</v>
      </c>
      <c r="M700" t="s">
        <v>42</v>
      </c>
      <c r="N700" t="s">
        <v>14</v>
      </c>
      <c r="O700">
        <v>40</v>
      </c>
      <c r="P700" t="s">
        <v>74</v>
      </c>
      <c r="Q700" t="s">
        <v>28</v>
      </c>
      <c r="R700" t="str" cm="1">
        <f t="array" ref="R700">_xlfn.IFS(B700&lt;31,"Young-Adult",B700&lt;41,"Adult",B700&lt;61,"Middle-aged",B700&gt;=61,"Senior")</f>
        <v>Middle-aged</v>
      </c>
      <c r="S700" cm="1">
        <f t="array" ref="S700">_xlfn.IFS(Q700 ="Fortnightly",14,Q700="Weekly",7,Q700="Monthly",30,Q700="Quarterly",90,Q700="Bi-Weekly",14,Q700="Annually",365,Q700="Every 3 Months",90,TRUE,"NOT FOUND")</f>
        <v>7</v>
      </c>
    </row>
    <row r="701" spans="1:19" x14ac:dyDescent="0.35">
      <c r="A701">
        <v>700</v>
      </c>
      <c r="B701">
        <v>50</v>
      </c>
      <c r="C701" t="s">
        <v>7</v>
      </c>
      <c r="D701" t="s">
        <v>54</v>
      </c>
      <c r="E701" t="s">
        <v>55</v>
      </c>
      <c r="F701">
        <v>46</v>
      </c>
      <c r="G701" t="s">
        <v>127</v>
      </c>
      <c r="H701" t="s">
        <v>32</v>
      </c>
      <c r="I701" t="s">
        <v>49</v>
      </c>
      <c r="J701" t="s">
        <v>45</v>
      </c>
      <c r="K701">
        <v>2.6</v>
      </c>
      <c r="L701" t="s">
        <v>14</v>
      </c>
      <c r="M701" t="s">
        <v>58</v>
      </c>
      <c r="N701" t="s">
        <v>14</v>
      </c>
      <c r="O701">
        <v>5</v>
      </c>
      <c r="P701" t="s">
        <v>34</v>
      </c>
      <c r="Q701" t="s">
        <v>28</v>
      </c>
      <c r="R701" t="str" cm="1">
        <f t="array" ref="R701">_xlfn.IFS(B701&lt;31,"Young-Adult",B701&lt;41,"Adult",B701&lt;61,"Middle-aged",B701&gt;=61,"Senior")</f>
        <v>Middle-aged</v>
      </c>
      <c r="S701" cm="1">
        <f t="array" ref="S701">_xlfn.IFS(Q701 ="Fortnightly",14,Q701="Weekly",7,Q701="Monthly",30,Q701="Quarterly",90,Q701="Bi-Weekly",14,Q701="Annually",365,Q701="Every 3 Months",90,TRUE,"NOT FOUND")</f>
        <v>7</v>
      </c>
    </row>
    <row r="702" spans="1:19" x14ac:dyDescent="0.35">
      <c r="A702">
        <v>701</v>
      </c>
      <c r="B702">
        <v>57</v>
      </c>
      <c r="C702" t="s">
        <v>7</v>
      </c>
      <c r="D702" t="s">
        <v>83</v>
      </c>
      <c r="E702" t="s">
        <v>9</v>
      </c>
      <c r="F702">
        <v>79</v>
      </c>
      <c r="G702" t="s">
        <v>138</v>
      </c>
      <c r="H702" t="s">
        <v>11</v>
      </c>
      <c r="I702" t="s">
        <v>66</v>
      </c>
      <c r="J702" t="s">
        <v>13</v>
      </c>
      <c r="K702">
        <v>4.0999999999999996</v>
      </c>
      <c r="L702" t="s">
        <v>14</v>
      </c>
      <c r="M702" t="s">
        <v>42</v>
      </c>
      <c r="N702" t="s">
        <v>14</v>
      </c>
      <c r="O702">
        <v>5</v>
      </c>
      <c r="P702" t="s">
        <v>34</v>
      </c>
      <c r="Q702" t="s">
        <v>76</v>
      </c>
      <c r="R702" t="str" cm="1">
        <f t="array" ref="R702">_xlfn.IFS(B702&lt;31,"Young-Adult",B702&lt;41,"Adult",B702&lt;61,"Middle-aged",B702&gt;=61,"Senior")</f>
        <v>Middle-aged</v>
      </c>
      <c r="S702" cm="1">
        <f t="array" ref="S702">_xlfn.IFS(Q702 ="Fortnightly",14,Q702="Weekly",7,Q702="Monthly",30,Q702="Quarterly",90,Q702="Bi-Weekly",14,Q702="Annually",365,Q702="Every 3 Months",90,TRUE,"NOT FOUND")</f>
        <v>30</v>
      </c>
    </row>
    <row r="703" spans="1:19" x14ac:dyDescent="0.35">
      <c r="A703">
        <v>702</v>
      </c>
      <c r="B703">
        <v>51</v>
      </c>
      <c r="C703" t="s">
        <v>7</v>
      </c>
      <c r="D703" t="s">
        <v>125</v>
      </c>
      <c r="E703" t="s">
        <v>30</v>
      </c>
      <c r="F703">
        <v>90</v>
      </c>
      <c r="G703" t="s">
        <v>123</v>
      </c>
      <c r="H703" t="s">
        <v>11</v>
      </c>
      <c r="I703" t="s">
        <v>96</v>
      </c>
      <c r="J703" t="s">
        <v>45</v>
      </c>
      <c r="K703">
        <v>3.3</v>
      </c>
      <c r="L703" t="s">
        <v>14</v>
      </c>
      <c r="M703" t="s">
        <v>33</v>
      </c>
      <c r="N703" t="s">
        <v>14</v>
      </c>
      <c r="O703">
        <v>5</v>
      </c>
      <c r="P703" t="s">
        <v>74</v>
      </c>
      <c r="Q703" t="s">
        <v>85</v>
      </c>
      <c r="R703" t="str" cm="1">
        <f t="array" ref="R703">_xlfn.IFS(B703&lt;31,"Young-Adult",B703&lt;41,"Adult",B703&lt;61,"Middle-aged",B703&gt;=61,"Senior")</f>
        <v>Middle-aged</v>
      </c>
      <c r="S703" cm="1">
        <f t="array" ref="S703">_xlfn.IFS(Q703 ="Fortnightly",14,Q703="Weekly",7,Q703="Monthly",30,Q703="Quarterly",90,Q703="Bi-Weekly",14,Q703="Annually",365,Q703="Every 3 Months",90,TRUE,"NOT FOUND")</f>
        <v>90</v>
      </c>
    </row>
    <row r="704" spans="1:19" x14ac:dyDescent="0.35">
      <c r="A704">
        <v>703</v>
      </c>
      <c r="B704">
        <v>18</v>
      </c>
      <c r="C704" t="s">
        <v>7</v>
      </c>
      <c r="D704" t="s">
        <v>43</v>
      </c>
      <c r="E704" t="s">
        <v>9</v>
      </c>
      <c r="F704">
        <v>71</v>
      </c>
      <c r="G704" t="s">
        <v>44</v>
      </c>
      <c r="H704" t="s">
        <v>32</v>
      </c>
      <c r="I704" t="s">
        <v>40</v>
      </c>
      <c r="J704" t="s">
        <v>13</v>
      </c>
      <c r="K704">
        <v>3.4</v>
      </c>
      <c r="L704" t="s">
        <v>14</v>
      </c>
      <c r="M704" t="s">
        <v>62</v>
      </c>
      <c r="N704" t="s">
        <v>14</v>
      </c>
      <c r="O704">
        <v>1</v>
      </c>
      <c r="P704" t="s">
        <v>21</v>
      </c>
      <c r="Q704" t="s">
        <v>28</v>
      </c>
      <c r="R704" t="str" cm="1">
        <f t="array" ref="R704">_xlfn.IFS(B704&lt;31,"Young-Adult",B704&lt;41,"Adult",B704&lt;61,"Middle-aged",B704&gt;=61,"Senior")</f>
        <v>Young-Adult</v>
      </c>
      <c r="S704" cm="1">
        <f t="array" ref="S704">_xlfn.IFS(Q704 ="Fortnightly",14,Q704="Weekly",7,Q704="Monthly",30,Q704="Quarterly",90,Q704="Bi-Weekly",14,Q704="Annually",365,Q704="Every 3 Months",90,TRUE,"NOT FOUND")</f>
        <v>7</v>
      </c>
    </row>
    <row r="705" spans="1:19" x14ac:dyDescent="0.35">
      <c r="A705">
        <v>704</v>
      </c>
      <c r="B705">
        <v>63</v>
      </c>
      <c r="C705" t="s">
        <v>7</v>
      </c>
      <c r="D705" t="s">
        <v>69</v>
      </c>
      <c r="E705" t="s">
        <v>9</v>
      </c>
      <c r="F705">
        <v>87</v>
      </c>
      <c r="G705" t="s">
        <v>127</v>
      </c>
      <c r="H705" t="s">
        <v>11</v>
      </c>
      <c r="I705" t="s">
        <v>57</v>
      </c>
      <c r="J705" t="s">
        <v>41</v>
      </c>
      <c r="K705">
        <v>3</v>
      </c>
      <c r="L705" t="s">
        <v>14</v>
      </c>
      <c r="M705" t="s">
        <v>42</v>
      </c>
      <c r="N705" t="s">
        <v>14</v>
      </c>
      <c r="O705">
        <v>21</v>
      </c>
      <c r="P705" t="s">
        <v>16</v>
      </c>
      <c r="Q705" t="s">
        <v>28</v>
      </c>
      <c r="R705" t="str" cm="1">
        <f t="array" ref="R705">_xlfn.IFS(B705&lt;31,"Young-Adult",B705&lt;41,"Adult",B705&lt;61,"Middle-aged",B705&gt;=61,"Senior")</f>
        <v>Senior</v>
      </c>
      <c r="S705" cm="1">
        <f t="array" ref="S705">_xlfn.IFS(Q705 ="Fortnightly",14,Q705="Weekly",7,Q705="Monthly",30,Q705="Quarterly",90,Q705="Bi-Weekly",14,Q705="Annually",365,Q705="Every 3 Months",90,TRUE,"NOT FOUND")</f>
        <v>7</v>
      </c>
    </row>
    <row r="706" spans="1:19" x14ac:dyDescent="0.35">
      <c r="A706">
        <v>705</v>
      </c>
      <c r="B706">
        <v>34</v>
      </c>
      <c r="C706" t="s">
        <v>7</v>
      </c>
      <c r="D706" t="s">
        <v>92</v>
      </c>
      <c r="E706" t="s">
        <v>9</v>
      </c>
      <c r="F706">
        <v>66</v>
      </c>
      <c r="G706" t="s">
        <v>123</v>
      </c>
      <c r="H706" t="s">
        <v>24</v>
      </c>
      <c r="I706" t="s">
        <v>82</v>
      </c>
      <c r="J706" t="s">
        <v>25</v>
      </c>
      <c r="K706">
        <v>3.2</v>
      </c>
      <c r="L706" t="s">
        <v>14</v>
      </c>
      <c r="M706" t="s">
        <v>15</v>
      </c>
      <c r="N706" t="s">
        <v>14</v>
      </c>
      <c r="O706">
        <v>18</v>
      </c>
      <c r="P706" t="s">
        <v>34</v>
      </c>
      <c r="Q706" t="s">
        <v>37</v>
      </c>
      <c r="R706" t="str" cm="1">
        <f t="array" ref="R706">_xlfn.IFS(B706&lt;31,"Young-Adult",B706&lt;41,"Adult",B706&lt;61,"Middle-aged",B706&gt;=61,"Senior")</f>
        <v>Adult</v>
      </c>
      <c r="S706" cm="1">
        <f t="array" ref="S706">_xlfn.IFS(Q706 ="Fortnightly",14,Q706="Weekly",7,Q706="Monthly",30,Q706="Quarterly",90,Q706="Bi-Weekly",14,Q706="Annually",365,Q706="Every 3 Months",90,TRUE,"NOT FOUND")</f>
        <v>365</v>
      </c>
    </row>
    <row r="707" spans="1:19" x14ac:dyDescent="0.35">
      <c r="A707">
        <v>706</v>
      </c>
      <c r="B707">
        <v>25</v>
      </c>
      <c r="C707" t="s">
        <v>7</v>
      </c>
      <c r="D707" t="s">
        <v>83</v>
      </c>
      <c r="E707" t="s">
        <v>9</v>
      </c>
      <c r="F707">
        <v>90</v>
      </c>
      <c r="G707" t="s">
        <v>60</v>
      </c>
      <c r="H707" t="s">
        <v>80</v>
      </c>
      <c r="I707" t="s">
        <v>114</v>
      </c>
      <c r="J707" t="s">
        <v>41</v>
      </c>
      <c r="K707">
        <v>4.5</v>
      </c>
      <c r="L707" t="s">
        <v>14</v>
      </c>
      <c r="M707" t="s">
        <v>26</v>
      </c>
      <c r="N707" t="s">
        <v>14</v>
      </c>
      <c r="O707">
        <v>49</v>
      </c>
      <c r="P707" t="s">
        <v>21</v>
      </c>
      <c r="Q707" t="s">
        <v>46</v>
      </c>
      <c r="R707" t="str" cm="1">
        <f t="array" ref="R707">_xlfn.IFS(B707&lt;31,"Young-Adult",B707&lt;41,"Adult",B707&lt;61,"Middle-aged",B707&gt;=61,"Senior")</f>
        <v>Young-Adult</v>
      </c>
      <c r="S707" cm="1">
        <f t="array" ref="S707">_xlfn.IFS(Q707 ="Fortnightly",14,Q707="Weekly",7,Q707="Monthly",30,Q707="Quarterly",90,Q707="Bi-Weekly",14,Q707="Annually",365,Q707="Every 3 Months",90,TRUE,"NOT FOUND")</f>
        <v>90</v>
      </c>
    </row>
    <row r="708" spans="1:19" x14ac:dyDescent="0.35">
      <c r="A708">
        <v>707</v>
      </c>
      <c r="B708">
        <v>46</v>
      </c>
      <c r="C708" t="s">
        <v>7</v>
      </c>
      <c r="D708" t="s">
        <v>22</v>
      </c>
      <c r="E708" t="s">
        <v>9</v>
      </c>
      <c r="F708">
        <v>47</v>
      </c>
      <c r="G708" t="s">
        <v>134</v>
      </c>
      <c r="H708" t="s">
        <v>11</v>
      </c>
      <c r="I708" t="s">
        <v>36</v>
      </c>
      <c r="J708" t="s">
        <v>41</v>
      </c>
      <c r="K708">
        <v>4.8</v>
      </c>
      <c r="L708" t="s">
        <v>14</v>
      </c>
      <c r="M708" t="s">
        <v>15</v>
      </c>
      <c r="N708" t="s">
        <v>14</v>
      </c>
      <c r="O708">
        <v>27</v>
      </c>
      <c r="P708" t="s">
        <v>74</v>
      </c>
      <c r="Q708" t="s">
        <v>28</v>
      </c>
      <c r="R708" t="str" cm="1">
        <f t="array" ref="R708">_xlfn.IFS(B708&lt;31,"Young-Adult",B708&lt;41,"Adult",B708&lt;61,"Middle-aged",B708&gt;=61,"Senior")</f>
        <v>Middle-aged</v>
      </c>
      <c r="S708" cm="1">
        <f t="array" ref="S708">_xlfn.IFS(Q708 ="Fortnightly",14,Q708="Weekly",7,Q708="Monthly",30,Q708="Quarterly",90,Q708="Bi-Weekly",14,Q708="Annually",365,Q708="Every 3 Months",90,TRUE,"NOT FOUND")</f>
        <v>7</v>
      </c>
    </row>
    <row r="709" spans="1:19" x14ac:dyDescent="0.35">
      <c r="A709">
        <v>708</v>
      </c>
      <c r="B709">
        <v>59</v>
      </c>
      <c r="C709" t="s">
        <v>7</v>
      </c>
      <c r="D709" t="s">
        <v>43</v>
      </c>
      <c r="E709" t="s">
        <v>9</v>
      </c>
      <c r="F709">
        <v>38</v>
      </c>
      <c r="G709" t="s">
        <v>48</v>
      </c>
      <c r="H709" t="s">
        <v>11</v>
      </c>
      <c r="I709" t="s">
        <v>61</v>
      </c>
      <c r="J709" t="s">
        <v>25</v>
      </c>
      <c r="K709">
        <v>3.7</v>
      </c>
      <c r="L709" t="s">
        <v>14</v>
      </c>
      <c r="M709" t="s">
        <v>33</v>
      </c>
      <c r="N709" t="s">
        <v>14</v>
      </c>
      <c r="O709">
        <v>21</v>
      </c>
      <c r="P709" t="s">
        <v>16</v>
      </c>
      <c r="Q709" t="s">
        <v>37</v>
      </c>
      <c r="R709" t="str" cm="1">
        <f t="array" ref="R709">_xlfn.IFS(B709&lt;31,"Young-Adult",B709&lt;41,"Adult",B709&lt;61,"Middle-aged",B709&gt;=61,"Senior")</f>
        <v>Middle-aged</v>
      </c>
      <c r="S709" cm="1">
        <f t="array" ref="S709">_xlfn.IFS(Q709 ="Fortnightly",14,Q709="Weekly",7,Q709="Monthly",30,Q709="Quarterly",90,Q709="Bi-Weekly",14,Q709="Annually",365,Q709="Every 3 Months",90,TRUE,"NOT FOUND")</f>
        <v>365</v>
      </c>
    </row>
    <row r="710" spans="1:19" x14ac:dyDescent="0.35">
      <c r="A710">
        <v>709</v>
      </c>
      <c r="B710">
        <v>37</v>
      </c>
      <c r="C710" t="s">
        <v>7</v>
      </c>
      <c r="D710" t="s">
        <v>120</v>
      </c>
      <c r="E710" t="s">
        <v>55</v>
      </c>
      <c r="F710">
        <v>50</v>
      </c>
      <c r="G710" t="s">
        <v>10</v>
      </c>
      <c r="H710" t="s">
        <v>11</v>
      </c>
      <c r="I710" t="s">
        <v>106</v>
      </c>
      <c r="J710" t="s">
        <v>41</v>
      </c>
      <c r="K710">
        <v>3.4</v>
      </c>
      <c r="L710" t="s">
        <v>14</v>
      </c>
      <c r="M710" t="s">
        <v>62</v>
      </c>
      <c r="N710" t="s">
        <v>14</v>
      </c>
      <c r="O710">
        <v>19</v>
      </c>
      <c r="P710" t="s">
        <v>21</v>
      </c>
      <c r="Q710" t="s">
        <v>17</v>
      </c>
      <c r="R710" t="str" cm="1">
        <f t="array" ref="R710">_xlfn.IFS(B710&lt;31,"Young-Adult",B710&lt;41,"Adult",B710&lt;61,"Middle-aged",B710&gt;=61,"Senior")</f>
        <v>Adult</v>
      </c>
      <c r="S710" cm="1">
        <f t="array" ref="S710">_xlfn.IFS(Q710 ="Fortnightly",14,Q710="Weekly",7,Q710="Monthly",30,Q710="Quarterly",90,Q710="Bi-Weekly",14,Q710="Annually",365,Q710="Every 3 Months",90,TRUE,"NOT FOUND")</f>
        <v>14</v>
      </c>
    </row>
    <row r="711" spans="1:19" x14ac:dyDescent="0.35">
      <c r="A711">
        <v>710</v>
      </c>
      <c r="B711">
        <v>49</v>
      </c>
      <c r="C711" t="s">
        <v>7</v>
      </c>
      <c r="D711" t="s">
        <v>90</v>
      </c>
      <c r="E711" t="s">
        <v>51</v>
      </c>
      <c r="F711">
        <v>79</v>
      </c>
      <c r="G711" t="s">
        <v>23</v>
      </c>
      <c r="H711" t="s">
        <v>11</v>
      </c>
      <c r="I711" t="s">
        <v>49</v>
      </c>
      <c r="J711" t="s">
        <v>41</v>
      </c>
      <c r="K711">
        <v>4.5999999999999996</v>
      </c>
      <c r="L711" t="s">
        <v>14</v>
      </c>
      <c r="M711" t="s">
        <v>42</v>
      </c>
      <c r="N711" t="s">
        <v>14</v>
      </c>
      <c r="O711">
        <v>23</v>
      </c>
      <c r="P711" t="s">
        <v>74</v>
      </c>
      <c r="Q711" t="s">
        <v>76</v>
      </c>
      <c r="R711" t="str" cm="1">
        <f t="array" ref="R711">_xlfn.IFS(B711&lt;31,"Young-Adult",B711&lt;41,"Adult",B711&lt;61,"Middle-aged",B711&gt;=61,"Senior")</f>
        <v>Middle-aged</v>
      </c>
      <c r="S711" cm="1">
        <f t="array" ref="S711">_xlfn.IFS(Q711 ="Fortnightly",14,Q711="Weekly",7,Q711="Monthly",30,Q711="Quarterly",90,Q711="Bi-Weekly",14,Q711="Annually",365,Q711="Every 3 Months",90,TRUE,"NOT FOUND")</f>
        <v>30</v>
      </c>
    </row>
    <row r="712" spans="1:19" x14ac:dyDescent="0.35">
      <c r="A712">
        <v>711</v>
      </c>
      <c r="B712">
        <v>22</v>
      </c>
      <c r="C712" t="s">
        <v>7</v>
      </c>
      <c r="D712" t="s">
        <v>107</v>
      </c>
      <c r="E712" t="s">
        <v>55</v>
      </c>
      <c r="F712">
        <v>91</v>
      </c>
      <c r="G712" t="s">
        <v>129</v>
      </c>
      <c r="H712" t="s">
        <v>11</v>
      </c>
      <c r="I712" t="s">
        <v>36</v>
      </c>
      <c r="J712" t="s">
        <v>25</v>
      </c>
      <c r="K712">
        <v>4.0999999999999996</v>
      </c>
      <c r="L712" t="s">
        <v>14</v>
      </c>
      <c r="M712" t="s">
        <v>42</v>
      </c>
      <c r="N712" t="s">
        <v>14</v>
      </c>
      <c r="O712">
        <v>26</v>
      </c>
      <c r="P712" t="s">
        <v>34</v>
      </c>
      <c r="Q712" t="s">
        <v>17</v>
      </c>
      <c r="R712" t="str" cm="1">
        <f t="array" ref="R712">_xlfn.IFS(B712&lt;31,"Young-Adult",B712&lt;41,"Adult",B712&lt;61,"Middle-aged",B712&gt;=61,"Senior")</f>
        <v>Young-Adult</v>
      </c>
      <c r="S712" cm="1">
        <f t="array" ref="S712">_xlfn.IFS(Q712 ="Fortnightly",14,Q712="Weekly",7,Q712="Monthly",30,Q712="Quarterly",90,Q712="Bi-Weekly",14,Q712="Annually",365,Q712="Every 3 Months",90,TRUE,"NOT FOUND")</f>
        <v>14</v>
      </c>
    </row>
    <row r="713" spans="1:19" x14ac:dyDescent="0.35">
      <c r="A713">
        <v>712</v>
      </c>
      <c r="B713">
        <v>64</v>
      </c>
      <c r="C713" t="s">
        <v>7</v>
      </c>
      <c r="D713" t="s">
        <v>125</v>
      </c>
      <c r="E713" t="s">
        <v>30</v>
      </c>
      <c r="F713">
        <v>60</v>
      </c>
      <c r="G713" t="s">
        <v>70</v>
      </c>
      <c r="H713" t="s">
        <v>32</v>
      </c>
      <c r="I713" t="s">
        <v>20</v>
      </c>
      <c r="J713" t="s">
        <v>25</v>
      </c>
      <c r="K713">
        <v>3.5</v>
      </c>
      <c r="L713" t="s">
        <v>14</v>
      </c>
      <c r="M713" t="s">
        <v>58</v>
      </c>
      <c r="N713" t="s">
        <v>14</v>
      </c>
      <c r="O713">
        <v>13</v>
      </c>
      <c r="P713" t="s">
        <v>63</v>
      </c>
      <c r="Q713" t="s">
        <v>64</v>
      </c>
      <c r="R713" t="str" cm="1">
        <f t="array" ref="R713">_xlfn.IFS(B713&lt;31,"Young-Adult",B713&lt;41,"Adult",B713&lt;61,"Middle-aged",B713&gt;=61,"Senior")</f>
        <v>Senior</v>
      </c>
      <c r="S713" cm="1">
        <f t="array" ref="S713">_xlfn.IFS(Q713 ="Fortnightly",14,Q713="Weekly",7,Q713="Monthly",30,Q713="Quarterly",90,Q713="Bi-Weekly",14,Q713="Annually",365,Q713="Every 3 Months",90,TRUE,"NOT FOUND")</f>
        <v>14</v>
      </c>
    </row>
    <row r="714" spans="1:19" x14ac:dyDescent="0.35">
      <c r="A714">
        <v>713</v>
      </c>
      <c r="B714">
        <v>42</v>
      </c>
      <c r="C714" t="s">
        <v>7</v>
      </c>
      <c r="D714" t="s">
        <v>8</v>
      </c>
      <c r="E714" t="s">
        <v>9</v>
      </c>
      <c r="F714">
        <v>81</v>
      </c>
      <c r="G714" t="s">
        <v>70</v>
      </c>
      <c r="H714" t="s">
        <v>80</v>
      </c>
      <c r="I714" t="s">
        <v>82</v>
      </c>
      <c r="J714" t="s">
        <v>41</v>
      </c>
      <c r="K714">
        <v>3.8</v>
      </c>
      <c r="L714" t="s">
        <v>14</v>
      </c>
      <c r="M714" t="s">
        <v>33</v>
      </c>
      <c r="N714" t="s">
        <v>14</v>
      </c>
      <c r="O714">
        <v>36</v>
      </c>
      <c r="P714" t="s">
        <v>63</v>
      </c>
      <c r="Q714" t="s">
        <v>46</v>
      </c>
      <c r="R714" t="str" cm="1">
        <f t="array" ref="R714">_xlfn.IFS(B714&lt;31,"Young-Adult",B714&lt;41,"Adult",B714&lt;61,"Middle-aged",B714&gt;=61,"Senior")</f>
        <v>Middle-aged</v>
      </c>
      <c r="S714" cm="1">
        <f t="array" ref="S714">_xlfn.IFS(Q714 ="Fortnightly",14,Q714="Weekly",7,Q714="Monthly",30,Q714="Quarterly",90,Q714="Bi-Weekly",14,Q714="Annually",365,Q714="Every 3 Months",90,TRUE,"NOT FOUND")</f>
        <v>90</v>
      </c>
    </row>
    <row r="715" spans="1:19" x14ac:dyDescent="0.35">
      <c r="A715">
        <v>714</v>
      </c>
      <c r="B715">
        <v>37</v>
      </c>
      <c r="C715" t="s">
        <v>7</v>
      </c>
      <c r="D715" t="s">
        <v>92</v>
      </c>
      <c r="E715" t="s">
        <v>9</v>
      </c>
      <c r="F715">
        <v>90</v>
      </c>
      <c r="G715" t="s">
        <v>35</v>
      </c>
      <c r="H715" t="s">
        <v>32</v>
      </c>
      <c r="I715" t="s">
        <v>81</v>
      </c>
      <c r="J715" t="s">
        <v>41</v>
      </c>
      <c r="K715">
        <v>2.6</v>
      </c>
      <c r="L715" t="s">
        <v>14</v>
      </c>
      <c r="M715" t="s">
        <v>15</v>
      </c>
      <c r="N715" t="s">
        <v>14</v>
      </c>
      <c r="O715">
        <v>39</v>
      </c>
      <c r="P715" t="s">
        <v>63</v>
      </c>
      <c r="Q715" t="s">
        <v>64</v>
      </c>
      <c r="R715" t="str" cm="1">
        <f t="array" ref="R715">_xlfn.IFS(B715&lt;31,"Young-Adult",B715&lt;41,"Adult",B715&lt;61,"Middle-aged",B715&gt;=61,"Senior")</f>
        <v>Adult</v>
      </c>
      <c r="S715" cm="1">
        <f t="array" ref="S715">_xlfn.IFS(Q715 ="Fortnightly",14,Q715="Weekly",7,Q715="Monthly",30,Q715="Quarterly",90,Q715="Bi-Weekly",14,Q715="Annually",365,Q715="Every 3 Months",90,TRUE,"NOT FOUND")</f>
        <v>14</v>
      </c>
    </row>
    <row r="716" spans="1:19" x14ac:dyDescent="0.35">
      <c r="A716">
        <v>715</v>
      </c>
      <c r="B716">
        <v>26</v>
      </c>
      <c r="C716" t="s">
        <v>7</v>
      </c>
      <c r="D716" t="s">
        <v>90</v>
      </c>
      <c r="E716" t="s">
        <v>51</v>
      </c>
      <c r="F716">
        <v>70</v>
      </c>
      <c r="G716" t="s">
        <v>135</v>
      </c>
      <c r="H716" t="s">
        <v>32</v>
      </c>
      <c r="I716" t="s">
        <v>124</v>
      </c>
      <c r="J716" t="s">
        <v>45</v>
      </c>
      <c r="K716">
        <v>4.4000000000000004</v>
      </c>
      <c r="L716" t="s">
        <v>14</v>
      </c>
      <c r="M716" t="s">
        <v>62</v>
      </c>
      <c r="N716" t="s">
        <v>14</v>
      </c>
      <c r="O716">
        <v>40</v>
      </c>
      <c r="P716" t="s">
        <v>74</v>
      </c>
      <c r="Q716" t="s">
        <v>17</v>
      </c>
      <c r="R716" t="str" cm="1">
        <f t="array" ref="R716">_xlfn.IFS(B716&lt;31,"Young-Adult",B716&lt;41,"Adult",B716&lt;61,"Middle-aged",B716&gt;=61,"Senior")</f>
        <v>Young-Adult</v>
      </c>
      <c r="S716" cm="1">
        <f t="array" ref="S716">_xlfn.IFS(Q716 ="Fortnightly",14,Q716="Weekly",7,Q716="Monthly",30,Q716="Quarterly",90,Q716="Bi-Weekly",14,Q716="Annually",365,Q716="Every 3 Months",90,TRUE,"NOT FOUND")</f>
        <v>14</v>
      </c>
    </row>
    <row r="717" spans="1:19" x14ac:dyDescent="0.35">
      <c r="A717">
        <v>716</v>
      </c>
      <c r="B717">
        <v>33</v>
      </c>
      <c r="C717" t="s">
        <v>7</v>
      </c>
      <c r="D717" t="s">
        <v>22</v>
      </c>
      <c r="E717" t="s">
        <v>9</v>
      </c>
      <c r="F717">
        <v>63</v>
      </c>
      <c r="G717" t="s">
        <v>67</v>
      </c>
      <c r="H717" t="s">
        <v>11</v>
      </c>
      <c r="I717" t="s">
        <v>84</v>
      </c>
      <c r="J717" t="s">
        <v>25</v>
      </c>
      <c r="K717">
        <v>2.6</v>
      </c>
      <c r="L717" t="s">
        <v>14</v>
      </c>
      <c r="M717" t="s">
        <v>15</v>
      </c>
      <c r="N717" t="s">
        <v>14</v>
      </c>
      <c r="O717">
        <v>37</v>
      </c>
      <c r="P717" t="s">
        <v>74</v>
      </c>
      <c r="Q717" t="s">
        <v>46</v>
      </c>
      <c r="R717" t="str" cm="1">
        <f t="array" ref="R717">_xlfn.IFS(B717&lt;31,"Young-Adult",B717&lt;41,"Adult",B717&lt;61,"Middle-aged",B717&gt;=61,"Senior")</f>
        <v>Adult</v>
      </c>
      <c r="S717" cm="1">
        <f t="array" ref="S717">_xlfn.IFS(Q717 ="Fortnightly",14,Q717="Weekly",7,Q717="Monthly",30,Q717="Quarterly",90,Q717="Bi-Weekly",14,Q717="Annually",365,Q717="Every 3 Months",90,TRUE,"NOT FOUND")</f>
        <v>90</v>
      </c>
    </row>
    <row r="718" spans="1:19" x14ac:dyDescent="0.35">
      <c r="A718">
        <v>717</v>
      </c>
      <c r="B718">
        <v>30</v>
      </c>
      <c r="C718" t="s">
        <v>7</v>
      </c>
      <c r="D718" t="s">
        <v>94</v>
      </c>
      <c r="E718" t="s">
        <v>55</v>
      </c>
      <c r="F718">
        <v>29</v>
      </c>
      <c r="G718" t="s">
        <v>56</v>
      </c>
      <c r="H718" t="s">
        <v>32</v>
      </c>
      <c r="I718" t="s">
        <v>66</v>
      </c>
      <c r="J718" t="s">
        <v>25</v>
      </c>
      <c r="K718">
        <v>3.6</v>
      </c>
      <c r="L718" t="s">
        <v>14</v>
      </c>
      <c r="M718" t="s">
        <v>15</v>
      </c>
      <c r="N718" t="s">
        <v>14</v>
      </c>
      <c r="O718">
        <v>9</v>
      </c>
      <c r="P718" t="s">
        <v>16</v>
      </c>
      <c r="Q718" t="s">
        <v>64</v>
      </c>
      <c r="R718" t="str" cm="1">
        <f t="array" ref="R718">_xlfn.IFS(B718&lt;31,"Young-Adult",B718&lt;41,"Adult",B718&lt;61,"Middle-aged",B718&gt;=61,"Senior")</f>
        <v>Young-Adult</v>
      </c>
      <c r="S718" cm="1">
        <f t="array" ref="S718">_xlfn.IFS(Q718 ="Fortnightly",14,Q718="Weekly",7,Q718="Monthly",30,Q718="Quarterly",90,Q718="Bi-Weekly",14,Q718="Annually",365,Q718="Every 3 Months",90,TRUE,"NOT FOUND")</f>
        <v>14</v>
      </c>
    </row>
    <row r="719" spans="1:19" x14ac:dyDescent="0.35">
      <c r="A719">
        <v>718</v>
      </c>
      <c r="B719">
        <v>21</v>
      </c>
      <c r="C719" t="s">
        <v>7</v>
      </c>
      <c r="D719" t="s">
        <v>113</v>
      </c>
      <c r="E719" t="s">
        <v>9</v>
      </c>
      <c r="F719">
        <v>90</v>
      </c>
      <c r="G719" t="s">
        <v>108</v>
      </c>
      <c r="H719" t="s">
        <v>11</v>
      </c>
      <c r="I719" t="s">
        <v>84</v>
      </c>
      <c r="J719" t="s">
        <v>25</v>
      </c>
      <c r="K719">
        <v>4.2</v>
      </c>
      <c r="L719" t="s">
        <v>14</v>
      </c>
      <c r="M719" t="s">
        <v>15</v>
      </c>
      <c r="N719" t="s">
        <v>14</v>
      </c>
      <c r="O719">
        <v>7</v>
      </c>
      <c r="P719" t="s">
        <v>16</v>
      </c>
      <c r="Q719" t="s">
        <v>85</v>
      </c>
      <c r="R719" t="str" cm="1">
        <f t="array" ref="R719">_xlfn.IFS(B719&lt;31,"Young-Adult",B719&lt;41,"Adult",B719&lt;61,"Middle-aged",B719&gt;=61,"Senior")</f>
        <v>Young-Adult</v>
      </c>
      <c r="S719" cm="1">
        <f t="array" ref="S719">_xlfn.IFS(Q719 ="Fortnightly",14,Q719="Weekly",7,Q719="Monthly",30,Q719="Quarterly",90,Q719="Bi-Weekly",14,Q719="Annually",365,Q719="Every 3 Months",90,TRUE,"NOT FOUND")</f>
        <v>90</v>
      </c>
    </row>
    <row r="720" spans="1:19" x14ac:dyDescent="0.35">
      <c r="A720">
        <v>719</v>
      </c>
      <c r="B720">
        <v>22</v>
      </c>
      <c r="C720" t="s">
        <v>7</v>
      </c>
      <c r="D720" t="s">
        <v>43</v>
      </c>
      <c r="E720" t="s">
        <v>9</v>
      </c>
      <c r="F720">
        <v>22</v>
      </c>
      <c r="G720" t="s">
        <v>91</v>
      </c>
      <c r="H720" t="s">
        <v>32</v>
      </c>
      <c r="I720" t="s">
        <v>88</v>
      </c>
      <c r="J720" t="s">
        <v>41</v>
      </c>
      <c r="K720">
        <v>4.5999999999999996</v>
      </c>
      <c r="L720" t="s">
        <v>14</v>
      </c>
      <c r="M720" t="s">
        <v>42</v>
      </c>
      <c r="N720" t="s">
        <v>14</v>
      </c>
      <c r="O720">
        <v>25</v>
      </c>
      <c r="P720" t="s">
        <v>63</v>
      </c>
      <c r="Q720" t="s">
        <v>37</v>
      </c>
      <c r="R720" t="str" cm="1">
        <f t="array" ref="R720">_xlfn.IFS(B720&lt;31,"Young-Adult",B720&lt;41,"Adult",B720&lt;61,"Middle-aged",B720&gt;=61,"Senior")</f>
        <v>Young-Adult</v>
      </c>
      <c r="S720" cm="1">
        <f t="array" ref="S720">_xlfn.IFS(Q720 ="Fortnightly",14,Q720="Weekly",7,Q720="Monthly",30,Q720="Quarterly",90,Q720="Bi-Weekly",14,Q720="Annually",365,Q720="Every 3 Months",90,TRUE,"NOT FOUND")</f>
        <v>365</v>
      </c>
    </row>
    <row r="721" spans="1:19" x14ac:dyDescent="0.35">
      <c r="A721">
        <v>720</v>
      </c>
      <c r="B721">
        <v>63</v>
      </c>
      <c r="C721" t="s">
        <v>7</v>
      </c>
      <c r="D721" t="s">
        <v>47</v>
      </c>
      <c r="E721" t="s">
        <v>9</v>
      </c>
      <c r="F721">
        <v>22</v>
      </c>
      <c r="G721" t="s">
        <v>79</v>
      </c>
      <c r="H721" t="s">
        <v>11</v>
      </c>
      <c r="I721" t="s">
        <v>36</v>
      </c>
      <c r="J721" t="s">
        <v>41</v>
      </c>
      <c r="K721">
        <v>3.3</v>
      </c>
      <c r="L721" t="s">
        <v>14</v>
      </c>
      <c r="M721" t="s">
        <v>33</v>
      </c>
      <c r="N721" t="s">
        <v>14</v>
      </c>
      <c r="O721">
        <v>42</v>
      </c>
      <c r="P721" t="s">
        <v>16</v>
      </c>
      <c r="Q721" t="s">
        <v>64</v>
      </c>
      <c r="R721" t="str" cm="1">
        <f t="array" ref="R721">_xlfn.IFS(B721&lt;31,"Young-Adult",B721&lt;41,"Adult",B721&lt;61,"Middle-aged",B721&gt;=61,"Senior")</f>
        <v>Senior</v>
      </c>
      <c r="S721" cm="1">
        <f t="array" ref="S721">_xlfn.IFS(Q721 ="Fortnightly",14,Q721="Weekly",7,Q721="Monthly",30,Q721="Quarterly",90,Q721="Bi-Weekly",14,Q721="Annually",365,Q721="Every 3 Months",90,TRUE,"NOT FOUND")</f>
        <v>14</v>
      </c>
    </row>
    <row r="722" spans="1:19" x14ac:dyDescent="0.35">
      <c r="A722">
        <v>721</v>
      </c>
      <c r="B722">
        <v>33</v>
      </c>
      <c r="C722" t="s">
        <v>7</v>
      </c>
      <c r="D722" t="s">
        <v>94</v>
      </c>
      <c r="E722" t="s">
        <v>55</v>
      </c>
      <c r="F722">
        <v>62</v>
      </c>
      <c r="G722" t="s">
        <v>118</v>
      </c>
      <c r="H722" t="s">
        <v>11</v>
      </c>
      <c r="I722" t="s">
        <v>109</v>
      </c>
      <c r="J722" t="s">
        <v>45</v>
      </c>
      <c r="K722">
        <v>3.4</v>
      </c>
      <c r="L722" t="s">
        <v>14</v>
      </c>
      <c r="M722" t="s">
        <v>26</v>
      </c>
      <c r="N722" t="s">
        <v>14</v>
      </c>
      <c r="O722">
        <v>19</v>
      </c>
      <c r="P722" t="s">
        <v>74</v>
      </c>
      <c r="Q722" t="s">
        <v>28</v>
      </c>
      <c r="R722" t="str" cm="1">
        <f t="array" ref="R722">_xlfn.IFS(B722&lt;31,"Young-Adult",B722&lt;41,"Adult",B722&lt;61,"Middle-aged",B722&gt;=61,"Senior")</f>
        <v>Adult</v>
      </c>
      <c r="S722" cm="1">
        <f t="array" ref="S722">_xlfn.IFS(Q722 ="Fortnightly",14,Q722="Weekly",7,Q722="Monthly",30,Q722="Quarterly",90,Q722="Bi-Weekly",14,Q722="Annually",365,Q722="Every 3 Months",90,TRUE,"NOT FOUND")</f>
        <v>7</v>
      </c>
    </row>
    <row r="723" spans="1:19" x14ac:dyDescent="0.35">
      <c r="A723">
        <v>722</v>
      </c>
      <c r="B723">
        <v>43</v>
      </c>
      <c r="C723" t="s">
        <v>7</v>
      </c>
      <c r="D723" t="s">
        <v>8</v>
      </c>
      <c r="E723" t="s">
        <v>9</v>
      </c>
      <c r="F723">
        <v>57</v>
      </c>
      <c r="G723" t="s">
        <v>87</v>
      </c>
      <c r="H723" t="s">
        <v>11</v>
      </c>
      <c r="I723" t="s">
        <v>53</v>
      </c>
      <c r="J723" t="s">
        <v>41</v>
      </c>
      <c r="K723">
        <v>4.4000000000000004</v>
      </c>
      <c r="L723" t="s">
        <v>14</v>
      </c>
      <c r="M723" t="s">
        <v>33</v>
      </c>
      <c r="N723" t="s">
        <v>14</v>
      </c>
      <c r="O723">
        <v>41</v>
      </c>
      <c r="P723" t="s">
        <v>74</v>
      </c>
      <c r="Q723" t="s">
        <v>85</v>
      </c>
      <c r="R723" t="str" cm="1">
        <f t="array" ref="R723">_xlfn.IFS(B723&lt;31,"Young-Adult",B723&lt;41,"Adult",B723&lt;61,"Middle-aged",B723&gt;=61,"Senior")</f>
        <v>Middle-aged</v>
      </c>
      <c r="S723" cm="1">
        <f t="array" ref="S723">_xlfn.IFS(Q723 ="Fortnightly",14,Q723="Weekly",7,Q723="Monthly",30,Q723="Quarterly",90,Q723="Bi-Weekly",14,Q723="Annually",365,Q723="Every 3 Months",90,TRUE,"NOT FOUND")</f>
        <v>90</v>
      </c>
    </row>
    <row r="724" spans="1:19" x14ac:dyDescent="0.35">
      <c r="A724">
        <v>723</v>
      </c>
      <c r="B724">
        <v>27</v>
      </c>
      <c r="C724" t="s">
        <v>7</v>
      </c>
      <c r="D724" t="s">
        <v>18</v>
      </c>
      <c r="E724" t="s">
        <v>9</v>
      </c>
      <c r="F724">
        <v>32</v>
      </c>
      <c r="G724" t="s">
        <v>39</v>
      </c>
      <c r="H724" t="s">
        <v>24</v>
      </c>
      <c r="I724" t="s">
        <v>132</v>
      </c>
      <c r="J724" t="s">
        <v>41</v>
      </c>
      <c r="K724">
        <v>4.3</v>
      </c>
      <c r="L724" t="s">
        <v>14</v>
      </c>
      <c r="M724" t="s">
        <v>62</v>
      </c>
      <c r="N724" t="s">
        <v>14</v>
      </c>
      <c r="O724">
        <v>50</v>
      </c>
      <c r="P724" t="s">
        <v>21</v>
      </c>
      <c r="Q724" t="s">
        <v>64</v>
      </c>
      <c r="R724" t="str" cm="1">
        <f t="array" ref="R724">_xlfn.IFS(B724&lt;31,"Young-Adult",B724&lt;41,"Adult",B724&lt;61,"Middle-aged",B724&gt;=61,"Senior")</f>
        <v>Young-Adult</v>
      </c>
      <c r="S724" cm="1">
        <f t="array" ref="S724">_xlfn.IFS(Q724 ="Fortnightly",14,Q724="Weekly",7,Q724="Monthly",30,Q724="Quarterly",90,Q724="Bi-Weekly",14,Q724="Annually",365,Q724="Every 3 Months",90,TRUE,"NOT FOUND")</f>
        <v>14</v>
      </c>
    </row>
    <row r="725" spans="1:19" x14ac:dyDescent="0.35">
      <c r="A725">
        <v>724</v>
      </c>
      <c r="B725">
        <v>35</v>
      </c>
      <c r="C725" t="s">
        <v>7</v>
      </c>
      <c r="D725" t="s">
        <v>94</v>
      </c>
      <c r="E725" t="s">
        <v>55</v>
      </c>
      <c r="F725">
        <v>53</v>
      </c>
      <c r="G725" t="s">
        <v>56</v>
      </c>
      <c r="H725" t="s">
        <v>11</v>
      </c>
      <c r="I725" t="s">
        <v>97</v>
      </c>
      <c r="J725" t="s">
        <v>45</v>
      </c>
      <c r="K725">
        <v>3.5</v>
      </c>
      <c r="L725" t="s">
        <v>14</v>
      </c>
      <c r="M725" t="s">
        <v>15</v>
      </c>
      <c r="N725" t="s">
        <v>14</v>
      </c>
      <c r="O725">
        <v>43</v>
      </c>
      <c r="P725" t="s">
        <v>34</v>
      </c>
      <c r="Q725" t="s">
        <v>76</v>
      </c>
      <c r="R725" t="str" cm="1">
        <f t="array" ref="R725">_xlfn.IFS(B725&lt;31,"Young-Adult",B725&lt;41,"Adult",B725&lt;61,"Middle-aged",B725&gt;=61,"Senior")</f>
        <v>Adult</v>
      </c>
      <c r="S725" cm="1">
        <f t="array" ref="S725">_xlfn.IFS(Q725 ="Fortnightly",14,Q725="Weekly",7,Q725="Monthly",30,Q725="Quarterly",90,Q725="Bi-Weekly",14,Q725="Annually",365,Q725="Every 3 Months",90,TRUE,"NOT FOUND")</f>
        <v>30</v>
      </c>
    </row>
    <row r="726" spans="1:19" x14ac:dyDescent="0.35">
      <c r="A726">
        <v>725</v>
      </c>
      <c r="B726">
        <v>37</v>
      </c>
      <c r="C726" t="s">
        <v>7</v>
      </c>
      <c r="D726" t="s">
        <v>101</v>
      </c>
      <c r="E726" t="s">
        <v>9</v>
      </c>
      <c r="F726">
        <v>79</v>
      </c>
      <c r="G726" t="s">
        <v>70</v>
      </c>
      <c r="H726" t="s">
        <v>80</v>
      </c>
      <c r="I726" t="s">
        <v>84</v>
      </c>
      <c r="J726" t="s">
        <v>45</v>
      </c>
      <c r="K726">
        <v>4.7</v>
      </c>
      <c r="L726" t="s">
        <v>14</v>
      </c>
      <c r="M726" t="s">
        <v>62</v>
      </c>
      <c r="N726" t="s">
        <v>14</v>
      </c>
      <c r="O726">
        <v>36</v>
      </c>
      <c r="P726" t="s">
        <v>16</v>
      </c>
      <c r="Q726" t="s">
        <v>85</v>
      </c>
      <c r="R726" t="str" cm="1">
        <f t="array" ref="R726">_xlfn.IFS(B726&lt;31,"Young-Adult",B726&lt;41,"Adult",B726&lt;61,"Middle-aged",B726&gt;=61,"Senior")</f>
        <v>Adult</v>
      </c>
      <c r="S726" cm="1">
        <f t="array" ref="S726">_xlfn.IFS(Q726 ="Fortnightly",14,Q726="Weekly",7,Q726="Monthly",30,Q726="Quarterly",90,Q726="Bi-Weekly",14,Q726="Annually",365,Q726="Every 3 Months",90,TRUE,"NOT FOUND")</f>
        <v>90</v>
      </c>
    </row>
    <row r="727" spans="1:19" x14ac:dyDescent="0.35">
      <c r="A727">
        <v>726</v>
      </c>
      <c r="B727">
        <v>61</v>
      </c>
      <c r="C727" t="s">
        <v>7</v>
      </c>
      <c r="D727" t="s">
        <v>112</v>
      </c>
      <c r="E727" t="s">
        <v>55</v>
      </c>
      <c r="F727">
        <v>61</v>
      </c>
      <c r="G727" t="s">
        <v>93</v>
      </c>
      <c r="H727" t="s">
        <v>11</v>
      </c>
      <c r="I727" t="s">
        <v>53</v>
      </c>
      <c r="J727" t="s">
        <v>13</v>
      </c>
      <c r="K727">
        <v>3.1</v>
      </c>
      <c r="L727" t="s">
        <v>14</v>
      </c>
      <c r="M727" t="s">
        <v>42</v>
      </c>
      <c r="N727" t="s">
        <v>14</v>
      </c>
      <c r="O727">
        <v>33</v>
      </c>
      <c r="P727" t="s">
        <v>74</v>
      </c>
      <c r="Q727" t="s">
        <v>17</v>
      </c>
      <c r="R727" t="str" cm="1">
        <f t="array" ref="R727">_xlfn.IFS(B727&lt;31,"Young-Adult",B727&lt;41,"Adult",B727&lt;61,"Middle-aged",B727&gt;=61,"Senior")</f>
        <v>Senior</v>
      </c>
      <c r="S727" cm="1">
        <f t="array" ref="S727">_xlfn.IFS(Q727 ="Fortnightly",14,Q727="Weekly",7,Q727="Monthly",30,Q727="Quarterly",90,Q727="Bi-Weekly",14,Q727="Annually",365,Q727="Every 3 Months",90,TRUE,"NOT FOUND")</f>
        <v>14</v>
      </c>
    </row>
    <row r="728" spans="1:19" x14ac:dyDescent="0.35">
      <c r="A728">
        <v>727</v>
      </c>
      <c r="B728">
        <v>32</v>
      </c>
      <c r="C728" t="s">
        <v>7</v>
      </c>
      <c r="D728" t="s">
        <v>47</v>
      </c>
      <c r="E728" t="s">
        <v>9</v>
      </c>
      <c r="F728">
        <v>78</v>
      </c>
      <c r="G728" t="s">
        <v>102</v>
      </c>
      <c r="H728" t="s">
        <v>11</v>
      </c>
      <c r="I728" t="s">
        <v>122</v>
      </c>
      <c r="J728" t="s">
        <v>41</v>
      </c>
      <c r="K728">
        <v>3.6</v>
      </c>
      <c r="L728" t="s">
        <v>14</v>
      </c>
      <c r="M728" t="s">
        <v>33</v>
      </c>
      <c r="N728" t="s">
        <v>14</v>
      </c>
      <c r="O728">
        <v>20</v>
      </c>
      <c r="P728" t="s">
        <v>63</v>
      </c>
      <c r="Q728" t="s">
        <v>85</v>
      </c>
      <c r="R728" t="str" cm="1">
        <f t="array" ref="R728">_xlfn.IFS(B728&lt;31,"Young-Adult",B728&lt;41,"Adult",B728&lt;61,"Middle-aged",B728&gt;=61,"Senior")</f>
        <v>Adult</v>
      </c>
      <c r="S728" cm="1">
        <f t="array" ref="S728">_xlfn.IFS(Q728 ="Fortnightly",14,Q728="Weekly",7,Q728="Monthly",30,Q728="Quarterly",90,Q728="Bi-Weekly",14,Q728="Annually",365,Q728="Every 3 Months",90,TRUE,"NOT FOUND")</f>
        <v>90</v>
      </c>
    </row>
    <row r="729" spans="1:19" x14ac:dyDescent="0.35">
      <c r="A729">
        <v>728</v>
      </c>
      <c r="B729">
        <v>62</v>
      </c>
      <c r="C729" t="s">
        <v>7</v>
      </c>
      <c r="D729" t="s">
        <v>18</v>
      </c>
      <c r="E729" t="s">
        <v>9</v>
      </c>
      <c r="F729">
        <v>97</v>
      </c>
      <c r="G729" t="s">
        <v>60</v>
      </c>
      <c r="H729" t="s">
        <v>24</v>
      </c>
      <c r="I729" t="s">
        <v>12</v>
      </c>
      <c r="J729" t="s">
        <v>13</v>
      </c>
      <c r="K729">
        <v>4.8</v>
      </c>
      <c r="L729" t="s">
        <v>14</v>
      </c>
      <c r="M729" t="s">
        <v>33</v>
      </c>
      <c r="N729" t="s">
        <v>14</v>
      </c>
      <c r="O729">
        <v>37</v>
      </c>
      <c r="P729" t="s">
        <v>16</v>
      </c>
      <c r="Q729" t="s">
        <v>85</v>
      </c>
      <c r="R729" t="str" cm="1">
        <f t="array" ref="R729">_xlfn.IFS(B729&lt;31,"Young-Adult",B729&lt;41,"Adult",B729&lt;61,"Middle-aged",B729&gt;=61,"Senior")</f>
        <v>Senior</v>
      </c>
      <c r="S729" cm="1">
        <f t="array" ref="S729">_xlfn.IFS(Q729 ="Fortnightly",14,Q729="Weekly",7,Q729="Monthly",30,Q729="Quarterly",90,Q729="Bi-Weekly",14,Q729="Annually",365,Q729="Every 3 Months",90,TRUE,"NOT FOUND")</f>
        <v>90</v>
      </c>
    </row>
    <row r="730" spans="1:19" x14ac:dyDescent="0.35">
      <c r="A730">
        <v>729</v>
      </c>
      <c r="B730">
        <v>29</v>
      </c>
      <c r="C730" t="s">
        <v>7</v>
      </c>
      <c r="D730" t="s">
        <v>22</v>
      </c>
      <c r="E730" t="s">
        <v>9</v>
      </c>
      <c r="F730">
        <v>78</v>
      </c>
      <c r="G730" t="s">
        <v>133</v>
      </c>
      <c r="H730" t="s">
        <v>32</v>
      </c>
      <c r="I730" t="s">
        <v>57</v>
      </c>
      <c r="J730" t="s">
        <v>13</v>
      </c>
      <c r="K730">
        <v>3.7</v>
      </c>
      <c r="L730" t="s">
        <v>14</v>
      </c>
      <c r="M730" t="s">
        <v>33</v>
      </c>
      <c r="N730" t="s">
        <v>14</v>
      </c>
      <c r="O730">
        <v>12</v>
      </c>
      <c r="P730" t="s">
        <v>34</v>
      </c>
      <c r="Q730" t="s">
        <v>85</v>
      </c>
      <c r="R730" t="str" cm="1">
        <f t="array" ref="R730">_xlfn.IFS(B730&lt;31,"Young-Adult",B730&lt;41,"Adult",B730&lt;61,"Middle-aged",B730&gt;=61,"Senior")</f>
        <v>Young-Adult</v>
      </c>
      <c r="S730" cm="1">
        <f t="array" ref="S730">_xlfn.IFS(Q730 ="Fortnightly",14,Q730="Weekly",7,Q730="Monthly",30,Q730="Quarterly",90,Q730="Bi-Weekly",14,Q730="Annually",365,Q730="Every 3 Months",90,TRUE,"NOT FOUND")</f>
        <v>90</v>
      </c>
    </row>
    <row r="731" spans="1:19" x14ac:dyDescent="0.35">
      <c r="A731">
        <v>730</v>
      </c>
      <c r="B731">
        <v>41</v>
      </c>
      <c r="C731" t="s">
        <v>7</v>
      </c>
      <c r="D731" t="s">
        <v>77</v>
      </c>
      <c r="E731" t="s">
        <v>55</v>
      </c>
      <c r="F731">
        <v>56</v>
      </c>
      <c r="G731" t="s">
        <v>136</v>
      </c>
      <c r="H731" t="s">
        <v>11</v>
      </c>
      <c r="I731" t="s">
        <v>106</v>
      </c>
      <c r="J731" t="s">
        <v>41</v>
      </c>
      <c r="K731">
        <v>3.2</v>
      </c>
      <c r="L731" t="s">
        <v>14</v>
      </c>
      <c r="M731" t="s">
        <v>15</v>
      </c>
      <c r="N731" t="s">
        <v>14</v>
      </c>
      <c r="O731">
        <v>46</v>
      </c>
      <c r="P731" t="s">
        <v>34</v>
      </c>
      <c r="Q731" t="s">
        <v>85</v>
      </c>
      <c r="R731" t="str" cm="1">
        <f t="array" ref="R731">_xlfn.IFS(B731&lt;31,"Young-Adult",B731&lt;41,"Adult",B731&lt;61,"Middle-aged",B731&gt;=61,"Senior")</f>
        <v>Middle-aged</v>
      </c>
      <c r="S731" cm="1">
        <f t="array" ref="S731">_xlfn.IFS(Q731 ="Fortnightly",14,Q731="Weekly",7,Q731="Monthly",30,Q731="Quarterly",90,Q731="Bi-Weekly",14,Q731="Annually",365,Q731="Every 3 Months",90,TRUE,"NOT FOUND")</f>
        <v>90</v>
      </c>
    </row>
    <row r="732" spans="1:19" x14ac:dyDescent="0.35">
      <c r="A732">
        <v>731</v>
      </c>
      <c r="B732">
        <v>48</v>
      </c>
      <c r="C732" t="s">
        <v>7</v>
      </c>
      <c r="D732" t="s">
        <v>125</v>
      </c>
      <c r="E732" t="s">
        <v>30</v>
      </c>
      <c r="F732">
        <v>25</v>
      </c>
      <c r="G732" t="s">
        <v>23</v>
      </c>
      <c r="H732" t="s">
        <v>32</v>
      </c>
      <c r="I732" t="s">
        <v>114</v>
      </c>
      <c r="J732" t="s">
        <v>41</v>
      </c>
      <c r="K732">
        <v>3.9</v>
      </c>
      <c r="L732" t="s">
        <v>14</v>
      </c>
      <c r="M732" t="s">
        <v>42</v>
      </c>
      <c r="N732" t="s">
        <v>14</v>
      </c>
      <c r="O732">
        <v>28</v>
      </c>
      <c r="P732" t="s">
        <v>16</v>
      </c>
      <c r="Q732" t="s">
        <v>17</v>
      </c>
      <c r="R732" t="str" cm="1">
        <f t="array" ref="R732">_xlfn.IFS(B732&lt;31,"Young-Adult",B732&lt;41,"Adult",B732&lt;61,"Middle-aged",B732&gt;=61,"Senior")</f>
        <v>Middle-aged</v>
      </c>
      <c r="S732" cm="1">
        <f t="array" ref="S732">_xlfn.IFS(Q732 ="Fortnightly",14,Q732="Weekly",7,Q732="Monthly",30,Q732="Quarterly",90,Q732="Bi-Weekly",14,Q732="Annually",365,Q732="Every 3 Months",90,TRUE,"NOT FOUND")</f>
        <v>14</v>
      </c>
    </row>
    <row r="733" spans="1:19" x14ac:dyDescent="0.35">
      <c r="A733">
        <v>732</v>
      </c>
      <c r="B733">
        <v>43</v>
      </c>
      <c r="C733" t="s">
        <v>7</v>
      </c>
      <c r="D733" t="s">
        <v>50</v>
      </c>
      <c r="E733" t="s">
        <v>51</v>
      </c>
      <c r="F733">
        <v>28</v>
      </c>
      <c r="G733" t="s">
        <v>60</v>
      </c>
      <c r="H733" t="s">
        <v>32</v>
      </c>
      <c r="I733" t="s">
        <v>96</v>
      </c>
      <c r="J733" t="s">
        <v>25</v>
      </c>
      <c r="K733">
        <v>3.5</v>
      </c>
      <c r="L733" t="s">
        <v>14</v>
      </c>
      <c r="M733" t="s">
        <v>26</v>
      </c>
      <c r="N733" t="s">
        <v>14</v>
      </c>
      <c r="O733">
        <v>30</v>
      </c>
      <c r="P733" t="s">
        <v>34</v>
      </c>
      <c r="Q733" t="s">
        <v>17</v>
      </c>
      <c r="R733" t="str" cm="1">
        <f t="array" ref="R733">_xlfn.IFS(B733&lt;31,"Young-Adult",B733&lt;41,"Adult",B733&lt;61,"Middle-aged",B733&gt;=61,"Senior")</f>
        <v>Middle-aged</v>
      </c>
      <c r="S733" cm="1">
        <f t="array" ref="S733">_xlfn.IFS(Q733 ="Fortnightly",14,Q733="Weekly",7,Q733="Monthly",30,Q733="Quarterly",90,Q733="Bi-Weekly",14,Q733="Annually",365,Q733="Every 3 Months",90,TRUE,"NOT FOUND")</f>
        <v>14</v>
      </c>
    </row>
    <row r="734" spans="1:19" x14ac:dyDescent="0.35">
      <c r="A734">
        <v>733</v>
      </c>
      <c r="B734">
        <v>34</v>
      </c>
      <c r="C734" t="s">
        <v>7</v>
      </c>
      <c r="D734" t="s">
        <v>43</v>
      </c>
      <c r="E734" t="s">
        <v>9</v>
      </c>
      <c r="F734">
        <v>57</v>
      </c>
      <c r="G734" t="s">
        <v>70</v>
      </c>
      <c r="H734" t="s">
        <v>11</v>
      </c>
      <c r="I734" t="s">
        <v>132</v>
      </c>
      <c r="J734" t="s">
        <v>25</v>
      </c>
      <c r="K734">
        <v>2.8</v>
      </c>
      <c r="L734" t="s">
        <v>14</v>
      </c>
      <c r="M734" t="s">
        <v>15</v>
      </c>
      <c r="N734" t="s">
        <v>14</v>
      </c>
      <c r="O734">
        <v>28</v>
      </c>
      <c r="P734" t="s">
        <v>21</v>
      </c>
      <c r="Q734" t="s">
        <v>64</v>
      </c>
      <c r="R734" t="str" cm="1">
        <f t="array" ref="R734">_xlfn.IFS(B734&lt;31,"Young-Adult",B734&lt;41,"Adult",B734&lt;61,"Middle-aged",B734&gt;=61,"Senior")</f>
        <v>Adult</v>
      </c>
      <c r="S734" cm="1">
        <f t="array" ref="S734">_xlfn.IFS(Q734 ="Fortnightly",14,Q734="Weekly",7,Q734="Monthly",30,Q734="Quarterly",90,Q734="Bi-Weekly",14,Q734="Annually",365,Q734="Every 3 Months",90,TRUE,"NOT FOUND")</f>
        <v>14</v>
      </c>
    </row>
    <row r="735" spans="1:19" x14ac:dyDescent="0.35">
      <c r="A735">
        <v>734</v>
      </c>
      <c r="B735">
        <v>45</v>
      </c>
      <c r="C735" t="s">
        <v>7</v>
      </c>
      <c r="D735" t="s">
        <v>69</v>
      </c>
      <c r="E735" t="s">
        <v>9</v>
      </c>
      <c r="F735">
        <v>36</v>
      </c>
      <c r="G735" t="s">
        <v>31</v>
      </c>
      <c r="H735" t="s">
        <v>11</v>
      </c>
      <c r="I735" t="s">
        <v>97</v>
      </c>
      <c r="J735" t="s">
        <v>45</v>
      </c>
      <c r="K735">
        <v>2.7</v>
      </c>
      <c r="L735" t="s">
        <v>14</v>
      </c>
      <c r="M735" t="s">
        <v>58</v>
      </c>
      <c r="N735" t="s">
        <v>14</v>
      </c>
      <c r="O735">
        <v>20</v>
      </c>
      <c r="P735" t="s">
        <v>74</v>
      </c>
      <c r="Q735" t="s">
        <v>64</v>
      </c>
      <c r="R735" t="str" cm="1">
        <f t="array" ref="R735">_xlfn.IFS(B735&lt;31,"Young-Adult",B735&lt;41,"Adult",B735&lt;61,"Middle-aged",B735&gt;=61,"Senior")</f>
        <v>Middle-aged</v>
      </c>
      <c r="S735" cm="1">
        <f t="array" ref="S735">_xlfn.IFS(Q735 ="Fortnightly",14,Q735="Weekly",7,Q735="Monthly",30,Q735="Quarterly",90,Q735="Bi-Weekly",14,Q735="Annually",365,Q735="Every 3 Months",90,TRUE,"NOT FOUND")</f>
        <v>14</v>
      </c>
    </row>
    <row r="736" spans="1:19" x14ac:dyDescent="0.35">
      <c r="A736">
        <v>735</v>
      </c>
      <c r="B736">
        <v>65</v>
      </c>
      <c r="C736" t="s">
        <v>7</v>
      </c>
      <c r="D736" t="s">
        <v>43</v>
      </c>
      <c r="E736" t="s">
        <v>9</v>
      </c>
      <c r="F736">
        <v>69</v>
      </c>
      <c r="G736" t="s">
        <v>115</v>
      </c>
      <c r="H736" t="s">
        <v>24</v>
      </c>
      <c r="I736" t="s">
        <v>71</v>
      </c>
      <c r="J736" t="s">
        <v>13</v>
      </c>
      <c r="K736">
        <v>3.1</v>
      </c>
      <c r="L736" t="s">
        <v>14</v>
      </c>
      <c r="M736" t="s">
        <v>15</v>
      </c>
      <c r="N736" t="s">
        <v>14</v>
      </c>
      <c r="O736">
        <v>39</v>
      </c>
      <c r="P736" t="s">
        <v>63</v>
      </c>
      <c r="Q736" t="s">
        <v>85</v>
      </c>
      <c r="R736" t="str" cm="1">
        <f t="array" ref="R736">_xlfn.IFS(B736&lt;31,"Young-Adult",B736&lt;41,"Adult",B736&lt;61,"Middle-aged",B736&gt;=61,"Senior")</f>
        <v>Senior</v>
      </c>
      <c r="S736" cm="1">
        <f t="array" ref="S736">_xlfn.IFS(Q736 ="Fortnightly",14,Q736="Weekly",7,Q736="Monthly",30,Q736="Quarterly",90,Q736="Bi-Weekly",14,Q736="Annually",365,Q736="Every 3 Months",90,TRUE,"NOT FOUND")</f>
        <v>90</v>
      </c>
    </row>
    <row r="737" spans="1:19" x14ac:dyDescent="0.35">
      <c r="A737">
        <v>736</v>
      </c>
      <c r="B737">
        <v>61</v>
      </c>
      <c r="C737" t="s">
        <v>7</v>
      </c>
      <c r="D737" t="s">
        <v>77</v>
      </c>
      <c r="E737" t="s">
        <v>55</v>
      </c>
      <c r="F737">
        <v>48</v>
      </c>
      <c r="G737" t="s">
        <v>44</v>
      </c>
      <c r="H737" t="s">
        <v>32</v>
      </c>
      <c r="I737" t="s">
        <v>109</v>
      </c>
      <c r="J737" t="s">
        <v>45</v>
      </c>
      <c r="K737">
        <v>3.6</v>
      </c>
      <c r="L737" t="s">
        <v>14</v>
      </c>
      <c r="M737" t="s">
        <v>58</v>
      </c>
      <c r="N737" t="s">
        <v>14</v>
      </c>
      <c r="O737">
        <v>48</v>
      </c>
      <c r="P737" t="s">
        <v>21</v>
      </c>
      <c r="Q737" t="s">
        <v>64</v>
      </c>
      <c r="R737" t="str" cm="1">
        <f t="array" ref="R737">_xlfn.IFS(B737&lt;31,"Young-Adult",B737&lt;41,"Adult",B737&lt;61,"Middle-aged",B737&gt;=61,"Senior")</f>
        <v>Senior</v>
      </c>
      <c r="S737" cm="1">
        <f t="array" ref="S737">_xlfn.IFS(Q737 ="Fortnightly",14,Q737="Weekly",7,Q737="Monthly",30,Q737="Quarterly",90,Q737="Bi-Weekly",14,Q737="Annually",365,Q737="Every 3 Months",90,TRUE,"NOT FOUND")</f>
        <v>14</v>
      </c>
    </row>
    <row r="738" spans="1:19" x14ac:dyDescent="0.35">
      <c r="A738">
        <v>737</v>
      </c>
      <c r="B738">
        <v>18</v>
      </c>
      <c r="C738" t="s">
        <v>7</v>
      </c>
      <c r="D738" t="s">
        <v>69</v>
      </c>
      <c r="E738" t="s">
        <v>9</v>
      </c>
      <c r="F738">
        <v>58</v>
      </c>
      <c r="G738" t="s">
        <v>100</v>
      </c>
      <c r="H738" t="s">
        <v>11</v>
      </c>
      <c r="I738" t="s">
        <v>20</v>
      </c>
      <c r="J738" t="s">
        <v>25</v>
      </c>
      <c r="K738">
        <v>2.9</v>
      </c>
      <c r="L738" t="s">
        <v>14</v>
      </c>
      <c r="M738" t="s">
        <v>58</v>
      </c>
      <c r="N738" t="s">
        <v>14</v>
      </c>
      <c r="O738">
        <v>32</v>
      </c>
      <c r="P738" t="s">
        <v>27</v>
      </c>
      <c r="Q738" t="s">
        <v>85</v>
      </c>
      <c r="R738" t="str" cm="1">
        <f t="array" ref="R738">_xlfn.IFS(B738&lt;31,"Young-Adult",B738&lt;41,"Adult",B738&lt;61,"Middle-aged",B738&gt;=61,"Senior")</f>
        <v>Young-Adult</v>
      </c>
      <c r="S738" cm="1">
        <f t="array" ref="S738">_xlfn.IFS(Q738 ="Fortnightly",14,Q738="Weekly",7,Q738="Monthly",30,Q738="Quarterly",90,Q738="Bi-Weekly",14,Q738="Annually",365,Q738="Every 3 Months",90,TRUE,"NOT FOUND")</f>
        <v>90</v>
      </c>
    </row>
    <row r="739" spans="1:19" x14ac:dyDescent="0.35">
      <c r="A739">
        <v>738</v>
      </c>
      <c r="B739">
        <v>47</v>
      </c>
      <c r="C739" t="s">
        <v>7</v>
      </c>
      <c r="D739" t="s">
        <v>77</v>
      </c>
      <c r="E739" t="s">
        <v>55</v>
      </c>
      <c r="F739">
        <v>24</v>
      </c>
      <c r="G739" t="s">
        <v>133</v>
      </c>
      <c r="H739" t="s">
        <v>32</v>
      </c>
      <c r="I739" t="s">
        <v>73</v>
      </c>
      <c r="J739" t="s">
        <v>25</v>
      </c>
      <c r="K739">
        <v>3.6</v>
      </c>
      <c r="L739" t="s">
        <v>14</v>
      </c>
      <c r="M739" t="s">
        <v>62</v>
      </c>
      <c r="N739" t="s">
        <v>14</v>
      </c>
      <c r="O739">
        <v>28</v>
      </c>
      <c r="P739" t="s">
        <v>34</v>
      </c>
      <c r="Q739" t="s">
        <v>37</v>
      </c>
      <c r="R739" t="str" cm="1">
        <f t="array" ref="R739">_xlfn.IFS(B739&lt;31,"Young-Adult",B739&lt;41,"Adult",B739&lt;61,"Middle-aged",B739&gt;=61,"Senior")</f>
        <v>Middle-aged</v>
      </c>
      <c r="S739" cm="1">
        <f t="array" ref="S739">_xlfn.IFS(Q739 ="Fortnightly",14,Q739="Weekly",7,Q739="Monthly",30,Q739="Quarterly",90,Q739="Bi-Weekly",14,Q739="Annually",365,Q739="Every 3 Months",90,TRUE,"NOT FOUND")</f>
        <v>365</v>
      </c>
    </row>
    <row r="740" spans="1:19" x14ac:dyDescent="0.35">
      <c r="A740">
        <v>739</v>
      </c>
      <c r="B740">
        <v>56</v>
      </c>
      <c r="C740" t="s">
        <v>7</v>
      </c>
      <c r="D740" t="s">
        <v>77</v>
      </c>
      <c r="E740" t="s">
        <v>55</v>
      </c>
      <c r="F740">
        <v>31</v>
      </c>
      <c r="G740" t="s">
        <v>136</v>
      </c>
      <c r="H740" t="s">
        <v>11</v>
      </c>
      <c r="I740" t="s">
        <v>109</v>
      </c>
      <c r="J740" t="s">
        <v>13</v>
      </c>
      <c r="K740">
        <v>3.5</v>
      </c>
      <c r="L740" t="s">
        <v>14</v>
      </c>
      <c r="M740" t="s">
        <v>58</v>
      </c>
      <c r="N740" t="s">
        <v>14</v>
      </c>
      <c r="O740">
        <v>27</v>
      </c>
      <c r="P740" t="s">
        <v>16</v>
      </c>
      <c r="Q740" t="s">
        <v>46</v>
      </c>
      <c r="R740" t="str" cm="1">
        <f t="array" ref="R740">_xlfn.IFS(B740&lt;31,"Young-Adult",B740&lt;41,"Adult",B740&lt;61,"Middle-aged",B740&gt;=61,"Senior")</f>
        <v>Middle-aged</v>
      </c>
      <c r="S740" cm="1">
        <f t="array" ref="S740">_xlfn.IFS(Q740 ="Fortnightly",14,Q740="Weekly",7,Q740="Monthly",30,Q740="Quarterly",90,Q740="Bi-Weekly",14,Q740="Annually",365,Q740="Every 3 Months",90,TRUE,"NOT FOUND")</f>
        <v>90</v>
      </c>
    </row>
    <row r="741" spans="1:19" x14ac:dyDescent="0.35">
      <c r="A741">
        <v>740</v>
      </c>
      <c r="B741">
        <v>64</v>
      </c>
      <c r="C741" t="s">
        <v>7</v>
      </c>
      <c r="D741" t="s">
        <v>47</v>
      </c>
      <c r="E741" t="s">
        <v>9</v>
      </c>
      <c r="F741">
        <v>29</v>
      </c>
      <c r="G741" t="s">
        <v>136</v>
      </c>
      <c r="H741" t="s">
        <v>24</v>
      </c>
      <c r="I741" t="s">
        <v>61</v>
      </c>
      <c r="J741" t="s">
        <v>41</v>
      </c>
      <c r="K741">
        <v>3.5</v>
      </c>
      <c r="L741" t="s">
        <v>14</v>
      </c>
      <c r="M741" t="s">
        <v>26</v>
      </c>
      <c r="N741" t="s">
        <v>14</v>
      </c>
      <c r="O741">
        <v>26</v>
      </c>
      <c r="P741" t="s">
        <v>16</v>
      </c>
      <c r="Q741" t="s">
        <v>64</v>
      </c>
      <c r="R741" t="str" cm="1">
        <f t="array" ref="R741">_xlfn.IFS(B741&lt;31,"Young-Adult",B741&lt;41,"Adult",B741&lt;61,"Middle-aged",B741&gt;=61,"Senior")</f>
        <v>Senior</v>
      </c>
      <c r="S741" cm="1">
        <f t="array" ref="S741">_xlfn.IFS(Q741 ="Fortnightly",14,Q741="Weekly",7,Q741="Monthly",30,Q741="Quarterly",90,Q741="Bi-Weekly",14,Q741="Annually",365,Q741="Every 3 Months",90,TRUE,"NOT FOUND")</f>
        <v>14</v>
      </c>
    </row>
    <row r="742" spans="1:19" x14ac:dyDescent="0.35">
      <c r="A742">
        <v>741</v>
      </c>
      <c r="B742">
        <v>26</v>
      </c>
      <c r="C742" t="s">
        <v>7</v>
      </c>
      <c r="D742" t="s">
        <v>22</v>
      </c>
      <c r="E742" t="s">
        <v>9</v>
      </c>
      <c r="F742">
        <v>69</v>
      </c>
      <c r="G742" t="s">
        <v>135</v>
      </c>
      <c r="H742" t="s">
        <v>32</v>
      </c>
      <c r="I742" t="s">
        <v>109</v>
      </c>
      <c r="J742" t="s">
        <v>41</v>
      </c>
      <c r="K742">
        <v>2.8</v>
      </c>
      <c r="L742" t="s">
        <v>14</v>
      </c>
      <c r="M742" t="s">
        <v>33</v>
      </c>
      <c r="N742" t="s">
        <v>14</v>
      </c>
      <c r="O742">
        <v>22</v>
      </c>
      <c r="P742" t="s">
        <v>27</v>
      </c>
      <c r="Q742" t="s">
        <v>17</v>
      </c>
      <c r="R742" t="str" cm="1">
        <f t="array" ref="R742">_xlfn.IFS(B742&lt;31,"Young-Adult",B742&lt;41,"Adult",B742&lt;61,"Middle-aged",B742&gt;=61,"Senior")</f>
        <v>Young-Adult</v>
      </c>
      <c r="S742" cm="1">
        <f t="array" ref="S742">_xlfn.IFS(Q742 ="Fortnightly",14,Q742="Weekly",7,Q742="Monthly",30,Q742="Quarterly",90,Q742="Bi-Weekly",14,Q742="Annually",365,Q742="Every 3 Months",90,TRUE,"NOT FOUND")</f>
        <v>14</v>
      </c>
    </row>
    <row r="743" spans="1:19" x14ac:dyDescent="0.35">
      <c r="A743">
        <v>742</v>
      </c>
      <c r="B743">
        <v>22</v>
      </c>
      <c r="C743" t="s">
        <v>7</v>
      </c>
      <c r="D743" t="s">
        <v>101</v>
      </c>
      <c r="E743" t="s">
        <v>9</v>
      </c>
      <c r="F743">
        <v>79</v>
      </c>
      <c r="G743" t="s">
        <v>52</v>
      </c>
      <c r="H743" t="s">
        <v>80</v>
      </c>
      <c r="I743" t="s">
        <v>122</v>
      </c>
      <c r="J743" t="s">
        <v>41</v>
      </c>
      <c r="K743">
        <v>4.7</v>
      </c>
      <c r="L743" t="s">
        <v>14</v>
      </c>
      <c r="M743" t="s">
        <v>26</v>
      </c>
      <c r="N743" t="s">
        <v>14</v>
      </c>
      <c r="O743">
        <v>23</v>
      </c>
      <c r="P743" t="s">
        <v>63</v>
      </c>
      <c r="Q743" t="s">
        <v>85</v>
      </c>
      <c r="R743" t="str" cm="1">
        <f t="array" ref="R743">_xlfn.IFS(B743&lt;31,"Young-Adult",B743&lt;41,"Adult",B743&lt;61,"Middle-aged",B743&gt;=61,"Senior")</f>
        <v>Young-Adult</v>
      </c>
      <c r="S743" cm="1">
        <f t="array" ref="S743">_xlfn.IFS(Q743 ="Fortnightly",14,Q743="Weekly",7,Q743="Monthly",30,Q743="Quarterly",90,Q743="Bi-Weekly",14,Q743="Annually",365,Q743="Every 3 Months",90,TRUE,"NOT FOUND")</f>
        <v>90</v>
      </c>
    </row>
    <row r="744" spans="1:19" x14ac:dyDescent="0.35">
      <c r="A744">
        <v>743</v>
      </c>
      <c r="B744">
        <v>64</v>
      </c>
      <c r="C744" t="s">
        <v>7</v>
      </c>
      <c r="D744" t="s">
        <v>83</v>
      </c>
      <c r="E744" t="s">
        <v>9</v>
      </c>
      <c r="F744">
        <v>39</v>
      </c>
      <c r="G744" t="s">
        <v>95</v>
      </c>
      <c r="H744" t="s">
        <v>32</v>
      </c>
      <c r="I744" t="s">
        <v>49</v>
      </c>
      <c r="J744" t="s">
        <v>41</v>
      </c>
      <c r="K744">
        <v>3.1</v>
      </c>
      <c r="L744" t="s">
        <v>14</v>
      </c>
      <c r="M744" t="s">
        <v>15</v>
      </c>
      <c r="N744" t="s">
        <v>14</v>
      </c>
      <c r="O744">
        <v>21</v>
      </c>
      <c r="P744" t="s">
        <v>74</v>
      </c>
      <c r="Q744" t="s">
        <v>46</v>
      </c>
      <c r="R744" t="str" cm="1">
        <f t="array" ref="R744">_xlfn.IFS(B744&lt;31,"Young-Adult",B744&lt;41,"Adult",B744&lt;61,"Middle-aged",B744&gt;=61,"Senior")</f>
        <v>Senior</v>
      </c>
      <c r="S744" cm="1">
        <f t="array" ref="S744">_xlfn.IFS(Q744 ="Fortnightly",14,Q744="Weekly",7,Q744="Monthly",30,Q744="Quarterly",90,Q744="Bi-Weekly",14,Q744="Annually",365,Q744="Every 3 Months",90,TRUE,"NOT FOUND")</f>
        <v>90</v>
      </c>
    </row>
    <row r="745" spans="1:19" x14ac:dyDescent="0.35">
      <c r="A745">
        <v>744</v>
      </c>
      <c r="B745">
        <v>21</v>
      </c>
      <c r="C745" t="s">
        <v>7</v>
      </c>
      <c r="D745" t="s">
        <v>77</v>
      </c>
      <c r="E745" t="s">
        <v>55</v>
      </c>
      <c r="F745">
        <v>84</v>
      </c>
      <c r="G745" t="s">
        <v>86</v>
      </c>
      <c r="H745" t="s">
        <v>11</v>
      </c>
      <c r="I745" t="s">
        <v>12</v>
      </c>
      <c r="J745" t="s">
        <v>45</v>
      </c>
      <c r="K745">
        <v>4.9000000000000004</v>
      </c>
      <c r="L745" t="s">
        <v>14</v>
      </c>
      <c r="M745" t="s">
        <v>26</v>
      </c>
      <c r="N745" t="s">
        <v>14</v>
      </c>
      <c r="O745">
        <v>36</v>
      </c>
      <c r="P745" t="s">
        <v>21</v>
      </c>
      <c r="Q745" t="s">
        <v>28</v>
      </c>
      <c r="R745" t="str" cm="1">
        <f t="array" ref="R745">_xlfn.IFS(B745&lt;31,"Young-Adult",B745&lt;41,"Adult",B745&lt;61,"Middle-aged",B745&gt;=61,"Senior")</f>
        <v>Young-Adult</v>
      </c>
      <c r="S745" cm="1">
        <f t="array" ref="S745">_xlfn.IFS(Q745 ="Fortnightly",14,Q745="Weekly",7,Q745="Monthly",30,Q745="Quarterly",90,Q745="Bi-Weekly",14,Q745="Annually",365,Q745="Every 3 Months",90,TRUE,"NOT FOUND")</f>
        <v>7</v>
      </c>
    </row>
    <row r="746" spans="1:19" x14ac:dyDescent="0.35">
      <c r="A746">
        <v>745</v>
      </c>
      <c r="B746">
        <v>67</v>
      </c>
      <c r="C746" t="s">
        <v>7</v>
      </c>
      <c r="D746" t="s">
        <v>125</v>
      </c>
      <c r="E746" t="s">
        <v>30</v>
      </c>
      <c r="F746">
        <v>66</v>
      </c>
      <c r="G746" t="s">
        <v>103</v>
      </c>
      <c r="H746" t="s">
        <v>24</v>
      </c>
      <c r="I746" t="s">
        <v>49</v>
      </c>
      <c r="J746" t="s">
        <v>25</v>
      </c>
      <c r="K746">
        <v>4.0999999999999996</v>
      </c>
      <c r="L746" t="s">
        <v>14</v>
      </c>
      <c r="M746" t="s">
        <v>33</v>
      </c>
      <c r="N746" t="s">
        <v>14</v>
      </c>
      <c r="O746">
        <v>42</v>
      </c>
      <c r="P746" t="s">
        <v>74</v>
      </c>
      <c r="Q746" t="s">
        <v>64</v>
      </c>
      <c r="R746" t="str" cm="1">
        <f t="array" ref="R746">_xlfn.IFS(B746&lt;31,"Young-Adult",B746&lt;41,"Adult",B746&lt;61,"Middle-aged",B746&gt;=61,"Senior")</f>
        <v>Senior</v>
      </c>
      <c r="S746" cm="1">
        <f t="array" ref="S746">_xlfn.IFS(Q746 ="Fortnightly",14,Q746="Weekly",7,Q746="Monthly",30,Q746="Quarterly",90,Q746="Bi-Weekly",14,Q746="Annually",365,Q746="Every 3 Months",90,TRUE,"NOT FOUND")</f>
        <v>14</v>
      </c>
    </row>
    <row r="747" spans="1:19" x14ac:dyDescent="0.35">
      <c r="A747">
        <v>746</v>
      </c>
      <c r="B747">
        <v>46</v>
      </c>
      <c r="C747" t="s">
        <v>7</v>
      </c>
      <c r="D747" t="s">
        <v>101</v>
      </c>
      <c r="E747" t="s">
        <v>9</v>
      </c>
      <c r="F747">
        <v>92</v>
      </c>
      <c r="G747" t="s">
        <v>139</v>
      </c>
      <c r="H747" t="s">
        <v>11</v>
      </c>
      <c r="I747" t="s">
        <v>109</v>
      </c>
      <c r="J747" t="s">
        <v>45</v>
      </c>
      <c r="K747">
        <v>4.7</v>
      </c>
      <c r="L747" t="s">
        <v>14</v>
      </c>
      <c r="M747" t="s">
        <v>42</v>
      </c>
      <c r="N747" t="s">
        <v>14</v>
      </c>
      <c r="O747">
        <v>4</v>
      </c>
      <c r="P747" t="s">
        <v>16</v>
      </c>
      <c r="Q747" t="s">
        <v>76</v>
      </c>
      <c r="R747" t="str" cm="1">
        <f t="array" ref="R747">_xlfn.IFS(B747&lt;31,"Young-Adult",B747&lt;41,"Adult",B747&lt;61,"Middle-aged",B747&gt;=61,"Senior")</f>
        <v>Middle-aged</v>
      </c>
      <c r="S747" cm="1">
        <f t="array" ref="S747">_xlfn.IFS(Q747 ="Fortnightly",14,Q747="Weekly",7,Q747="Monthly",30,Q747="Quarterly",90,Q747="Bi-Weekly",14,Q747="Annually",365,Q747="Every 3 Months",90,TRUE,"NOT FOUND")</f>
        <v>30</v>
      </c>
    </row>
    <row r="748" spans="1:19" x14ac:dyDescent="0.35">
      <c r="A748">
        <v>747</v>
      </c>
      <c r="B748">
        <v>40</v>
      </c>
      <c r="C748" t="s">
        <v>7</v>
      </c>
      <c r="D748" t="s">
        <v>29</v>
      </c>
      <c r="E748" t="s">
        <v>30</v>
      </c>
      <c r="F748">
        <v>45</v>
      </c>
      <c r="G748" t="s">
        <v>139</v>
      </c>
      <c r="H748" t="s">
        <v>32</v>
      </c>
      <c r="I748" t="s">
        <v>96</v>
      </c>
      <c r="J748" t="s">
        <v>13</v>
      </c>
      <c r="K748">
        <v>2.5</v>
      </c>
      <c r="L748" t="s">
        <v>14</v>
      </c>
      <c r="M748" t="s">
        <v>26</v>
      </c>
      <c r="N748" t="s">
        <v>14</v>
      </c>
      <c r="O748">
        <v>47</v>
      </c>
      <c r="P748" t="s">
        <v>27</v>
      </c>
      <c r="Q748" t="s">
        <v>37</v>
      </c>
      <c r="R748" t="str" cm="1">
        <f t="array" ref="R748">_xlfn.IFS(B748&lt;31,"Young-Adult",B748&lt;41,"Adult",B748&lt;61,"Middle-aged",B748&gt;=61,"Senior")</f>
        <v>Adult</v>
      </c>
      <c r="S748" cm="1">
        <f t="array" ref="S748">_xlfn.IFS(Q748 ="Fortnightly",14,Q748="Weekly",7,Q748="Monthly",30,Q748="Quarterly",90,Q748="Bi-Weekly",14,Q748="Annually",365,Q748="Every 3 Months",90,TRUE,"NOT FOUND")</f>
        <v>365</v>
      </c>
    </row>
    <row r="749" spans="1:19" x14ac:dyDescent="0.35">
      <c r="A749">
        <v>748</v>
      </c>
      <c r="B749">
        <v>51</v>
      </c>
      <c r="C749" t="s">
        <v>7</v>
      </c>
      <c r="D749" t="s">
        <v>47</v>
      </c>
      <c r="E749" t="s">
        <v>9</v>
      </c>
      <c r="F749">
        <v>74</v>
      </c>
      <c r="G749" t="s">
        <v>89</v>
      </c>
      <c r="H749" t="s">
        <v>11</v>
      </c>
      <c r="I749" t="s">
        <v>68</v>
      </c>
      <c r="J749" t="s">
        <v>25</v>
      </c>
      <c r="K749">
        <v>4.4000000000000004</v>
      </c>
      <c r="L749" t="s">
        <v>14</v>
      </c>
      <c r="M749" t="s">
        <v>33</v>
      </c>
      <c r="N749" t="s">
        <v>14</v>
      </c>
      <c r="O749">
        <v>13</v>
      </c>
      <c r="P749" t="s">
        <v>63</v>
      </c>
      <c r="Q749" t="s">
        <v>28</v>
      </c>
      <c r="R749" t="str" cm="1">
        <f t="array" ref="R749">_xlfn.IFS(B749&lt;31,"Young-Adult",B749&lt;41,"Adult",B749&lt;61,"Middle-aged",B749&gt;=61,"Senior")</f>
        <v>Middle-aged</v>
      </c>
      <c r="S749" cm="1">
        <f t="array" ref="S749">_xlfn.IFS(Q749 ="Fortnightly",14,Q749="Weekly",7,Q749="Monthly",30,Q749="Quarterly",90,Q749="Bi-Weekly",14,Q749="Annually",365,Q749="Every 3 Months",90,TRUE,"NOT FOUND")</f>
        <v>7</v>
      </c>
    </row>
    <row r="750" spans="1:19" x14ac:dyDescent="0.35">
      <c r="A750">
        <v>749</v>
      </c>
      <c r="B750">
        <v>35</v>
      </c>
      <c r="C750" t="s">
        <v>7</v>
      </c>
      <c r="D750" t="s">
        <v>112</v>
      </c>
      <c r="E750" t="s">
        <v>55</v>
      </c>
      <c r="F750">
        <v>39</v>
      </c>
      <c r="G750" t="s">
        <v>135</v>
      </c>
      <c r="H750" t="s">
        <v>11</v>
      </c>
      <c r="I750" t="s">
        <v>98</v>
      </c>
      <c r="J750" t="s">
        <v>45</v>
      </c>
      <c r="K750">
        <v>3.9</v>
      </c>
      <c r="L750" t="s">
        <v>14</v>
      </c>
      <c r="M750" t="s">
        <v>26</v>
      </c>
      <c r="N750" t="s">
        <v>14</v>
      </c>
      <c r="O750">
        <v>8</v>
      </c>
      <c r="P750" t="s">
        <v>63</v>
      </c>
      <c r="Q750" t="s">
        <v>46</v>
      </c>
      <c r="R750" t="str" cm="1">
        <f t="array" ref="R750">_xlfn.IFS(B750&lt;31,"Young-Adult",B750&lt;41,"Adult",B750&lt;61,"Middle-aged",B750&gt;=61,"Senior")</f>
        <v>Adult</v>
      </c>
      <c r="S750" cm="1">
        <f t="array" ref="S750">_xlfn.IFS(Q750 ="Fortnightly",14,Q750="Weekly",7,Q750="Monthly",30,Q750="Quarterly",90,Q750="Bi-Weekly",14,Q750="Annually",365,Q750="Every 3 Months",90,TRUE,"NOT FOUND")</f>
        <v>90</v>
      </c>
    </row>
    <row r="751" spans="1:19" x14ac:dyDescent="0.35">
      <c r="A751">
        <v>750</v>
      </c>
      <c r="B751">
        <v>56</v>
      </c>
      <c r="C751" t="s">
        <v>7</v>
      </c>
      <c r="D751" t="s">
        <v>107</v>
      </c>
      <c r="E751" t="s">
        <v>55</v>
      </c>
      <c r="F751">
        <v>71</v>
      </c>
      <c r="G751" t="s">
        <v>89</v>
      </c>
      <c r="H751" t="s">
        <v>32</v>
      </c>
      <c r="I751" t="s">
        <v>66</v>
      </c>
      <c r="J751" t="s">
        <v>13</v>
      </c>
      <c r="K751">
        <v>3.7</v>
      </c>
      <c r="L751" t="s">
        <v>14</v>
      </c>
      <c r="M751" t="s">
        <v>42</v>
      </c>
      <c r="N751" t="s">
        <v>14</v>
      </c>
      <c r="O751">
        <v>11</v>
      </c>
      <c r="P751" t="s">
        <v>74</v>
      </c>
      <c r="Q751" t="s">
        <v>46</v>
      </c>
      <c r="R751" t="str" cm="1">
        <f t="array" ref="R751">_xlfn.IFS(B751&lt;31,"Young-Adult",B751&lt;41,"Adult",B751&lt;61,"Middle-aged",B751&gt;=61,"Senior")</f>
        <v>Middle-aged</v>
      </c>
      <c r="S751" cm="1">
        <f t="array" ref="S751">_xlfn.IFS(Q751 ="Fortnightly",14,Q751="Weekly",7,Q751="Monthly",30,Q751="Quarterly",90,Q751="Bi-Weekly",14,Q751="Annually",365,Q751="Every 3 Months",90,TRUE,"NOT FOUND")</f>
        <v>90</v>
      </c>
    </row>
    <row r="752" spans="1:19" x14ac:dyDescent="0.35">
      <c r="A752">
        <v>751</v>
      </c>
      <c r="B752">
        <v>25</v>
      </c>
      <c r="C752" t="s">
        <v>7</v>
      </c>
      <c r="D752" t="s">
        <v>101</v>
      </c>
      <c r="E752" t="s">
        <v>9</v>
      </c>
      <c r="F752">
        <v>95</v>
      </c>
      <c r="G752" t="s">
        <v>116</v>
      </c>
      <c r="H752" t="s">
        <v>11</v>
      </c>
      <c r="I752" t="s">
        <v>71</v>
      </c>
      <c r="J752" t="s">
        <v>45</v>
      </c>
      <c r="K752">
        <v>3.4</v>
      </c>
      <c r="L752" t="s">
        <v>14</v>
      </c>
      <c r="M752" t="s">
        <v>26</v>
      </c>
      <c r="N752" t="s">
        <v>14</v>
      </c>
      <c r="O752">
        <v>5</v>
      </c>
      <c r="P752" t="s">
        <v>16</v>
      </c>
      <c r="Q752" t="s">
        <v>37</v>
      </c>
      <c r="R752" t="str" cm="1">
        <f t="array" ref="R752">_xlfn.IFS(B752&lt;31,"Young-Adult",B752&lt;41,"Adult",B752&lt;61,"Middle-aged",B752&gt;=61,"Senior")</f>
        <v>Young-Adult</v>
      </c>
      <c r="S752" cm="1">
        <f t="array" ref="S752">_xlfn.IFS(Q752 ="Fortnightly",14,Q752="Weekly",7,Q752="Monthly",30,Q752="Quarterly",90,Q752="Bi-Weekly",14,Q752="Annually",365,Q752="Every 3 Months",90,TRUE,"NOT FOUND")</f>
        <v>365</v>
      </c>
    </row>
    <row r="753" spans="1:19" x14ac:dyDescent="0.35">
      <c r="A753">
        <v>752</v>
      </c>
      <c r="B753">
        <v>65</v>
      </c>
      <c r="C753" t="s">
        <v>7</v>
      </c>
      <c r="D753" t="s">
        <v>131</v>
      </c>
      <c r="E753" t="s">
        <v>55</v>
      </c>
      <c r="F753">
        <v>72</v>
      </c>
      <c r="G753" t="s">
        <v>111</v>
      </c>
      <c r="H753" t="s">
        <v>11</v>
      </c>
      <c r="I753" t="s">
        <v>114</v>
      </c>
      <c r="J753" t="s">
        <v>45</v>
      </c>
      <c r="K753">
        <v>4.8</v>
      </c>
      <c r="L753" t="s">
        <v>14</v>
      </c>
      <c r="M753" t="s">
        <v>26</v>
      </c>
      <c r="N753" t="s">
        <v>14</v>
      </c>
      <c r="O753">
        <v>1</v>
      </c>
      <c r="P753" t="s">
        <v>27</v>
      </c>
      <c r="Q753" t="s">
        <v>76</v>
      </c>
      <c r="R753" t="str" cm="1">
        <f t="array" ref="R753">_xlfn.IFS(B753&lt;31,"Young-Adult",B753&lt;41,"Adult",B753&lt;61,"Middle-aged",B753&gt;=61,"Senior")</f>
        <v>Senior</v>
      </c>
      <c r="S753" cm="1">
        <f t="array" ref="S753">_xlfn.IFS(Q753 ="Fortnightly",14,Q753="Weekly",7,Q753="Monthly",30,Q753="Quarterly",90,Q753="Bi-Weekly",14,Q753="Annually",365,Q753="Every 3 Months",90,TRUE,"NOT FOUND")</f>
        <v>30</v>
      </c>
    </row>
    <row r="754" spans="1:19" x14ac:dyDescent="0.35">
      <c r="A754">
        <v>753</v>
      </c>
      <c r="B754">
        <v>39</v>
      </c>
      <c r="C754" t="s">
        <v>7</v>
      </c>
      <c r="D754" t="s">
        <v>107</v>
      </c>
      <c r="E754" t="s">
        <v>55</v>
      </c>
      <c r="F754">
        <v>85</v>
      </c>
      <c r="G754" t="s">
        <v>111</v>
      </c>
      <c r="H754" t="s">
        <v>11</v>
      </c>
      <c r="I754" t="s">
        <v>122</v>
      </c>
      <c r="J754" t="s">
        <v>45</v>
      </c>
      <c r="K754">
        <v>4.2</v>
      </c>
      <c r="L754" t="s">
        <v>14</v>
      </c>
      <c r="M754" t="s">
        <v>58</v>
      </c>
      <c r="N754" t="s">
        <v>14</v>
      </c>
      <c r="O754">
        <v>17</v>
      </c>
      <c r="P754" t="s">
        <v>34</v>
      </c>
      <c r="Q754" t="s">
        <v>85</v>
      </c>
      <c r="R754" t="str" cm="1">
        <f t="array" ref="R754">_xlfn.IFS(B754&lt;31,"Young-Adult",B754&lt;41,"Adult",B754&lt;61,"Middle-aged",B754&gt;=61,"Senior")</f>
        <v>Adult</v>
      </c>
      <c r="S754" cm="1">
        <f t="array" ref="S754">_xlfn.IFS(Q754 ="Fortnightly",14,Q754="Weekly",7,Q754="Monthly",30,Q754="Quarterly",90,Q754="Bi-Weekly",14,Q754="Annually",365,Q754="Every 3 Months",90,TRUE,"NOT FOUND")</f>
        <v>90</v>
      </c>
    </row>
    <row r="755" spans="1:19" x14ac:dyDescent="0.35">
      <c r="A755">
        <v>754</v>
      </c>
      <c r="B755">
        <v>47</v>
      </c>
      <c r="C755" t="s">
        <v>7</v>
      </c>
      <c r="D755" t="s">
        <v>125</v>
      </c>
      <c r="E755" t="s">
        <v>30</v>
      </c>
      <c r="F755">
        <v>54</v>
      </c>
      <c r="G755" t="s">
        <v>23</v>
      </c>
      <c r="H755" t="s">
        <v>32</v>
      </c>
      <c r="I755" t="s">
        <v>73</v>
      </c>
      <c r="J755" t="s">
        <v>45</v>
      </c>
      <c r="K755">
        <v>3.4</v>
      </c>
      <c r="L755" t="s">
        <v>14</v>
      </c>
      <c r="M755" t="s">
        <v>62</v>
      </c>
      <c r="N755" t="s">
        <v>14</v>
      </c>
      <c r="O755">
        <v>27</v>
      </c>
      <c r="P755" t="s">
        <v>16</v>
      </c>
      <c r="Q755" t="s">
        <v>46</v>
      </c>
      <c r="R755" t="str" cm="1">
        <f t="array" ref="R755">_xlfn.IFS(B755&lt;31,"Young-Adult",B755&lt;41,"Adult",B755&lt;61,"Middle-aged",B755&gt;=61,"Senior")</f>
        <v>Middle-aged</v>
      </c>
      <c r="S755" cm="1">
        <f t="array" ref="S755">_xlfn.IFS(Q755 ="Fortnightly",14,Q755="Weekly",7,Q755="Monthly",30,Q755="Quarterly",90,Q755="Bi-Weekly",14,Q755="Annually",365,Q755="Every 3 Months",90,TRUE,"NOT FOUND")</f>
        <v>90</v>
      </c>
    </row>
    <row r="756" spans="1:19" x14ac:dyDescent="0.35">
      <c r="A756">
        <v>755</v>
      </c>
      <c r="B756">
        <v>36</v>
      </c>
      <c r="C756" t="s">
        <v>7</v>
      </c>
      <c r="D756" t="s">
        <v>131</v>
      </c>
      <c r="E756" t="s">
        <v>55</v>
      </c>
      <c r="F756">
        <v>41</v>
      </c>
      <c r="G756" t="s">
        <v>86</v>
      </c>
      <c r="H756" t="s">
        <v>11</v>
      </c>
      <c r="I756" t="s">
        <v>57</v>
      </c>
      <c r="J756" t="s">
        <v>25</v>
      </c>
      <c r="K756">
        <v>2.9</v>
      </c>
      <c r="L756" t="s">
        <v>14</v>
      </c>
      <c r="M756" t="s">
        <v>62</v>
      </c>
      <c r="N756" t="s">
        <v>14</v>
      </c>
      <c r="O756">
        <v>3</v>
      </c>
      <c r="P756" t="s">
        <v>74</v>
      </c>
      <c r="Q756" t="s">
        <v>46</v>
      </c>
      <c r="R756" t="str" cm="1">
        <f t="array" ref="R756">_xlfn.IFS(B756&lt;31,"Young-Adult",B756&lt;41,"Adult",B756&lt;61,"Middle-aged",B756&gt;=61,"Senior")</f>
        <v>Adult</v>
      </c>
      <c r="S756" cm="1">
        <f t="array" ref="S756">_xlfn.IFS(Q756 ="Fortnightly",14,Q756="Weekly",7,Q756="Monthly",30,Q756="Quarterly",90,Q756="Bi-Weekly",14,Q756="Annually",365,Q756="Every 3 Months",90,TRUE,"NOT FOUND")</f>
        <v>90</v>
      </c>
    </row>
    <row r="757" spans="1:19" x14ac:dyDescent="0.35">
      <c r="A757">
        <v>756</v>
      </c>
      <c r="B757">
        <v>66</v>
      </c>
      <c r="C757" t="s">
        <v>7</v>
      </c>
      <c r="D757" t="s">
        <v>50</v>
      </c>
      <c r="E757" t="s">
        <v>51</v>
      </c>
      <c r="F757">
        <v>24</v>
      </c>
      <c r="G757" t="s">
        <v>91</v>
      </c>
      <c r="H757" t="s">
        <v>32</v>
      </c>
      <c r="I757" t="s">
        <v>71</v>
      </c>
      <c r="J757" t="s">
        <v>25</v>
      </c>
      <c r="K757">
        <v>3.3</v>
      </c>
      <c r="L757" t="s">
        <v>14</v>
      </c>
      <c r="M757" t="s">
        <v>26</v>
      </c>
      <c r="N757" t="s">
        <v>14</v>
      </c>
      <c r="O757">
        <v>22</v>
      </c>
      <c r="P757" t="s">
        <v>34</v>
      </c>
      <c r="Q757" t="s">
        <v>28</v>
      </c>
      <c r="R757" t="str" cm="1">
        <f t="array" ref="R757">_xlfn.IFS(B757&lt;31,"Young-Adult",B757&lt;41,"Adult",B757&lt;61,"Middle-aged",B757&gt;=61,"Senior")</f>
        <v>Senior</v>
      </c>
      <c r="S757" cm="1">
        <f t="array" ref="S757">_xlfn.IFS(Q757 ="Fortnightly",14,Q757="Weekly",7,Q757="Monthly",30,Q757="Quarterly",90,Q757="Bi-Weekly",14,Q757="Annually",365,Q757="Every 3 Months",90,TRUE,"NOT FOUND")</f>
        <v>7</v>
      </c>
    </row>
    <row r="758" spans="1:19" x14ac:dyDescent="0.35">
      <c r="A758">
        <v>757</v>
      </c>
      <c r="B758">
        <v>62</v>
      </c>
      <c r="C758" t="s">
        <v>7</v>
      </c>
      <c r="D758" t="s">
        <v>121</v>
      </c>
      <c r="E758" t="s">
        <v>55</v>
      </c>
      <c r="F758">
        <v>99</v>
      </c>
      <c r="G758" t="s">
        <v>44</v>
      </c>
      <c r="H758" t="s">
        <v>24</v>
      </c>
      <c r="I758" t="s">
        <v>109</v>
      </c>
      <c r="J758" t="s">
        <v>41</v>
      </c>
      <c r="K758">
        <v>4.8</v>
      </c>
      <c r="L758" t="s">
        <v>14</v>
      </c>
      <c r="M758" t="s">
        <v>42</v>
      </c>
      <c r="N758" t="s">
        <v>14</v>
      </c>
      <c r="O758">
        <v>24</v>
      </c>
      <c r="P758" t="s">
        <v>21</v>
      </c>
      <c r="Q758" t="s">
        <v>17</v>
      </c>
      <c r="R758" t="str" cm="1">
        <f t="array" ref="R758">_xlfn.IFS(B758&lt;31,"Young-Adult",B758&lt;41,"Adult",B758&lt;61,"Middle-aged",B758&gt;=61,"Senior")</f>
        <v>Senior</v>
      </c>
      <c r="S758" cm="1">
        <f t="array" ref="S758">_xlfn.IFS(Q758 ="Fortnightly",14,Q758="Weekly",7,Q758="Monthly",30,Q758="Quarterly",90,Q758="Bi-Weekly",14,Q758="Annually",365,Q758="Every 3 Months",90,TRUE,"NOT FOUND")</f>
        <v>14</v>
      </c>
    </row>
    <row r="759" spans="1:19" x14ac:dyDescent="0.35">
      <c r="A759">
        <v>758</v>
      </c>
      <c r="B759">
        <v>41</v>
      </c>
      <c r="C759" t="s">
        <v>7</v>
      </c>
      <c r="D759" t="s">
        <v>92</v>
      </c>
      <c r="E759" t="s">
        <v>9</v>
      </c>
      <c r="F759">
        <v>32</v>
      </c>
      <c r="G759" t="s">
        <v>136</v>
      </c>
      <c r="H759" t="s">
        <v>32</v>
      </c>
      <c r="I759" t="s">
        <v>96</v>
      </c>
      <c r="J759" t="s">
        <v>45</v>
      </c>
      <c r="K759">
        <v>3.8</v>
      </c>
      <c r="L759" t="s">
        <v>14</v>
      </c>
      <c r="M759" t="s">
        <v>62</v>
      </c>
      <c r="N759" t="s">
        <v>14</v>
      </c>
      <c r="O759">
        <v>18</v>
      </c>
      <c r="P759" t="s">
        <v>74</v>
      </c>
      <c r="Q759" t="s">
        <v>46</v>
      </c>
      <c r="R759" t="str" cm="1">
        <f t="array" ref="R759">_xlfn.IFS(B759&lt;31,"Young-Adult",B759&lt;41,"Adult",B759&lt;61,"Middle-aged",B759&gt;=61,"Senior")</f>
        <v>Middle-aged</v>
      </c>
      <c r="S759" cm="1">
        <f t="array" ref="S759">_xlfn.IFS(Q759 ="Fortnightly",14,Q759="Weekly",7,Q759="Monthly",30,Q759="Quarterly",90,Q759="Bi-Weekly",14,Q759="Annually",365,Q759="Every 3 Months",90,TRUE,"NOT FOUND")</f>
        <v>90</v>
      </c>
    </row>
    <row r="760" spans="1:19" x14ac:dyDescent="0.35">
      <c r="A760">
        <v>759</v>
      </c>
      <c r="B760">
        <v>66</v>
      </c>
      <c r="C760" t="s">
        <v>7</v>
      </c>
      <c r="D760" t="s">
        <v>59</v>
      </c>
      <c r="E760" t="s">
        <v>30</v>
      </c>
      <c r="F760">
        <v>71</v>
      </c>
      <c r="G760" t="s">
        <v>23</v>
      </c>
      <c r="H760" t="s">
        <v>11</v>
      </c>
      <c r="I760" t="s">
        <v>88</v>
      </c>
      <c r="J760" t="s">
        <v>41</v>
      </c>
      <c r="K760">
        <v>4.5999999999999996</v>
      </c>
      <c r="L760" t="s">
        <v>14</v>
      </c>
      <c r="M760" t="s">
        <v>58</v>
      </c>
      <c r="N760" t="s">
        <v>14</v>
      </c>
      <c r="O760">
        <v>39</v>
      </c>
      <c r="P760" t="s">
        <v>63</v>
      </c>
      <c r="Q760" t="s">
        <v>85</v>
      </c>
      <c r="R760" t="str" cm="1">
        <f t="array" ref="R760">_xlfn.IFS(B760&lt;31,"Young-Adult",B760&lt;41,"Adult",B760&lt;61,"Middle-aged",B760&gt;=61,"Senior")</f>
        <v>Senior</v>
      </c>
      <c r="S760" cm="1">
        <f t="array" ref="S760">_xlfn.IFS(Q760 ="Fortnightly",14,Q760="Weekly",7,Q760="Monthly",30,Q760="Quarterly",90,Q760="Bi-Weekly",14,Q760="Annually",365,Q760="Every 3 Months",90,TRUE,"NOT FOUND")</f>
        <v>90</v>
      </c>
    </row>
    <row r="761" spans="1:19" x14ac:dyDescent="0.35">
      <c r="A761">
        <v>760</v>
      </c>
      <c r="B761">
        <v>51</v>
      </c>
      <c r="C761" t="s">
        <v>7</v>
      </c>
      <c r="D761" t="s">
        <v>69</v>
      </c>
      <c r="E761" t="s">
        <v>9</v>
      </c>
      <c r="F761">
        <v>49</v>
      </c>
      <c r="G761" t="s">
        <v>31</v>
      </c>
      <c r="H761" t="s">
        <v>80</v>
      </c>
      <c r="I761" t="s">
        <v>84</v>
      </c>
      <c r="J761" t="s">
        <v>13</v>
      </c>
      <c r="K761">
        <v>2.6</v>
      </c>
      <c r="L761" t="s">
        <v>14</v>
      </c>
      <c r="M761" t="s">
        <v>33</v>
      </c>
      <c r="N761" t="s">
        <v>14</v>
      </c>
      <c r="O761">
        <v>25</v>
      </c>
      <c r="P761" t="s">
        <v>27</v>
      </c>
      <c r="Q761" t="s">
        <v>17</v>
      </c>
      <c r="R761" t="str" cm="1">
        <f t="array" ref="R761">_xlfn.IFS(B761&lt;31,"Young-Adult",B761&lt;41,"Adult",B761&lt;61,"Middle-aged",B761&gt;=61,"Senior")</f>
        <v>Middle-aged</v>
      </c>
      <c r="S761" cm="1">
        <f t="array" ref="S761">_xlfn.IFS(Q761 ="Fortnightly",14,Q761="Weekly",7,Q761="Monthly",30,Q761="Quarterly",90,Q761="Bi-Weekly",14,Q761="Annually",365,Q761="Every 3 Months",90,TRUE,"NOT FOUND")</f>
        <v>14</v>
      </c>
    </row>
    <row r="762" spans="1:19" x14ac:dyDescent="0.35">
      <c r="A762">
        <v>761</v>
      </c>
      <c r="B762">
        <v>33</v>
      </c>
      <c r="C762" t="s">
        <v>7</v>
      </c>
      <c r="D762" t="s">
        <v>131</v>
      </c>
      <c r="E762" t="s">
        <v>55</v>
      </c>
      <c r="F762">
        <v>50</v>
      </c>
      <c r="G762" t="s">
        <v>136</v>
      </c>
      <c r="H762" t="s">
        <v>80</v>
      </c>
      <c r="I762" t="s">
        <v>71</v>
      </c>
      <c r="J762" t="s">
        <v>45</v>
      </c>
      <c r="K762">
        <v>3.4</v>
      </c>
      <c r="L762" t="s">
        <v>14</v>
      </c>
      <c r="M762" t="s">
        <v>26</v>
      </c>
      <c r="N762" t="s">
        <v>14</v>
      </c>
      <c r="O762">
        <v>6</v>
      </c>
      <c r="P762" t="s">
        <v>21</v>
      </c>
      <c r="Q762" t="s">
        <v>37</v>
      </c>
      <c r="R762" t="str" cm="1">
        <f t="array" ref="R762">_xlfn.IFS(B762&lt;31,"Young-Adult",B762&lt;41,"Adult",B762&lt;61,"Middle-aged",B762&gt;=61,"Senior")</f>
        <v>Adult</v>
      </c>
      <c r="S762" cm="1">
        <f t="array" ref="S762">_xlfn.IFS(Q762 ="Fortnightly",14,Q762="Weekly",7,Q762="Monthly",30,Q762="Quarterly",90,Q762="Bi-Weekly",14,Q762="Annually",365,Q762="Every 3 Months",90,TRUE,"NOT FOUND")</f>
        <v>365</v>
      </c>
    </row>
    <row r="763" spans="1:19" x14ac:dyDescent="0.35">
      <c r="A763">
        <v>762</v>
      </c>
      <c r="B763">
        <v>57</v>
      </c>
      <c r="C763" t="s">
        <v>7</v>
      </c>
      <c r="D763" t="s">
        <v>94</v>
      </c>
      <c r="E763" t="s">
        <v>55</v>
      </c>
      <c r="F763">
        <v>91</v>
      </c>
      <c r="G763" t="s">
        <v>95</v>
      </c>
      <c r="H763" t="s">
        <v>11</v>
      </c>
      <c r="I763" t="s">
        <v>122</v>
      </c>
      <c r="J763" t="s">
        <v>45</v>
      </c>
      <c r="K763">
        <v>4.2</v>
      </c>
      <c r="L763" t="s">
        <v>14</v>
      </c>
      <c r="M763" t="s">
        <v>15</v>
      </c>
      <c r="N763" t="s">
        <v>14</v>
      </c>
      <c r="O763">
        <v>26</v>
      </c>
      <c r="P763" t="s">
        <v>63</v>
      </c>
      <c r="Q763" t="s">
        <v>28</v>
      </c>
      <c r="R763" t="str" cm="1">
        <f t="array" ref="R763">_xlfn.IFS(B763&lt;31,"Young-Adult",B763&lt;41,"Adult",B763&lt;61,"Middle-aged",B763&gt;=61,"Senior")</f>
        <v>Middle-aged</v>
      </c>
      <c r="S763" cm="1">
        <f t="array" ref="S763">_xlfn.IFS(Q763 ="Fortnightly",14,Q763="Weekly",7,Q763="Monthly",30,Q763="Quarterly",90,Q763="Bi-Weekly",14,Q763="Annually",365,Q763="Every 3 Months",90,TRUE,"NOT FOUND")</f>
        <v>7</v>
      </c>
    </row>
    <row r="764" spans="1:19" x14ac:dyDescent="0.35">
      <c r="A764">
        <v>763</v>
      </c>
      <c r="B764">
        <v>45</v>
      </c>
      <c r="C764" t="s">
        <v>7</v>
      </c>
      <c r="D764" t="s">
        <v>121</v>
      </c>
      <c r="E764" t="s">
        <v>55</v>
      </c>
      <c r="F764">
        <v>46</v>
      </c>
      <c r="G764" t="s">
        <v>118</v>
      </c>
      <c r="H764" t="s">
        <v>32</v>
      </c>
      <c r="I764" t="s">
        <v>57</v>
      </c>
      <c r="J764" t="s">
        <v>45</v>
      </c>
      <c r="K764">
        <v>3.9</v>
      </c>
      <c r="L764" t="s">
        <v>14</v>
      </c>
      <c r="M764" t="s">
        <v>42</v>
      </c>
      <c r="N764" t="s">
        <v>14</v>
      </c>
      <c r="O764">
        <v>43</v>
      </c>
      <c r="P764" t="s">
        <v>74</v>
      </c>
      <c r="Q764" t="s">
        <v>17</v>
      </c>
      <c r="R764" t="str" cm="1">
        <f t="array" ref="R764">_xlfn.IFS(B764&lt;31,"Young-Adult",B764&lt;41,"Adult",B764&lt;61,"Middle-aged",B764&gt;=61,"Senior")</f>
        <v>Middle-aged</v>
      </c>
      <c r="S764" cm="1">
        <f t="array" ref="S764">_xlfn.IFS(Q764 ="Fortnightly",14,Q764="Weekly",7,Q764="Monthly",30,Q764="Quarterly",90,Q764="Bi-Weekly",14,Q764="Annually",365,Q764="Every 3 Months",90,TRUE,"NOT FOUND")</f>
        <v>14</v>
      </c>
    </row>
    <row r="765" spans="1:19" x14ac:dyDescent="0.35">
      <c r="A765">
        <v>764</v>
      </c>
      <c r="B765">
        <v>61</v>
      </c>
      <c r="C765" t="s">
        <v>7</v>
      </c>
      <c r="D765" t="s">
        <v>18</v>
      </c>
      <c r="E765" t="s">
        <v>9</v>
      </c>
      <c r="F765">
        <v>50</v>
      </c>
      <c r="G765" t="s">
        <v>86</v>
      </c>
      <c r="H765" t="s">
        <v>32</v>
      </c>
      <c r="I765" t="s">
        <v>98</v>
      </c>
      <c r="J765" t="s">
        <v>25</v>
      </c>
      <c r="K765">
        <v>2.9</v>
      </c>
      <c r="L765" t="s">
        <v>14</v>
      </c>
      <c r="M765" t="s">
        <v>58</v>
      </c>
      <c r="N765" t="s">
        <v>14</v>
      </c>
      <c r="O765">
        <v>6</v>
      </c>
      <c r="P765" t="s">
        <v>27</v>
      </c>
      <c r="Q765" t="s">
        <v>76</v>
      </c>
      <c r="R765" t="str" cm="1">
        <f t="array" ref="R765">_xlfn.IFS(B765&lt;31,"Young-Adult",B765&lt;41,"Adult",B765&lt;61,"Middle-aged",B765&gt;=61,"Senior")</f>
        <v>Senior</v>
      </c>
      <c r="S765" cm="1">
        <f t="array" ref="S765">_xlfn.IFS(Q765 ="Fortnightly",14,Q765="Weekly",7,Q765="Monthly",30,Q765="Quarterly",90,Q765="Bi-Weekly",14,Q765="Annually",365,Q765="Every 3 Months",90,TRUE,"NOT FOUND")</f>
        <v>30</v>
      </c>
    </row>
    <row r="766" spans="1:19" x14ac:dyDescent="0.35">
      <c r="A766">
        <v>765</v>
      </c>
      <c r="B766">
        <v>55</v>
      </c>
      <c r="C766" t="s">
        <v>7</v>
      </c>
      <c r="D766" t="s">
        <v>75</v>
      </c>
      <c r="E766" t="s">
        <v>9</v>
      </c>
      <c r="F766">
        <v>39</v>
      </c>
      <c r="G766" t="s">
        <v>129</v>
      </c>
      <c r="H766" t="s">
        <v>80</v>
      </c>
      <c r="I766" t="s">
        <v>53</v>
      </c>
      <c r="J766" t="s">
        <v>45</v>
      </c>
      <c r="K766">
        <v>4.2</v>
      </c>
      <c r="L766" t="s">
        <v>14</v>
      </c>
      <c r="M766" t="s">
        <v>26</v>
      </c>
      <c r="N766" t="s">
        <v>14</v>
      </c>
      <c r="O766">
        <v>6</v>
      </c>
      <c r="P766" t="s">
        <v>74</v>
      </c>
      <c r="Q766" t="s">
        <v>46</v>
      </c>
      <c r="R766" t="str" cm="1">
        <f t="array" ref="R766">_xlfn.IFS(B766&lt;31,"Young-Adult",B766&lt;41,"Adult",B766&lt;61,"Middle-aged",B766&gt;=61,"Senior")</f>
        <v>Middle-aged</v>
      </c>
      <c r="S766" cm="1">
        <f t="array" ref="S766">_xlfn.IFS(Q766 ="Fortnightly",14,Q766="Weekly",7,Q766="Monthly",30,Q766="Quarterly",90,Q766="Bi-Weekly",14,Q766="Annually",365,Q766="Every 3 Months",90,TRUE,"NOT FOUND")</f>
        <v>90</v>
      </c>
    </row>
    <row r="767" spans="1:19" x14ac:dyDescent="0.35">
      <c r="A767">
        <v>766</v>
      </c>
      <c r="B767">
        <v>54</v>
      </c>
      <c r="C767" t="s">
        <v>7</v>
      </c>
      <c r="D767" t="s">
        <v>38</v>
      </c>
      <c r="E767" t="s">
        <v>30</v>
      </c>
      <c r="F767">
        <v>99</v>
      </c>
      <c r="G767" t="s">
        <v>108</v>
      </c>
      <c r="H767" t="s">
        <v>32</v>
      </c>
      <c r="I767" t="s">
        <v>57</v>
      </c>
      <c r="J767" t="s">
        <v>41</v>
      </c>
      <c r="K767">
        <v>3</v>
      </c>
      <c r="L767" t="s">
        <v>14</v>
      </c>
      <c r="M767" t="s">
        <v>62</v>
      </c>
      <c r="N767" t="s">
        <v>14</v>
      </c>
      <c r="O767">
        <v>13</v>
      </c>
      <c r="P767" t="s">
        <v>21</v>
      </c>
      <c r="Q767" t="s">
        <v>46</v>
      </c>
      <c r="R767" t="str" cm="1">
        <f t="array" ref="R767">_xlfn.IFS(B767&lt;31,"Young-Adult",B767&lt;41,"Adult",B767&lt;61,"Middle-aged",B767&gt;=61,"Senior")</f>
        <v>Middle-aged</v>
      </c>
      <c r="S767" cm="1">
        <f t="array" ref="S767">_xlfn.IFS(Q767 ="Fortnightly",14,Q767="Weekly",7,Q767="Monthly",30,Q767="Quarterly",90,Q767="Bi-Weekly",14,Q767="Annually",365,Q767="Every 3 Months",90,TRUE,"NOT FOUND")</f>
        <v>90</v>
      </c>
    </row>
    <row r="768" spans="1:19" x14ac:dyDescent="0.35">
      <c r="A768">
        <v>767</v>
      </c>
      <c r="B768">
        <v>57</v>
      </c>
      <c r="C768" t="s">
        <v>7</v>
      </c>
      <c r="D768" t="s">
        <v>131</v>
      </c>
      <c r="E768" t="s">
        <v>55</v>
      </c>
      <c r="F768">
        <v>48</v>
      </c>
      <c r="G768" t="s">
        <v>95</v>
      </c>
      <c r="H768" t="s">
        <v>32</v>
      </c>
      <c r="I768" t="s">
        <v>97</v>
      </c>
      <c r="J768" t="s">
        <v>13</v>
      </c>
      <c r="K768">
        <v>3.6</v>
      </c>
      <c r="L768" t="s">
        <v>14</v>
      </c>
      <c r="M768" t="s">
        <v>33</v>
      </c>
      <c r="N768" t="s">
        <v>14</v>
      </c>
      <c r="O768">
        <v>13</v>
      </c>
      <c r="P768" t="s">
        <v>34</v>
      </c>
      <c r="Q768" t="s">
        <v>76</v>
      </c>
      <c r="R768" t="str" cm="1">
        <f t="array" ref="R768">_xlfn.IFS(B768&lt;31,"Young-Adult",B768&lt;41,"Adult",B768&lt;61,"Middle-aged",B768&gt;=61,"Senior")</f>
        <v>Middle-aged</v>
      </c>
      <c r="S768" cm="1">
        <f t="array" ref="S768">_xlfn.IFS(Q768 ="Fortnightly",14,Q768="Weekly",7,Q768="Monthly",30,Q768="Quarterly",90,Q768="Bi-Weekly",14,Q768="Annually",365,Q768="Every 3 Months",90,TRUE,"NOT FOUND")</f>
        <v>30</v>
      </c>
    </row>
    <row r="769" spans="1:19" x14ac:dyDescent="0.35">
      <c r="A769">
        <v>768</v>
      </c>
      <c r="B769">
        <v>27</v>
      </c>
      <c r="C769" t="s">
        <v>7</v>
      </c>
      <c r="D769" t="s">
        <v>50</v>
      </c>
      <c r="E769" t="s">
        <v>51</v>
      </c>
      <c r="F769">
        <v>77</v>
      </c>
      <c r="G769" t="s">
        <v>126</v>
      </c>
      <c r="H769" t="s">
        <v>32</v>
      </c>
      <c r="I769" t="s">
        <v>98</v>
      </c>
      <c r="J769" t="s">
        <v>45</v>
      </c>
      <c r="K769">
        <v>2.5</v>
      </c>
      <c r="L769" t="s">
        <v>14</v>
      </c>
      <c r="M769" t="s">
        <v>33</v>
      </c>
      <c r="N769" t="s">
        <v>14</v>
      </c>
      <c r="O769">
        <v>11</v>
      </c>
      <c r="P769" t="s">
        <v>21</v>
      </c>
      <c r="Q769" t="s">
        <v>37</v>
      </c>
      <c r="R769" t="str" cm="1">
        <f t="array" ref="R769">_xlfn.IFS(B769&lt;31,"Young-Adult",B769&lt;41,"Adult",B769&lt;61,"Middle-aged",B769&gt;=61,"Senior")</f>
        <v>Young-Adult</v>
      </c>
      <c r="S769" cm="1">
        <f t="array" ref="S769">_xlfn.IFS(Q769 ="Fortnightly",14,Q769="Weekly",7,Q769="Monthly",30,Q769="Quarterly",90,Q769="Bi-Weekly",14,Q769="Annually",365,Q769="Every 3 Months",90,TRUE,"NOT FOUND")</f>
        <v>365</v>
      </c>
    </row>
    <row r="770" spans="1:19" x14ac:dyDescent="0.35">
      <c r="A770">
        <v>769</v>
      </c>
      <c r="B770">
        <v>64</v>
      </c>
      <c r="C770" t="s">
        <v>7</v>
      </c>
      <c r="D770" t="s">
        <v>120</v>
      </c>
      <c r="E770" t="s">
        <v>55</v>
      </c>
      <c r="F770">
        <v>95</v>
      </c>
      <c r="G770" t="s">
        <v>103</v>
      </c>
      <c r="H770" t="s">
        <v>80</v>
      </c>
      <c r="I770" t="s">
        <v>96</v>
      </c>
      <c r="J770" t="s">
        <v>25</v>
      </c>
      <c r="K770">
        <v>2.6</v>
      </c>
      <c r="L770" t="s">
        <v>14</v>
      </c>
      <c r="M770" t="s">
        <v>15</v>
      </c>
      <c r="N770" t="s">
        <v>14</v>
      </c>
      <c r="O770">
        <v>45</v>
      </c>
      <c r="P770" t="s">
        <v>16</v>
      </c>
      <c r="Q770" t="s">
        <v>28</v>
      </c>
      <c r="R770" t="str" cm="1">
        <f t="array" ref="R770">_xlfn.IFS(B770&lt;31,"Young-Adult",B770&lt;41,"Adult",B770&lt;61,"Middle-aged",B770&gt;=61,"Senior")</f>
        <v>Senior</v>
      </c>
      <c r="S770" cm="1">
        <f t="array" ref="S770">_xlfn.IFS(Q770 ="Fortnightly",14,Q770="Weekly",7,Q770="Monthly",30,Q770="Quarterly",90,Q770="Bi-Weekly",14,Q770="Annually",365,Q770="Every 3 Months",90,TRUE,"NOT FOUND")</f>
        <v>7</v>
      </c>
    </row>
    <row r="771" spans="1:19" x14ac:dyDescent="0.35">
      <c r="A771">
        <v>770</v>
      </c>
      <c r="B771">
        <v>52</v>
      </c>
      <c r="C771" t="s">
        <v>7</v>
      </c>
      <c r="D771" t="s">
        <v>113</v>
      </c>
      <c r="E771" t="s">
        <v>9</v>
      </c>
      <c r="F771">
        <v>100</v>
      </c>
      <c r="G771" t="s">
        <v>67</v>
      </c>
      <c r="H771" t="s">
        <v>32</v>
      </c>
      <c r="I771" t="s">
        <v>53</v>
      </c>
      <c r="J771" t="s">
        <v>25</v>
      </c>
      <c r="K771">
        <v>4.3</v>
      </c>
      <c r="L771" t="s">
        <v>14</v>
      </c>
      <c r="M771" t="s">
        <v>62</v>
      </c>
      <c r="N771" t="s">
        <v>14</v>
      </c>
      <c r="O771">
        <v>8</v>
      </c>
      <c r="P771" t="s">
        <v>34</v>
      </c>
      <c r="Q771" t="s">
        <v>76</v>
      </c>
      <c r="R771" t="str" cm="1">
        <f t="array" ref="R771">_xlfn.IFS(B771&lt;31,"Young-Adult",B771&lt;41,"Adult",B771&lt;61,"Middle-aged",B771&gt;=61,"Senior")</f>
        <v>Middle-aged</v>
      </c>
      <c r="S771" cm="1">
        <f t="array" ref="S771">_xlfn.IFS(Q771 ="Fortnightly",14,Q771="Weekly",7,Q771="Monthly",30,Q771="Quarterly",90,Q771="Bi-Weekly",14,Q771="Annually",365,Q771="Every 3 Months",90,TRUE,"NOT FOUND")</f>
        <v>30</v>
      </c>
    </row>
    <row r="772" spans="1:19" x14ac:dyDescent="0.35">
      <c r="A772">
        <v>771</v>
      </c>
      <c r="B772">
        <v>19</v>
      </c>
      <c r="C772" t="s">
        <v>7</v>
      </c>
      <c r="D772" t="s">
        <v>38</v>
      </c>
      <c r="E772" t="s">
        <v>30</v>
      </c>
      <c r="F772">
        <v>54</v>
      </c>
      <c r="G772" t="s">
        <v>117</v>
      </c>
      <c r="H772" t="s">
        <v>32</v>
      </c>
      <c r="I772" t="s">
        <v>12</v>
      </c>
      <c r="J772" t="s">
        <v>25</v>
      </c>
      <c r="K772">
        <v>3.3</v>
      </c>
      <c r="L772" t="s">
        <v>14</v>
      </c>
      <c r="M772" t="s">
        <v>15</v>
      </c>
      <c r="N772" t="s">
        <v>14</v>
      </c>
      <c r="O772">
        <v>8</v>
      </c>
      <c r="P772" t="s">
        <v>27</v>
      </c>
      <c r="Q772" t="s">
        <v>37</v>
      </c>
      <c r="R772" t="str" cm="1">
        <f t="array" ref="R772">_xlfn.IFS(B772&lt;31,"Young-Adult",B772&lt;41,"Adult",B772&lt;61,"Middle-aged",B772&gt;=61,"Senior")</f>
        <v>Young-Adult</v>
      </c>
      <c r="S772" cm="1">
        <f t="array" ref="S772">_xlfn.IFS(Q772 ="Fortnightly",14,Q772="Weekly",7,Q772="Monthly",30,Q772="Quarterly",90,Q772="Bi-Weekly",14,Q772="Annually",365,Q772="Every 3 Months",90,TRUE,"NOT FOUND")</f>
        <v>365</v>
      </c>
    </row>
    <row r="773" spans="1:19" x14ac:dyDescent="0.35">
      <c r="A773">
        <v>772</v>
      </c>
      <c r="B773">
        <v>22</v>
      </c>
      <c r="C773" t="s">
        <v>7</v>
      </c>
      <c r="D773" t="s">
        <v>18</v>
      </c>
      <c r="E773" t="s">
        <v>9</v>
      </c>
      <c r="F773">
        <v>68</v>
      </c>
      <c r="G773" t="s">
        <v>65</v>
      </c>
      <c r="H773" t="s">
        <v>11</v>
      </c>
      <c r="I773" t="s">
        <v>97</v>
      </c>
      <c r="J773" t="s">
        <v>45</v>
      </c>
      <c r="K773">
        <v>2.6</v>
      </c>
      <c r="L773" t="s">
        <v>14</v>
      </c>
      <c r="M773" t="s">
        <v>33</v>
      </c>
      <c r="N773" t="s">
        <v>14</v>
      </c>
      <c r="O773">
        <v>34</v>
      </c>
      <c r="P773" t="s">
        <v>63</v>
      </c>
      <c r="Q773" t="s">
        <v>17</v>
      </c>
      <c r="R773" t="str" cm="1">
        <f t="array" ref="R773">_xlfn.IFS(B773&lt;31,"Young-Adult",B773&lt;41,"Adult",B773&lt;61,"Middle-aged",B773&gt;=61,"Senior")</f>
        <v>Young-Adult</v>
      </c>
      <c r="S773" cm="1">
        <f t="array" ref="S773">_xlfn.IFS(Q773 ="Fortnightly",14,Q773="Weekly",7,Q773="Monthly",30,Q773="Quarterly",90,Q773="Bi-Weekly",14,Q773="Annually",365,Q773="Every 3 Months",90,TRUE,"NOT FOUND")</f>
        <v>14</v>
      </c>
    </row>
    <row r="774" spans="1:19" x14ac:dyDescent="0.35">
      <c r="A774">
        <v>773</v>
      </c>
      <c r="B774">
        <v>18</v>
      </c>
      <c r="C774" t="s">
        <v>7</v>
      </c>
      <c r="D774" t="s">
        <v>22</v>
      </c>
      <c r="E774" t="s">
        <v>9</v>
      </c>
      <c r="F774">
        <v>22</v>
      </c>
      <c r="G774" t="s">
        <v>103</v>
      </c>
      <c r="H774" t="s">
        <v>11</v>
      </c>
      <c r="I774" t="s">
        <v>73</v>
      </c>
      <c r="J774" t="s">
        <v>45</v>
      </c>
      <c r="K774">
        <v>3.6</v>
      </c>
      <c r="L774" t="s">
        <v>14</v>
      </c>
      <c r="M774" t="s">
        <v>26</v>
      </c>
      <c r="N774" t="s">
        <v>14</v>
      </c>
      <c r="O774">
        <v>40</v>
      </c>
      <c r="P774" t="s">
        <v>74</v>
      </c>
      <c r="Q774" t="s">
        <v>64</v>
      </c>
      <c r="R774" t="str" cm="1">
        <f t="array" ref="R774">_xlfn.IFS(B774&lt;31,"Young-Adult",B774&lt;41,"Adult",B774&lt;61,"Middle-aged",B774&gt;=61,"Senior")</f>
        <v>Young-Adult</v>
      </c>
      <c r="S774" cm="1">
        <f t="array" ref="S774">_xlfn.IFS(Q774 ="Fortnightly",14,Q774="Weekly",7,Q774="Monthly",30,Q774="Quarterly",90,Q774="Bi-Weekly",14,Q774="Annually",365,Q774="Every 3 Months",90,TRUE,"NOT FOUND")</f>
        <v>14</v>
      </c>
    </row>
    <row r="775" spans="1:19" x14ac:dyDescent="0.35">
      <c r="A775">
        <v>774</v>
      </c>
      <c r="B775">
        <v>29</v>
      </c>
      <c r="C775" t="s">
        <v>7</v>
      </c>
      <c r="D775" t="s">
        <v>112</v>
      </c>
      <c r="E775" t="s">
        <v>55</v>
      </c>
      <c r="F775">
        <v>84</v>
      </c>
      <c r="G775" t="s">
        <v>87</v>
      </c>
      <c r="H775" t="s">
        <v>11</v>
      </c>
      <c r="I775" t="s">
        <v>114</v>
      </c>
      <c r="J775" t="s">
        <v>13</v>
      </c>
      <c r="K775">
        <v>2.6</v>
      </c>
      <c r="L775" t="s">
        <v>14</v>
      </c>
      <c r="M775" t="s">
        <v>15</v>
      </c>
      <c r="N775" t="s">
        <v>14</v>
      </c>
      <c r="O775">
        <v>14</v>
      </c>
      <c r="P775" t="s">
        <v>74</v>
      </c>
      <c r="Q775" t="s">
        <v>64</v>
      </c>
      <c r="R775" t="str" cm="1">
        <f t="array" ref="R775">_xlfn.IFS(B775&lt;31,"Young-Adult",B775&lt;41,"Adult",B775&lt;61,"Middle-aged",B775&gt;=61,"Senior")</f>
        <v>Young-Adult</v>
      </c>
      <c r="S775" cm="1">
        <f t="array" ref="S775">_xlfn.IFS(Q775 ="Fortnightly",14,Q775="Weekly",7,Q775="Monthly",30,Q775="Quarterly",90,Q775="Bi-Weekly",14,Q775="Annually",365,Q775="Every 3 Months",90,TRUE,"NOT FOUND")</f>
        <v>14</v>
      </c>
    </row>
    <row r="776" spans="1:19" x14ac:dyDescent="0.35">
      <c r="A776">
        <v>775</v>
      </c>
      <c r="B776">
        <v>42</v>
      </c>
      <c r="C776" t="s">
        <v>7</v>
      </c>
      <c r="D776" t="s">
        <v>112</v>
      </c>
      <c r="E776" t="s">
        <v>55</v>
      </c>
      <c r="F776">
        <v>46</v>
      </c>
      <c r="G776" t="s">
        <v>95</v>
      </c>
      <c r="H776" t="s">
        <v>32</v>
      </c>
      <c r="I776" t="s">
        <v>122</v>
      </c>
      <c r="J776" t="s">
        <v>41</v>
      </c>
      <c r="K776">
        <v>3.5</v>
      </c>
      <c r="L776" t="s">
        <v>14</v>
      </c>
      <c r="M776" t="s">
        <v>42</v>
      </c>
      <c r="N776" t="s">
        <v>14</v>
      </c>
      <c r="O776">
        <v>11</v>
      </c>
      <c r="P776" t="s">
        <v>27</v>
      </c>
      <c r="Q776" t="s">
        <v>46</v>
      </c>
      <c r="R776" t="str" cm="1">
        <f t="array" ref="R776">_xlfn.IFS(B776&lt;31,"Young-Adult",B776&lt;41,"Adult",B776&lt;61,"Middle-aged",B776&gt;=61,"Senior")</f>
        <v>Middle-aged</v>
      </c>
      <c r="S776" cm="1">
        <f t="array" ref="S776">_xlfn.IFS(Q776 ="Fortnightly",14,Q776="Weekly",7,Q776="Monthly",30,Q776="Quarterly",90,Q776="Bi-Weekly",14,Q776="Annually",365,Q776="Every 3 Months",90,TRUE,"NOT FOUND")</f>
        <v>90</v>
      </c>
    </row>
    <row r="777" spans="1:19" x14ac:dyDescent="0.35">
      <c r="A777">
        <v>776</v>
      </c>
      <c r="B777">
        <v>49</v>
      </c>
      <c r="C777" t="s">
        <v>7</v>
      </c>
      <c r="D777" t="s">
        <v>54</v>
      </c>
      <c r="E777" t="s">
        <v>55</v>
      </c>
      <c r="F777">
        <v>53</v>
      </c>
      <c r="G777" t="s">
        <v>10</v>
      </c>
      <c r="H777" t="s">
        <v>24</v>
      </c>
      <c r="I777" t="s">
        <v>68</v>
      </c>
      <c r="J777" t="s">
        <v>13</v>
      </c>
      <c r="K777">
        <v>3</v>
      </c>
      <c r="L777" t="s">
        <v>14</v>
      </c>
      <c r="M777" t="s">
        <v>62</v>
      </c>
      <c r="N777" t="s">
        <v>14</v>
      </c>
      <c r="O777">
        <v>8</v>
      </c>
      <c r="P777" t="s">
        <v>34</v>
      </c>
      <c r="Q777" t="s">
        <v>76</v>
      </c>
      <c r="R777" t="str" cm="1">
        <f t="array" ref="R777">_xlfn.IFS(B777&lt;31,"Young-Adult",B777&lt;41,"Adult",B777&lt;61,"Middle-aged",B777&gt;=61,"Senior")</f>
        <v>Middle-aged</v>
      </c>
      <c r="S777" cm="1">
        <f t="array" ref="S777">_xlfn.IFS(Q777 ="Fortnightly",14,Q777="Weekly",7,Q777="Monthly",30,Q777="Quarterly",90,Q777="Bi-Weekly",14,Q777="Annually",365,Q777="Every 3 Months",90,TRUE,"NOT FOUND")</f>
        <v>30</v>
      </c>
    </row>
    <row r="778" spans="1:19" x14ac:dyDescent="0.35">
      <c r="A778">
        <v>777</v>
      </c>
      <c r="B778">
        <v>49</v>
      </c>
      <c r="C778" t="s">
        <v>7</v>
      </c>
      <c r="D778" t="s">
        <v>43</v>
      </c>
      <c r="E778" t="s">
        <v>9</v>
      </c>
      <c r="F778">
        <v>60</v>
      </c>
      <c r="G778" t="s">
        <v>78</v>
      </c>
      <c r="H778" t="s">
        <v>32</v>
      </c>
      <c r="I778" t="s">
        <v>20</v>
      </c>
      <c r="J778" t="s">
        <v>25</v>
      </c>
      <c r="K778">
        <v>5</v>
      </c>
      <c r="L778" t="s">
        <v>14</v>
      </c>
      <c r="M778" t="s">
        <v>42</v>
      </c>
      <c r="N778" t="s">
        <v>14</v>
      </c>
      <c r="O778">
        <v>8</v>
      </c>
      <c r="P778" t="s">
        <v>16</v>
      </c>
      <c r="Q778" t="s">
        <v>85</v>
      </c>
      <c r="R778" t="str" cm="1">
        <f t="array" ref="R778">_xlfn.IFS(B778&lt;31,"Young-Adult",B778&lt;41,"Adult",B778&lt;61,"Middle-aged",B778&gt;=61,"Senior")</f>
        <v>Middle-aged</v>
      </c>
      <c r="S778" cm="1">
        <f t="array" ref="S778">_xlfn.IFS(Q778 ="Fortnightly",14,Q778="Weekly",7,Q778="Monthly",30,Q778="Quarterly",90,Q778="Bi-Weekly",14,Q778="Annually",365,Q778="Every 3 Months",90,TRUE,"NOT FOUND")</f>
        <v>90</v>
      </c>
    </row>
    <row r="779" spans="1:19" x14ac:dyDescent="0.35">
      <c r="A779">
        <v>778</v>
      </c>
      <c r="B779">
        <v>55</v>
      </c>
      <c r="C779" t="s">
        <v>7</v>
      </c>
      <c r="D779" t="s">
        <v>113</v>
      </c>
      <c r="E779" t="s">
        <v>9</v>
      </c>
      <c r="F779">
        <v>32</v>
      </c>
      <c r="G779" t="s">
        <v>39</v>
      </c>
      <c r="H779" t="s">
        <v>80</v>
      </c>
      <c r="I779" t="s">
        <v>53</v>
      </c>
      <c r="J779" t="s">
        <v>25</v>
      </c>
      <c r="K779">
        <v>2.5</v>
      </c>
      <c r="L779" t="s">
        <v>14</v>
      </c>
      <c r="M779" t="s">
        <v>15</v>
      </c>
      <c r="N779" t="s">
        <v>14</v>
      </c>
      <c r="O779">
        <v>37</v>
      </c>
      <c r="P779" t="s">
        <v>16</v>
      </c>
      <c r="Q779" t="s">
        <v>28</v>
      </c>
      <c r="R779" t="str" cm="1">
        <f t="array" ref="R779">_xlfn.IFS(B779&lt;31,"Young-Adult",B779&lt;41,"Adult",B779&lt;61,"Middle-aged",B779&gt;=61,"Senior")</f>
        <v>Middle-aged</v>
      </c>
      <c r="S779" cm="1">
        <f t="array" ref="S779">_xlfn.IFS(Q779 ="Fortnightly",14,Q779="Weekly",7,Q779="Monthly",30,Q779="Quarterly",90,Q779="Bi-Weekly",14,Q779="Annually",365,Q779="Every 3 Months",90,TRUE,"NOT FOUND")</f>
        <v>7</v>
      </c>
    </row>
    <row r="780" spans="1:19" x14ac:dyDescent="0.35">
      <c r="A780">
        <v>779</v>
      </c>
      <c r="B780">
        <v>29</v>
      </c>
      <c r="C780" t="s">
        <v>7</v>
      </c>
      <c r="D780" t="s">
        <v>113</v>
      </c>
      <c r="E780" t="s">
        <v>9</v>
      </c>
      <c r="F780">
        <v>50</v>
      </c>
      <c r="G780" t="s">
        <v>23</v>
      </c>
      <c r="H780" t="s">
        <v>32</v>
      </c>
      <c r="I780" t="s">
        <v>122</v>
      </c>
      <c r="J780" t="s">
        <v>41</v>
      </c>
      <c r="K780">
        <v>2.9</v>
      </c>
      <c r="L780" t="s">
        <v>14</v>
      </c>
      <c r="M780" t="s">
        <v>62</v>
      </c>
      <c r="N780" t="s">
        <v>14</v>
      </c>
      <c r="O780">
        <v>23</v>
      </c>
      <c r="P780" t="s">
        <v>74</v>
      </c>
      <c r="Q780" t="s">
        <v>37</v>
      </c>
      <c r="R780" t="str" cm="1">
        <f t="array" ref="R780">_xlfn.IFS(B780&lt;31,"Young-Adult",B780&lt;41,"Adult",B780&lt;61,"Middle-aged",B780&gt;=61,"Senior")</f>
        <v>Young-Adult</v>
      </c>
      <c r="S780" cm="1">
        <f t="array" ref="S780">_xlfn.IFS(Q780 ="Fortnightly",14,Q780="Weekly",7,Q780="Monthly",30,Q780="Quarterly",90,Q780="Bi-Weekly",14,Q780="Annually",365,Q780="Every 3 Months",90,TRUE,"NOT FOUND")</f>
        <v>365</v>
      </c>
    </row>
    <row r="781" spans="1:19" x14ac:dyDescent="0.35">
      <c r="A781">
        <v>780</v>
      </c>
      <c r="B781">
        <v>60</v>
      </c>
      <c r="C781" t="s">
        <v>7</v>
      </c>
      <c r="D781" t="s">
        <v>69</v>
      </c>
      <c r="E781" t="s">
        <v>9</v>
      </c>
      <c r="F781">
        <v>94</v>
      </c>
      <c r="G781" t="s">
        <v>128</v>
      </c>
      <c r="H781" t="s">
        <v>32</v>
      </c>
      <c r="I781" t="s">
        <v>132</v>
      </c>
      <c r="J781" t="s">
        <v>25</v>
      </c>
      <c r="K781">
        <v>4.5999999999999996</v>
      </c>
      <c r="L781" t="s">
        <v>14</v>
      </c>
      <c r="M781" t="s">
        <v>15</v>
      </c>
      <c r="N781" t="s">
        <v>14</v>
      </c>
      <c r="O781">
        <v>38</v>
      </c>
      <c r="P781" t="s">
        <v>21</v>
      </c>
      <c r="Q781" t="s">
        <v>37</v>
      </c>
      <c r="R781" t="str" cm="1">
        <f t="array" ref="R781">_xlfn.IFS(B781&lt;31,"Young-Adult",B781&lt;41,"Adult",B781&lt;61,"Middle-aged",B781&gt;=61,"Senior")</f>
        <v>Middle-aged</v>
      </c>
      <c r="S781" cm="1">
        <f t="array" ref="S781">_xlfn.IFS(Q781 ="Fortnightly",14,Q781="Weekly",7,Q781="Monthly",30,Q781="Quarterly",90,Q781="Bi-Weekly",14,Q781="Annually",365,Q781="Every 3 Months",90,TRUE,"NOT FOUND")</f>
        <v>365</v>
      </c>
    </row>
    <row r="782" spans="1:19" x14ac:dyDescent="0.35">
      <c r="A782">
        <v>781</v>
      </c>
      <c r="B782">
        <v>34</v>
      </c>
      <c r="C782" t="s">
        <v>7</v>
      </c>
      <c r="D782" t="s">
        <v>59</v>
      </c>
      <c r="E782" t="s">
        <v>30</v>
      </c>
      <c r="F782">
        <v>26</v>
      </c>
      <c r="G782" t="s">
        <v>72</v>
      </c>
      <c r="H782" t="s">
        <v>32</v>
      </c>
      <c r="I782" t="s">
        <v>36</v>
      </c>
      <c r="J782" t="s">
        <v>25</v>
      </c>
      <c r="K782">
        <v>3.6</v>
      </c>
      <c r="L782" t="s">
        <v>14</v>
      </c>
      <c r="M782" t="s">
        <v>26</v>
      </c>
      <c r="N782" t="s">
        <v>14</v>
      </c>
      <c r="O782">
        <v>38</v>
      </c>
      <c r="P782" t="s">
        <v>21</v>
      </c>
      <c r="Q782" t="s">
        <v>46</v>
      </c>
      <c r="R782" t="str" cm="1">
        <f t="array" ref="R782">_xlfn.IFS(B782&lt;31,"Young-Adult",B782&lt;41,"Adult",B782&lt;61,"Middle-aged",B782&gt;=61,"Senior")</f>
        <v>Adult</v>
      </c>
      <c r="S782" cm="1">
        <f t="array" ref="S782">_xlfn.IFS(Q782 ="Fortnightly",14,Q782="Weekly",7,Q782="Monthly",30,Q782="Quarterly",90,Q782="Bi-Weekly",14,Q782="Annually",365,Q782="Every 3 Months",90,TRUE,"NOT FOUND")</f>
        <v>90</v>
      </c>
    </row>
    <row r="783" spans="1:19" x14ac:dyDescent="0.35">
      <c r="A783">
        <v>782</v>
      </c>
      <c r="B783">
        <v>30</v>
      </c>
      <c r="C783" t="s">
        <v>7</v>
      </c>
      <c r="D783" t="s">
        <v>107</v>
      </c>
      <c r="E783" t="s">
        <v>55</v>
      </c>
      <c r="F783">
        <v>44</v>
      </c>
      <c r="G783" t="s">
        <v>117</v>
      </c>
      <c r="H783" t="s">
        <v>11</v>
      </c>
      <c r="I783" t="s">
        <v>114</v>
      </c>
      <c r="J783" t="s">
        <v>13</v>
      </c>
      <c r="K783">
        <v>3</v>
      </c>
      <c r="L783" t="s">
        <v>14</v>
      </c>
      <c r="M783" t="s">
        <v>62</v>
      </c>
      <c r="N783" t="s">
        <v>14</v>
      </c>
      <c r="O783">
        <v>12</v>
      </c>
      <c r="P783" t="s">
        <v>27</v>
      </c>
      <c r="Q783" t="s">
        <v>17</v>
      </c>
      <c r="R783" t="str" cm="1">
        <f t="array" ref="R783">_xlfn.IFS(B783&lt;31,"Young-Adult",B783&lt;41,"Adult",B783&lt;61,"Middle-aged",B783&gt;=61,"Senior")</f>
        <v>Young-Adult</v>
      </c>
      <c r="S783" cm="1">
        <f t="array" ref="S783">_xlfn.IFS(Q783 ="Fortnightly",14,Q783="Weekly",7,Q783="Monthly",30,Q783="Quarterly",90,Q783="Bi-Weekly",14,Q783="Annually",365,Q783="Every 3 Months",90,TRUE,"NOT FOUND")</f>
        <v>14</v>
      </c>
    </row>
    <row r="784" spans="1:19" x14ac:dyDescent="0.35">
      <c r="A784">
        <v>783</v>
      </c>
      <c r="B784">
        <v>28</v>
      </c>
      <c r="C784" t="s">
        <v>7</v>
      </c>
      <c r="D784" t="s">
        <v>92</v>
      </c>
      <c r="E784" t="s">
        <v>9</v>
      </c>
      <c r="F784">
        <v>57</v>
      </c>
      <c r="G784" t="s">
        <v>65</v>
      </c>
      <c r="H784" t="s">
        <v>32</v>
      </c>
      <c r="I784" t="s">
        <v>84</v>
      </c>
      <c r="J784" t="s">
        <v>41</v>
      </c>
      <c r="K784">
        <v>4.5</v>
      </c>
      <c r="L784" t="s">
        <v>14</v>
      </c>
      <c r="M784" t="s">
        <v>42</v>
      </c>
      <c r="N784" t="s">
        <v>14</v>
      </c>
      <c r="O784">
        <v>15</v>
      </c>
      <c r="P784" t="s">
        <v>21</v>
      </c>
      <c r="Q784" t="s">
        <v>28</v>
      </c>
      <c r="R784" t="str" cm="1">
        <f t="array" ref="R784">_xlfn.IFS(B784&lt;31,"Young-Adult",B784&lt;41,"Adult",B784&lt;61,"Middle-aged",B784&gt;=61,"Senior")</f>
        <v>Young-Adult</v>
      </c>
      <c r="S784" cm="1">
        <f t="array" ref="S784">_xlfn.IFS(Q784 ="Fortnightly",14,Q784="Weekly",7,Q784="Monthly",30,Q784="Quarterly",90,Q784="Bi-Weekly",14,Q784="Annually",365,Q784="Every 3 Months",90,TRUE,"NOT FOUND")</f>
        <v>7</v>
      </c>
    </row>
    <row r="785" spans="1:19" x14ac:dyDescent="0.35">
      <c r="A785">
        <v>784</v>
      </c>
      <c r="B785">
        <v>63</v>
      </c>
      <c r="C785" t="s">
        <v>7</v>
      </c>
      <c r="D785" t="s">
        <v>101</v>
      </c>
      <c r="E785" t="s">
        <v>9</v>
      </c>
      <c r="F785">
        <v>65</v>
      </c>
      <c r="G785" t="s">
        <v>48</v>
      </c>
      <c r="H785" t="s">
        <v>11</v>
      </c>
      <c r="I785" t="s">
        <v>61</v>
      </c>
      <c r="J785" t="s">
        <v>13</v>
      </c>
      <c r="K785">
        <v>4.5</v>
      </c>
      <c r="L785" t="s">
        <v>14</v>
      </c>
      <c r="M785" t="s">
        <v>33</v>
      </c>
      <c r="N785" t="s">
        <v>14</v>
      </c>
      <c r="O785">
        <v>38</v>
      </c>
      <c r="P785" t="s">
        <v>34</v>
      </c>
      <c r="Q785" t="s">
        <v>17</v>
      </c>
      <c r="R785" t="str" cm="1">
        <f t="array" ref="R785">_xlfn.IFS(B785&lt;31,"Young-Adult",B785&lt;41,"Adult",B785&lt;61,"Middle-aged",B785&gt;=61,"Senior")</f>
        <v>Senior</v>
      </c>
      <c r="S785" cm="1">
        <f t="array" ref="S785">_xlfn.IFS(Q785 ="Fortnightly",14,Q785="Weekly",7,Q785="Monthly",30,Q785="Quarterly",90,Q785="Bi-Weekly",14,Q785="Annually",365,Q785="Every 3 Months",90,TRUE,"NOT FOUND")</f>
        <v>14</v>
      </c>
    </row>
    <row r="786" spans="1:19" x14ac:dyDescent="0.35">
      <c r="A786">
        <v>785</v>
      </c>
      <c r="B786">
        <v>31</v>
      </c>
      <c r="C786" t="s">
        <v>7</v>
      </c>
      <c r="D786" t="s">
        <v>22</v>
      </c>
      <c r="E786" t="s">
        <v>9</v>
      </c>
      <c r="F786">
        <v>72</v>
      </c>
      <c r="G786" t="s">
        <v>78</v>
      </c>
      <c r="H786" t="s">
        <v>32</v>
      </c>
      <c r="I786" t="s">
        <v>88</v>
      </c>
      <c r="J786" t="s">
        <v>13</v>
      </c>
      <c r="K786">
        <v>3.2</v>
      </c>
      <c r="L786" t="s">
        <v>14</v>
      </c>
      <c r="M786" t="s">
        <v>62</v>
      </c>
      <c r="N786" t="s">
        <v>14</v>
      </c>
      <c r="O786">
        <v>41</v>
      </c>
      <c r="P786" t="s">
        <v>63</v>
      </c>
      <c r="Q786" t="s">
        <v>85</v>
      </c>
      <c r="R786" t="str" cm="1">
        <f t="array" ref="R786">_xlfn.IFS(B786&lt;31,"Young-Adult",B786&lt;41,"Adult",B786&lt;61,"Middle-aged",B786&gt;=61,"Senior")</f>
        <v>Adult</v>
      </c>
      <c r="S786" cm="1">
        <f t="array" ref="S786">_xlfn.IFS(Q786 ="Fortnightly",14,Q786="Weekly",7,Q786="Monthly",30,Q786="Quarterly",90,Q786="Bi-Weekly",14,Q786="Annually",365,Q786="Every 3 Months",90,TRUE,"NOT FOUND")</f>
        <v>90</v>
      </c>
    </row>
    <row r="787" spans="1:19" x14ac:dyDescent="0.35">
      <c r="A787">
        <v>786</v>
      </c>
      <c r="B787">
        <v>46</v>
      </c>
      <c r="C787" t="s">
        <v>7</v>
      </c>
      <c r="D787" t="s">
        <v>47</v>
      </c>
      <c r="E787" t="s">
        <v>9</v>
      </c>
      <c r="F787">
        <v>62</v>
      </c>
      <c r="G787" t="s">
        <v>48</v>
      </c>
      <c r="H787" t="s">
        <v>24</v>
      </c>
      <c r="I787" t="s">
        <v>61</v>
      </c>
      <c r="J787" t="s">
        <v>25</v>
      </c>
      <c r="K787">
        <v>4</v>
      </c>
      <c r="L787" t="s">
        <v>14</v>
      </c>
      <c r="M787" t="s">
        <v>33</v>
      </c>
      <c r="N787" t="s">
        <v>14</v>
      </c>
      <c r="O787">
        <v>37</v>
      </c>
      <c r="P787" t="s">
        <v>34</v>
      </c>
      <c r="Q787" t="s">
        <v>17</v>
      </c>
      <c r="R787" t="str" cm="1">
        <f t="array" ref="R787">_xlfn.IFS(B787&lt;31,"Young-Adult",B787&lt;41,"Adult",B787&lt;61,"Middle-aged",B787&gt;=61,"Senior")</f>
        <v>Middle-aged</v>
      </c>
      <c r="S787" cm="1">
        <f t="array" ref="S787">_xlfn.IFS(Q787 ="Fortnightly",14,Q787="Weekly",7,Q787="Monthly",30,Q787="Quarterly",90,Q787="Bi-Weekly",14,Q787="Annually",365,Q787="Every 3 Months",90,TRUE,"NOT FOUND")</f>
        <v>14</v>
      </c>
    </row>
    <row r="788" spans="1:19" x14ac:dyDescent="0.35">
      <c r="A788">
        <v>787</v>
      </c>
      <c r="B788">
        <v>70</v>
      </c>
      <c r="C788" t="s">
        <v>7</v>
      </c>
      <c r="D788" t="s">
        <v>112</v>
      </c>
      <c r="E788" t="s">
        <v>55</v>
      </c>
      <c r="F788">
        <v>21</v>
      </c>
      <c r="G788" t="s">
        <v>104</v>
      </c>
      <c r="H788" t="s">
        <v>24</v>
      </c>
      <c r="I788" t="s">
        <v>73</v>
      </c>
      <c r="J788" t="s">
        <v>13</v>
      </c>
      <c r="K788">
        <v>4.8</v>
      </c>
      <c r="L788" t="s">
        <v>14</v>
      </c>
      <c r="M788" t="s">
        <v>15</v>
      </c>
      <c r="N788" t="s">
        <v>14</v>
      </c>
      <c r="O788">
        <v>16</v>
      </c>
      <c r="P788" t="s">
        <v>63</v>
      </c>
      <c r="Q788" t="s">
        <v>85</v>
      </c>
      <c r="R788" t="str" cm="1">
        <f t="array" ref="R788">_xlfn.IFS(B788&lt;31,"Young-Adult",B788&lt;41,"Adult",B788&lt;61,"Middle-aged",B788&gt;=61,"Senior")</f>
        <v>Senior</v>
      </c>
      <c r="S788" cm="1">
        <f t="array" ref="S788">_xlfn.IFS(Q788 ="Fortnightly",14,Q788="Weekly",7,Q788="Monthly",30,Q788="Quarterly",90,Q788="Bi-Weekly",14,Q788="Annually",365,Q788="Every 3 Months",90,TRUE,"NOT FOUND")</f>
        <v>90</v>
      </c>
    </row>
    <row r="789" spans="1:19" x14ac:dyDescent="0.35">
      <c r="A789">
        <v>788</v>
      </c>
      <c r="B789">
        <v>53</v>
      </c>
      <c r="C789" t="s">
        <v>7</v>
      </c>
      <c r="D789" t="s">
        <v>54</v>
      </c>
      <c r="E789" t="s">
        <v>55</v>
      </c>
      <c r="F789">
        <v>85</v>
      </c>
      <c r="G789" t="s">
        <v>139</v>
      </c>
      <c r="H789" t="s">
        <v>24</v>
      </c>
      <c r="I789" t="s">
        <v>84</v>
      </c>
      <c r="J789" t="s">
        <v>25</v>
      </c>
      <c r="K789">
        <v>3.7</v>
      </c>
      <c r="L789" t="s">
        <v>14</v>
      </c>
      <c r="M789" t="s">
        <v>26</v>
      </c>
      <c r="N789" t="s">
        <v>14</v>
      </c>
      <c r="O789">
        <v>25</v>
      </c>
      <c r="P789" t="s">
        <v>16</v>
      </c>
      <c r="Q789" t="s">
        <v>28</v>
      </c>
      <c r="R789" t="str" cm="1">
        <f t="array" ref="R789">_xlfn.IFS(B789&lt;31,"Young-Adult",B789&lt;41,"Adult",B789&lt;61,"Middle-aged",B789&gt;=61,"Senior")</f>
        <v>Middle-aged</v>
      </c>
      <c r="S789" cm="1">
        <f t="array" ref="S789">_xlfn.IFS(Q789 ="Fortnightly",14,Q789="Weekly",7,Q789="Monthly",30,Q789="Quarterly",90,Q789="Bi-Weekly",14,Q789="Annually",365,Q789="Every 3 Months",90,TRUE,"NOT FOUND")</f>
        <v>7</v>
      </c>
    </row>
    <row r="790" spans="1:19" x14ac:dyDescent="0.35">
      <c r="A790">
        <v>789</v>
      </c>
      <c r="B790">
        <v>50</v>
      </c>
      <c r="C790" t="s">
        <v>7</v>
      </c>
      <c r="D790" t="s">
        <v>83</v>
      </c>
      <c r="E790" t="s">
        <v>9</v>
      </c>
      <c r="F790">
        <v>51</v>
      </c>
      <c r="G790" t="s">
        <v>31</v>
      </c>
      <c r="H790" t="s">
        <v>80</v>
      </c>
      <c r="I790" t="s">
        <v>122</v>
      </c>
      <c r="J790" t="s">
        <v>41</v>
      </c>
      <c r="K790">
        <v>3.8</v>
      </c>
      <c r="L790" t="s">
        <v>14</v>
      </c>
      <c r="M790" t="s">
        <v>62</v>
      </c>
      <c r="N790" t="s">
        <v>14</v>
      </c>
      <c r="O790">
        <v>18</v>
      </c>
      <c r="P790" t="s">
        <v>63</v>
      </c>
      <c r="Q790" t="s">
        <v>46</v>
      </c>
      <c r="R790" t="str" cm="1">
        <f t="array" ref="R790">_xlfn.IFS(B790&lt;31,"Young-Adult",B790&lt;41,"Adult",B790&lt;61,"Middle-aged",B790&gt;=61,"Senior")</f>
        <v>Middle-aged</v>
      </c>
      <c r="S790" cm="1">
        <f t="array" ref="S790">_xlfn.IFS(Q790 ="Fortnightly",14,Q790="Weekly",7,Q790="Monthly",30,Q790="Quarterly",90,Q790="Bi-Weekly",14,Q790="Annually",365,Q790="Every 3 Months",90,TRUE,"NOT FOUND")</f>
        <v>90</v>
      </c>
    </row>
    <row r="791" spans="1:19" x14ac:dyDescent="0.35">
      <c r="A791">
        <v>790</v>
      </c>
      <c r="B791">
        <v>33</v>
      </c>
      <c r="C791" t="s">
        <v>7</v>
      </c>
      <c r="D791" t="s">
        <v>54</v>
      </c>
      <c r="E791" t="s">
        <v>55</v>
      </c>
      <c r="F791">
        <v>84</v>
      </c>
      <c r="G791" t="s">
        <v>123</v>
      </c>
      <c r="H791" t="s">
        <v>24</v>
      </c>
      <c r="I791" t="s">
        <v>61</v>
      </c>
      <c r="J791" t="s">
        <v>45</v>
      </c>
      <c r="K791">
        <v>2.7</v>
      </c>
      <c r="L791" t="s">
        <v>14</v>
      </c>
      <c r="M791" t="s">
        <v>42</v>
      </c>
      <c r="N791" t="s">
        <v>14</v>
      </c>
      <c r="O791">
        <v>4</v>
      </c>
      <c r="P791" t="s">
        <v>27</v>
      </c>
      <c r="Q791" t="s">
        <v>64</v>
      </c>
      <c r="R791" t="str" cm="1">
        <f t="array" ref="R791">_xlfn.IFS(B791&lt;31,"Young-Adult",B791&lt;41,"Adult",B791&lt;61,"Middle-aged",B791&gt;=61,"Senior")</f>
        <v>Adult</v>
      </c>
      <c r="S791" cm="1">
        <f t="array" ref="S791">_xlfn.IFS(Q791 ="Fortnightly",14,Q791="Weekly",7,Q791="Monthly",30,Q791="Quarterly",90,Q791="Bi-Weekly",14,Q791="Annually",365,Q791="Every 3 Months",90,TRUE,"NOT FOUND")</f>
        <v>14</v>
      </c>
    </row>
    <row r="792" spans="1:19" x14ac:dyDescent="0.35">
      <c r="A792">
        <v>791</v>
      </c>
      <c r="B792">
        <v>22</v>
      </c>
      <c r="C792" t="s">
        <v>7</v>
      </c>
      <c r="D792" t="s">
        <v>18</v>
      </c>
      <c r="E792" t="s">
        <v>9</v>
      </c>
      <c r="F792">
        <v>37</v>
      </c>
      <c r="G792" t="s">
        <v>48</v>
      </c>
      <c r="H792" t="s">
        <v>32</v>
      </c>
      <c r="I792" t="s">
        <v>114</v>
      </c>
      <c r="J792" t="s">
        <v>41</v>
      </c>
      <c r="K792">
        <v>4.9000000000000004</v>
      </c>
      <c r="L792" t="s">
        <v>14</v>
      </c>
      <c r="M792" t="s">
        <v>62</v>
      </c>
      <c r="N792" t="s">
        <v>14</v>
      </c>
      <c r="O792">
        <v>12</v>
      </c>
      <c r="P792" t="s">
        <v>63</v>
      </c>
      <c r="Q792" t="s">
        <v>46</v>
      </c>
      <c r="R792" t="str" cm="1">
        <f t="array" ref="R792">_xlfn.IFS(B792&lt;31,"Young-Adult",B792&lt;41,"Adult",B792&lt;61,"Middle-aged",B792&gt;=61,"Senior")</f>
        <v>Young-Adult</v>
      </c>
      <c r="S792" cm="1">
        <f t="array" ref="S792">_xlfn.IFS(Q792 ="Fortnightly",14,Q792="Weekly",7,Q792="Monthly",30,Q792="Quarterly",90,Q792="Bi-Weekly",14,Q792="Annually",365,Q792="Every 3 Months",90,TRUE,"NOT FOUND")</f>
        <v>90</v>
      </c>
    </row>
    <row r="793" spans="1:19" x14ac:dyDescent="0.35">
      <c r="A793">
        <v>792</v>
      </c>
      <c r="B793">
        <v>50</v>
      </c>
      <c r="C793" t="s">
        <v>7</v>
      </c>
      <c r="D793" t="s">
        <v>107</v>
      </c>
      <c r="E793" t="s">
        <v>55</v>
      </c>
      <c r="F793">
        <v>44</v>
      </c>
      <c r="G793" t="s">
        <v>86</v>
      </c>
      <c r="H793" t="s">
        <v>24</v>
      </c>
      <c r="I793" t="s">
        <v>124</v>
      </c>
      <c r="J793" t="s">
        <v>41</v>
      </c>
      <c r="K793">
        <v>3.1</v>
      </c>
      <c r="L793" t="s">
        <v>14</v>
      </c>
      <c r="M793" t="s">
        <v>58</v>
      </c>
      <c r="N793" t="s">
        <v>14</v>
      </c>
      <c r="O793">
        <v>35</v>
      </c>
      <c r="P793" t="s">
        <v>34</v>
      </c>
      <c r="Q793" t="s">
        <v>17</v>
      </c>
      <c r="R793" t="str" cm="1">
        <f t="array" ref="R793">_xlfn.IFS(B793&lt;31,"Young-Adult",B793&lt;41,"Adult",B793&lt;61,"Middle-aged",B793&gt;=61,"Senior")</f>
        <v>Middle-aged</v>
      </c>
      <c r="S793" cm="1">
        <f t="array" ref="S793">_xlfn.IFS(Q793 ="Fortnightly",14,Q793="Weekly",7,Q793="Monthly",30,Q793="Quarterly",90,Q793="Bi-Weekly",14,Q793="Annually",365,Q793="Every 3 Months",90,TRUE,"NOT FOUND")</f>
        <v>14</v>
      </c>
    </row>
    <row r="794" spans="1:19" x14ac:dyDescent="0.35">
      <c r="A794">
        <v>793</v>
      </c>
      <c r="B794">
        <v>34</v>
      </c>
      <c r="C794" t="s">
        <v>7</v>
      </c>
      <c r="D794" t="s">
        <v>38</v>
      </c>
      <c r="E794" t="s">
        <v>30</v>
      </c>
      <c r="F794">
        <v>45</v>
      </c>
      <c r="G794" t="s">
        <v>115</v>
      </c>
      <c r="H794" t="s">
        <v>32</v>
      </c>
      <c r="I794" t="s">
        <v>71</v>
      </c>
      <c r="J794" t="s">
        <v>25</v>
      </c>
      <c r="K794">
        <v>4.2</v>
      </c>
      <c r="L794" t="s">
        <v>14</v>
      </c>
      <c r="M794" t="s">
        <v>33</v>
      </c>
      <c r="N794" t="s">
        <v>14</v>
      </c>
      <c r="O794">
        <v>45</v>
      </c>
      <c r="P794" t="s">
        <v>16</v>
      </c>
      <c r="Q794" t="s">
        <v>28</v>
      </c>
      <c r="R794" t="str" cm="1">
        <f t="array" ref="R794">_xlfn.IFS(B794&lt;31,"Young-Adult",B794&lt;41,"Adult",B794&lt;61,"Middle-aged",B794&gt;=61,"Senior")</f>
        <v>Adult</v>
      </c>
      <c r="S794" cm="1">
        <f t="array" ref="S794">_xlfn.IFS(Q794 ="Fortnightly",14,Q794="Weekly",7,Q794="Monthly",30,Q794="Quarterly",90,Q794="Bi-Weekly",14,Q794="Annually",365,Q794="Every 3 Months",90,TRUE,"NOT FOUND")</f>
        <v>7</v>
      </c>
    </row>
    <row r="795" spans="1:19" x14ac:dyDescent="0.35">
      <c r="A795">
        <v>794</v>
      </c>
      <c r="B795">
        <v>24</v>
      </c>
      <c r="C795" t="s">
        <v>7</v>
      </c>
      <c r="D795" t="s">
        <v>83</v>
      </c>
      <c r="E795" t="s">
        <v>9</v>
      </c>
      <c r="F795">
        <v>35</v>
      </c>
      <c r="G795" t="s">
        <v>78</v>
      </c>
      <c r="H795" t="s">
        <v>11</v>
      </c>
      <c r="I795" t="s">
        <v>20</v>
      </c>
      <c r="J795" t="s">
        <v>41</v>
      </c>
      <c r="K795">
        <v>3.8</v>
      </c>
      <c r="L795" t="s">
        <v>14</v>
      </c>
      <c r="M795" t="s">
        <v>26</v>
      </c>
      <c r="N795" t="s">
        <v>14</v>
      </c>
      <c r="O795">
        <v>16</v>
      </c>
      <c r="P795" t="s">
        <v>27</v>
      </c>
      <c r="Q795" t="s">
        <v>76</v>
      </c>
      <c r="R795" t="str" cm="1">
        <f t="array" ref="R795">_xlfn.IFS(B795&lt;31,"Young-Adult",B795&lt;41,"Adult",B795&lt;61,"Middle-aged",B795&gt;=61,"Senior")</f>
        <v>Young-Adult</v>
      </c>
      <c r="S795" cm="1">
        <f t="array" ref="S795">_xlfn.IFS(Q795 ="Fortnightly",14,Q795="Weekly",7,Q795="Monthly",30,Q795="Quarterly",90,Q795="Bi-Weekly",14,Q795="Annually",365,Q795="Every 3 Months",90,TRUE,"NOT FOUND")</f>
        <v>30</v>
      </c>
    </row>
    <row r="796" spans="1:19" x14ac:dyDescent="0.35">
      <c r="A796">
        <v>795</v>
      </c>
      <c r="B796">
        <v>69</v>
      </c>
      <c r="C796" t="s">
        <v>7</v>
      </c>
      <c r="D796" t="s">
        <v>120</v>
      </c>
      <c r="E796" t="s">
        <v>55</v>
      </c>
      <c r="F796">
        <v>50</v>
      </c>
      <c r="G796" t="s">
        <v>10</v>
      </c>
      <c r="H796" t="s">
        <v>80</v>
      </c>
      <c r="I796" t="s">
        <v>122</v>
      </c>
      <c r="J796" t="s">
        <v>13</v>
      </c>
      <c r="K796">
        <v>4.2</v>
      </c>
      <c r="L796" t="s">
        <v>14</v>
      </c>
      <c r="M796" t="s">
        <v>62</v>
      </c>
      <c r="N796" t="s">
        <v>14</v>
      </c>
      <c r="O796">
        <v>10</v>
      </c>
      <c r="P796" t="s">
        <v>74</v>
      </c>
      <c r="Q796" t="s">
        <v>17</v>
      </c>
      <c r="R796" t="str" cm="1">
        <f t="array" ref="R796">_xlfn.IFS(B796&lt;31,"Young-Adult",B796&lt;41,"Adult",B796&lt;61,"Middle-aged",B796&gt;=61,"Senior")</f>
        <v>Senior</v>
      </c>
      <c r="S796" cm="1">
        <f t="array" ref="S796">_xlfn.IFS(Q796 ="Fortnightly",14,Q796="Weekly",7,Q796="Monthly",30,Q796="Quarterly",90,Q796="Bi-Weekly",14,Q796="Annually",365,Q796="Every 3 Months",90,TRUE,"NOT FOUND")</f>
        <v>14</v>
      </c>
    </row>
    <row r="797" spans="1:19" x14ac:dyDescent="0.35">
      <c r="A797">
        <v>796</v>
      </c>
      <c r="B797">
        <v>39</v>
      </c>
      <c r="C797" t="s">
        <v>7</v>
      </c>
      <c r="D797" t="s">
        <v>29</v>
      </c>
      <c r="E797" t="s">
        <v>30</v>
      </c>
      <c r="F797">
        <v>26</v>
      </c>
      <c r="G797" t="s">
        <v>72</v>
      </c>
      <c r="H797" t="s">
        <v>32</v>
      </c>
      <c r="I797" t="s">
        <v>106</v>
      </c>
      <c r="J797" t="s">
        <v>41</v>
      </c>
      <c r="K797">
        <v>4.5999999999999996</v>
      </c>
      <c r="L797" t="s">
        <v>14</v>
      </c>
      <c r="M797" t="s">
        <v>62</v>
      </c>
      <c r="N797" t="s">
        <v>14</v>
      </c>
      <c r="O797">
        <v>34</v>
      </c>
      <c r="P797" t="s">
        <v>16</v>
      </c>
      <c r="Q797" t="s">
        <v>37</v>
      </c>
      <c r="R797" t="str" cm="1">
        <f t="array" ref="R797">_xlfn.IFS(B797&lt;31,"Young-Adult",B797&lt;41,"Adult",B797&lt;61,"Middle-aged",B797&gt;=61,"Senior")</f>
        <v>Adult</v>
      </c>
      <c r="S797" cm="1">
        <f t="array" ref="S797">_xlfn.IFS(Q797 ="Fortnightly",14,Q797="Weekly",7,Q797="Monthly",30,Q797="Quarterly",90,Q797="Bi-Weekly",14,Q797="Annually",365,Q797="Every 3 Months",90,TRUE,"NOT FOUND")</f>
        <v>365</v>
      </c>
    </row>
    <row r="798" spans="1:19" x14ac:dyDescent="0.35">
      <c r="A798">
        <v>797</v>
      </c>
      <c r="B798">
        <v>42</v>
      </c>
      <c r="C798" t="s">
        <v>7</v>
      </c>
      <c r="D798" t="s">
        <v>113</v>
      </c>
      <c r="E798" t="s">
        <v>9</v>
      </c>
      <c r="F798">
        <v>78</v>
      </c>
      <c r="G798" t="s">
        <v>105</v>
      </c>
      <c r="H798" t="s">
        <v>80</v>
      </c>
      <c r="I798" t="s">
        <v>82</v>
      </c>
      <c r="J798" t="s">
        <v>45</v>
      </c>
      <c r="K798">
        <v>4</v>
      </c>
      <c r="L798" t="s">
        <v>14</v>
      </c>
      <c r="M798" t="s">
        <v>58</v>
      </c>
      <c r="N798" t="s">
        <v>14</v>
      </c>
      <c r="O798">
        <v>43</v>
      </c>
      <c r="P798" t="s">
        <v>27</v>
      </c>
      <c r="Q798" t="s">
        <v>37</v>
      </c>
      <c r="R798" t="str" cm="1">
        <f t="array" ref="R798">_xlfn.IFS(B798&lt;31,"Young-Adult",B798&lt;41,"Adult",B798&lt;61,"Middle-aged",B798&gt;=61,"Senior")</f>
        <v>Middle-aged</v>
      </c>
      <c r="S798" cm="1">
        <f t="array" ref="S798">_xlfn.IFS(Q798 ="Fortnightly",14,Q798="Weekly",7,Q798="Monthly",30,Q798="Quarterly",90,Q798="Bi-Weekly",14,Q798="Annually",365,Q798="Every 3 Months",90,TRUE,"NOT FOUND")</f>
        <v>365</v>
      </c>
    </row>
    <row r="799" spans="1:19" x14ac:dyDescent="0.35">
      <c r="A799">
        <v>798</v>
      </c>
      <c r="B799">
        <v>42</v>
      </c>
      <c r="C799" t="s">
        <v>7</v>
      </c>
      <c r="D799" t="s">
        <v>50</v>
      </c>
      <c r="E799" t="s">
        <v>51</v>
      </c>
      <c r="F799">
        <v>82</v>
      </c>
      <c r="G799" t="s">
        <v>116</v>
      </c>
      <c r="H799" t="s">
        <v>32</v>
      </c>
      <c r="I799" t="s">
        <v>71</v>
      </c>
      <c r="J799" t="s">
        <v>45</v>
      </c>
      <c r="K799">
        <v>4</v>
      </c>
      <c r="L799" t="s">
        <v>14</v>
      </c>
      <c r="M799" t="s">
        <v>58</v>
      </c>
      <c r="N799" t="s">
        <v>14</v>
      </c>
      <c r="O799">
        <v>38</v>
      </c>
      <c r="P799" t="s">
        <v>74</v>
      </c>
      <c r="Q799" t="s">
        <v>28</v>
      </c>
      <c r="R799" t="str" cm="1">
        <f t="array" ref="R799">_xlfn.IFS(B799&lt;31,"Young-Adult",B799&lt;41,"Adult",B799&lt;61,"Middle-aged",B799&gt;=61,"Senior")</f>
        <v>Middle-aged</v>
      </c>
      <c r="S799" cm="1">
        <f t="array" ref="S799">_xlfn.IFS(Q799 ="Fortnightly",14,Q799="Weekly",7,Q799="Monthly",30,Q799="Quarterly",90,Q799="Bi-Weekly",14,Q799="Annually",365,Q799="Every 3 Months",90,TRUE,"NOT FOUND")</f>
        <v>7</v>
      </c>
    </row>
    <row r="800" spans="1:19" x14ac:dyDescent="0.35">
      <c r="A800">
        <v>799</v>
      </c>
      <c r="B800">
        <v>29</v>
      </c>
      <c r="C800" t="s">
        <v>7</v>
      </c>
      <c r="D800" t="s">
        <v>113</v>
      </c>
      <c r="E800" t="s">
        <v>9</v>
      </c>
      <c r="F800">
        <v>39</v>
      </c>
      <c r="G800" t="s">
        <v>108</v>
      </c>
      <c r="H800" t="s">
        <v>32</v>
      </c>
      <c r="I800" t="s">
        <v>71</v>
      </c>
      <c r="J800" t="s">
        <v>25</v>
      </c>
      <c r="K800">
        <v>3.8</v>
      </c>
      <c r="L800" t="s">
        <v>14</v>
      </c>
      <c r="M800" t="s">
        <v>58</v>
      </c>
      <c r="N800" t="s">
        <v>14</v>
      </c>
      <c r="O800">
        <v>48</v>
      </c>
      <c r="P800" t="s">
        <v>34</v>
      </c>
      <c r="Q800" t="s">
        <v>85</v>
      </c>
      <c r="R800" t="str" cm="1">
        <f t="array" ref="R800">_xlfn.IFS(B800&lt;31,"Young-Adult",B800&lt;41,"Adult",B800&lt;61,"Middle-aged",B800&gt;=61,"Senior")</f>
        <v>Young-Adult</v>
      </c>
      <c r="S800" cm="1">
        <f t="array" ref="S800">_xlfn.IFS(Q800 ="Fortnightly",14,Q800="Weekly",7,Q800="Monthly",30,Q800="Quarterly",90,Q800="Bi-Weekly",14,Q800="Annually",365,Q800="Every 3 Months",90,TRUE,"NOT FOUND")</f>
        <v>90</v>
      </c>
    </row>
    <row r="801" spans="1:19" x14ac:dyDescent="0.35">
      <c r="A801">
        <v>800</v>
      </c>
      <c r="B801">
        <v>55</v>
      </c>
      <c r="C801" t="s">
        <v>7</v>
      </c>
      <c r="D801" t="s">
        <v>121</v>
      </c>
      <c r="E801" t="s">
        <v>55</v>
      </c>
      <c r="F801">
        <v>55</v>
      </c>
      <c r="G801" t="s">
        <v>95</v>
      </c>
      <c r="H801" t="s">
        <v>11</v>
      </c>
      <c r="I801" t="s">
        <v>98</v>
      </c>
      <c r="J801" t="s">
        <v>41</v>
      </c>
      <c r="K801">
        <v>3.8</v>
      </c>
      <c r="L801" t="s">
        <v>14</v>
      </c>
      <c r="M801" t="s">
        <v>26</v>
      </c>
      <c r="N801" t="s">
        <v>14</v>
      </c>
      <c r="O801">
        <v>31</v>
      </c>
      <c r="P801" t="s">
        <v>34</v>
      </c>
      <c r="Q801" t="s">
        <v>37</v>
      </c>
      <c r="R801" t="str" cm="1">
        <f t="array" ref="R801">_xlfn.IFS(B801&lt;31,"Young-Adult",B801&lt;41,"Adult",B801&lt;61,"Middle-aged",B801&gt;=61,"Senior")</f>
        <v>Middle-aged</v>
      </c>
      <c r="S801" cm="1">
        <f t="array" ref="S801">_xlfn.IFS(Q801 ="Fortnightly",14,Q801="Weekly",7,Q801="Monthly",30,Q801="Quarterly",90,Q801="Bi-Weekly",14,Q801="Annually",365,Q801="Every 3 Months",90,TRUE,"NOT FOUND")</f>
        <v>365</v>
      </c>
    </row>
    <row r="802" spans="1:19" x14ac:dyDescent="0.35">
      <c r="A802">
        <v>801</v>
      </c>
      <c r="B802">
        <v>32</v>
      </c>
      <c r="C802" t="s">
        <v>7</v>
      </c>
      <c r="D802" t="s">
        <v>113</v>
      </c>
      <c r="E802" t="s">
        <v>9</v>
      </c>
      <c r="F802">
        <v>20</v>
      </c>
      <c r="G802" t="s">
        <v>128</v>
      </c>
      <c r="H802" t="s">
        <v>24</v>
      </c>
      <c r="I802" t="s">
        <v>68</v>
      </c>
      <c r="J802" t="s">
        <v>41</v>
      </c>
      <c r="K802">
        <v>2.6</v>
      </c>
      <c r="L802" t="s">
        <v>14</v>
      </c>
      <c r="M802" t="s">
        <v>26</v>
      </c>
      <c r="N802" t="s">
        <v>14</v>
      </c>
      <c r="O802">
        <v>20</v>
      </c>
      <c r="P802" t="s">
        <v>21</v>
      </c>
      <c r="Q802" t="s">
        <v>85</v>
      </c>
      <c r="R802" t="str" cm="1">
        <f t="array" ref="R802">_xlfn.IFS(B802&lt;31,"Young-Adult",B802&lt;41,"Adult",B802&lt;61,"Middle-aged",B802&gt;=61,"Senior")</f>
        <v>Adult</v>
      </c>
      <c r="S802" cm="1">
        <f t="array" ref="S802">_xlfn.IFS(Q802 ="Fortnightly",14,Q802="Weekly",7,Q802="Monthly",30,Q802="Quarterly",90,Q802="Bi-Weekly",14,Q802="Annually",365,Q802="Every 3 Months",90,TRUE,"NOT FOUND")</f>
        <v>90</v>
      </c>
    </row>
    <row r="803" spans="1:19" x14ac:dyDescent="0.35">
      <c r="A803">
        <v>802</v>
      </c>
      <c r="B803">
        <v>25</v>
      </c>
      <c r="C803" t="s">
        <v>7</v>
      </c>
      <c r="D803" t="s">
        <v>121</v>
      </c>
      <c r="E803" t="s">
        <v>55</v>
      </c>
      <c r="F803">
        <v>29</v>
      </c>
      <c r="G803" t="s">
        <v>118</v>
      </c>
      <c r="H803" t="s">
        <v>11</v>
      </c>
      <c r="I803" t="s">
        <v>132</v>
      </c>
      <c r="J803" t="s">
        <v>45</v>
      </c>
      <c r="K803">
        <v>4.9000000000000004</v>
      </c>
      <c r="L803" t="s">
        <v>14</v>
      </c>
      <c r="M803" t="s">
        <v>15</v>
      </c>
      <c r="N803" t="s">
        <v>14</v>
      </c>
      <c r="O803">
        <v>12</v>
      </c>
      <c r="P803" t="s">
        <v>27</v>
      </c>
      <c r="Q803" t="s">
        <v>17</v>
      </c>
      <c r="R803" t="str" cm="1">
        <f t="array" ref="R803">_xlfn.IFS(B803&lt;31,"Young-Adult",B803&lt;41,"Adult",B803&lt;61,"Middle-aged",B803&gt;=61,"Senior")</f>
        <v>Young-Adult</v>
      </c>
      <c r="S803" cm="1">
        <f t="array" ref="S803">_xlfn.IFS(Q803 ="Fortnightly",14,Q803="Weekly",7,Q803="Monthly",30,Q803="Quarterly",90,Q803="Bi-Weekly",14,Q803="Annually",365,Q803="Every 3 Months",90,TRUE,"NOT FOUND")</f>
        <v>14</v>
      </c>
    </row>
    <row r="804" spans="1:19" x14ac:dyDescent="0.35">
      <c r="A804">
        <v>803</v>
      </c>
      <c r="B804">
        <v>38</v>
      </c>
      <c r="C804" t="s">
        <v>7</v>
      </c>
      <c r="D804" t="s">
        <v>83</v>
      </c>
      <c r="E804" t="s">
        <v>9</v>
      </c>
      <c r="F804">
        <v>41</v>
      </c>
      <c r="G804" t="s">
        <v>67</v>
      </c>
      <c r="H804" t="s">
        <v>32</v>
      </c>
      <c r="I804" t="s">
        <v>73</v>
      </c>
      <c r="J804" t="s">
        <v>13</v>
      </c>
      <c r="K804">
        <v>3.5</v>
      </c>
      <c r="L804" t="s">
        <v>14</v>
      </c>
      <c r="M804" t="s">
        <v>33</v>
      </c>
      <c r="N804" t="s">
        <v>14</v>
      </c>
      <c r="O804">
        <v>2</v>
      </c>
      <c r="P804" t="s">
        <v>63</v>
      </c>
      <c r="Q804" t="s">
        <v>28</v>
      </c>
      <c r="R804" t="str" cm="1">
        <f t="array" ref="R804">_xlfn.IFS(B804&lt;31,"Young-Adult",B804&lt;41,"Adult",B804&lt;61,"Middle-aged",B804&gt;=61,"Senior")</f>
        <v>Adult</v>
      </c>
      <c r="S804" cm="1">
        <f t="array" ref="S804">_xlfn.IFS(Q804 ="Fortnightly",14,Q804="Weekly",7,Q804="Monthly",30,Q804="Quarterly",90,Q804="Bi-Weekly",14,Q804="Annually",365,Q804="Every 3 Months",90,TRUE,"NOT FOUND")</f>
        <v>7</v>
      </c>
    </row>
    <row r="805" spans="1:19" x14ac:dyDescent="0.35">
      <c r="A805">
        <v>804</v>
      </c>
      <c r="B805">
        <v>32</v>
      </c>
      <c r="C805" t="s">
        <v>7</v>
      </c>
      <c r="D805" t="s">
        <v>47</v>
      </c>
      <c r="E805" t="s">
        <v>9</v>
      </c>
      <c r="F805">
        <v>38</v>
      </c>
      <c r="G805" t="s">
        <v>127</v>
      </c>
      <c r="H805" t="s">
        <v>11</v>
      </c>
      <c r="I805" t="s">
        <v>53</v>
      </c>
      <c r="J805" t="s">
        <v>13</v>
      </c>
      <c r="K805">
        <v>2.8</v>
      </c>
      <c r="L805" t="s">
        <v>14</v>
      </c>
      <c r="M805" t="s">
        <v>15</v>
      </c>
      <c r="N805" t="s">
        <v>14</v>
      </c>
      <c r="O805">
        <v>30</v>
      </c>
      <c r="P805" t="s">
        <v>16</v>
      </c>
      <c r="Q805" t="s">
        <v>85</v>
      </c>
      <c r="R805" t="str" cm="1">
        <f t="array" ref="R805">_xlfn.IFS(B805&lt;31,"Young-Adult",B805&lt;41,"Adult",B805&lt;61,"Middle-aged",B805&gt;=61,"Senior")</f>
        <v>Adult</v>
      </c>
      <c r="S805" cm="1">
        <f t="array" ref="S805">_xlfn.IFS(Q805 ="Fortnightly",14,Q805="Weekly",7,Q805="Monthly",30,Q805="Quarterly",90,Q805="Bi-Weekly",14,Q805="Annually",365,Q805="Every 3 Months",90,TRUE,"NOT FOUND")</f>
        <v>90</v>
      </c>
    </row>
    <row r="806" spans="1:19" x14ac:dyDescent="0.35">
      <c r="A806">
        <v>805</v>
      </c>
      <c r="B806">
        <v>43</v>
      </c>
      <c r="C806" t="s">
        <v>7</v>
      </c>
      <c r="D806" t="s">
        <v>125</v>
      </c>
      <c r="E806" t="s">
        <v>30</v>
      </c>
      <c r="F806">
        <v>47</v>
      </c>
      <c r="G806" t="s">
        <v>79</v>
      </c>
      <c r="H806" t="s">
        <v>32</v>
      </c>
      <c r="I806" t="s">
        <v>20</v>
      </c>
      <c r="J806" t="s">
        <v>41</v>
      </c>
      <c r="K806">
        <v>2.6</v>
      </c>
      <c r="L806" t="s">
        <v>14</v>
      </c>
      <c r="M806" t="s">
        <v>62</v>
      </c>
      <c r="N806" t="s">
        <v>14</v>
      </c>
      <c r="O806">
        <v>28</v>
      </c>
      <c r="P806" t="s">
        <v>16</v>
      </c>
      <c r="Q806" t="s">
        <v>46</v>
      </c>
      <c r="R806" t="str" cm="1">
        <f t="array" ref="R806">_xlfn.IFS(B806&lt;31,"Young-Adult",B806&lt;41,"Adult",B806&lt;61,"Middle-aged",B806&gt;=61,"Senior")</f>
        <v>Middle-aged</v>
      </c>
      <c r="S806" cm="1">
        <f t="array" ref="S806">_xlfn.IFS(Q806 ="Fortnightly",14,Q806="Weekly",7,Q806="Monthly",30,Q806="Quarterly",90,Q806="Bi-Weekly",14,Q806="Annually",365,Q806="Every 3 Months",90,TRUE,"NOT FOUND")</f>
        <v>90</v>
      </c>
    </row>
    <row r="807" spans="1:19" x14ac:dyDescent="0.35">
      <c r="A807">
        <v>806</v>
      </c>
      <c r="B807">
        <v>41</v>
      </c>
      <c r="C807" t="s">
        <v>7</v>
      </c>
      <c r="D807" t="s">
        <v>69</v>
      </c>
      <c r="E807" t="s">
        <v>9</v>
      </c>
      <c r="F807">
        <v>30</v>
      </c>
      <c r="G807" t="s">
        <v>127</v>
      </c>
      <c r="H807" t="s">
        <v>11</v>
      </c>
      <c r="I807" t="s">
        <v>40</v>
      </c>
      <c r="J807" t="s">
        <v>41</v>
      </c>
      <c r="K807">
        <v>3.7</v>
      </c>
      <c r="L807" t="s">
        <v>14</v>
      </c>
      <c r="M807" t="s">
        <v>33</v>
      </c>
      <c r="N807" t="s">
        <v>14</v>
      </c>
      <c r="O807">
        <v>40</v>
      </c>
      <c r="P807" t="s">
        <v>74</v>
      </c>
      <c r="Q807" t="s">
        <v>76</v>
      </c>
      <c r="R807" t="str" cm="1">
        <f t="array" ref="R807">_xlfn.IFS(B807&lt;31,"Young-Adult",B807&lt;41,"Adult",B807&lt;61,"Middle-aged",B807&gt;=61,"Senior")</f>
        <v>Middle-aged</v>
      </c>
      <c r="S807" cm="1">
        <f t="array" ref="S807">_xlfn.IFS(Q807 ="Fortnightly",14,Q807="Weekly",7,Q807="Monthly",30,Q807="Quarterly",90,Q807="Bi-Weekly",14,Q807="Annually",365,Q807="Every 3 Months",90,TRUE,"NOT FOUND")</f>
        <v>30</v>
      </c>
    </row>
    <row r="808" spans="1:19" x14ac:dyDescent="0.35">
      <c r="A808">
        <v>807</v>
      </c>
      <c r="B808">
        <v>56</v>
      </c>
      <c r="C808" t="s">
        <v>7</v>
      </c>
      <c r="D808" t="s">
        <v>22</v>
      </c>
      <c r="E808" t="s">
        <v>9</v>
      </c>
      <c r="F808">
        <v>56</v>
      </c>
      <c r="G808" t="s">
        <v>91</v>
      </c>
      <c r="H808" t="s">
        <v>11</v>
      </c>
      <c r="I808" t="s">
        <v>49</v>
      </c>
      <c r="J808" t="s">
        <v>41</v>
      </c>
      <c r="K808">
        <v>2.7</v>
      </c>
      <c r="L808" t="s">
        <v>14</v>
      </c>
      <c r="M808" t="s">
        <v>42</v>
      </c>
      <c r="N808" t="s">
        <v>14</v>
      </c>
      <c r="O808">
        <v>46</v>
      </c>
      <c r="P808" t="s">
        <v>34</v>
      </c>
      <c r="Q808" t="s">
        <v>46</v>
      </c>
      <c r="R808" t="str" cm="1">
        <f t="array" ref="R808">_xlfn.IFS(B808&lt;31,"Young-Adult",B808&lt;41,"Adult",B808&lt;61,"Middle-aged",B808&gt;=61,"Senior")</f>
        <v>Middle-aged</v>
      </c>
      <c r="S808" cm="1">
        <f t="array" ref="S808">_xlfn.IFS(Q808 ="Fortnightly",14,Q808="Weekly",7,Q808="Monthly",30,Q808="Quarterly",90,Q808="Bi-Weekly",14,Q808="Annually",365,Q808="Every 3 Months",90,TRUE,"NOT FOUND")</f>
        <v>90</v>
      </c>
    </row>
    <row r="809" spans="1:19" x14ac:dyDescent="0.35">
      <c r="A809">
        <v>808</v>
      </c>
      <c r="B809">
        <v>27</v>
      </c>
      <c r="C809" t="s">
        <v>7</v>
      </c>
      <c r="D809" t="s">
        <v>101</v>
      </c>
      <c r="E809" t="s">
        <v>9</v>
      </c>
      <c r="F809">
        <v>89</v>
      </c>
      <c r="G809" t="s">
        <v>72</v>
      </c>
      <c r="H809" t="s">
        <v>24</v>
      </c>
      <c r="I809" t="s">
        <v>98</v>
      </c>
      <c r="J809" t="s">
        <v>13</v>
      </c>
      <c r="K809">
        <v>3.3</v>
      </c>
      <c r="L809" t="s">
        <v>14</v>
      </c>
      <c r="M809" t="s">
        <v>15</v>
      </c>
      <c r="N809" t="s">
        <v>14</v>
      </c>
      <c r="O809">
        <v>15</v>
      </c>
      <c r="P809" t="s">
        <v>27</v>
      </c>
      <c r="Q809" t="s">
        <v>28</v>
      </c>
      <c r="R809" t="str" cm="1">
        <f t="array" ref="R809">_xlfn.IFS(B809&lt;31,"Young-Adult",B809&lt;41,"Adult",B809&lt;61,"Middle-aged",B809&gt;=61,"Senior")</f>
        <v>Young-Adult</v>
      </c>
      <c r="S809" cm="1">
        <f t="array" ref="S809">_xlfn.IFS(Q809 ="Fortnightly",14,Q809="Weekly",7,Q809="Monthly",30,Q809="Quarterly",90,Q809="Bi-Weekly",14,Q809="Annually",365,Q809="Every 3 Months",90,TRUE,"NOT FOUND")</f>
        <v>7</v>
      </c>
    </row>
    <row r="810" spans="1:19" x14ac:dyDescent="0.35">
      <c r="A810">
        <v>809</v>
      </c>
      <c r="B810">
        <v>46</v>
      </c>
      <c r="C810" t="s">
        <v>7</v>
      </c>
      <c r="D810" t="s">
        <v>59</v>
      </c>
      <c r="E810" t="s">
        <v>30</v>
      </c>
      <c r="F810">
        <v>96</v>
      </c>
      <c r="G810" t="s">
        <v>138</v>
      </c>
      <c r="H810" t="s">
        <v>11</v>
      </c>
      <c r="I810" t="s">
        <v>81</v>
      </c>
      <c r="J810" t="s">
        <v>45</v>
      </c>
      <c r="K810">
        <v>4.5999999999999996</v>
      </c>
      <c r="L810" t="s">
        <v>14</v>
      </c>
      <c r="M810" t="s">
        <v>33</v>
      </c>
      <c r="N810" t="s">
        <v>14</v>
      </c>
      <c r="O810">
        <v>38</v>
      </c>
      <c r="P810" t="s">
        <v>21</v>
      </c>
      <c r="Q810" t="s">
        <v>85</v>
      </c>
      <c r="R810" t="str" cm="1">
        <f t="array" ref="R810">_xlfn.IFS(B810&lt;31,"Young-Adult",B810&lt;41,"Adult",B810&lt;61,"Middle-aged",B810&gt;=61,"Senior")</f>
        <v>Middle-aged</v>
      </c>
      <c r="S810" cm="1">
        <f t="array" ref="S810">_xlfn.IFS(Q810 ="Fortnightly",14,Q810="Weekly",7,Q810="Monthly",30,Q810="Quarterly",90,Q810="Bi-Weekly",14,Q810="Annually",365,Q810="Every 3 Months",90,TRUE,"NOT FOUND")</f>
        <v>90</v>
      </c>
    </row>
    <row r="811" spans="1:19" x14ac:dyDescent="0.35">
      <c r="A811">
        <v>810</v>
      </c>
      <c r="B811">
        <v>48</v>
      </c>
      <c r="C811" t="s">
        <v>7</v>
      </c>
      <c r="D811" t="s">
        <v>125</v>
      </c>
      <c r="E811" t="s">
        <v>30</v>
      </c>
      <c r="F811">
        <v>81</v>
      </c>
      <c r="G811" t="s">
        <v>119</v>
      </c>
      <c r="H811" t="s">
        <v>32</v>
      </c>
      <c r="I811" t="s">
        <v>71</v>
      </c>
      <c r="J811" t="s">
        <v>45</v>
      </c>
      <c r="K811">
        <v>4.9000000000000004</v>
      </c>
      <c r="L811" t="s">
        <v>14</v>
      </c>
      <c r="M811" t="s">
        <v>33</v>
      </c>
      <c r="N811" t="s">
        <v>14</v>
      </c>
      <c r="O811">
        <v>30</v>
      </c>
      <c r="P811" t="s">
        <v>34</v>
      </c>
      <c r="Q811" t="s">
        <v>64</v>
      </c>
      <c r="R811" t="str" cm="1">
        <f t="array" ref="R811">_xlfn.IFS(B811&lt;31,"Young-Adult",B811&lt;41,"Adult",B811&lt;61,"Middle-aged",B811&gt;=61,"Senior")</f>
        <v>Middle-aged</v>
      </c>
      <c r="S811" cm="1">
        <f t="array" ref="S811">_xlfn.IFS(Q811 ="Fortnightly",14,Q811="Weekly",7,Q811="Monthly",30,Q811="Quarterly",90,Q811="Bi-Weekly",14,Q811="Annually",365,Q811="Every 3 Months",90,TRUE,"NOT FOUND")</f>
        <v>14</v>
      </c>
    </row>
    <row r="812" spans="1:19" x14ac:dyDescent="0.35">
      <c r="A812">
        <v>811</v>
      </c>
      <c r="B812">
        <v>52</v>
      </c>
      <c r="C812" t="s">
        <v>7</v>
      </c>
      <c r="D812" t="s">
        <v>107</v>
      </c>
      <c r="E812" t="s">
        <v>55</v>
      </c>
      <c r="F812">
        <v>83</v>
      </c>
      <c r="G812" t="s">
        <v>135</v>
      </c>
      <c r="H812" t="s">
        <v>24</v>
      </c>
      <c r="I812" t="s">
        <v>81</v>
      </c>
      <c r="J812" t="s">
        <v>45</v>
      </c>
      <c r="K812">
        <v>4.9000000000000004</v>
      </c>
      <c r="L812" t="s">
        <v>14</v>
      </c>
      <c r="M812" t="s">
        <v>62</v>
      </c>
      <c r="N812" t="s">
        <v>14</v>
      </c>
      <c r="O812">
        <v>32</v>
      </c>
      <c r="P812" t="s">
        <v>74</v>
      </c>
      <c r="Q812" t="s">
        <v>64</v>
      </c>
      <c r="R812" t="str" cm="1">
        <f t="array" ref="R812">_xlfn.IFS(B812&lt;31,"Young-Adult",B812&lt;41,"Adult",B812&lt;61,"Middle-aged",B812&gt;=61,"Senior")</f>
        <v>Middle-aged</v>
      </c>
      <c r="S812" cm="1">
        <f t="array" ref="S812">_xlfn.IFS(Q812 ="Fortnightly",14,Q812="Weekly",7,Q812="Monthly",30,Q812="Quarterly",90,Q812="Bi-Weekly",14,Q812="Annually",365,Q812="Every 3 Months",90,TRUE,"NOT FOUND")</f>
        <v>14</v>
      </c>
    </row>
    <row r="813" spans="1:19" x14ac:dyDescent="0.35">
      <c r="A813">
        <v>812</v>
      </c>
      <c r="B813">
        <v>18</v>
      </c>
      <c r="C813" t="s">
        <v>7</v>
      </c>
      <c r="D813" t="s">
        <v>38</v>
      </c>
      <c r="E813" t="s">
        <v>30</v>
      </c>
      <c r="F813">
        <v>35</v>
      </c>
      <c r="G813" t="s">
        <v>103</v>
      </c>
      <c r="H813" t="s">
        <v>32</v>
      </c>
      <c r="I813" t="s">
        <v>84</v>
      </c>
      <c r="J813" t="s">
        <v>13</v>
      </c>
      <c r="K813">
        <v>2.7</v>
      </c>
      <c r="L813" t="s">
        <v>14</v>
      </c>
      <c r="M813" t="s">
        <v>26</v>
      </c>
      <c r="N813" t="s">
        <v>14</v>
      </c>
      <c r="O813">
        <v>36</v>
      </c>
      <c r="P813" t="s">
        <v>16</v>
      </c>
      <c r="Q813" t="s">
        <v>46</v>
      </c>
      <c r="R813" t="str" cm="1">
        <f t="array" ref="R813">_xlfn.IFS(B813&lt;31,"Young-Adult",B813&lt;41,"Adult",B813&lt;61,"Middle-aged",B813&gt;=61,"Senior")</f>
        <v>Young-Adult</v>
      </c>
      <c r="S813" cm="1">
        <f t="array" ref="S813">_xlfn.IFS(Q813 ="Fortnightly",14,Q813="Weekly",7,Q813="Monthly",30,Q813="Quarterly",90,Q813="Bi-Weekly",14,Q813="Annually",365,Q813="Every 3 Months",90,TRUE,"NOT FOUND")</f>
        <v>90</v>
      </c>
    </row>
    <row r="814" spans="1:19" x14ac:dyDescent="0.35">
      <c r="A814">
        <v>813</v>
      </c>
      <c r="B814">
        <v>64</v>
      </c>
      <c r="C814" t="s">
        <v>7</v>
      </c>
      <c r="D814" t="s">
        <v>125</v>
      </c>
      <c r="E814" t="s">
        <v>30</v>
      </c>
      <c r="F814">
        <v>56</v>
      </c>
      <c r="G814" t="s">
        <v>108</v>
      </c>
      <c r="H814" t="s">
        <v>32</v>
      </c>
      <c r="I814" t="s">
        <v>66</v>
      </c>
      <c r="J814" t="s">
        <v>41</v>
      </c>
      <c r="K814">
        <v>3.2</v>
      </c>
      <c r="L814" t="s">
        <v>14</v>
      </c>
      <c r="M814" t="s">
        <v>42</v>
      </c>
      <c r="N814" t="s">
        <v>14</v>
      </c>
      <c r="O814">
        <v>32</v>
      </c>
      <c r="P814" t="s">
        <v>27</v>
      </c>
      <c r="Q814" t="s">
        <v>28</v>
      </c>
      <c r="R814" t="str" cm="1">
        <f t="array" ref="R814">_xlfn.IFS(B814&lt;31,"Young-Adult",B814&lt;41,"Adult",B814&lt;61,"Middle-aged",B814&gt;=61,"Senior")</f>
        <v>Senior</v>
      </c>
      <c r="S814" cm="1">
        <f t="array" ref="S814">_xlfn.IFS(Q814 ="Fortnightly",14,Q814="Weekly",7,Q814="Monthly",30,Q814="Quarterly",90,Q814="Bi-Weekly",14,Q814="Annually",365,Q814="Every 3 Months",90,TRUE,"NOT FOUND")</f>
        <v>7</v>
      </c>
    </row>
    <row r="815" spans="1:19" x14ac:dyDescent="0.35">
      <c r="A815">
        <v>814</v>
      </c>
      <c r="B815">
        <v>54</v>
      </c>
      <c r="C815" t="s">
        <v>7</v>
      </c>
      <c r="D815" t="s">
        <v>54</v>
      </c>
      <c r="E815" t="s">
        <v>55</v>
      </c>
      <c r="F815">
        <v>45</v>
      </c>
      <c r="G815" t="s">
        <v>44</v>
      </c>
      <c r="H815" t="s">
        <v>24</v>
      </c>
      <c r="I815" t="s">
        <v>66</v>
      </c>
      <c r="J815" t="s">
        <v>41</v>
      </c>
      <c r="K815">
        <v>2.9</v>
      </c>
      <c r="L815" t="s">
        <v>14</v>
      </c>
      <c r="M815" t="s">
        <v>62</v>
      </c>
      <c r="N815" t="s">
        <v>14</v>
      </c>
      <c r="O815">
        <v>14</v>
      </c>
      <c r="P815" t="s">
        <v>74</v>
      </c>
      <c r="Q815" t="s">
        <v>37</v>
      </c>
      <c r="R815" t="str" cm="1">
        <f t="array" ref="R815">_xlfn.IFS(B815&lt;31,"Young-Adult",B815&lt;41,"Adult",B815&lt;61,"Middle-aged",B815&gt;=61,"Senior")</f>
        <v>Middle-aged</v>
      </c>
      <c r="S815" cm="1">
        <f t="array" ref="S815">_xlfn.IFS(Q815 ="Fortnightly",14,Q815="Weekly",7,Q815="Monthly",30,Q815="Quarterly",90,Q815="Bi-Weekly",14,Q815="Annually",365,Q815="Every 3 Months",90,TRUE,"NOT FOUND")</f>
        <v>365</v>
      </c>
    </row>
    <row r="816" spans="1:19" x14ac:dyDescent="0.35">
      <c r="A816">
        <v>815</v>
      </c>
      <c r="B816">
        <v>31</v>
      </c>
      <c r="C816" t="s">
        <v>7</v>
      </c>
      <c r="D816" t="s">
        <v>43</v>
      </c>
      <c r="E816" t="s">
        <v>9</v>
      </c>
      <c r="F816">
        <v>62</v>
      </c>
      <c r="G816" t="s">
        <v>136</v>
      </c>
      <c r="H816" t="s">
        <v>32</v>
      </c>
      <c r="I816" t="s">
        <v>57</v>
      </c>
      <c r="J816" t="s">
        <v>13</v>
      </c>
      <c r="K816">
        <v>3.8</v>
      </c>
      <c r="L816" t="s">
        <v>14</v>
      </c>
      <c r="M816" t="s">
        <v>15</v>
      </c>
      <c r="N816" t="s">
        <v>14</v>
      </c>
      <c r="O816">
        <v>8</v>
      </c>
      <c r="P816" t="s">
        <v>34</v>
      </c>
      <c r="Q816" t="s">
        <v>76</v>
      </c>
      <c r="R816" t="str" cm="1">
        <f t="array" ref="R816">_xlfn.IFS(B816&lt;31,"Young-Adult",B816&lt;41,"Adult",B816&lt;61,"Middle-aged",B816&gt;=61,"Senior")</f>
        <v>Adult</v>
      </c>
      <c r="S816" cm="1">
        <f t="array" ref="S816">_xlfn.IFS(Q816 ="Fortnightly",14,Q816="Weekly",7,Q816="Monthly",30,Q816="Quarterly",90,Q816="Bi-Weekly",14,Q816="Annually",365,Q816="Every 3 Months",90,TRUE,"NOT FOUND")</f>
        <v>30</v>
      </c>
    </row>
    <row r="817" spans="1:19" x14ac:dyDescent="0.35">
      <c r="A817">
        <v>816</v>
      </c>
      <c r="B817">
        <v>30</v>
      </c>
      <c r="C817" t="s">
        <v>7</v>
      </c>
      <c r="D817" t="s">
        <v>112</v>
      </c>
      <c r="E817" t="s">
        <v>55</v>
      </c>
      <c r="F817">
        <v>84</v>
      </c>
      <c r="G817" t="s">
        <v>52</v>
      </c>
      <c r="H817" t="s">
        <v>11</v>
      </c>
      <c r="I817" t="s">
        <v>73</v>
      </c>
      <c r="J817" t="s">
        <v>25</v>
      </c>
      <c r="K817">
        <v>3</v>
      </c>
      <c r="L817" t="s">
        <v>14</v>
      </c>
      <c r="M817" t="s">
        <v>33</v>
      </c>
      <c r="N817" t="s">
        <v>14</v>
      </c>
      <c r="O817">
        <v>27</v>
      </c>
      <c r="P817" t="s">
        <v>16</v>
      </c>
      <c r="Q817" t="s">
        <v>64</v>
      </c>
      <c r="R817" t="str" cm="1">
        <f t="array" ref="R817">_xlfn.IFS(B817&lt;31,"Young-Adult",B817&lt;41,"Adult",B817&lt;61,"Middle-aged",B817&gt;=61,"Senior")</f>
        <v>Young-Adult</v>
      </c>
      <c r="S817" cm="1">
        <f t="array" ref="S817">_xlfn.IFS(Q817 ="Fortnightly",14,Q817="Weekly",7,Q817="Monthly",30,Q817="Quarterly",90,Q817="Bi-Weekly",14,Q817="Annually",365,Q817="Every 3 Months",90,TRUE,"NOT FOUND")</f>
        <v>14</v>
      </c>
    </row>
    <row r="818" spans="1:19" x14ac:dyDescent="0.35">
      <c r="A818">
        <v>817</v>
      </c>
      <c r="B818">
        <v>26</v>
      </c>
      <c r="C818" t="s">
        <v>7</v>
      </c>
      <c r="D818" t="s">
        <v>18</v>
      </c>
      <c r="E818" t="s">
        <v>9</v>
      </c>
      <c r="F818">
        <v>24</v>
      </c>
      <c r="G818" t="s">
        <v>103</v>
      </c>
      <c r="H818" t="s">
        <v>11</v>
      </c>
      <c r="I818" t="s">
        <v>97</v>
      </c>
      <c r="J818" t="s">
        <v>41</v>
      </c>
      <c r="K818">
        <v>3.9</v>
      </c>
      <c r="L818" t="s">
        <v>14</v>
      </c>
      <c r="M818" t="s">
        <v>62</v>
      </c>
      <c r="N818" t="s">
        <v>14</v>
      </c>
      <c r="O818">
        <v>24</v>
      </c>
      <c r="P818" t="s">
        <v>74</v>
      </c>
      <c r="Q818" t="s">
        <v>76</v>
      </c>
      <c r="R818" t="str" cm="1">
        <f t="array" ref="R818">_xlfn.IFS(B818&lt;31,"Young-Adult",B818&lt;41,"Adult",B818&lt;61,"Middle-aged",B818&gt;=61,"Senior")</f>
        <v>Young-Adult</v>
      </c>
      <c r="S818" cm="1">
        <f t="array" ref="S818">_xlfn.IFS(Q818 ="Fortnightly",14,Q818="Weekly",7,Q818="Monthly",30,Q818="Quarterly",90,Q818="Bi-Weekly",14,Q818="Annually",365,Q818="Every 3 Months",90,TRUE,"NOT FOUND")</f>
        <v>30</v>
      </c>
    </row>
    <row r="819" spans="1:19" x14ac:dyDescent="0.35">
      <c r="A819">
        <v>818</v>
      </c>
      <c r="B819">
        <v>25</v>
      </c>
      <c r="C819" t="s">
        <v>7</v>
      </c>
      <c r="D819" t="s">
        <v>54</v>
      </c>
      <c r="E819" t="s">
        <v>55</v>
      </c>
      <c r="F819">
        <v>21</v>
      </c>
      <c r="G819" t="s">
        <v>95</v>
      </c>
      <c r="H819" t="s">
        <v>24</v>
      </c>
      <c r="I819" t="s">
        <v>12</v>
      </c>
      <c r="J819" t="s">
        <v>25</v>
      </c>
      <c r="K819">
        <v>4.7</v>
      </c>
      <c r="L819" t="s">
        <v>14</v>
      </c>
      <c r="M819" t="s">
        <v>62</v>
      </c>
      <c r="N819" t="s">
        <v>14</v>
      </c>
      <c r="O819">
        <v>30</v>
      </c>
      <c r="P819" t="s">
        <v>34</v>
      </c>
      <c r="Q819" t="s">
        <v>17</v>
      </c>
      <c r="R819" t="str" cm="1">
        <f t="array" ref="R819">_xlfn.IFS(B819&lt;31,"Young-Adult",B819&lt;41,"Adult",B819&lt;61,"Middle-aged",B819&gt;=61,"Senior")</f>
        <v>Young-Adult</v>
      </c>
      <c r="S819" cm="1">
        <f t="array" ref="S819">_xlfn.IFS(Q819 ="Fortnightly",14,Q819="Weekly",7,Q819="Monthly",30,Q819="Quarterly",90,Q819="Bi-Weekly",14,Q819="Annually",365,Q819="Every 3 Months",90,TRUE,"NOT FOUND")</f>
        <v>14</v>
      </c>
    </row>
    <row r="820" spans="1:19" x14ac:dyDescent="0.35">
      <c r="A820">
        <v>819</v>
      </c>
      <c r="B820">
        <v>59</v>
      </c>
      <c r="C820" t="s">
        <v>7</v>
      </c>
      <c r="D820" t="s">
        <v>43</v>
      </c>
      <c r="E820" t="s">
        <v>9</v>
      </c>
      <c r="F820">
        <v>91</v>
      </c>
      <c r="G820" t="s">
        <v>123</v>
      </c>
      <c r="H820" t="s">
        <v>32</v>
      </c>
      <c r="I820" t="s">
        <v>88</v>
      </c>
      <c r="J820" t="s">
        <v>13</v>
      </c>
      <c r="K820">
        <v>4.9000000000000004</v>
      </c>
      <c r="L820" t="s">
        <v>14</v>
      </c>
      <c r="M820" t="s">
        <v>62</v>
      </c>
      <c r="N820" t="s">
        <v>14</v>
      </c>
      <c r="O820">
        <v>34</v>
      </c>
      <c r="P820" t="s">
        <v>74</v>
      </c>
      <c r="Q820" t="s">
        <v>76</v>
      </c>
      <c r="R820" t="str" cm="1">
        <f t="array" ref="R820">_xlfn.IFS(B820&lt;31,"Young-Adult",B820&lt;41,"Adult",B820&lt;61,"Middle-aged",B820&gt;=61,"Senior")</f>
        <v>Middle-aged</v>
      </c>
      <c r="S820" cm="1">
        <f t="array" ref="S820">_xlfn.IFS(Q820 ="Fortnightly",14,Q820="Weekly",7,Q820="Monthly",30,Q820="Quarterly",90,Q820="Bi-Weekly",14,Q820="Annually",365,Q820="Every 3 Months",90,TRUE,"NOT FOUND")</f>
        <v>30</v>
      </c>
    </row>
    <row r="821" spans="1:19" x14ac:dyDescent="0.35">
      <c r="A821">
        <v>820</v>
      </c>
      <c r="B821">
        <v>55</v>
      </c>
      <c r="C821" t="s">
        <v>7</v>
      </c>
      <c r="D821" t="s">
        <v>77</v>
      </c>
      <c r="E821" t="s">
        <v>55</v>
      </c>
      <c r="F821">
        <v>36</v>
      </c>
      <c r="G821" t="s">
        <v>100</v>
      </c>
      <c r="H821" t="s">
        <v>24</v>
      </c>
      <c r="I821" t="s">
        <v>73</v>
      </c>
      <c r="J821" t="s">
        <v>13</v>
      </c>
      <c r="K821">
        <v>4.8</v>
      </c>
      <c r="L821" t="s">
        <v>14</v>
      </c>
      <c r="M821" t="s">
        <v>33</v>
      </c>
      <c r="N821" t="s">
        <v>14</v>
      </c>
      <c r="O821">
        <v>28</v>
      </c>
      <c r="P821" t="s">
        <v>74</v>
      </c>
      <c r="Q821" t="s">
        <v>46</v>
      </c>
      <c r="R821" t="str" cm="1">
        <f t="array" ref="R821">_xlfn.IFS(B821&lt;31,"Young-Adult",B821&lt;41,"Adult",B821&lt;61,"Middle-aged",B821&gt;=61,"Senior")</f>
        <v>Middle-aged</v>
      </c>
      <c r="S821" cm="1">
        <f t="array" ref="S821">_xlfn.IFS(Q821 ="Fortnightly",14,Q821="Weekly",7,Q821="Monthly",30,Q821="Quarterly",90,Q821="Bi-Weekly",14,Q821="Annually",365,Q821="Every 3 Months",90,TRUE,"NOT FOUND")</f>
        <v>90</v>
      </c>
    </row>
    <row r="822" spans="1:19" x14ac:dyDescent="0.35">
      <c r="A822">
        <v>821</v>
      </c>
      <c r="B822">
        <v>56</v>
      </c>
      <c r="C822" t="s">
        <v>7</v>
      </c>
      <c r="D822" t="s">
        <v>38</v>
      </c>
      <c r="E822" t="s">
        <v>30</v>
      </c>
      <c r="F822">
        <v>39</v>
      </c>
      <c r="G822" t="s">
        <v>48</v>
      </c>
      <c r="H822" t="s">
        <v>32</v>
      </c>
      <c r="I822" t="s">
        <v>36</v>
      </c>
      <c r="J822" t="s">
        <v>25</v>
      </c>
      <c r="K822">
        <v>2.5</v>
      </c>
      <c r="L822" t="s">
        <v>14</v>
      </c>
      <c r="M822" t="s">
        <v>58</v>
      </c>
      <c r="N822" t="s">
        <v>14</v>
      </c>
      <c r="O822">
        <v>27</v>
      </c>
      <c r="P822" t="s">
        <v>74</v>
      </c>
      <c r="Q822" t="s">
        <v>76</v>
      </c>
      <c r="R822" t="str" cm="1">
        <f t="array" ref="R822">_xlfn.IFS(B822&lt;31,"Young-Adult",B822&lt;41,"Adult",B822&lt;61,"Middle-aged",B822&gt;=61,"Senior")</f>
        <v>Middle-aged</v>
      </c>
      <c r="S822" cm="1">
        <f t="array" ref="S822">_xlfn.IFS(Q822 ="Fortnightly",14,Q822="Weekly",7,Q822="Monthly",30,Q822="Quarterly",90,Q822="Bi-Weekly",14,Q822="Annually",365,Q822="Every 3 Months",90,TRUE,"NOT FOUND")</f>
        <v>30</v>
      </c>
    </row>
    <row r="823" spans="1:19" x14ac:dyDescent="0.35">
      <c r="A823">
        <v>822</v>
      </c>
      <c r="B823">
        <v>62</v>
      </c>
      <c r="C823" t="s">
        <v>7</v>
      </c>
      <c r="D823" t="s">
        <v>92</v>
      </c>
      <c r="E823" t="s">
        <v>9</v>
      </c>
      <c r="F823">
        <v>39</v>
      </c>
      <c r="G823" t="s">
        <v>117</v>
      </c>
      <c r="H823" t="s">
        <v>32</v>
      </c>
      <c r="I823" t="s">
        <v>84</v>
      </c>
      <c r="J823" t="s">
        <v>25</v>
      </c>
      <c r="K823">
        <v>3.9</v>
      </c>
      <c r="L823" t="s">
        <v>14</v>
      </c>
      <c r="M823" t="s">
        <v>42</v>
      </c>
      <c r="N823" t="s">
        <v>14</v>
      </c>
      <c r="O823">
        <v>31</v>
      </c>
      <c r="P823" t="s">
        <v>27</v>
      </c>
      <c r="Q823" t="s">
        <v>64</v>
      </c>
      <c r="R823" t="str" cm="1">
        <f t="array" ref="R823">_xlfn.IFS(B823&lt;31,"Young-Adult",B823&lt;41,"Adult",B823&lt;61,"Middle-aged",B823&gt;=61,"Senior")</f>
        <v>Senior</v>
      </c>
      <c r="S823" cm="1">
        <f t="array" ref="S823">_xlfn.IFS(Q823 ="Fortnightly",14,Q823="Weekly",7,Q823="Monthly",30,Q823="Quarterly",90,Q823="Bi-Weekly",14,Q823="Annually",365,Q823="Every 3 Months",90,TRUE,"NOT FOUND")</f>
        <v>14</v>
      </c>
    </row>
    <row r="824" spans="1:19" x14ac:dyDescent="0.35">
      <c r="A824">
        <v>823</v>
      </c>
      <c r="B824">
        <v>35</v>
      </c>
      <c r="C824" t="s">
        <v>7</v>
      </c>
      <c r="D824" t="s">
        <v>43</v>
      </c>
      <c r="E824" t="s">
        <v>9</v>
      </c>
      <c r="F824">
        <v>59</v>
      </c>
      <c r="G824" t="s">
        <v>79</v>
      </c>
      <c r="H824" t="s">
        <v>11</v>
      </c>
      <c r="I824" t="s">
        <v>124</v>
      </c>
      <c r="J824" t="s">
        <v>13</v>
      </c>
      <c r="K824">
        <v>3.4</v>
      </c>
      <c r="L824" t="s">
        <v>14</v>
      </c>
      <c r="M824" t="s">
        <v>42</v>
      </c>
      <c r="N824" t="s">
        <v>14</v>
      </c>
      <c r="O824">
        <v>23</v>
      </c>
      <c r="P824" t="s">
        <v>63</v>
      </c>
      <c r="Q824" t="s">
        <v>37</v>
      </c>
      <c r="R824" t="str" cm="1">
        <f t="array" ref="R824">_xlfn.IFS(B824&lt;31,"Young-Adult",B824&lt;41,"Adult",B824&lt;61,"Middle-aged",B824&gt;=61,"Senior")</f>
        <v>Adult</v>
      </c>
      <c r="S824" cm="1">
        <f t="array" ref="S824">_xlfn.IFS(Q824 ="Fortnightly",14,Q824="Weekly",7,Q824="Monthly",30,Q824="Quarterly",90,Q824="Bi-Weekly",14,Q824="Annually",365,Q824="Every 3 Months",90,TRUE,"NOT FOUND")</f>
        <v>365</v>
      </c>
    </row>
    <row r="825" spans="1:19" x14ac:dyDescent="0.35">
      <c r="A825">
        <v>824</v>
      </c>
      <c r="B825">
        <v>51</v>
      </c>
      <c r="C825" t="s">
        <v>7</v>
      </c>
      <c r="D825" t="s">
        <v>77</v>
      </c>
      <c r="E825" t="s">
        <v>55</v>
      </c>
      <c r="F825">
        <v>27</v>
      </c>
      <c r="G825" t="s">
        <v>130</v>
      </c>
      <c r="H825" t="s">
        <v>32</v>
      </c>
      <c r="I825" t="s">
        <v>84</v>
      </c>
      <c r="J825" t="s">
        <v>13</v>
      </c>
      <c r="K825">
        <v>2.5</v>
      </c>
      <c r="L825" t="s">
        <v>14</v>
      </c>
      <c r="M825" t="s">
        <v>26</v>
      </c>
      <c r="N825" t="s">
        <v>14</v>
      </c>
      <c r="O825">
        <v>11</v>
      </c>
      <c r="P825" t="s">
        <v>27</v>
      </c>
      <c r="Q825" t="s">
        <v>46</v>
      </c>
      <c r="R825" t="str" cm="1">
        <f t="array" ref="R825">_xlfn.IFS(B825&lt;31,"Young-Adult",B825&lt;41,"Adult",B825&lt;61,"Middle-aged",B825&gt;=61,"Senior")</f>
        <v>Middle-aged</v>
      </c>
      <c r="S825" cm="1">
        <f t="array" ref="S825">_xlfn.IFS(Q825 ="Fortnightly",14,Q825="Weekly",7,Q825="Monthly",30,Q825="Quarterly",90,Q825="Bi-Weekly",14,Q825="Annually",365,Q825="Every 3 Months",90,TRUE,"NOT FOUND")</f>
        <v>90</v>
      </c>
    </row>
    <row r="826" spans="1:19" x14ac:dyDescent="0.35">
      <c r="A826">
        <v>825</v>
      </c>
      <c r="B826">
        <v>61</v>
      </c>
      <c r="C826" t="s">
        <v>7</v>
      </c>
      <c r="D826" t="s">
        <v>8</v>
      </c>
      <c r="E826" t="s">
        <v>9</v>
      </c>
      <c r="F826">
        <v>94</v>
      </c>
      <c r="G826" t="s">
        <v>130</v>
      </c>
      <c r="H826" t="s">
        <v>32</v>
      </c>
      <c r="I826" t="s">
        <v>40</v>
      </c>
      <c r="J826" t="s">
        <v>25</v>
      </c>
      <c r="K826">
        <v>3</v>
      </c>
      <c r="L826" t="s">
        <v>14</v>
      </c>
      <c r="M826" t="s">
        <v>62</v>
      </c>
      <c r="N826" t="s">
        <v>14</v>
      </c>
      <c r="O826">
        <v>48</v>
      </c>
      <c r="P826" t="s">
        <v>21</v>
      </c>
      <c r="Q826" t="s">
        <v>46</v>
      </c>
      <c r="R826" t="str" cm="1">
        <f t="array" ref="R826">_xlfn.IFS(B826&lt;31,"Young-Adult",B826&lt;41,"Adult",B826&lt;61,"Middle-aged",B826&gt;=61,"Senior")</f>
        <v>Senior</v>
      </c>
      <c r="S826" cm="1">
        <f t="array" ref="S826">_xlfn.IFS(Q826 ="Fortnightly",14,Q826="Weekly",7,Q826="Monthly",30,Q826="Quarterly",90,Q826="Bi-Weekly",14,Q826="Annually",365,Q826="Every 3 Months",90,TRUE,"NOT FOUND")</f>
        <v>90</v>
      </c>
    </row>
    <row r="827" spans="1:19" x14ac:dyDescent="0.35">
      <c r="A827">
        <v>826</v>
      </c>
      <c r="B827">
        <v>27</v>
      </c>
      <c r="C827" t="s">
        <v>7</v>
      </c>
      <c r="D827" t="s">
        <v>121</v>
      </c>
      <c r="E827" t="s">
        <v>55</v>
      </c>
      <c r="F827">
        <v>94</v>
      </c>
      <c r="G827" t="s">
        <v>133</v>
      </c>
      <c r="H827" t="s">
        <v>80</v>
      </c>
      <c r="I827" t="s">
        <v>98</v>
      </c>
      <c r="J827" t="s">
        <v>45</v>
      </c>
      <c r="K827">
        <v>3.6</v>
      </c>
      <c r="L827" t="s">
        <v>14</v>
      </c>
      <c r="M827" t="s">
        <v>33</v>
      </c>
      <c r="N827" t="s">
        <v>14</v>
      </c>
      <c r="O827">
        <v>17</v>
      </c>
      <c r="P827" t="s">
        <v>21</v>
      </c>
      <c r="Q827" t="s">
        <v>76</v>
      </c>
      <c r="R827" t="str" cm="1">
        <f t="array" ref="R827">_xlfn.IFS(B827&lt;31,"Young-Adult",B827&lt;41,"Adult",B827&lt;61,"Middle-aged",B827&gt;=61,"Senior")</f>
        <v>Young-Adult</v>
      </c>
      <c r="S827" cm="1">
        <f t="array" ref="S827">_xlfn.IFS(Q827 ="Fortnightly",14,Q827="Weekly",7,Q827="Monthly",30,Q827="Quarterly",90,Q827="Bi-Weekly",14,Q827="Annually",365,Q827="Every 3 Months",90,TRUE,"NOT FOUND")</f>
        <v>30</v>
      </c>
    </row>
    <row r="828" spans="1:19" x14ac:dyDescent="0.35">
      <c r="A828">
        <v>827</v>
      </c>
      <c r="B828">
        <v>54</v>
      </c>
      <c r="C828" t="s">
        <v>7</v>
      </c>
      <c r="D828" t="s">
        <v>69</v>
      </c>
      <c r="E828" t="s">
        <v>9</v>
      </c>
      <c r="F828">
        <v>94</v>
      </c>
      <c r="G828" t="s">
        <v>23</v>
      </c>
      <c r="H828" t="s">
        <v>32</v>
      </c>
      <c r="I828" t="s">
        <v>61</v>
      </c>
      <c r="J828" t="s">
        <v>13</v>
      </c>
      <c r="K828">
        <v>3.6</v>
      </c>
      <c r="L828" t="s">
        <v>14</v>
      </c>
      <c r="M828" t="s">
        <v>42</v>
      </c>
      <c r="N828" t="s">
        <v>14</v>
      </c>
      <c r="O828">
        <v>36</v>
      </c>
      <c r="P828" t="s">
        <v>34</v>
      </c>
      <c r="Q828" t="s">
        <v>28</v>
      </c>
      <c r="R828" t="str" cm="1">
        <f t="array" ref="R828">_xlfn.IFS(B828&lt;31,"Young-Adult",B828&lt;41,"Adult",B828&lt;61,"Middle-aged",B828&gt;=61,"Senior")</f>
        <v>Middle-aged</v>
      </c>
      <c r="S828" cm="1">
        <f t="array" ref="S828">_xlfn.IFS(Q828 ="Fortnightly",14,Q828="Weekly",7,Q828="Monthly",30,Q828="Quarterly",90,Q828="Bi-Weekly",14,Q828="Annually",365,Q828="Every 3 Months",90,TRUE,"NOT FOUND")</f>
        <v>7</v>
      </c>
    </row>
    <row r="829" spans="1:19" x14ac:dyDescent="0.35">
      <c r="A829">
        <v>828</v>
      </c>
      <c r="B829">
        <v>31</v>
      </c>
      <c r="C829" t="s">
        <v>7</v>
      </c>
      <c r="D829" t="s">
        <v>59</v>
      </c>
      <c r="E829" t="s">
        <v>30</v>
      </c>
      <c r="F829">
        <v>51</v>
      </c>
      <c r="G829" t="s">
        <v>100</v>
      </c>
      <c r="H829" t="s">
        <v>24</v>
      </c>
      <c r="I829" t="s">
        <v>84</v>
      </c>
      <c r="J829" t="s">
        <v>45</v>
      </c>
      <c r="K829">
        <v>4.0999999999999996</v>
      </c>
      <c r="L829" t="s">
        <v>14</v>
      </c>
      <c r="M829" t="s">
        <v>26</v>
      </c>
      <c r="N829" t="s">
        <v>14</v>
      </c>
      <c r="O829">
        <v>33</v>
      </c>
      <c r="P829" t="s">
        <v>63</v>
      </c>
      <c r="Q829" t="s">
        <v>17</v>
      </c>
      <c r="R829" t="str" cm="1">
        <f t="array" ref="R829">_xlfn.IFS(B829&lt;31,"Young-Adult",B829&lt;41,"Adult",B829&lt;61,"Middle-aged",B829&gt;=61,"Senior")</f>
        <v>Adult</v>
      </c>
      <c r="S829" cm="1">
        <f t="array" ref="S829">_xlfn.IFS(Q829 ="Fortnightly",14,Q829="Weekly",7,Q829="Monthly",30,Q829="Quarterly",90,Q829="Bi-Weekly",14,Q829="Annually",365,Q829="Every 3 Months",90,TRUE,"NOT FOUND")</f>
        <v>14</v>
      </c>
    </row>
    <row r="830" spans="1:19" x14ac:dyDescent="0.35">
      <c r="A830">
        <v>829</v>
      </c>
      <c r="B830">
        <v>24</v>
      </c>
      <c r="C830" t="s">
        <v>7</v>
      </c>
      <c r="D830" t="s">
        <v>113</v>
      </c>
      <c r="E830" t="s">
        <v>9</v>
      </c>
      <c r="F830">
        <v>62</v>
      </c>
      <c r="G830" t="s">
        <v>95</v>
      </c>
      <c r="H830" t="s">
        <v>32</v>
      </c>
      <c r="I830" t="s">
        <v>88</v>
      </c>
      <c r="J830" t="s">
        <v>45</v>
      </c>
      <c r="K830">
        <v>3.7</v>
      </c>
      <c r="L830" t="s">
        <v>14</v>
      </c>
      <c r="M830" t="s">
        <v>58</v>
      </c>
      <c r="N830" t="s">
        <v>14</v>
      </c>
      <c r="O830">
        <v>27</v>
      </c>
      <c r="P830" t="s">
        <v>34</v>
      </c>
      <c r="Q830" t="s">
        <v>64</v>
      </c>
      <c r="R830" t="str" cm="1">
        <f t="array" ref="R830">_xlfn.IFS(B830&lt;31,"Young-Adult",B830&lt;41,"Adult",B830&lt;61,"Middle-aged",B830&gt;=61,"Senior")</f>
        <v>Young-Adult</v>
      </c>
      <c r="S830" cm="1">
        <f t="array" ref="S830">_xlfn.IFS(Q830 ="Fortnightly",14,Q830="Weekly",7,Q830="Monthly",30,Q830="Quarterly",90,Q830="Bi-Weekly",14,Q830="Annually",365,Q830="Every 3 Months",90,TRUE,"NOT FOUND")</f>
        <v>14</v>
      </c>
    </row>
    <row r="831" spans="1:19" x14ac:dyDescent="0.35">
      <c r="A831">
        <v>830</v>
      </c>
      <c r="B831">
        <v>42</v>
      </c>
      <c r="C831" t="s">
        <v>7</v>
      </c>
      <c r="D831" t="s">
        <v>113</v>
      </c>
      <c r="E831" t="s">
        <v>9</v>
      </c>
      <c r="F831">
        <v>57</v>
      </c>
      <c r="G831" t="s">
        <v>123</v>
      </c>
      <c r="H831" t="s">
        <v>24</v>
      </c>
      <c r="I831" t="s">
        <v>53</v>
      </c>
      <c r="J831" t="s">
        <v>25</v>
      </c>
      <c r="K831">
        <v>3.8</v>
      </c>
      <c r="L831" t="s">
        <v>14</v>
      </c>
      <c r="M831" t="s">
        <v>58</v>
      </c>
      <c r="N831" t="s">
        <v>14</v>
      </c>
      <c r="O831">
        <v>14</v>
      </c>
      <c r="P831" t="s">
        <v>27</v>
      </c>
      <c r="Q831" t="s">
        <v>17</v>
      </c>
      <c r="R831" t="str" cm="1">
        <f t="array" ref="R831">_xlfn.IFS(B831&lt;31,"Young-Adult",B831&lt;41,"Adult",B831&lt;61,"Middle-aged",B831&gt;=61,"Senior")</f>
        <v>Middle-aged</v>
      </c>
      <c r="S831" cm="1">
        <f t="array" ref="S831">_xlfn.IFS(Q831 ="Fortnightly",14,Q831="Weekly",7,Q831="Monthly",30,Q831="Quarterly",90,Q831="Bi-Weekly",14,Q831="Annually",365,Q831="Every 3 Months",90,TRUE,"NOT FOUND")</f>
        <v>14</v>
      </c>
    </row>
    <row r="832" spans="1:19" x14ac:dyDescent="0.35">
      <c r="A832">
        <v>831</v>
      </c>
      <c r="B832">
        <v>41</v>
      </c>
      <c r="C832" t="s">
        <v>7</v>
      </c>
      <c r="D832" t="s">
        <v>47</v>
      </c>
      <c r="E832" t="s">
        <v>9</v>
      </c>
      <c r="F832">
        <v>76</v>
      </c>
      <c r="G832" t="s">
        <v>39</v>
      </c>
      <c r="H832" t="s">
        <v>32</v>
      </c>
      <c r="I832" t="s">
        <v>20</v>
      </c>
      <c r="J832" t="s">
        <v>45</v>
      </c>
      <c r="K832">
        <v>4.2</v>
      </c>
      <c r="L832" t="s">
        <v>14</v>
      </c>
      <c r="M832" t="s">
        <v>15</v>
      </c>
      <c r="N832" t="s">
        <v>14</v>
      </c>
      <c r="O832">
        <v>5</v>
      </c>
      <c r="P832" t="s">
        <v>27</v>
      </c>
      <c r="Q832" t="s">
        <v>37</v>
      </c>
      <c r="R832" t="str" cm="1">
        <f t="array" ref="R832">_xlfn.IFS(B832&lt;31,"Young-Adult",B832&lt;41,"Adult",B832&lt;61,"Middle-aged",B832&gt;=61,"Senior")</f>
        <v>Middle-aged</v>
      </c>
      <c r="S832" cm="1">
        <f t="array" ref="S832">_xlfn.IFS(Q832 ="Fortnightly",14,Q832="Weekly",7,Q832="Monthly",30,Q832="Quarterly",90,Q832="Bi-Weekly",14,Q832="Annually",365,Q832="Every 3 Months",90,TRUE,"NOT FOUND")</f>
        <v>365</v>
      </c>
    </row>
    <row r="833" spans="1:19" x14ac:dyDescent="0.35">
      <c r="A833">
        <v>832</v>
      </c>
      <c r="B833">
        <v>66</v>
      </c>
      <c r="C833" t="s">
        <v>7</v>
      </c>
      <c r="D833" t="s">
        <v>131</v>
      </c>
      <c r="E833" t="s">
        <v>55</v>
      </c>
      <c r="F833">
        <v>63</v>
      </c>
      <c r="G833" t="s">
        <v>137</v>
      </c>
      <c r="H833" t="s">
        <v>32</v>
      </c>
      <c r="I833" t="s">
        <v>96</v>
      </c>
      <c r="J833" t="s">
        <v>41</v>
      </c>
      <c r="K833">
        <v>4.3</v>
      </c>
      <c r="L833" t="s">
        <v>14</v>
      </c>
      <c r="M833" t="s">
        <v>15</v>
      </c>
      <c r="N833" t="s">
        <v>14</v>
      </c>
      <c r="O833">
        <v>47</v>
      </c>
      <c r="P833" t="s">
        <v>21</v>
      </c>
      <c r="Q833" t="s">
        <v>85</v>
      </c>
      <c r="R833" t="str" cm="1">
        <f t="array" ref="R833">_xlfn.IFS(B833&lt;31,"Young-Adult",B833&lt;41,"Adult",B833&lt;61,"Middle-aged",B833&gt;=61,"Senior")</f>
        <v>Senior</v>
      </c>
      <c r="S833" cm="1">
        <f t="array" ref="S833">_xlfn.IFS(Q833 ="Fortnightly",14,Q833="Weekly",7,Q833="Monthly",30,Q833="Quarterly",90,Q833="Bi-Weekly",14,Q833="Annually",365,Q833="Every 3 Months",90,TRUE,"NOT FOUND")</f>
        <v>90</v>
      </c>
    </row>
    <row r="834" spans="1:19" x14ac:dyDescent="0.35">
      <c r="A834">
        <v>833</v>
      </c>
      <c r="B834">
        <v>58</v>
      </c>
      <c r="C834" t="s">
        <v>7</v>
      </c>
      <c r="D834" t="s">
        <v>90</v>
      </c>
      <c r="E834" t="s">
        <v>51</v>
      </c>
      <c r="F834">
        <v>80</v>
      </c>
      <c r="G834" t="s">
        <v>87</v>
      </c>
      <c r="H834" t="s">
        <v>11</v>
      </c>
      <c r="I834" t="s">
        <v>132</v>
      </c>
      <c r="J834" t="s">
        <v>45</v>
      </c>
      <c r="K834">
        <v>2.5</v>
      </c>
      <c r="L834" t="s">
        <v>14</v>
      </c>
      <c r="M834" t="s">
        <v>15</v>
      </c>
      <c r="N834" t="s">
        <v>14</v>
      </c>
      <c r="O834">
        <v>28</v>
      </c>
      <c r="P834" t="s">
        <v>21</v>
      </c>
      <c r="Q834" t="s">
        <v>64</v>
      </c>
      <c r="R834" t="str" cm="1">
        <f t="array" ref="R834">_xlfn.IFS(B834&lt;31,"Young-Adult",B834&lt;41,"Adult",B834&lt;61,"Middle-aged",B834&gt;=61,"Senior")</f>
        <v>Middle-aged</v>
      </c>
      <c r="S834" cm="1">
        <f t="array" ref="S834">_xlfn.IFS(Q834 ="Fortnightly",14,Q834="Weekly",7,Q834="Monthly",30,Q834="Quarterly",90,Q834="Bi-Weekly",14,Q834="Annually",365,Q834="Every 3 Months",90,TRUE,"NOT FOUND")</f>
        <v>14</v>
      </c>
    </row>
    <row r="835" spans="1:19" x14ac:dyDescent="0.35">
      <c r="A835">
        <v>834</v>
      </c>
      <c r="B835">
        <v>43</v>
      </c>
      <c r="C835" t="s">
        <v>7</v>
      </c>
      <c r="D835" t="s">
        <v>54</v>
      </c>
      <c r="E835" t="s">
        <v>55</v>
      </c>
      <c r="F835">
        <v>68</v>
      </c>
      <c r="G835" t="s">
        <v>89</v>
      </c>
      <c r="H835" t="s">
        <v>32</v>
      </c>
      <c r="I835" t="s">
        <v>61</v>
      </c>
      <c r="J835" t="s">
        <v>45</v>
      </c>
      <c r="K835">
        <v>3.5</v>
      </c>
      <c r="L835" t="s">
        <v>14</v>
      </c>
      <c r="M835" t="s">
        <v>42</v>
      </c>
      <c r="N835" t="s">
        <v>14</v>
      </c>
      <c r="O835">
        <v>11</v>
      </c>
      <c r="P835" t="s">
        <v>27</v>
      </c>
      <c r="Q835" t="s">
        <v>37</v>
      </c>
      <c r="R835" t="str" cm="1">
        <f t="array" ref="R835">_xlfn.IFS(B835&lt;31,"Young-Adult",B835&lt;41,"Adult",B835&lt;61,"Middle-aged",B835&gt;=61,"Senior")</f>
        <v>Middle-aged</v>
      </c>
      <c r="S835" cm="1">
        <f t="array" ref="S835">_xlfn.IFS(Q835 ="Fortnightly",14,Q835="Weekly",7,Q835="Monthly",30,Q835="Quarterly",90,Q835="Bi-Weekly",14,Q835="Annually",365,Q835="Every 3 Months",90,TRUE,"NOT FOUND")</f>
        <v>365</v>
      </c>
    </row>
    <row r="836" spans="1:19" x14ac:dyDescent="0.35">
      <c r="A836">
        <v>835</v>
      </c>
      <c r="B836">
        <v>52</v>
      </c>
      <c r="C836" t="s">
        <v>7</v>
      </c>
      <c r="D836" t="s">
        <v>120</v>
      </c>
      <c r="E836" t="s">
        <v>55</v>
      </c>
      <c r="F836">
        <v>89</v>
      </c>
      <c r="G836" t="s">
        <v>95</v>
      </c>
      <c r="H836" t="s">
        <v>32</v>
      </c>
      <c r="I836" t="s">
        <v>114</v>
      </c>
      <c r="J836" t="s">
        <v>41</v>
      </c>
      <c r="K836">
        <v>3.1</v>
      </c>
      <c r="L836" t="s">
        <v>14</v>
      </c>
      <c r="M836" t="s">
        <v>26</v>
      </c>
      <c r="N836" t="s">
        <v>14</v>
      </c>
      <c r="O836">
        <v>18</v>
      </c>
      <c r="P836" t="s">
        <v>27</v>
      </c>
      <c r="Q836" t="s">
        <v>28</v>
      </c>
      <c r="R836" t="str" cm="1">
        <f t="array" ref="R836">_xlfn.IFS(B836&lt;31,"Young-Adult",B836&lt;41,"Adult",B836&lt;61,"Middle-aged",B836&gt;=61,"Senior")</f>
        <v>Middle-aged</v>
      </c>
      <c r="S836" cm="1">
        <f t="array" ref="S836">_xlfn.IFS(Q836 ="Fortnightly",14,Q836="Weekly",7,Q836="Monthly",30,Q836="Quarterly",90,Q836="Bi-Weekly",14,Q836="Annually",365,Q836="Every 3 Months",90,TRUE,"NOT FOUND")</f>
        <v>7</v>
      </c>
    </row>
    <row r="837" spans="1:19" x14ac:dyDescent="0.35">
      <c r="A837">
        <v>836</v>
      </c>
      <c r="B837">
        <v>35</v>
      </c>
      <c r="C837" t="s">
        <v>7</v>
      </c>
      <c r="D837" t="s">
        <v>125</v>
      </c>
      <c r="E837" t="s">
        <v>30</v>
      </c>
      <c r="F837">
        <v>26</v>
      </c>
      <c r="G837" t="s">
        <v>116</v>
      </c>
      <c r="H837" t="s">
        <v>11</v>
      </c>
      <c r="I837" t="s">
        <v>114</v>
      </c>
      <c r="J837" t="s">
        <v>41</v>
      </c>
      <c r="K837">
        <v>2.5</v>
      </c>
      <c r="L837" t="s">
        <v>14</v>
      </c>
      <c r="M837" t="s">
        <v>33</v>
      </c>
      <c r="N837" t="s">
        <v>14</v>
      </c>
      <c r="O837">
        <v>21</v>
      </c>
      <c r="P837" t="s">
        <v>74</v>
      </c>
      <c r="Q837" t="s">
        <v>28</v>
      </c>
      <c r="R837" t="str" cm="1">
        <f t="array" ref="R837">_xlfn.IFS(B837&lt;31,"Young-Adult",B837&lt;41,"Adult",B837&lt;61,"Middle-aged",B837&gt;=61,"Senior")</f>
        <v>Adult</v>
      </c>
      <c r="S837" cm="1">
        <f t="array" ref="S837">_xlfn.IFS(Q837 ="Fortnightly",14,Q837="Weekly",7,Q837="Monthly",30,Q837="Quarterly",90,Q837="Bi-Weekly",14,Q837="Annually",365,Q837="Every 3 Months",90,TRUE,"NOT FOUND")</f>
        <v>7</v>
      </c>
    </row>
    <row r="838" spans="1:19" x14ac:dyDescent="0.35">
      <c r="A838">
        <v>837</v>
      </c>
      <c r="B838">
        <v>23</v>
      </c>
      <c r="C838" t="s">
        <v>7</v>
      </c>
      <c r="D838" t="s">
        <v>131</v>
      </c>
      <c r="E838" t="s">
        <v>55</v>
      </c>
      <c r="F838">
        <v>90</v>
      </c>
      <c r="G838" t="s">
        <v>52</v>
      </c>
      <c r="H838" t="s">
        <v>11</v>
      </c>
      <c r="I838" t="s">
        <v>71</v>
      </c>
      <c r="J838" t="s">
        <v>13</v>
      </c>
      <c r="K838">
        <v>3.9</v>
      </c>
      <c r="L838" t="s">
        <v>14</v>
      </c>
      <c r="M838" t="s">
        <v>62</v>
      </c>
      <c r="N838" t="s">
        <v>14</v>
      </c>
      <c r="O838">
        <v>22</v>
      </c>
      <c r="P838" t="s">
        <v>21</v>
      </c>
      <c r="Q838" t="s">
        <v>64</v>
      </c>
      <c r="R838" t="str" cm="1">
        <f t="array" ref="R838">_xlfn.IFS(B838&lt;31,"Young-Adult",B838&lt;41,"Adult",B838&lt;61,"Middle-aged",B838&gt;=61,"Senior")</f>
        <v>Young-Adult</v>
      </c>
      <c r="S838" cm="1">
        <f t="array" ref="S838">_xlfn.IFS(Q838 ="Fortnightly",14,Q838="Weekly",7,Q838="Monthly",30,Q838="Quarterly",90,Q838="Bi-Weekly",14,Q838="Annually",365,Q838="Every 3 Months",90,TRUE,"NOT FOUND")</f>
        <v>14</v>
      </c>
    </row>
    <row r="839" spans="1:19" x14ac:dyDescent="0.35">
      <c r="A839">
        <v>838</v>
      </c>
      <c r="B839">
        <v>25</v>
      </c>
      <c r="C839" t="s">
        <v>7</v>
      </c>
      <c r="D839" t="s">
        <v>92</v>
      </c>
      <c r="E839" t="s">
        <v>9</v>
      </c>
      <c r="F839">
        <v>28</v>
      </c>
      <c r="G839" t="s">
        <v>103</v>
      </c>
      <c r="H839" t="s">
        <v>11</v>
      </c>
      <c r="I839" t="s">
        <v>98</v>
      </c>
      <c r="J839" t="s">
        <v>25</v>
      </c>
      <c r="K839">
        <v>4.9000000000000004</v>
      </c>
      <c r="L839" t="s">
        <v>14</v>
      </c>
      <c r="M839" t="s">
        <v>15</v>
      </c>
      <c r="N839" t="s">
        <v>14</v>
      </c>
      <c r="O839">
        <v>33</v>
      </c>
      <c r="P839" t="s">
        <v>21</v>
      </c>
      <c r="Q839" t="s">
        <v>85</v>
      </c>
      <c r="R839" t="str" cm="1">
        <f t="array" ref="R839">_xlfn.IFS(B839&lt;31,"Young-Adult",B839&lt;41,"Adult",B839&lt;61,"Middle-aged",B839&gt;=61,"Senior")</f>
        <v>Young-Adult</v>
      </c>
      <c r="S839" cm="1">
        <f t="array" ref="S839">_xlfn.IFS(Q839 ="Fortnightly",14,Q839="Weekly",7,Q839="Monthly",30,Q839="Quarterly",90,Q839="Bi-Weekly",14,Q839="Annually",365,Q839="Every 3 Months",90,TRUE,"NOT FOUND")</f>
        <v>90</v>
      </c>
    </row>
    <row r="840" spans="1:19" x14ac:dyDescent="0.35">
      <c r="A840">
        <v>839</v>
      </c>
      <c r="B840">
        <v>33</v>
      </c>
      <c r="C840" t="s">
        <v>7</v>
      </c>
      <c r="D840" t="s">
        <v>50</v>
      </c>
      <c r="E840" t="s">
        <v>51</v>
      </c>
      <c r="F840">
        <v>29</v>
      </c>
      <c r="G840" t="s">
        <v>10</v>
      </c>
      <c r="H840" t="s">
        <v>32</v>
      </c>
      <c r="I840" t="s">
        <v>12</v>
      </c>
      <c r="J840" t="s">
        <v>25</v>
      </c>
      <c r="K840">
        <v>4.3</v>
      </c>
      <c r="L840" t="s">
        <v>14</v>
      </c>
      <c r="M840" t="s">
        <v>15</v>
      </c>
      <c r="N840" t="s">
        <v>14</v>
      </c>
      <c r="O840">
        <v>49</v>
      </c>
      <c r="P840" t="s">
        <v>27</v>
      </c>
      <c r="Q840" t="s">
        <v>37</v>
      </c>
      <c r="R840" t="str" cm="1">
        <f t="array" ref="R840">_xlfn.IFS(B840&lt;31,"Young-Adult",B840&lt;41,"Adult",B840&lt;61,"Middle-aged",B840&gt;=61,"Senior")</f>
        <v>Adult</v>
      </c>
      <c r="S840" cm="1">
        <f t="array" ref="S840">_xlfn.IFS(Q840 ="Fortnightly",14,Q840="Weekly",7,Q840="Monthly",30,Q840="Quarterly",90,Q840="Bi-Weekly",14,Q840="Annually",365,Q840="Every 3 Months",90,TRUE,"NOT FOUND")</f>
        <v>365</v>
      </c>
    </row>
    <row r="841" spans="1:19" x14ac:dyDescent="0.35">
      <c r="A841">
        <v>840</v>
      </c>
      <c r="B841">
        <v>48</v>
      </c>
      <c r="C841" t="s">
        <v>7</v>
      </c>
      <c r="D841" t="s">
        <v>43</v>
      </c>
      <c r="E841" t="s">
        <v>9</v>
      </c>
      <c r="F841">
        <v>31</v>
      </c>
      <c r="G841" t="s">
        <v>103</v>
      </c>
      <c r="H841" t="s">
        <v>11</v>
      </c>
      <c r="I841" t="s">
        <v>73</v>
      </c>
      <c r="J841" t="s">
        <v>25</v>
      </c>
      <c r="K841">
        <v>2.6</v>
      </c>
      <c r="L841" t="s">
        <v>14</v>
      </c>
      <c r="M841" t="s">
        <v>26</v>
      </c>
      <c r="N841" t="s">
        <v>14</v>
      </c>
      <c r="O841">
        <v>10</v>
      </c>
      <c r="P841" t="s">
        <v>74</v>
      </c>
      <c r="Q841" t="s">
        <v>85</v>
      </c>
      <c r="R841" t="str" cm="1">
        <f t="array" ref="R841">_xlfn.IFS(B841&lt;31,"Young-Adult",B841&lt;41,"Adult",B841&lt;61,"Middle-aged",B841&gt;=61,"Senior")</f>
        <v>Middle-aged</v>
      </c>
      <c r="S841" cm="1">
        <f t="array" ref="S841">_xlfn.IFS(Q841 ="Fortnightly",14,Q841="Weekly",7,Q841="Monthly",30,Q841="Quarterly",90,Q841="Bi-Weekly",14,Q841="Annually",365,Q841="Every 3 Months",90,TRUE,"NOT FOUND")</f>
        <v>90</v>
      </c>
    </row>
    <row r="842" spans="1:19" x14ac:dyDescent="0.35">
      <c r="A842">
        <v>841</v>
      </c>
      <c r="B842">
        <v>42</v>
      </c>
      <c r="C842" t="s">
        <v>7</v>
      </c>
      <c r="D842" t="s">
        <v>43</v>
      </c>
      <c r="E842" t="s">
        <v>9</v>
      </c>
      <c r="F842">
        <v>24</v>
      </c>
      <c r="G842" t="s">
        <v>78</v>
      </c>
      <c r="H842" t="s">
        <v>11</v>
      </c>
      <c r="I842" t="s">
        <v>73</v>
      </c>
      <c r="J842" t="s">
        <v>41</v>
      </c>
      <c r="K842">
        <v>4.2</v>
      </c>
      <c r="L842" t="s">
        <v>14</v>
      </c>
      <c r="M842" t="s">
        <v>58</v>
      </c>
      <c r="N842" t="s">
        <v>14</v>
      </c>
      <c r="O842">
        <v>18</v>
      </c>
      <c r="P842" t="s">
        <v>34</v>
      </c>
      <c r="Q842" t="s">
        <v>28</v>
      </c>
      <c r="R842" t="str" cm="1">
        <f t="array" ref="R842">_xlfn.IFS(B842&lt;31,"Young-Adult",B842&lt;41,"Adult",B842&lt;61,"Middle-aged",B842&gt;=61,"Senior")</f>
        <v>Middle-aged</v>
      </c>
      <c r="S842" cm="1">
        <f t="array" ref="S842">_xlfn.IFS(Q842 ="Fortnightly",14,Q842="Weekly",7,Q842="Monthly",30,Q842="Quarterly",90,Q842="Bi-Weekly",14,Q842="Annually",365,Q842="Every 3 Months",90,TRUE,"NOT FOUND")</f>
        <v>7</v>
      </c>
    </row>
    <row r="843" spans="1:19" x14ac:dyDescent="0.35">
      <c r="A843">
        <v>842</v>
      </c>
      <c r="B843">
        <v>55</v>
      </c>
      <c r="C843" t="s">
        <v>7</v>
      </c>
      <c r="D843" t="s">
        <v>18</v>
      </c>
      <c r="E843" t="s">
        <v>9</v>
      </c>
      <c r="F843">
        <v>88</v>
      </c>
      <c r="G843" t="s">
        <v>93</v>
      </c>
      <c r="H843" t="s">
        <v>32</v>
      </c>
      <c r="I843" t="s">
        <v>106</v>
      </c>
      <c r="J843" t="s">
        <v>41</v>
      </c>
      <c r="K843">
        <v>2.6</v>
      </c>
      <c r="L843" t="s">
        <v>14</v>
      </c>
      <c r="M843" t="s">
        <v>62</v>
      </c>
      <c r="N843" t="s">
        <v>14</v>
      </c>
      <c r="O843">
        <v>28</v>
      </c>
      <c r="P843" t="s">
        <v>34</v>
      </c>
      <c r="Q843" t="s">
        <v>17</v>
      </c>
      <c r="R843" t="str" cm="1">
        <f t="array" ref="R843">_xlfn.IFS(B843&lt;31,"Young-Adult",B843&lt;41,"Adult",B843&lt;61,"Middle-aged",B843&gt;=61,"Senior")</f>
        <v>Middle-aged</v>
      </c>
      <c r="S843" cm="1">
        <f t="array" ref="S843">_xlfn.IFS(Q843 ="Fortnightly",14,Q843="Weekly",7,Q843="Monthly",30,Q843="Quarterly",90,Q843="Bi-Weekly",14,Q843="Annually",365,Q843="Every 3 Months",90,TRUE,"NOT FOUND")</f>
        <v>14</v>
      </c>
    </row>
    <row r="844" spans="1:19" x14ac:dyDescent="0.35">
      <c r="A844">
        <v>843</v>
      </c>
      <c r="B844">
        <v>59</v>
      </c>
      <c r="C844" t="s">
        <v>7</v>
      </c>
      <c r="D844" t="s">
        <v>43</v>
      </c>
      <c r="E844" t="s">
        <v>9</v>
      </c>
      <c r="F844">
        <v>87</v>
      </c>
      <c r="G844" t="s">
        <v>56</v>
      </c>
      <c r="H844" t="s">
        <v>32</v>
      </c>
      <c r="I844" t="s">
        <v>71</v>
      </c>
      <c r="J844" t="s">
        <v>25</v>
      </c>
      <c r="K844">
        <v>3.6</v>
      </c>
      <c r="L844" t="s">
        <v>14</v>
      </c>
      <c r="M844" t="s">
        <v>15</v>
      </c>
      <c r="N844" t="s">
        <v>14</v>
      </c>
      <c r="O844">
        <v>25</v>
      </c>
      <c r="P844" t="s">
        <v>34</v>
      </c>
      <c r="Q844" t="s">
        <v>28</v>
      </c>
      <c r="R844" t="str" cm="1">
        <f t="array" ref="R844">_xlfn.IFS(B844&lt;31,"Young-Adult",B844&lt;41,"Adult",B844&lt;61,"Middle-aged",B844&gt;=61,"Senior")</f>
        <v>Middle-aged</v>
      </c>
      <c r="S844" cm="1">
        <f t="array" ref="S844">_xlfn.IFS(Q844 ="Fortnightly",14,Q844="Weekly",7,Q844="Monthly",30,Q844="Quarterly",90,Q844="Bi-Weekly",14,Q844="Annually",365,Q844="Every 3 Months",90,TRUE,"NOT FOUND")</f>
        <v>7</v>
      </c>
    </row>
    <row r="845" spans="1:19" x14ac:dyDescent="0.35">
      <c r="A845">
        <v>844</v>
      </c>
      <c r="B845">
        <v>65</v>
      </c>
      <c r="C845" t="s">
        <v>7</v>
      </c>
      <c r="D845" t="s">
        <v>92</v>
      </c>
      <c r="E845" t="s">
        <v>9</v>
      </c>
      <c r="F845">
        <v>80</v>
      </c>
      <c r="G845" t="s">
        <v>126</v>
      </c>
      <c r="H845" t="s">
        <v>24</v>
      </c>
      <c r="I845" t="s">
        <v>106</v>
      </c>
      <c r="J845" t="s">
        <v>41</v>
      </c>
      <c r="K845">
        <v>3.2</v>
      </c>
      <c r="L845" t="s">
        <v>14</v>
      </c>
      <c r="M845" t="s">
        <v>15</v>
      </c>
      <c r="N845" t="s">
        <v>14</v>
      </c>
      <c r="O845">
        <v>6</v>
      </c>
      <c r="P845" t="s">
        <v>34</v>
      </c>
      <c r="Q845" t="s">
        <v>28</v>
      </c>
      <c r="R845" t="str" cm="1">
        <f t="array" ref="R845">_xlfn.IFS(B845&lt;31,"Young-Adult",B845&lt;41,"Adult",B845&lt;61,"Middle-aged",B845&gt;=61,"Senior")</f>
        <v>Senior</v>
      </c>
      <c r="S845" cm="1">
        <f t="array" ref="S845">_xlfn.IFS(Q845 ="Fortnightly",14,Q845="Weekly",7,Q845="Monthly",30,Q845="Quarterly",90,Q845="Bi-Weekly",14,Q845="Annually",365,Q845="Every 3 Months",90,TRUE,"NOT FOUND")</f>
        <v>7</v>
      </c>
    </row>
    <row r="846" spans="1:19" x14ac:dyDescent="0.35">
      <c r="A846">
        <v>845</v>
      </c>
      <c r="B846">
        <v>59</v>
      </c>
      <c r="C846" t="s">
        <v>7</v>
      </c>
      <c r="D846" t="s">
        <v>29</v>
      </c>
      <c r="E846" t="s">
        <v>30</v>
      </c>
      <c r="F846">
        <v>48</v>
      </c>
      <c r="G846" t="s">
        <v>56</v>
      </c>
      <c r="H846" t="s">
        <v>11</v>
      </c>
      <c r="I846" t="s">
        <v>61</v>
      </c>
      <c r="J846" t="s">
        <v>13</v>
      </c>
      <c r="K846">
        <v>4.4000000000000004</v>
      </c>
      <c r="L846" t="s">
        <v>14</v>
      </c>
      <c r="M846" t="s">
        <v>15</v>
      </c>
      <c r="N846" t="s">
        <v>14</v>
      </c>
      <c r="O846">
        <v>44</v>
      </c>
      <c r="P846" t="s">
        <v>16</v>
      </c>
      <c r="Q846" t="s">
        <v>64</v>
      </c>
      <c r="R846" t="str" cm="1">
        <f t="array" ref="R846">_xlfn.IFS(B846&lt;31,"Young-Adult",B846&lt;41,"Adult",B846&lt;61,"Middle-aged",B846&gt;=61,"Senior")</f>
        <v>Middle-aged</v>
      </c>
      <c r="S846" cm="1">
        <f t="array" ref="S846">_xlfn.IFS(Q846 ="Fortnightly",14,Q846="Weekly",7,Q846="Monthly",30,Q846="Quarterly",90,Q846="Bi-Weekly",14,Q846="Annually",365,Q846="Every 3 Months",90,TRUE,"NOT FOUND")</f>
        <v>14</v>
      </c>
    </row>
    <row r="847" spans="1:19" x14ac:dyDescent="0.35">
      <c r="A847">
        <v>846</v>
      </c>
      <c r="B847">
        <v>31</v>
      </c>
      <c r="C847" t="s">
        <v>7</v>
      </c>
      <c r="D847" t="s">
        <v>121</v>
      </c>
      <c r="E847" t="s">
        <v>55</v>
      </c>
      <c r="F847">
        <v>21</v>
      </c>
      <c r="G847" t="s">
        <v>139</v>
      </c>
      <c r="H847" t="s">
        <v>80</v>
      </c>
      <c r="I847" t="s">
        <v>49</v>
      </c>
      <c r="J847" t="s">
        <v>13</v>
      </c>
      <c r="K847">
        <v>3.7</v>
      </c>
      <c r="L847" t="s">
        <v>14</v>
      </c>
      <c r="M847" t="s">
        <v>42</v>
      </c>
      <c r="N847" t="s">
        <v>14</v>
      </c>
      <c r="O847">
        <v>30</v>
      </c>
      <c r="P847" t="s">
        <v>16</v>
      </c>
      <c r="Q847" t="s">
        <v>76</v>
      </c>
      <c r="R847" t="str" cm="1">
        <f t="array" ref="R847">_xlfn.IFS(B847&lt;31,"Young-Adult",B847&lt;41,"Adult",B847&lt;61,"Middle-aged",B847&gt;=61,"Senior")</f>
        <v>Adult</v>
      </c>
      <c r="S847" cm="1">
        <f t="array" ref="S847">_xlfn.IFS(Q847 ="Fortnightly",14,Q847="Weekly",7,Q847="Monthly",30,Q847="Quarterly",90,Q847="Bi-Weekly",14,Q847="Annually",365,Q847="Every 3 Months",90,TRUE,"NOT FOUND")</f>
        <v>30</v>
      </c>
    </row>
    <row r="848" spans="1:19" x14ac:dyDescent="0.35">
      <c r="A848">
        <v>847</v>
      </c>
      <c r="B848">
        <v>49</v>
      </c>
      <c r="C848" t="s">
        <v>7</v>
      </c>
      <c r="D848" t="s">
        <v>125</v>
      </c>
      <c r="E848" t="s">
        <v>30</v>
      </c>
      <c r="F848">
        <v>72</v>
      </c>
      <c r="G848" t="s">
        <v>10</v>
      </c>
      <c r="H848" t="s">
        <v>32</v>
      </c>
      <c r="I848" t="s">
        <v>57</v>
      </c>
      <c r="J848" t="s">
        <v>25</v>
      </c>
      <c r="K848">
        <v>3.7</v>
      </c>
      <c r="L848" t="s">
        <v>14</v>
      </c>
      <c r="M848" t="s">
        <v>15</v>
      </c>
      <c r="N848" t="s">
        <v>14</v>
      </c>
      <c r="O848">
        <v>42</v>
      </c>
      <c r="P848" t="s">
        <v>74</v>
      </c>
      <c r="Q848" t="s">
        <v>46</v>
      </c>
      <c r="R848" t="str" cm="1">
        <f t="array" ref="R848">_xlfn.IFS(B848&lt;31,"Young-Adult",B848&lt;41,"Adult",B848&lt;61,"Middle-aged",B848&gt;=61,"Senior")</f>
        <v>Middle-aged</v>
      </c>
      <c r="S848" cm="1">
        <f t="array" ref="S848">_xlfn.IFS(Q848 ="Fortnightly",14,Q848="Weekly",7,Q848="Monthly",30,Q848="Quarterly",90,Q848="Bi-Weekly",14,Q848="Annually",365,Q848="Every 3 Months",90,TRUE,"NOT FOUND")</f>
        <v>90</v>
      </c>
    </row>
    <row r="849" spans="1:19" x14ac:dyDescent="0.35">
      <c r="A849">
        <v>848</v>
      </c>
      <c r="B849">
        <v>53</v>
      </c>
      <c r="C849" t="s">
        <v>7</v>
      </c>
      <c r="D849" t="s">
        <v>92</v>
      </c>
      <c r="E849" t="s">
        <v>9</v>
      </c>
      <c r="F849">
        <v>44</v>
      </c>
      <c r="G849" t="s">
        <v>115</v>
      </c>
      <c r="H849" t="s">
        <v>11</v>
      </c>
      <c r="I849" t="s">
        <v>132</v>
      </c>
      <c r="J849" t="s">
        <v>45</v>
      </c>
      <c r="K849">
        <v>4.0999999999999996</v>
      </c>
      <c r="L849" t="s">
        <v>14</v>
      </c>
      <c r="M849" t="s">
        <v>42</v>
      </c>
      <c r="N849" t="s">
        <v>14</v>
      </c>
      <c r="O849">
        <v>30</v>
      </c>
      <c r="P849" t="s">
        <v>34</v>
      </c>
      <c r="Q849" t="s">
        <v>76</v>
      </c>
      <c r="R849" t="str" cm="1">
        <f t="array" ref="R849">_xlfn.IFS(B849&lt;31,"Young-Adult",B849&lt;41,"Adult",B849&lt;61,"Middle-aged",B849&gt;=61,"Senior")</f>
        <v>Middle-aged</v>
      </c>
      <c r="S849" cm="1">
        <f t="array" ref="S849">_xlfn.IFS(Q849 ="Fortnightly",14,Q849="Weekly",7,Q849="Monthly",30,Q849="Quarterly",90,Q849="Bi-Weekly",14,Q849="Annually",365,Q849="Every 3 Months",90,TRUE,"NOT FOUND")</f>
        <v>30</v>
      </c>
    </row>
    <row r="850" spans="1:19" x14ac:dyDescent="0.35">
      <c r="A850">
        <v>849</v>
      </c>
      <c r="B850">
        <v>48</v>
      </c>
      <c r="C850" t="s">
        <v>7</v>
      </c>
      <c r="D850" t="s">
        <v>29</v>
      </c>
      <c r="E850" t="s">
        <v>30</v>
      </c>
      <c r="F850">
        <v>73</v>
      </c>
      <c r="G850" t="s">
        <v>67</v>
      </c>
      <c r="H850" t="s">
        <v>32</v>
      </c>
      <c r="I850" t="s">
        <v>81</v>
      </c>
      <c r="J850" t="s">
        <v>45</v>
      </c>
      <c r="K850">
        <v>3.6</v>
      </c>
      <c r="L850" t="s">
        <v>14</v>
      </c>
      <c r="M850" t="s">
        <v>62</v>
      </c>
      <c r="N850" t="s">
        <v>14</v>
      </c>
      <c r="O850">
        <v>33</v>
      </c>
      <c r="P850" t="s">
        <v>27</v>
      </c>
      <c r="Q850" t="s">
        <v>64</v>
      </c>
      <c r="R850" t="str" cm="1">
        <f t="array" ref="R850">_xlfn.IFS(B850&lt;31,"Young-Adult",B850&lt;41,"Adult",B850&lt;61,"Middle-aged",B850&gt;=61,"Senior")</f>
        <v>Middle-aged</v>
      </c>
      <c r="S850" cm="1">
        <f t="array" ref="S850">_xlfn.IFS(Q850 ="Fortnightly",14,Q850="Weekly",7,Q850="Monthly",30,Q850="Quarterly",90,Q850="Bi-Weekly",14,Q850="Annually",365,Q850="Every 3 Months",90,TRUE,"NOT FOUND")</f>
        <v>14</v>
      </c>
    </row>
    <row r="851" spans="1:19" x14ac:dyDescent="0.35">
      <c r="A851">
        <v>850</v>
      </c>
      <c r="B851">
        <v>23</v>
      </c>
      <c r="C851" t="s">
        <v>7</v>
      </c>
      <c r="D851" t="s">
        <v>22</v>
      </c>
      <c r="E851" t="s">
        <v>9</v>
      </c>
      <c r="F851">
        <v>61</v>
      </c>
      <c r="G851" t="s">
        <v>56</v>
      </c>
      <c r="H851" t="s">
        <v>24</v>
      </c>
      <c r="I851" t="s">
        <v>49</v>
      </c>
      <c r="J851" t="s">
        <v>25</v>
      </c>
      <c r="K851">
        <v>4.3</v>
      </c>
      <c r="L851" t="s">
        <v>14</v>
      </c>
      <c r="M851" t="s">
        <v>15</v>
      </c>
      <c r="N851" t="s">
        <v>14</v>
      </c>
      <c r="O851">
        <v>24</v>
      </c>
      <c r="P851" t="s">
        <v>34</v>
      </c>
      <c r="Q851" t="s">
        <v>46</v>
      </c>
      <c r="R851" t="str" cm="1">
        <f t="array" ref="R851">_xlfn.IFS(B851&lt;31,"Young-Adult",B851&lt;41,"Adult",B851&lt;61,"Middle-aged",B851&gt;=61,"Senior")</f>
        <v>Young-Adult</v>
      </c>
      <c r="S851" cm="1">
        <f t="array" ref="S851">_xlfn.IFS(Q851 ="Fortnightly",14,Q851="Weekly",7,Q851="Monthly",30,Q851="Quarterly",90,Q851="Bi-Weekly",14,Q851="Annually",365,Q851="Every 3 Months",90,TRUE,"NOT FOUND")</f>
        <v>90</v>
      </c>
    </row>
    <row r="852" spans="1:19" x14ac:dyDescent="0.35">
      <c r="A852">
        <v>851</v>
      </c>
      <c r="B852">
        <v>68</v>
      </c>
      <c r="C852" t="s">
        <v>7</v>
      </c>
      <c r="D852" t="s">
        <v>59</v>
      </c>
      <c r="E852" t="s">
        <v>30</v>
      </c>
      <c r="F852">
        <v>20</v>
      </c>
      <c r="G852" t="s">
        <v>127</v>
      </c>
      <c r="H852" t="s">
        <v>11</v>
      </c>
      <c r="I852" t="s">
        <v>36</v>
      </c>
      <c r="J852" t="s">
        <v>13</v>
      </c>
      <c r="K852">
        <v>2.6</v>
      </c>
      <c r="L852" t="s">
        <v>14</v>
      </c>
      <c r="M852" t="s">
        <v>62</v>
      </c>
      <c r="N852" t="s">
        <v>14</v>
      </c>
      <c r="O852">
        <v>13</v>
      </c>
      <c r="P852" t="s">
        <v>16</v>
      </c>
      <c r="Q852" t="s">
        <v>76</v>
      </c>
      <c r="R852" t="str" cm="1">
        <f t="array" ref="R852">_xlfn.IFS(B852&lt;31,"Young-Adult",B852&lt;41,"Adult",B852&lt;61,"Middle-aged",B852&gt;=61,"Senior")</f>
        <v>Senior</v>
      </c>
      <c r="S852" cm="1">
        <f t="array" ref="S852">_xlfn.IFS(Q852 ="Fortnightly",14,Q852="Weekly",7,Q852="Monthly",30,Q852="Quarterly",90,Q852="Bi-Weekly",14,Q852="Annually",365,Q852="Every 3 Months",90,TRUE,"NOT FOUND")</f>
        <v>30</v>
      </c>
    </row>
    <row r="853" spans="1:19" x14ac:dyDescent="0.35">
      <c r="A853">
        <v>852</v>
      </c>
      <c r="B853">
        <v>35</v>
      </c>
      <c r="C853" t="s">
        <v>7</v>
      </c>
      <c r="D853" t="s">
        <v>29</v>
      </c>
      <c r="E853" t="s">
        <v>30</v>
      </c>
      <c r="F853">
        <v>86</v>
      </c>
      <c r="G853" t="s">
        <v>23</v>
      </c>
      <c r="H853" t="s">
        <v>32</v>
      </c>
      <c r="I853" t="s">
        <v>96</v>
      </c>
      <c r="J853" t="s">
        <v>41</v>
      </c>
      <c r="K853">
        <v>2.9</v>
      </c>
      <c r="L853" t="s">
        <v>14</v>
      </c>
      <c r="M853" t="s">
        <v>15</v>
      </c>
      <c r="N853" t="s">
        <v>14</v>
      </c>
      <c r="O853">
        <v>19</v>
      </c>
      <c r="P853" t="s">
        <v>74</v>
      </c>
      <c r="Q853" t="s">
        <v>76</v>
      </c>
      <c r="R853" t="str" cm="1">
        <f t="array" ref="R853">_xlfn.IFS(B853&lt;31,"Young-Adult",B853&lt;41,"Adult",B853&lt;61,"Middle-aged",B853&gt;=61,"Senior")</f>
        <v>Adult</v>
      </c>
      <c r="S853" cm="1">
        <f t="array" ref="S853">_xlfn.IFS(Q853 ="Fortnightly",14,Q853="Weekly",7,Q853="Monthly",30,Q853="Quarterly",90,Q853="Bi-Weekly",14,Q853="Annually",365,Q853="Every 3 Months",90,TRUE,"NOT FOUND")</f>
        <v>30</v>
      </c>
    </row>
    <row r="854" spans="1:19" x14ac:dyDescent="0.35">
      <c r="A854">
        <v>853</v>
      </c>
      <c r="B854">
        <v>34</v>
      </c>
      <c r="C854" t="s">
        <v>7</v>
      </c>
      <c r="D854" t="s">
        <v>69</v>
      </c>
      <c r="E854" t="s">
        <v>9</v>
      </c>
      <c r="F854">
        <v>60</v>
      </c>
      <c r="G854" t="s">
        <v>91</v>
      </c>
      <c r="H854" t="s">
        <v>11</v>
      </c>
      <c r="I854" t="s">
        <v>122</v>
      </c>
      <c r="J854" t="s">
        <v>25</v>
      </c>
      <c r="K854">
        <v>4.2</v>
      </c>
      <c r="L854" t="s">
        <v>14</v>
      </c>
      <c r="M854" t="s">
        <v>33</v>
      </c>
      <c r="N854" t="s">
        <v>14</v>
      </c>
      <c r="O854">
        <v>23</v>
      </c>
      <c r="P854" t="s">
        <v>74</v>
      </c>
      <c r="Q854" t="s">
        <v>85</v>
      </c>
      <c r="R854" t="str" cm="1">
        <f t="array" ref="R854">_xlfn.IFS(B854&lt;31,"Young-Adult",B854&lt;41,"Adult",B854&lt;61,"Middle-aged",B854&gt;=61,"Senior")</f>
        <v>Adult</v>
      </c>
      <c r="S854" cm="1">
        <f t="array" ref="S854">_xlfn.IFS(Q854 ="Fortnightly",14,Q854="Weekly",7,Q854="Monthly",30,Q854="Quarterly",90,Q854="Bi-Weekly",14,Q854="Annually",365,Q854="Every 3 Months",90,TRUE,"NOT FOUND")</f>
        <v>90</v>
      </c>
    </row>
    <row r="855" spans="1:19" x14ac:dyDescent="0.35">
      <c r="A855">
        <v>854</v>
      </c>
      <c r="B855">
        <v>62</v>
      </c>
      <c r="C855" t="s">
        <v>7</v>
      </c>
      <c r="D855" t="s">
        <v>112</v>
      </c>
      <c r="E855" t="s">
        <v>55</v>
      </c>
      <c r="F855">
        <v>43</v>
      </c>
      <c r="G855" t="s">
        <v>67</v>
      </c>
      <c r="H855" t="s">
        <v>11</v>
      </c>
      <c r="I855" t="s">
        <v>109</v>
      </c>
      <c r="J855" t="s">
        <v>13</v>
      </c>
      <c r="K855">
        <v>4</v>
      </c>
      <c r="L855" t="s">
        <v>14</v>
      </c>
      <c r="M855" t="s">
        <v>26</v>
      </c>
      <c r="N855" t="s">
        <v>14</v>
      </c>
      <c r="O855">
        <v>35</v>
      </c>
      <c r="P855" t="s">
        <v>21</v>
      </c>
      <c r="Q855" t="s">
        <v>76</v>
      </c>
      <c r="R855" t="str" cm="1">
        <f t="array" ref="R855">_xlfn.IFS(B855&lt;31,"Young-Adult",B855&lt;41,"Adult",B855&lt;61,"Middle-aged",B855&gt;=61,"Senior")</f>
        <v>Senior</v>
      </c>
      <c r="S855" cm="1">
        <f t="array" ref="S855">_xlfn.IFS(Q855 ="Fortnightly",14,Q855="Weekly",7,Q855="Monthly",30,Q855="Quarterly",90,Q855="Bi-Weekly",14,Q855="Annually",365,Q855="Every 3 Months",90,TRUE,"NOT FOUND")</f>
        <v>30</v>
      </c>
    </row>
    <row r="856" spans="1:19" x14ac:dyDescent="0.35">
      <c r="A856">
        <v>855</v>
      </c>
      <c r="B856">
        <v>21</v>
      </c>
      <c r="C856" t="s">
        <v>7</v>
      </c>
      <c r="D856" t="s">
        <v>83</v>
      </c>
      <c r="E856" t="s">
        <v>9</v>
      </c>
      <c r="F856">
        <v>44</v>
      </c>
      <c r="G856" t="s">
        <v>87</v>
      </c>
      <c r="H856" t="s">
        <v>11</v>
      </c>
      <c r="I856" t="s">
        <v>132</v>
      </c>
      <c r="J856" t="s">
        <v>25</v>
      </c>
      <c r="K856">
        <v>4.3</v>
      </c>
      <c r="L856" t="s">
        <v>14</v>
      </c>
      <c r="M856" t="s">
        <v>26</v>
      </c>
      <c r="N856" t="s">
        <v>14</v>
      </c>
      <c r="O856">
        <v>22</v>
      </c>
      <c r="P856" t="s">
        <v>16</v>
      </c>
      <c r="Q856" t="s">
        <v>76</v>
      </c>
      <c r="R856" t="str" cm="1">
        <f t="array" ref="R856">_xlfn.IFS(B856&lt;31,"Young-Adult",B856&lt;41,"Adult",B856&lt;61,"Middle-aged",B856&gt;=61,"Senior")</f>
        <v>Young-Adult</v>
      </c>
      <c r="S856" cm="1">
        <f t="array" ref="S856">_xlfn.IFS(Q856 ="Fortnightly",14,Q856="Weekly",7,Q856="Monthly",30,Q856="Quarterly",90,Q856="Bi-Weekly",14,Q856="Annually",365,Q856="Every 3 Months",90,TRUE,"NOT FOUND")</f>
        <v>30</v>
      </c>
    </row>
    <row r="857" spans="1:19" x14ac:dyDescent="0.35">
      <c r="A857">
        <v>856</v>
      </c>
      <c r="B857">
        <v>70</v>
      </c>
      <c r="C857" t="s">
        <v>7</v>
      </c>
      <c r="D857" t="s">
        <v>113</v>
      </c>
      <c r="E857" t="s">
        <v>9</v>
      </c>
      <c r="F857">
        <v>76</v>
      </c>
      <c r="G857" t="s">
        <v>35</v>
      </c>
      <c r="H857" t="s">
        <v>11</v>
      </c>
      <c r="I857" t="s">
        <v>68</v>
      </c>
      <c r="J857" t="s">
        <v>25</v>
      </c>
      <c r="K857">
        <v>3</v>
      </c>
      <c r="L857" t="s">
        <v>14</v>
      </c>
      <c r="M857" t="s">
        <v>58</v>
      </c>
      <c r="N857" t="s">
        <v>14</v>
      </c>
      <c r="O857">
        <v>14</v>
      </c>
      <c r="P857" t="s">
        <v>27</v>
      </c>
      <c r="Q857" t="s">
        <v>46</v>
      </c>
      <c r="R857" t="str" cm="1">
        <f t="array" ref="R857">_xlfn.IFS(B857&lt;31,"Young-Adult",B857&lt;41,"Adult",B857&lt;61,"Middle-aged",B857&gt;=61,"Senior")</f>
        <v>Senior</v>
      </c>
      <c r="S857" cm="1">
        <f t="array" ref="S857">_xlfn.IFS(Q857 ="Fortnightly",14,Q857="Weekly",7,Q857="Monthly",30,Q857="Quarterly",90,Q857="Bi-Weekly",14,Q857="Annually",365,Q857="Every 3 Months",90,TRUE,"NOT FOUND")</f>
        <v>90</v>
      </c>
    </row>
    <row r="858" spans="1:19" x14ac:dyDescent="0.35">
      <c r="A858">
        <v>857</v>
      </c>
      <c r="B858">
        <v>55</v>
      </c>
      <c r="C858" t="s">
        <v>7</v>
      </c>
      <c r="D858" t="s">
        <v>43</v>
      </c>
      <c r="E858" t="s">
        <v>9</v>
      </c>
      <c r="F858">
        <v>33</v>
      </c>
      <c r="G858" t="s">
        <v>108</v>
      </c>
      <c r="H858" t="s">
        <v>32</v>
      </c>
      <c r="I858" t="s">
        <v>68</v>
      </c>
      <c r="J858" t="s">
        <v>41</v>
      </c>
      <c r="K858">
        <v>3.5</v>
      </c>
      <c r="L858" t="s">
        <v>14</v>
      </c>
      <c r="M858" t="s">
        <v>15</v>
      </c>
      <c r="N858" t="s">
        <v>14</v>
      </c>
      <c r="O858">
        <v>47</v>
      </c>
      <c r="P858" t="s">
        <v>74</v>
      </c>
      <c r="Q858" t="s">
        <v>17</v>
      </c>
      <c r="R858" t="str" cm="1">
        <f t="array" ref="R858">_xlfn.IFS(B858&lt;31,"Young-Adult",B858&lt;41,"Adult",B858&lt;61,"Middle-aged",B858&gt;=61,"Senior")</f>
        <v>Middle-aged</v>
      </c>
      <c r="S858" cm="1">
        <f t="array" ref="S858">_xlfn.IFS(Q858 ="Fortnightly",14,Q858="Weekly",7,Q858="Monthly",30,Q858="Quarterly",90,Q858="Bi-Weekly",14,Q858="Annually",365,Q858="Every 3 Months",90,TRUE,"NOT FOUND")</f>
        <v>14</v>
      </c>
    </row>
    <row r="859" spans="1:19" x14ac:dyDescent="0.35">
      <c r="A859">
        <v>858</v>
      </c>
      <c r="B859">
        <v>43</v>
      </c>
      <c r="C859" t="s">
        <v>7</v>
      </c>
      <c r="D859" t="s">
        <v>47</v>
      </c>
      <c r="E859" t="s">
        <v>9</v>
      </c>
      <c r="F859">
        <v>60</v>
      </c>
      <c r="G859" t="s">
        <v>56</v>
      </c>
      <c r="H859" t="s">
        <v>11</v>
      </c>
      <c r="I859" t="s">
        <v>97</v>
      </c>
      <c r="J859" t="s">
        <v>45</v>
      </c>
      <c r="K859">
        <v>3</v>
      </c>
      <c r="L859" t="s">
        <v>14</v>
      </c>
      <c r="M859" t="s">
        <v>42</v>
      </c>
      <c r="N859" t="s">
        <v>14</v>
      </c>
      <c r="O859">
        <v>50</v>
      </c>
      <c r="P859" t="s">
        <v>74</v>
      </c>
      <c r="Q859" t="s">
        <v>85</v>
      </c>
      <c r="R859" t="str" cm="1">
        <f t="array" ref="R859">_xlfn.IFS(B859&lt;31,"Young-Adult",B859&lt;41,"Adult",B859&lt;61,"Middle-aged",B859&gt;=61,"Senior")</f>
        <v>Middle-aged</v>
      </c>
      <c r="S859" cm="1">
        <f t="array" ref="S859">_xlfn.IFS(Q859 ="Fortnightly",14,Q859="Weekly",7,Q859="Monthly",30,Q859="Quarterly",90,Q859="Bi-Weekly",14,Q859="Annually",365,Q859="Every 3 Months",90,TRUE,"NOT FOUND")</f>
        <v>90</v>
      </c>
    </row>
    <row r="860" spans="1:19" x14ac:dyDescent="0.35">
      <c r="A860">
        <v>859</v>
      </c>
      <c r="B860">
        <v>19</v>
      </c>
      <c r="C860" t="s">
        <v>7</v>
      </c>
      <c r="D860" t="s">
        <v>90</v>
      </c>
      <c r="E860" t="s">
        <v>51</v>
      </c>
      <c r="F860">
        <v>26</v>
      </c>
      <c r="G860" t="s">
        <v>89</v>
      </c>
      <c r="H860" t="s">
        <v>11</v>
      </c>
      <c r="I860" t="s">
        <v>66</v>
      </c>
      <c r="J860" t="s">
        <v>45</v>
      </c>
      <c r="K860">
        <v>3.1</v>
      </c>
      <c r="L860" t="s">
        <v>14</v>
      </c>
      <c r="M860" t="s">
        <v>26</v>
      </c>
      <c r="N860" t="s">
        <v>14</v>
      </c>
      <c r="O860">
        <v>33</v>
      </c>
      <c r="P860" t="s">
        <v>34</v>
      </c>
      <c r="Q860" t="s">
        <v>28</v>
      </c>
      <c r="R860" t="str" cm="1">
        <f t="array" ref="R860">_xlfn.IFS(B860&lt;31,"Young-Adult",B860&lt;41,"Adult",B860&lt;61,"Middle-aged",B860&gt;=61,"Senior")</f>
        <v>Young-Adult</v>
      </c>
      <c r="S860" cm="1">
        <f t="array" ref="S860">_xlfn.IFS(Q860 ="Fortnightly",14,Q860="Weekly",7,Q860="Monthly",30,Q860="Quarterly",90,Q860="Bi-Weekly",14,Q860="Annually",365,Q860="Every 3 Months",90,TRUE,"NOT FOUND")</f>
        <v>7</v>
      </c>
    </row>
    <row r="861" spans="1:19" x14ac:dyDescent="0.35">
      <c r="A861">
        <v>860</v>
      </c>
      <c r="B861">
        <v>47</v>
      </c>
      <c r="C861" t="s">
        <v>7</v>
      </c>
      <c r="D861" t="s">
        <v>92</v>
      </c>
      <c r="E861" t="s">
        <v>9</v>
      </c>
      <c r="F861">
        <v>73</v>
      </c>
      <c r="G861" t="s">
        <v>138</v>
      </c>
      <c r="H861" t="s">
        <v>32</v>
      </c>
      <c r="I861" t="s">
        <v>73</v>
      </c>
      <c r="J861" t="s">
        <v>13</v>
      </c>
      <c r="K861">
        <v>4</v>
      </c>
      <c r="L861" t="s">
        <v>14</v>
      </c>
      <c r="M861" t="s">
        <v>33</v>
      </c>
      <c r="N861" t="s">
        <v>14</v>
      </c>
      <c r="O861">
        <v>7</v>
      </c>
      <c r="P861" t="s">
        <v>74</v>
      </c>
      <c r="Q861" t="s">
        <v>76</v>
      </c>
      <c r="R861" t="str" cm="1">
        <f t="array" ref="R861">_xlfn.IFS(B861&lt;31,"Young-Adult",B861&lt;41,"Adult",B861&lt;61,"Middle-aged",B861&gt;=61,"Senior")</f>
        <v>Middle-aged</v>
      </c>
      <c r="S861" cm="1">
        <f t="array" ref="S861">_xlfn.IFS(Q861 ="Fortnightly",14,Q861="Weekly",7,Q861="Monthly",30,Q861="Quarterly",90,Q861="Bi-Weekly",14,Q861="Annually",365,Q861="Every 3 Months",90,TRUE,"NOT FOUND")</f>
        <v>30</v>
      </c>
    </row>
    <row r="862" spans="1:19" x14ac:dyDescent="0.35">
      <c r="A862">
        <v>861</v>
      </c>
      <c r="B862">
        <v>26</v>
      </c>
      <c r="C862" t="s">
        <v>7</v>
      </c>
      <c r="D862" t="s">
        <v>59</v>
      </c>
      <c r="E862" t="s">
        <v>30</v>
      </c>
      <c r="F862">
        <v>87</v>
      </c>
      <c r="G862" t="s">
        <v>119</v>
      </c>
      <c r="H862" t="s">
        <v>32</v>
      </c>
      <c r="I862" t="s">
        <v>20</v>
      </c>
      <c r="J862" t="s">
        <v>25</v>
      </c>
      <c r="K862">
        <v>4.0999999999999996</v>
      </c>
      <c r="L862" t="s">
        <v>14</v>
      </c>
      <c r="M862" t="s">
        <v>42</v>
      </c>
      <c r="N862" t="s">
        <v>14</v>
      </c>
      <c r="O862">
        <v>3</v>
      </c>
      <c r="P862" t="s">
        <v>21</v>
      </c>
      <c r="Q862" t="s">
        <v>76</v>
      </c>
      <c r="R862" t="str" cm="1">
        <f t="array" ref="R862">_xlfn.IFS(B862&lt;31,"Young-Adult",B862&lt;41,"Adult",B862&lt;61,"Middle-aged",B862&gt;=61,"Senior")</f>
        <v>Young-Adult</v>
      </c>
      <c r="S862" cm="1">
        <f t="array" ref="S862">_xlfn.IFS(Q862 ="Fortnightly",14,Q862="Weekly",7,Q862="Monthly",30,Q862="Quarterly",90,Q862="Bi-Weekly",14,Q862="Annually",365,Q862="Every 3 Months",90,TRUE,"NOT FOUND")</f>
        <v>30</v>
      </c>
    </row>
    <row r="863" spans="1:19" x14ac:dyDescent="0.35">
      <c r="A863">
        <v>862</v>
      </c>
      <c r="B863">
        <v>46</v>
      </c>
      <c r="C863" t="s">
        <v>7</v>
      </c>
      <c r="D863" t="s">
        <v>75</v>
      </c>
      <c r="E863" t="s">
        <v>9</v>
      </c>
      <c r="F863">
        <v>100</v>
      </c>
      <c r="G863" t="s">
        <v>129</v>
      </c>
      <c r="H863" t="s">
        <v>80</v>
      </c>
      <c r="I863" t="s">
        <v>84</v>
      </c>
      <c r="J863" t="s">
        <v>25</v>
      </c>
      <c r="K863">
        <v>3.8</v>
      </c>
      <c r="L863" t="s">
        <v>14</v>
      </c>
      <c r="M863" t="s">
        <v>58</v>
      </c>
      <c r="N863" t="s">
        <v>14</v>
      </c>
      <c r="O863">
        <v>35</v>
      </c>
      <c r="P863" t="s">
        <v>27</v>
      </c>
      <c r="Q863" t="s">
        <v>85</v>
      </c>
      <c r="R863" t="str" cm="1">
        <f t="array" ref="R863">_xlfn.IFS(B863&lt;31,"Young-Adult",B863&lt;41,"Adult",B863&lt;61,"Middle-aged",B863&gt;=61,"Senior")</f>
        <v>Middle-aged</v>
      </c>
      <c r="S863" cm="1">
        <f t="array" ref="S863">_xlfn.IFS(Q863 ="Fortnightly",14,Q863="Weekly",7,Q863="Monthly",30,Q863="Quarterly",90,Q863="Bi-Weekly",14,Q863="Annually",365,Q863="Every 3 Months",90,TRUE,"NOT FOUND")</f>
        <v>90</v>
      </c>
    </row>
    <row r="864" spans="1:19" x14ac:dyDescent="0.35">
      <c r="A864">
        <v>863</v>
      </c>
      <c r="B864">
        <v>19</v>
      </c>
      <c r="C864" t="s">
        <v>7</v>
      </c>
      <c r="D864" t="s">
        <v>50</v>
      </c>
      <c r="E864" t="s">
        <v>51</v>
      </c>
      <c r="F864">
        <v>84</v>
      </c>
      <c r="G864" t="s">
        <v>60</v>
      </c>
      <c r="H864" t="s">
        <v>32</v>
      </c>
      <c r="I864" t="s">
        <v>49</v>
      </c>
      <c r="J864" t="s">
        <v>13</v>
      </c>
      <c r="K864">
        <v>4.9000000000000004</v>
      </c>
      <c r="L864" t="s">
        <v>14</v>
      </c>
      <c r="M864" t="s">
        <v>42</v>
      </c>
      <c r="N864" t="s">
        <v>14</v>
      </c>
      <c r="O864">
        <v>13</v>
      </c>
      <c r="P864" t="s">
        <v>34</v>
      </c>
      <c r="Q864" t="s">
        <v>17</v>
      </c>
      <c r="R864" t="str" cm="1">
        <f t="array" ref="R864">_xlfn.IFS(B864&lt;31,"Young-Adult",B864&lt;41,"Adult",B864&lt;61,"Middle-aged",B864&gt;=61,"Senior")</f>
        <v>Young-Adult</v>
      </c>
      <c r="S864" cm="1">
        <f t="array" ref="S864">_xlfn.IFS(Q864 ="Fortnightly",14,Q864="Weekly",7,Q864="Monthly",30,Q864="Quarterly",90,Q864="Bi-Weekly",14,Q864="Annually",365,Q864="Every 3 Months",90,TRUE,"NOT FOUND")</f>
        <v>14</v>
      </c>
    </row>
    <row r="865" spans="1:19" x14ac:dyDescent="0.35">
      <c r="A865">
        <v>864</v>
      </c>
      <c r="B865">
        <v>49</v>
      </c>
      <c r="C865" t="s">
        <v>7</v>
      </c>
      <c r="D865" t="s">
        <v>38</v>
      </c>
      <c r="E865" t="s">
        <v>30</v>
      </c>
      <c r="F865">
        <v>41</v>
      </c>
      <c r="G865" t="s">
        <v>117</v>
      </c>
      <c r="H865" t="s">
        <v>32</v>
      </c>
      <c r="I865" t="s">
        <v>97</v>
      </c>
      <c r="J865" t="s">
        <v>41</v>
      </c>
      <c r="K865">
        <v>3.9</v>
      </c>
      <c r="L865" t="s">
        <v>14</v>
      </c>
      <c r="M865" t="s">
        <v>42</v>
      </c>
      <c r="N865" t="s">
        <v>14</v>
      </c>
      <c r="O865">
        <v>42</v>
      </c>
      <c r="P865" t="s">
        <v>34</v>
      </c>
      <c r="Q865" t="s">
        <v>17</v>
      </c>
      <c r="R865" t="str" cm="1">
        <f t="array" ref="R865">_xlfn.IFS(B865&lt;31,"Young-Adult",B865&lt;41,"Adult",B865&lt;61,"Middle-aged",B865&gt;=61,"Senior")</f>
        <v>Middle-aged</v>
      </c>
      <c r="S865" cm="1">
        <f t="array" ref="S865">_xlfn.IFS(Q865 ="Fortnightly",14,Q865="Weekly",7,Q865="Monthly",30,Q865="Quarterly",90,Q865="Bi-Weekly",14,Q865="Annually",365,Q865="Every 3 Months",90,TRUE,"NOT FOUND")</f>
        <v>14</v>
      </c>
    </row>
    <row r="866" spans="1:19" x14ac:dyDescent="0.35">
      <c r="A866">
        <v>865</v>
      </c>
      <c r="B866">
        <v>51</v>
      </c>
      <c r="C866" t="s">
        <v>7</v>
      </c>
      <c r="D866" t="s">
        <v>22</v>
      </c>
      <c r="E866" t="s">
        <v>9</v>
      </c>
      <c r="F866">
        <v>59</v>
      </c>
      <c r="G866" t="s">
        <v>10</v>
      </c>
      <c r="H866" t="s">
        <v>24</v>
      </c>
      <c r="I866" t="s">
        <v>49</v>
      </c>
      <c r="J866" t="s">
        <v>13</v>
      </c>
      <c r="K866">
        <v>3.9</v>
      </c>
      <c r="L866" t="s">
        <v>14</v>
      </c>
      <c r="M866" t="s">
        <v>33</v>
      </c>
      <c r="N866" t="s">
        <v>14</v>
      </c>
      <c r="O866">
        <v>5</v>
      </c>
      <c r="P866" t="s">
        <v>34</v>
      </c>
      <c r="Q866" t="s">
        <v>37</v>
      </c>
      <c r="R866" t="str" cm="1">
        <f t="array" ref="R866">_xlfn.IFS(B866&lt;31,"Young-Adult",B866&lt;41,"Adult",B866&lt;61,"Middle-aged",B866&gt;=61,"Senior")</f>
        <v>Middle-aged</v>
      </c>
      <c r="S866" cm="1">
        <f t="array" ref="S866">_xlfn.IFS(Q866 ="Fortnightly",14,Q866="Weekly",7,Q866="Monthly",30,Q866="Quarterly",90,Q866="Bi-Weekly",14,Q866="Annually",365,Q866="Every 3 Months",90,TRUE,"NOT FOUND")</f>
        <v>365</v>
      </c>
    </row>
    <row r="867" spans="1:19" x14ac:dyDescent="0.35">
      <c r="A867">
        <v>866</v>
      </c>
      <c r="B867">
        <v>64</v>
      </c>
      <c r="C867" t="s">
        <v>7</v>
      </c>
      <c r="D867" t="s">
        <v>8</v>
      </c>
      <c r="E867" t="s">
        <v>9</v>
      </c>
      <c r="F867">
        <v>26</v>
      </c>
      <c r="G867" t="s">
        <v>100</v>
      </c>
      <c r="H867" t="s">
        <v>11</v>
      </c>
      <c r="I867" t="s">
        <v>49</v>
      </c>
      <c r="J867" t="s">
        <v>13</v>
      </c>
      <c r="K867">
        <v>4.8</v>
      </c>
      <c r="L867" t="s">
        <v>14</v>
      </c>
      <c r="M867" t="s">
        <v>62</v>
      </c>
      <c r="N867" t="s">
        <v>14</v>
      </c>
      <c r="O867">
        <v>23</v>
      </c>
      <c r="P867" t="s">
        <v>16</v>
      </c>
      <c r="Q867" t="s">
        <v>37</v>
      </c>
      <c r="R867" t="str" cm="1">
        <f t="array" ref="R867">_xlfn.IFS(B867&lt;31,"Young-Adult",B867&lt;41,"Adult",B867&lt;61,"Middle-aged",B867&gt;=61,"Senior")</f>
        <v>Senior</v>
      </c>
      <c r="S867" cm="1">
        <f t="array" ref="S867">_xlfn.IFS(Q867 ="Fortnightly",14,Q867="Weekly",7,Q867="Monthly",30,Q867="Quarterly",90,Q867="Bi-Weekly",14,Q867="Annually",365,Q867="Every 3 Months",90,TRUE,"NOT FOUND")</f>
        <v>365</v>
      </c>
    </row>
    <row r="868" spans="1:19" x14ac:dyDescent="0.35">
      <c r="A868">
        <v>867</v>
      </c>
      <c r="B868">
        <v>67</v>
      </c>
      <c r="C868" t="s">
        <v>7</v>
      </c>
      <c r="D868" t="s">
        <v>77</v>
      </c>
      <c r="E868" t="s">
        <v>55</v>
      </c>
      <c r="F868">
        <v>69</v>
      </c>
      <c r="G868" t="s">
        <v>118</v>
      </c>
      <c r="H868" t="s">
        <v>32</v>
      </c>
      <c r="I868" t="s">
        <v>81</v>
      </c>
      <c r="J868" t="s">
        <v>41</v>
      </c>
      <c r="K868">
        <v>2.7</v>
      </c>
      <c r="L868" t="s">
        <v>14</v>
      </c>
      <c r="M868" t="s">
        <v>26</v>
      </c>
      <c r="N868" t="s">
        <v>14</v>
      </c>
      <c r="O868">
        <v>11</v>
      </c>
      <c r="P868" t="s">
        <v>34</v>
      </c>
      <c r="Q868" t="s">
        <v>64</v>
      </c>
      <c r="R868" t="str" cm="1">
        <f t="array" ref="R868">_xlfn.IFS(B868&lt;31,"Young-Adult",B868&lt;41,"Adult",B868&lt;61,"Middle-aged",B868&gt;=61,"Senior")</f>
        <v>Senior</v>
      </c>
      <c r="S868" cm="1">
        <f t="array" ref="S868">_xlfn.IFS(Q868 ="Fortnightly",14,Q868="Weekly",7,Q868="Monthly",30,Q868="Quarterly",90,Q868="Bi-Weekly",14,Q868="Annually",365,Q868="Every 3 Months",90,TRUE,"NOT FOUND")</f>
        <v>14</v>
      </c>
    </row>
    <row r="869" spans="1:19" x14ac:dyDescent="0.35">
      <c r="A869">
        <v>868</v>
      </c>
      <c r="B869">
        <v>37</v>
      </c>
      <c r="C869" t="s">
        <v>7</v>
      </c>
      <c r="D869" t="s">
        <v>90</v>
      </c>
      <c r="E869" t="s">
        <v>51</v>
      </c>
      <c r="F869">
        <v>20</v>
      </c>
      <c r="G869" t="s">
        <v>100</v>
      </c>
      <c r="H869" t="s">
        <v>32</v>
      </c>
      <c r="I869" t="s">
        <v>36</v>
      </c>
      <c r="J869" t="s">
        <v>25</v>
      </c>
      <c r="K869">
        <v>3.1</v>
      </c>
      <c r="L869" t="s">
        <v>14</v>
      </c>
      <c r="M869" t="s">
        <v>26</v>
      </c>
      <c r="N869" t="s">
        <v>14</v>
      </c>
      <c r="O869">
        <v>23</v>
      </c>
      <c r="P869" t="s">
        <v>63</v>
      </c>
      <c r="Q869" t="s">
        <v>17</v>
      </c>
      <c r="R869" t="str" cm="1">
        <f t="array" ref="R869">_xlfn.IFS(B869&lt;31,"Young-Adult",B869&lt;41,"Adult",B869&lt;61,"Middle-aged",B869&gt;=61,"Senior")</f>
        <v>Adult</v>
      </c>
      <c r="S869" cm="1">
        <f t="array" ref="S869">_xlfn.IFS(Q869 ="Fortnightly",14,Q869="Weekly",7,Q869="Monthly",30,Q869="Quarterly",90,Q869="Bi-Weekly",14,Q869="Annually",365,Q869="Every 3 Months",90,TRUE,"NOT FOUND")</f>
        <v>14</v>
      </c>
    </row>
    <row r="870" spans="1:19" x14ac:dyDescent="0.35">
      <c r="A870">
        <v>869</v>
      </c>
      <c r="B870">
        <v>40</v>
      </c>
      <c r="C870" t="s">
        <v>7</v>
      </c>
      <c r="D870" t="s">
        <v>69</v>
      </c>
      <c r="E870" t="s">
        <v>9</v>
      </c>
      <c r="F870">
        <v>83</v>
      </c>
      <c r="G870" t="s">
        <v>86</v>
      </c>
      <c r="H870" t="s">
        <v>32</v>
      </c>
      <c r="I870" t="s">
        <v>84</v>
      </c>
      <c r="J870" t="s">
        <v>41</v>
      </c>
      <c r="K870">
        <v>3.2</v>
      </c>
      <c r="L870" t="s">
        <v>14</v>
      </c>
      <c r="M870" t="s">
        <v>33</v>
      </c>
      <c r="N870" t="s">
        <v>14</v>
      </c>
      <c r="O870">
        <v>2</v>
      </c>
      <c r="P870" t="s">
        <v>27</v>
      </c>
      <c r="Q870" t="s">
        <v>85</v>
      </c>
      <c r="R870" t="str" cm="1">
        <f t="array" ref="R870">_xlfn.IFS(B870&lt;31,"Young-Adult",B870&lt;41,"Adult",B870&lt;61,"Middle-aged",B870&gt;=61,"Senior")</f>
        <v>Adult</v>
      </c>
      <c r="S870" cm="1">
        <f t="array" ref="S870">_xlfn.IFS(Q870 ="Fortnightly",14,Q870="Weekly",7,Q870="Monthly",30,Q870="Quarterly",90,Q870="Bi-Weekly",14,Q870="Annually",365,Q870="Every 3 Months",90,TRUE,"NOT FOUND")</f>
        <v>90</v>
      </c>
    </row>
    <row r="871" spans="1:19" x14ac:dyDescent="0.35">
      <c r="A871">
        <v>870</v>
      </c>
      <c r="B871">
        <v>38</v>
      </c>
      <c r="C871" t="s">
        <v>7</v>
      </c>
      <c r="D871" t="s">
        <v>112</v>
      </c>
      <c r="E871" t="s">
        <v>55</v>
      </c>
      <c r="F871">
        <v>54</v>
      </c>
      <c r="G871" t="s">
        <v>70</v>
      </c>
      <c r="H871" t="s">
        <v>32</v>
      </c>
      <c r="I871" t="s">
        <v>53</v>
      </c>
      <c r="J871" t="s">
        <v>25</v>
      </c>
      <c r="K871">
        <v>2.7</v>
      </c>
      <c r="L871" t="s">
        <v>14</v>
      </c>
      <c r="M871" t="s">
        <v>58</v>
      </c>
      <c r="N871" t="s">
        <v>14</v>
      </c>
      <c r="O871">
        <v>33</v>
      </c>
      <c r="P871" t="s">
        <v>34</v>
      </c>
      <c r="Q871" t="s">
        <v>28</v>
      </c>
      <c r="R871" t="str" cm="1">
        <f t="array" ref="R871">_xlfn.IFS(B871&lt;31,"Young-Adult",B871&lt;41,"Adult",B871&lt;61,"Middle-aged",B871&gt;=61,"Senior")</f>
        <v>Adult</v>
      </c>
      <c r="S871" cm="1">
        <f t="array" ref="S871">_xlfn.IFS(Q871 ="Fortnightly",14,Q871="Weekly",7,Q871="Monthly",30,Q871="Quarterly",90,Q871="Bi-Weekly",14,Q871="Annually",365,Q871="Every 3 Months",90,TRUE,"NOT FOUND")</f>
        <v>7</v>
      </c>
    </row>
    <row r="872" spans="1:19" x14ac:dyDescent="0.35">
      <c r="A872">
        <v>871</v>
      </c>
      <c r="B872">
        <v>66</v>
      </c>
      <c r="C872" t="s">
        <v>7</v>
      </c>
      <c r="D872" t="s">
        <v>92</v>
      </c>
      <c r="E872" t="s">
        <v>9</v>
      </c>
      <c r="F872">
        <v>66</v>
      </c>
      <c r="G872" t="s">
        <v>52</v>
      </c>
      <c r="H872" t="s">
        <v>32</v>
      </c>
      <c r="I872" t="s">
        <v>132</v>
      </c>
      <c r="J872" t="s">
        <v>45</v>
      </c>
      <c r="K872">
        <v>2.5</v>
      </c>
      <c r="L872" t="s">
        <v>14</v>
      </c>
      <c r="M872" t="s">
        <v>42</v>
      </c>
      <c r="N872" t="s">
        <v>14</v>
      </c>
      <c r="O872">
        <v>6</v>
      </c>
      <c r="P872" t="s">
        <v>63</v>
      </c>
      <c r="Q872" t="s">
        <v>64</v>
      </c>
      <c r="R872" t="str" cm="1">
        <f t="array" ref="R872">_xlfn.IFS(B872&lt;31,"Young-Adult",B872&lt;41,"Adult",B872&lt;61,"Middle-aged",B872&gt;=61,"Senior")</f>
        <v>Senior</v>
      </c>
      <c r="S872" cm="1">
        <f t="array" ref="S872">_xlfn.IFS(Q872 ="Fortnightly",14,Q872="Weekly",7,Q872="Monthly",30,Q872="Quarterly",90,Q872="Bi-Weekly",14,Q872="Annually",365,Q872="Every 3 Months",90,TRUE,"NOT FOUND")</f>
        <v>14</v>
      </c>
    </row>
    <row r="873" spans="1:19" x14ac:dyDescent="0.35">
      <c r="A873">
        <v>872</v>
      </c>
      <c r="B873">
        <v>47</v>
      </c>
      <c r="C873" t="s">
        <v>7</v>
      </c>
      <c r="D873" t="s">
        <v>54</v>
      </c>
      <c r="E873" t="s">
        <v>55</v>
      </c>
      <c r="F873">
        <v>42</v>
      </c>
      <c r="G873" t="s">
        <v>65</v>
      </c>
      <c r="H873" t="s">
        <v>32</v>
      </c>
      <c r="I873" t="s">
        <v>49</v>
      </c>
      <c r="J873" t="s">
        <v>25</v>
      </c>
      <c r="K873">
        <v>2.6</v>
      </c>
      <c r="L873" t="s">
        <v>14</v>
      </c>
      <c r="M873" t="s">
        <v>33</v>
      </c>
      <c r="N873" t="s">
        <v>14</v>
      </c>
      <c r="O873">
        <v>45</v>
      </c>
      <c r="P873" t="s">
        <v>74</v>
      </c>
      <c r="Q873" t="s">
        <v>46</v>
      </c>
      <c r="R873" t="str" cm="1">
        <f t="array" ref="R873">_xlfn.IFS(B873&lt;31,"Young-Adult",B873&lt;41,"Adult",B873&lt;61,"Middle-aged",B873&gt;=61,"Senior")</f>
        <v>Middle-aged</v>
      </c>
      <c r="S873" cm="1">
        <f t="array" ref="S873">_xlfn.IFS(Q873 ="Fortnightly",14,Q873="Weekly",7,Q873="Monthly",30,Q873="Quarterly",90,Q873="Bi-Weekly",14,Q873="Annually",365,Q873="Every 3 Months",90,TRUE,"NOT FOUND")</f>
        <v>90</v>
      </c>
    </row>
    <row r="874" spans="1:19" x14ac:dyDescent="0.35">
      <c r="A874">
        <v>873</v>
      </c>
      <c r="B874">
        <v>56</v>
      </c>
      <c r="C874" t="s">
        <v>7</v>
      </c>
      <c r="D874" t="s">
        <v>22</v>
      </c>
      <c r="E874" t="s">
        <v>9</v>
      </c>
      <c r="F874">
        <v>33</v>
      </c>
      <c r="G874" t="s">
        <v>102</v>
      </c>
      <c r="H874" t="s">
        <v>32</v>
      </c>
      <c r="I874" t="s">
        <v>57</v>
      </c>
      <c r="J874" t="s">
        <v>25</v>
      </c>
      <c r="K874">
        <v>2.9</v>
      </c>
      <c r="L874" t="s">
        <v>14</v>
      </c>
      <c r="M874" t="s">
        <v>42</v>
      </c>
      <c r="N874" t="s">
        <v>14</v>
      </c>
      <c r="O874">
        <v>25</v>
      </c>
      <c r="P874" t="s">
        <v>21</v>
      </c>
      <c r="Q874" t="s">
        <v>46</v>
      </c>
      <c r="R874" t="str" cm="1">
        <f t="array" ref="R874">_xlfn.IFS(B874&lt;31,"Young-Adult",B874&lt;41,"Adult",B874&lt;61,"Middle-aged",B874&gt;=61,"Senior")</f>
        <v>Middle-aged</v>
      </c>
      <c r="S874" cm="1">
        <f t="array" ref="S874">_xlfn.IFS(Q874 ="Fortnightly",14,Q874="Weekly",7,Q874="Monthly",30,Q874="Quarterly",90,Q874="Bi-Weekly",14,Q874="Annually",365,Q874="Every 3 Months",90,TRUE,"NOT FOUND")</f>
        <v>90</v>
      </c>
    </row>
    <row r="875" spans="1:19" x14ac:dyDescent="0.35">
      <c r="A875">
        <v>874</v>
      </c>
      <c r="B875">
        <v>51</v>
      </c>
      <c r="C875" t="s">
        <v>7</v>
      </c>
      <c r="D875" t="s">
        <v>125</v>
      </c>
      <c r="E875" t="s">
        <v>30</v>
      </c>
      <c r="F875">
        <v>77</v>
      </c>
      <c r="G875" t="s">
        <v>79</v>
      </c>
      <c r="H875" t="s">
        <v>32</v>
      </c>
      <c r="I875" t="s">
        <v>57</v>
      </c>
      <c r="J875" t="s">
        <v>41</v>
      </c>
      <c r="K875">
        <v>4.2</v>
      </c>
      <c r="L875" t="s">
        <v>14</v>
      </c>
      <c r="M875" t="s">
        <v>26</v>
      </c>
      <c r="N875" t="s">
        <v>14</v>
      </c>
      <c r="O875">
        <v>24</v>
      </c>
      <c r="P875" t="s">
        <v>16</v>
      </c>
      <c r="Q875" t="s">
        <v>46</v>
      </c>
      <c r="R875" t="str" cm="1">
        <f t="array" ref="R875">_xlfn.IFS(B875&lt;31,"Young-Adult",B875&lt;41,"Adult",B875&lt;61,"Middle-aged",B875&gt;=61,"Senior")</f>
        <v>Middle-aged</v>
      </c>
      <c r="S875" cm="1">
        <f t="array" ref="S875">_xlfn.IFS(Q875 ="Fortnightly",14,Q875="Weekly",7,Q875="Monthly",30,Q875="Quarterly",90,Q875="Bi-Weekly",14,Q875="Annually",365,Q875="Every 3 Months",90,TRUE,"NOT FOUND")</f>
        <v>90</v>
      </c>
    </row>
    <row r="876" spans="1:19" x14ac:dyDescent="0.35">
      <c r="A876">
        <v>875</v>
      </c>
      <c r="B876">
        <v>25</v>
      </c>
      <c r="C876" t="s">
        <v>7</v>
      </c>
      <c r="D876" t="s">
        <v>90</v>
      </c>
      <c r="E876" t="s">
        <v>51</v>
      </c>
      <c r="F876">
        <v>65</v>
      </c>
      <c r="G876" t="s">
        <v>19</v>
      </c>
      <c r="H876" t="s">
        <v>32</v>
      </c>
      <c r="I876" t="s">
        <v>124</v>
      </c>
      <c r="J876" t="s">
        <v>45</v>
      </c>
      <c r="K876">
        <v>4.4000000000000004</v>
      </c>
      <c r="L876" t="s">
        <v>14</v>
      </c>
      <c r="M876" t="s">
        <v>26</v>
      </c>
      <c r="N876" t="s">
        <v>14</v>
      </c>
      <c r="O876">
        <v>10</v>
      </c>
      <c r="P876" t="s">
        <v>16</v>
      </c>
      <c r="Q876" t="s">
        <v>85</v>
      </c>
      <c r="R876" t="str" cm="1">
        <f t="array" ref="R876">_xlfn.IFS(B876&lt;31,"Young-Adult",B876&lt;41,"Adult",B876&lt;61,"Middle-aged",B876&gt;=61,"Senior")</f>
        <v>Young-Adult</v>
      </c>
      <c r="S876" cm="1">
        <f t="array" ref="S876">_xlfn.IFS(Q876 ="Fortnightly",14,Q876="Weekly",7,Q876="Monthly",30,Q876="Quarterly",90,Q876="Bi-Weekly",14,Q876="Annually",365,Q876="Every 3 Months",90,TRUE,"NOT FOUND")</f>
        <v>90</v>
      </c>
    </row>
    <row r="877" spans="1:19" x14ac:dyDescent="0.35">
      <c r="A877">
        <v>876</v>
      </c>
      <c r="B877">
        <v>37</v>
      </c>
      <c r="C877" t="s">
        <v>7</v>
      </c>
      <c r="D877" t="s">
        <v>29</v>
      </c>
      <c r="E877" t="s">
        <v>30</v>
      </c>
      <c r="F877">
        <v>39</v>
      </c>
      <c r="G877" t="s">
        <v>102</v>
      </c>
      <c r="H877" t="s">
        <v>11</v>
      </c>
      <c r="I877" t="s">
        <v>12</v>
      </c>
      <c r="J877" t="s">
        <v>41</v>
      </c>
      <c r="K877">
        <v>4.0999999999999996</v>
      </c>
      <c r="L877" t="s">
        <v>14</v>
      </c>
      <c r="M877" t="s">
        <v>26</v>
      </c>
      <c r="N877" t="s">
        <v>14</v>
      </c>
      <c r="O877">
        <v>7</v>
      </c>
      <c r="P877" t="s">
        <v>63</v>
      </c>
      <c r="Q877" t="s">
        <v>85</v>
      </c>
      <c r="R877" t="str" cm="1">
        <f t="array" ref="R877">_xlfn.IFS(B877&lt;31,"Young-Adult",B877&lt;41,"Adult",B877&lt;61,"Middle-aged",B877&gt;=61,"Senior")</f>
        <v>Adult</v>
      </c>
      <c r="S877" cm="1">
        <f t="array" ref="S877">_xlfn.IFS(Q877 ="Fortnightly",14,Q877="Weekly",7,Q877="Monthly",30,Q877="Quarterly",90,Q877="Bi-Weekly",14,Q877="Annually",365,Q877="Every 3 Months",90,TRUE,"NOT FOUND")</f>
        <v>90</v>
      </c>
    </row>
    <row r="878" spans="1:19" x14ac:dyDescent="0.35">
      <c r="A878">
        <v>877</v>
      </c>
      <c r="B878">
        <v>41</v>
      </c>
      <c r="C878" t="s">
        <v>7</v>
      </c>
      <c r="D878" t="s">
        <v>121</v>
      </c>
      <c r="E878" t="s">
        <v>55</v>
      </c>
      <c r="F878">
        <v>51</v>
      </c>
      <c r="G878" t="s">
        <v>133</v>
      </c>
      <c r="H878" t="s">
        <v>11</v>
      </c>
      <c r="I878" t="s">
        <v>12</v>
      </c>
      <c r="J878" t="s">
        <v>41</v>
      </c>
      <c r="K878">
        <v>3.8</v>
      </c>
      <c r="L878" t="s">
        <v>14</v>
      </c>
      <c r="M878" t="s">
        <v>58</v>
      </c>
      <c r="N878" t="s">
        <v>14</v>
      </c>
      <c r="O878">
        <v>1</v>
      </c>
      <c r="P878" t="s">
        <v>74</v>
      </c>
      <c r="Q878" t="s">
        <v>28</v>
      </c>
      <c r="R878" t="str" cm="1">
        <f t="array" ref="R878">_xlfn.IFS(B878&lt;31,"Young-Adult",B878&lt;41,"Adult",B878&lt;61,"Middle-aged",B878&gt;=61,"Senior")</f>
        <v>Middle-aged</v>
      </c>
      <c r="S878" cm="1">
        <f t="array" ref="S878">_xlfn.IFS(Q878 ="Fortnightly",14,Q878="Weekly",7,Q878="Monthly",30,Q878="Quarterly",90,Q878="Bi-Weekly",14,Q878="Annually",365,Q878="Every 3 Months",90,TRUE,"NOT FOUND")</f>
        <v>7</v>
      </c>
    </row>
    <row r="879" spans="1:19" x14ac:dyDescent="0.35">
      <c r="A879">
        <v>878</v>
      </c>
      <c r="B879">
        <v>64</v>
      </c>
      <c r="C879" t="s">
        <v>7</v>
      </c>
      <c r="D879" t="s">
        <v>54</v>
      </c>
      <c r="E879" t="s">
        <v>55</v>
      </c>
      <c r="F879">
        <v>65</v>
      </c>
      <c r="G879" t="s">
        <v>133</v>
      </c>
      <c r="H879" t="s">
        <v>32</v>
      </c>
      <c r="I879" t="s">
        <v>109</v>
      </c>
      <c r="J879" t="s">
        <v>13</v>
      </c>
      <c r="K879">
        <v>4.9000000000000004</v>
      </c>
      <c r="L879" t="s">
        <v>14</v>
      </c>
      <c r="M879" t="s">
        <v>33</v>
      </c>
      <c r="N879" t="s">
        <v>14</v>
      </c>
      <c r="O879">
        <v>45</v>
      </c>
      <c r="P879" t="s">
        <v>16</v>
      </c>
      <c r="Q879" t="s">
        <v>85</v>
      </c>
      <c r="R879" t="str" cm="1">
        <f t="array" ref="R879">_xlfn.IFS(B879&lt;31,"Young-Adult",B879&lt;41,"Adult",B879&lt;61,"Middle-aged",B879&gt;=61,"Senior")</f>
        <v>Senior</v>
      </c>
      <c r="S879" cm="1">
        <f t="array" ref="S879">_xlfn.IFS(Q879 ="Fortnightly",14,Q879="Weekly",7,Q879="Monthly",30,Q879="Quarterly",90,Q879="Bi-Weekly",14,Q879="Annually",365,Q879="Every 3 Months",90,TRUE,"NOT FOUND")</f>
        <v>90</v>
      </c>
    </row>
    <row r="880" spans="1:19" x14ac:dyDescent="0.35">
      <c r="A880">
        <v>879</v>
      </c>
      <c r="B880">
        <v>23</v>
      </c>
      <c r="C880" t="s">
        <v>7</v>
      </c>
      <c r="D880" t="s">
        <v>77</v>
      </c>
      <c r="E880" t="s">
        <v>55</v>
      </c>
      <c r="F880">
        <v>89</v>
      </c>
      <c r="G880" t="s">
        <v>110</v>
      </c>
      <c r="H880" t="s">
        <v>24</v>
      </c>
      <c r="I880" t="s">
        <v>82</v>
      </c>
      <c r="J880" t="s">
        <v>41</v>
      </c>
      <c r="K880">
        <v>4.9000000000000004</v>
      </c>
      <c r="L880" t="s">
        <v>14</v>
      </c>
      <c r="M880" t="s">
        <v>15</v>
      </c>
      <c r="N880" t="s">
        <v>14</v>
      </c>
      <c r="O880">
        <v>37</v>
      </c>
      <c r="P880" t="s">
        <v>74</v>
      </c>
      <c r="Q880" t="s">
        <v>28</v>
      </c>
      <c r="R880" t="str" cm="1">
        <f t="array" ref="R880">_xlfn.IFS(B880&lt;31,"Young-Adult",B880&lt;41,"Adult",B880&lt;61,"Middle-aged",B880&gt;=61,"Senior")</f>
        <v>Young-Adult</v>
      </c>
      <c r="S880" cm="1">
        <f t="array" ref="S880">_xlfn.IFS(Q880 ="Fortnightly",14,Q880="Weekly",7,Q880="Monthly",30,Q880="Quarterly",90,Q880="Bi-Weekly",14,Q880="Annually",365,Q880="Every 3 Months",90,TRUE,"NOT FOUND")</f>
        <v>7</v>
      </c>
    </row>
    <row r="881" spans="1:19" x14ac:dyDescent="0.35">
      <c r="A881">
        <v>880</v>
      </c>
      <c r="B881">
        <v>62</v>
      </c>
      <c r="C881" t="s">
        <v>7</v>
      </c>
      <c r="D881" t="s">
        <v>75</v>
      </c>
      <c r="E881" t="s">
        <v>9</v>
      </c>
      <c r="F881">
        <v>76</v>
      </c>
      <c r="G881" t="s">
        <v>39</v>
      </c>
      <c r="H881" t="s">
        <v>24</v>
      </c>
      <c r="I881" t="s">
        <v>81</v>
      </c>
      <c r="J881" t="s">
        <v>25</v>
      </c>
      <c r="K881">
        <v>4.0999999999999996</v>
      </c>
      <c r="L881" t="s">
        <v>14</v>
      </c>
      <c r="M881" t="s">
        <v>26</v>
      </c>
      <c r="N881" t="s">
        <v>14</v>
      </c>
      <c r="O881">
        <v>14</v>
      </c>
      <c r="P881" t="s">
        <v>34</v>
      </c>
      <c r="Q881" t="s">
        <v>46</v>
      </c>
      <c r="R881" t="str" cm="1">
        <f t="array" ref="R881">_xlfn.IFS(B881&lt;31,"Young-Adult",B881&lt;41,"Adult",B881&lt;61,"Middle-aged",B881&gt;=61,"Senior")</f>
        <v>Senior</v>
      </c>
      <c r="S881" cm="1">
        <f t="array" ref="S881">_xlfn.IFS(Q881 ="Fortnightly",14,Q881="Weekly",7,Q881="Monthly",30,Q881="Quarterly",90,Q881="Bi-Weekly",14,Q881="Annually",365,Q881="Every 3 Months",90,TRUE,"NOT FOUND")</f>
        <v>90</v>
      </c>
    </row>
    <row r="882" spans="1:19" x14ac:dyDescent="0.35">
      <c r="A882">
        <v>881</v>
      </c>
      <c r="B882">
        <v>39</v>
      </c>
      <c r="C882" t="s">
        <v>7</v>
      </c>
      <c r="D882" t="s">
        <v>120</v>
      </c>
      <c r="E882" t="s">
        <v>55</v>
      </c>
      <c r="F882">
        <v>75</v>
      </c>
      <c r="G882" t="s">
        <v>95</v>
      </c>
      <c r="H882" t="s">
        <v>11</v>
      </c>
      <c r="I882" t="s">
        <v>96</v>
      </c>
      <c r="J882" t="s">
        <v>25</v>
      </c>
      <c r="K882">
        <v>3.1</v>
      </c>
      <c r="L882" t="s">
        <v>14</v>
      </c>
      <c r="M882" t="s">
        <v>15</v>
      </c>
      <c r="N882" t="s">
        <v>14</v>
      </c>
      <c r="O882">
        <v>25</v>
      </c>
      <c r="P882" t="s">
        <v>74</v>
      </c>
      <c r="Q882" t="s">
        <v>76</v>
      </c>
      <c r="R882" t="str" cm="1">
        <f t="array" ref="R882">_xlfn.IFS(B882&lt;31,"Young-Adult",B882&lt;41,"Adult",B882&lt;61,"Middle-aged",B882&gt;=61,"Senior")</f>
        <v>Adult</v>
      </c>
      <c r="S882" cm="1">
        <f t="array" ref="S882">_xlfn.IFS(Q882 ="Fortnightly",14,Q882="Weekly",7,Q882="Monthly",30,Q882="Quarterly",90,Q882="Bi-Weekly",14,Q882="Annually",365,Q882="Every 3 Months",90,TRUE,"NOT FOUND")</f>
        <v>30</v>
      </c>
    </row>
    <row r="883" spans="1:19" x14ac:dyDescent="0.35">
      <c r="A883">
        <v>882</v>
      </c>
      <c r="B883">
        <v>52</v>
      </c>
      <c r="C883" t="s">
        <v>7</v>
      </c>
      <c r="D883" t="s">
        <v>29</v>
      </c>
      <c r="E883" t="s">
        <v>30</v>
      </c>
      <c r="F883">
        <v>61</v>
      </c>
      <c r="G883" t="s">
        <v>119</v>
      </c>
      <c r="H883" t="s">
        <v>32</v>
      </c>
      <c r="I883" t="s">
        <v>53</v>
      </c>
      <c r="J883" t="s">
        <v>41</v>
      </c>
      <c r="K883">
        <v>2.7</v>
      </c>
      <c r="L883" t="s">
        <v>14</v>
      </c>
      <c r="M883" t="s">
        <v>33</v>
      </c>
      <c r="N883" t="s">
        <v>14</v>
      </c>
      <c r="O883">
        <v>18</v>
      </c>
      <c r="P883" t="s">
        <v>16</v>
      </c>
      <c r="Q883" t="s">
        <v>37</v>
      </c>
      <c r="R883" t="str" cm="1">
        <f t="array" ref="R883">_xlfn.IFS(B883&lt;31,"Young-Adult",B883&lt;41,"Adult",B883&lt;61,"Middle-aged",B883&gt;=61,"Senior")</f>
        <v>Middle-aged</v>
      </c>
      <c r="S883" cm="1">
        <f t="array" ref="S883">_xlfn.IFS(Q883 ="Fortnightly",14,Q883="Weekly",7,Q883="Monthly",30,Q883="Quarterly",90,Q883="Bi-Weekly",14,Q883="Annually",365,Q883="Every 3 Months",90,TRUE,"NOT FOUND")</f>
        <v>365</v>
      </c>
    </row>
    <row r="884" spans="1:19" x14ac:dyDescent="0.35">
      <c r="A884">
        <v>883</v>
      </c>
      <c r="B884">
        <v>50</v>
      </c>
      <c r="C884" t="s">
        <v>7</v>
      </c>
      <c r="D884" t="s">
        <v>125</v>
      </c>
      <c r="E884" t="s">
        <v>30</v>
      </c>
      <c r="F884">
        <v>35</v>
      </c>
      <c r="G884" t="s">
        <v>129</v>
      </c>
      <c r="H884" t="s">
        <v>32</v>
      </c>
      <c r="I884" t="s">
        <v>97</v>
      </c>
      <c r="J884" t="s">
        <v>45</v>
      </c>
      <c r="K884">
        <v>3.8</v>
      </c>
      <c r="L884" t="s">
        <v>14</v>
      </c>
      <c r="M884" t="s">
        <v>33</v>
      </c>
      <c r="N884" t="s">
        <v>14</v>
      </c>
      <c r="O884">
        <v>37</v>
      </c>
      <c r="P884" t="s">
        <v>21</v>
      </c>
      <c r="Q884" t="s">
        <v>85</v>
      </c>
      <c r="R884" t="str" cm="1">
        <f t="array" ref="R884">_xlfn.IFS(B884&lt;31,"Young-Adult",B884&lt;41,"Adult",B884&lt;61,"Middle-aged",B884&gt;=61,"Senior")</f>
        <v>Middle-aged</v>
      </c>
      <c r="S884" cm="1">
        <f t="array" ref="S884">_xlfn.IFS(Q884 ="Fortnightly",14,Q884="Weekly",7,Q884="Monthly",30,Q884="Quarterly",90,Q884="Bi-Weekly",14,Q884="Annually",365,Q884="Every 3 Months",90,TRUE,"NOT FOUND")</f>
        <v>90</v>
      </c>
    </row>
    <row r="885" spans="1:19" x14ac:dyDescent="0.35">
      <c r="A885">
        <v>884</v>
      </c>
      <c r="B885">
        <v>28</v>
      </c>
      <c r="C885" t="s">
        <v>7</v>
      </c>
      <c r="D885" t="s">
        <v>38</v>
      </c>
      <c r="E885" t="s">
        <v>30</v>
      </c>
      <c r="F885">
        <v>37</v>
      </c>
      <c r="G885" t="s">
        <v>126</v>
      </c>
      <c r="H885" t="s">
        <v>24</v>
      </c>
      <c r="I885" t="s">
        <v>68</v>
      </c>
      <c r="J885" t="s">
        <v>45</v>
      </c>
      <c r="K885">
        <v>4.3</v>
      </c>
      <c r="L885" t="s">
        <v>14</v>
      </c>
      <c r="M885" t="s">
        <v>26</v>
      </c>
      <c r="N885" t="s">
        <v>14</v>
      </c>
      <c r="O885">
        <v>30</v>
      </c>
      <c r="P885" t="s">
        <v>63</v>
      </c>
      <c r="Q885" t="s">
        <v>76</v>
      </c>
      <c r="R885" t="str" cm="1">
        <f t="array" ref="R885">_xlfn.IFS(B885&lt;31,"Young-Adult",B885&lt;41,"Adult",B885&lt;61,"Middle-aged",B885&gt;=61,"Senior")</f>
        <v>Young-Adult</v>
      </c>
      <c r="S885" cm="1">
        <f t="array" ref="S885">_xlfn.IFS(Q885 ="Fortnightly",14,Q885="Weekly",7,Q885="Monthly",30,Q885="Quarterly",90,Q885="Bi-Weekly",14,Q885="Annually",365,Q885="Every 3 Months",90,TRUE,"NOT FOUND")</f>
        <v>30</v>
      </c>
    </row>
    <row r="886" spans="1:19" x14ac:dyDescent="0.35">
      <c r="A886">
        <v>885</v>
      </c>
      <c r="B886">
        <v>67</v>
      </c>
      <c r="C886" t="s">
        <v>7</v>
      </c>
      <c r="D886" t="s">
        <v>75</v>
      </c>
      <c r="E886" t="s">
        <v>9</v>
      </c>
      <c r="F886">
        <v>91</v>
      </c>
      <c r="G886" t="s">
        <v>65</v>
      </c>
      <c r="H886" t="s">
        <v>11</v>
      </c>
      <c r="I886" t="s">
        <v>122</v>
      </c>
      <c r="J886" t="s">
        <v>13</v>
      </c>
      <c r="K886">
        <v>4.0999999999999996</v>
      </c>
      <c r="L886" t="s">
        <v>14</v>
      </c>
      <c r="M886" t="s">
        <v>15</v>
      </c>
      <c r="N886" t="s">
        <v>14</v>
      </c>
      <c r="O886">
        <v>34</v>
      </c>
      <c r="P886" t="s">
        <v>63</v>
      </c>
      <c r="Q886" t="s">
        <v>28</v>
      </c>
      <c r="R886" t="str" cm="1">
        <f t="array" ref="R886">_xlfn.IFS(B886&lt;31,"Young-Adult",B886&lt;41,"Adult",B886&lt;61,"Middle-aged",B886&gt;=61,"Senior")</f>
        <v>Senior</v>
      </c>
      <c r="S886" cm="1">
        <f t="array" ref="S886">_xlfn.IFS(Q886 ="Fortnightly",14,Q886="Weekly",7,Q886="Monthly",30,Q886="Quarterly",90,Q886="Bi-Weekly",14,Q886="Annually",365,Q886="Every 3 Months",90,TRUE,"NOT FOUND")</f>
        <v>7</v>
      </c>
    </row>
    <row r="887" spans="1:19" x14ac:dyDescent="0.35">
      <c r="A887">
        <v>886</v>
      </c>
      <c r="B887">
        <v>41</v>
      </c>
      <c r="C887" t="s">
        <v>7</v>
      </c>
      <c r="D887" t="s">
        <v>69</v>
      </c>
      <c r="E887" t="s">
        <v>9</v>
      </c>
      <c r="F887">
        <v>99</v>
      </c>
      <c r="G887" t="s">
        <v>111</v>
      </c>
      <c r="H887" t="s">
        <v>11</v>
      </c>
      <c r="I887" t="s">
        <v>61</v>
      </c>
      <c r="J887" t="s">
        <v>45</v>
      </c>
      <c r="K887">
        <v>4.4000000000000004</v>
      </c>
      <c r="L887" t="s">
        <v>14</v>
      </c>
      <c r="M887" t="s">
        <v>26</v>
      </c>
      <c r="N887" t="s">
        <v>14</v>
      </c>
      <c r="O887">
        <v>49</v>
      </c>
      <c r="P887" t="s">
        <v>74</v>
      </c>
      <c r="Q887" t="s">
        <v>85</v>
      </c>
      <c r="R887" t="str" cm="1">
        <f t="array" ref="R887">_xlfn.IFS(B887&lt;31,"Young-Adult",B887&lt;41,"Adult",B887&lt;61,"Middle-aged",B887&gt;=61,"Senior")</f>
        <v>Middle-aged</v>
      </c>
      <c r="S887" cm="1">
        <f t="array" ref="S887">_xlfn.IFS(Q887 ="Fortnightly",14,Q887="Weekly",7,Q887="Monthly",30,Q887="Quarterly",90,Q887="Bi-Weekly",14,Q887="Annually",365,Q887="Every 3 Months",90,TRUE,"NOT FOUND")</f>
        <v>90</v>
      </c>
    </row>
    <row r="888" spans="1:19" x14ac:dyDescent="0.35">
      <c r="A888">
        <v>887</v>
      </c>
      <c r="B888">
        <v>19</v>
      </c>
      <c r="C888" t="s">
        <v>7</v>
      </c>
      <c r="D888" t="s">
        <v>47</v>
      </c>
      <c r="E888" t="s">
        <v>9</v>
      </c>
      <c r="F888">
        <v>54</v>
      </c>
      <c r="G888" t="s">
        <v>128</v>
      </c>
      <c r="H888" t="s">
        <v>24</v>
      </c>
      <c r="I888" t="s">
        <v>98</v>
      </c>
      <c r="J888" t="s">
        <v>41</v>
      </c>
      <c r="K888">
        <v>3.6</v>
      </c>
      <c r="L888" t="s">
        <v>14</v>
      </c>
      <c r="M888" t="s">
        <v>15</v>
      </c>
      <c r="N888" t="s">
        <v>14</v>
      </c>
      <c r="O888">
        <v>48</v>
      </c>
      <c r="P888" t="s">
        <v>63</v>
      </c>
      <c r="Q888" t="s">
        <v>76</v>
      </c>
      <c r="R888" t="str" cm="1">
        <f t="array" ref="R888">_xlfn.IFS(B888&lt;31,"Young-Adult",B888&lt;41,"Adult",B888&lt;61,"Middle-aged",B888&gt;=61,"Senior")</f>
        <v>Young-Adult</v>
      </c>
      <c r="S888" cm="1">
        <f t="array" ref="S888">_xlfn.IFS(Q888 ="Fortnightly",14,Q888="Weekly",7,Q888="Monthly",30,Q888="Quarterly",90,Q888="Bi-Weekly",14,Q888="Annually",365,Q888="Every 3 Months",90,TRUE,"NOT FOUND")</f>
        <v>30</v>
      </c>
    </row>
    <row r="889" spans="1:19" x14ac:dyDescent="0.35">
      <c r="A889">
        <v>888</v>
      </c>
      <c r="B889">
        <v>70</v>
      </c>
      <c r="C889" t="s">
        <v>7</v>
      </c>
      <c r="D889" t="s">
        <v>54</v>
      </c>
      <c r="E889" t="s">
        <v>55</v>
      </c>
      <c r="F889">
        <v>47</v>
      </c>
      <c r="G889" t="s">
        <v>136</v>
      </c>
      <c r="H889" t="s">
        <v>11</v>
      </c>
      <c r="I889" t="s">
        <v>36</v>
      </c>
      <c r="J889" t="s">
        <v>13</v>
      </c>
      <c r="K889">
        <v>3.3</v>
      </c>
      <c r="L889" t="s">
        <v>14</v>
      </c>
      <c r="M889" t="s">
        <v>58</v>
      </c>
      <c r="N889" t="s">
        <v>14</v>
      </c>
      <c r="O889">
        <v>33</v>
      </c>
      <c r="P889" t="s">
        <v>34</v>
      </c>
      <c r="Q889" t="s">
        <v>17</v>
      </c>
      <c r="R889" t="str" cm="1">
        <f t="array" ref="R889">_xlfn.IFS(B889&lt;31,"Young-Adult",B889&lt;41,"Adult",B889&lt;61,"Middle-aged",B889&gt;=61,"Senior")</f>
        <v>Senior</v>
      </c>
      <c r="S889" cm="1">
        <f t="array" ref="S889">_xlfn.IFS(Q889 ="Fortnightly",14,Q889="Weekly",7,Q889="Monthly",30,Q889="Quarterly",90,Q889="Bi-Weekly",14,Q889="Annually",365,Q889="Every 3 Months",90,TRUE,"NOT FOUND")</f>
        <v>14</v>
      </c>
    </row>
    <row r="890" spans="1:19" x14ac:dyDescent="0.35">
      <c r="A890">
        <v>889</v>
      </c>
      <c r="B890">
        <v>49</v>
      </c>
      <c r="C890" t="s">
        <v>7</v>
      </c>
      <c r="D890" t="s">
        <v>107</v>
      </c>
      <c r="E890" t="s">
        <v>55</v>
      </c>
      <c r="F890">
        <v>77</v>
      </c>
      <c r="G890" t="s">
        <v>70</v>
      </c>
      <c r="H890" t="s">
        <v>24</v>
      </c>
      <c r="I890" t="s">
        <v>68</v>
      </c>
      <c r="J890" t="s">
        <v>25</v>
      </c>
      <c r="K890">
        <v>3.8</v>
      </c>
      <c r="L890" t="s">
        <v>14</v>
      </c>
      <c r="M890" t="s">
        <v>15</v>
      </c>
      <c r="N890" t="s">
        <v>14</v>
      </c>
      <c r="O890">
        <v>44</v>
      </c>
      <c r="P890" t="s">
        <v>21</v>
      </c>
      <c r="Q890" t="s">
        <v>37</v>
      </c>
      <c r="R890" t="str" cm="1">
        <f t="array" ref="R890">_xlfn.IFS(B890&lt;31,"Young-Adult",B890&lt;41,"Adult",B890&lt;61,"Middle-aged",B890&gt;=61,"Senior")</f>
        <v>Middle-aged</v>
      </c>
      <c r="S890" cm="1">
        <f t="array" ref="S890">_xlfn.IFS(Q890 ="Fortnightly",14,Q890="Weekly",7,Q890="Monthly",30,Q890="Quarterly",90,Q890="Bi-Weekly",14,Q890="Annually",365,Q890="Every 3 Months",90,TRUE,"NOT FOUND")</f>
        <v>365</v>
      </c>
    </row>
    <row r="891" spans="1:19" x14ac:dyDescent="0.35">
      <c r="A891">
        <v>890</v>
      </c>
      <c r="B891">
        <v>59</v>
      </c>
      <c r="C891" t="s">
        <v>7</v>
      </c>
      <c r="D891" t="s">
        <v>121</v>
      </c>
      <c r="E891" t="s">
        <v>55</v>
      </c>
      <c r="F891">
        <v>84</v>
      </c>
      <c r="G891" t="s">
        <v>105</v>
      </c>
      <c r="H891" t="s">
        <v>24</v>
      </c>
      <c r="I891" t="s">
        <v>66</v>
      </c>
      <c r="J891" t="s">
        <v>45</v>
      </c>
      <c r="K891">
        <v>2.8</v>
      </c>
      <c r="L891" t="s">
        <v>14</v>
      </c>
      <c r="M891" t="s">
        <v>26</v>
      </c>
      <c r="N891" t="s">
        <v>14</v>
      </c>
      <c r="O891">
        <v>50</v>
      </c>
      <c r="P891" t="s">
        <v>16</v>
      </c>
      <c r="Q891" t="s">
        <v>28</v>
      </c>
      <c r="R891" t="str" cm="1">
        <f t="array" ref="R891">_xlfn.IFS(B891&lt;31,"Young-Adult",B891&lt;41,"Adult",B891&lt;61,"Middle-aged",B891&gt;=61,"Senior")</f>
        <v>Middle-aged</v>
      </c>
      <c r="S891" cm="1">
        <f t="array" ref="S891">_xlfn.IFS(Q891 ="Fortnightly",14,Q891="Weekly",7,Q891="Monthly",30,Q891="Quarterly",90,Q891="Bi-Weekly",14,Q891="Annually",365,Q891="Every 3 Months",90,TRUE,"NOT FOUND")</f>
        <v>7</v>
      </c>
    </row>
    <row r="892" spans="1:19" x14ac:dyDescent="0.35">
      <c r="A892">
        <v>891</v>
      </c>
      <c r="B892">
        <v>52</v>
      </c>
      <c r="C892" t="s">
        <v>7</v>
      </c>
      <c r="D892" t="s">
        <v>131</v>
      </c>
      <c r="E892" t="s">
        <v>55</v>
      </c>
      <c r="F892">
        <v>51</v>
      </c>
      <c r="G892" t="s">
        <v>72</v>
      </c>
      <c r="H892" t="s">
        <v>24</v>
      </c>
      <c r="I892" t="s">
        <v>61</v>
      </c>
      <c r="J892" t="s">
        <v>25</v>
      </c>
      <c r="K892">
        <v>4.3</v>
      </c>
      <c r="L892" t="s">
        <v>14</v>
      </c>
      <c r="M892" t="s">
        <v>58</v>
      </c>
      <c r="N892" t="s">
        <v>14</v>
      </c>
      <c r="O892">
        <v>47</v>
      </c>
      <c r="P892" t="s">
        <v>27</v>
      </c>
      <c r="Q892" t="s">
        <v>76</v>
      </c>
      <c r="R892" t="str" cm="1">
        <f t="array" ref="R892">_xlfn.IFS(B892&lt;31,"Young-Adult",B892&lt;41,"Adult",B892&lt;61,"Middle-aged",B892&gt;=61,"Senior")</f>
        <v>Middle-aged</v>
      </c>
      <c r="S892" cm="1">
        <f t="array" ref="S892">_xlfn.IFS(Q892 ="Fortnightly",14,Q892="Weekly",7,Q892="Monthly",30,Q892="Quarterly",90,Q892="Bi-Weekly",14,Q892="Annually",365,Q892="Every 3 Months",90,TRUE,"NOT FOUND")</f>
        <v>30</v>
      </c>
    </row>
    <row r="893" spans="1:19" x14ac:dyDescent="0.35">
      <c r="A893">
        <v>892</v>
      </c>
      <c r="B893">
        <v>20</v>
      </c>
      <c r="C893" t="s">
        <v>7</v>
      </c>
      <c r="D893" t="s">
        <v>75</v>
      </c>
      <c r="E893" t="s">
        <v>9</v>
      </c>
      <c r="F893">
        <v>26</v>
      </c>
      <c r="G893" t="s">
        <v>126</v>
      </c>
      <c r="H893" t="s">
        <v>24</v>
      </c>
      <c r="I893" t="s">
        <v>81</v>
      </c>
      <c r="J893" t="s">
        <v>41</v>
      </c>
      <c r="K893">
        <v>3.9</v>
      </c>
      <c r="L893" t="s">
        <v>14</v>
      </c>
      <c r="M893" t="s">
        <v>62</v>
      </c>
      <c r="N893" t="s">
        <v>14</v>
      </c>
      <c r="O893">
        <v>24</v>
      </c>
      <c r="P893" t="s">
        <v>34</v>
      </c>
      <c r="Q893" t="s">
        <v>85</v>
      </c>
      <c r="R893" t="str" cm="1">
        <f t="array" ref="R893">_xlfn.IFS(B893&lt;31,"Young-Adult",B893&lt;41,"Adult",B893&lt;61,"Middle-aged",B893&gt;=61,"Senior")</f>
        <v>Young-Adult</v>
      </c>
      <c r="S893" cm="1">
        <f t="array" ref="S893">_xlfn.IFS(Q893 ="Fortnightly",14,Q893="Weekly",7,Q893="Monthly",30,Q893="Quarterly",90,Q893="Bi-Weekly",14,Q893="Annually",365,Q893="Every 3 Months",90,TRUE,"NOT FOUND")</f>
        <v>90</v>
      </c>
    </row>
    <row r="894" spans="1:19" x14ac:dyDescent="0.35">
      <c r="A894">
        <v>893</v>
      </c>
      <c r="B894">
        <v>31</v>
      </c>
      <c r="C894" t="s">
        <v>7</v>
      </c>
      <c r="D894" t="s">
        <v>47</v>
      </c>
      <c r="E894" t="s">
        <v>9</v>
      </c>
      <c r="F894">
        <v>64</v>
      </c>
      <c r="G894" t="s">
        <v>118</v>
      </c>
      <c r="H894" t="s">
        <v>11</v>
      </c>
      <c r="I894" t="s">
        <v>12</v>
      </c>
      <c r="J894" t="s">
        <v>41</v>
      </c>
      <c r="K894">
        <v>2.7</v>
      </c>
      <c r="L894" t="s">
        <v>14</v>
      </c>
      <c r="M894" t="s">
        <v>26</v>
      </c>
      <c r="N894" t="s">
        <v>14</v>
      </c>
      <c r="O894">
        <v>43</v>
      </c>
      <c r="P894" t="s">
        <v>74</v>
      </c>
      <c r="Q894" t="s">
        <v>76</v>
      </c>
      <c r="R894" t="str" cm="1">
        <f t="array" ref="R894">_xlfn.IFS(B894&lt;31,"Young-Adult",B894&lt;41,"Adult",B894&lt;61,"Middle-aged",B894&gt;=61,"Senior")</f>
        <v>Adult</v>
      </c>
      <c r="S894" cm="1">
        <f t="array" ref="S894">_xlfn.IFS(Q894 ="Fortnightly",14,Q894="Weekly",7,Q894="Monthly",30,Q894="Quarterly",90,Q894="Bi-Weekly",14,Q894="Annually",365,Q894="Every 3 Months",90,TRUE,"NOT FOUND")</f>
        <v>30</v>
      </c>
    </row>
    <row r="895" spans="1:19" x14ac:dyDescent="0.35">
      <c r="A895">
        <v>894</v>
      </c>
      <c r="B895">
        <v>33</v>
      </c>
      <c r="C895" t="s">
        <v>7</v>
      </c>
      <c r="D895" t="s">
        <v>120</v>
      </c>
      <c r="E895" t="s">
        <v>55</v>
      </c>
      <c r="F895">
        <v>51</v>
      </c>
      <c r="G895" t="s">
        <v>133</v>
      </c>
      <c r="H895" t="s">
        <v>32</v>
      </c>
      <c r="I895" t="s">
        <v>96</v>
      </c>
      <c r="J895" t="s">
        <v>25</v>
      </c>
      <c r="K895">
        <v>4.7</v>
      </c>
      <c r="L895" t="s">
        <v>14</v>
      </c>
      <c r="M895" t="s">
        <v>15</v>
      </c>
      <c r="N895" t="s">
        <v>14</v>
      </c>
      <c r="O895">
        <v>14</v>
      </c>
      <c r="P895" t="s">
        <v>16</v>
      </c>
      <c r="Q895" t="s">
        <v>76</v>
      </c>
      <c r="R895" t="str" cm="1">
        <f t="array" ref="R895">_xlfn.IFS(B895&lt;31,"Young-Adult",B895&lt;41,"Adult",B895&lt;61,"Middle-aged",B895&gt;=61,"Senior")</f>
        <v>Adult</v>
      </c>
      <c r="S895" cm="1">
        <f t="array" ref="S895">_xlfn.IFS(Q895 ="Fortnightly",14,Q895="Weekly",7,Q895="Monthly",30,Q895="Quarterly",90,Q895="Bi-Weekly",14,Q895="Annually",365,Q895="Every 3 Months",90,TRUE,"NOT FOUND")</f>
        <v>30</v>
      </c>
    </row>
    <row r="896" spans="1:19" x14ac:dyDescent="0.35">
      <c r="A896">
        <v>895</v>
      </c>
      <c r="B896">
        <v>44</v>
      </c>
      <c r="C896" t="s">
        <v>7</v>
      </c>
      <c r="D896" t="s">
        <v>92</v>
      </c>
      <c r="E896" t="s">
        <v>9</v>
      </c>
      <c r="F896">
        <v>60</v>
      </c>
      <c r="G896" t="s">
        <v>39</v>
      </c>
      <c r="H896" t="s">
        <v>11</v>
      </c>
      <c r="I896" t="s">
        <v>61</v>
      </c>
      <c r="J896" t="s">
        <v>25</v>
      </c>
      <c r="K896">
        <v>3.8</v>
      </c>
      <c r="L896" t="s">
        <v>14</v>
      </c>
      <c r="M896" t="s">
        <v>26</v>
      </c>
      <c r="N896" t="s">
        <v>14</v>
      </c>
      <c r="O896">
        <v>3</v>
      </c>
      <c r="P896" t="s">
        <v>74</v>
      </c>
      <c r="Q896" t="s">
        <v>46</v>
      </c>
      <c r="R896" t="str" cm="1">
        <f t="array" ref="R896">_xlfn.IFS(B896&lt;31,"Young-Adult",B896&lt;41,"Adult",B896&lt;61,"Middle-aged",B896&gt;=61,"Senior")</f>
        <v>Middle-aged</v>
      </c>
      <c r="S896" cm="1">
        <f t="array" ref="S896">_xlfn.IFS(Q896 ="Fortnightly",14,Q896="Weekly",7,Q896="Monthly",30,Q896="Quarterly",90,Q896="Bi-Weekly",14,Q896="Annually",365,Q896="Every 3 Months",90,TRUE,"NOT FOUND")</f>
        <v>90</v>
      </c>
    </row>
    <row r="897" spans="1:19" x14ac:dyDescent="0.35">
      <c r="A897">
        <v>896</v>
      </c>
      <c r="B897">
        <v>40</v>
      </c>
      <c r="C897" t="s">
        <v>7</v>
      </c>
      <c r="D897" t="s">
        <v>112</v>
      </c>
      <c r="E897" t="s">
        <v>55</v>
      </c>
      <c r="F897">
        <v>69</v>
      </c>
      <c r="G897" t="s">
        <v>79</v>
      </c>
      <c r="H897" t="s">
        <v>80</v>
      </c>
      <c r="I897" t="s">
        <v>66</v>
      </c>
      <c r="J897" t="s">
        <v>25</v>
      </c>
      <c r="K897">
        <v>4.7</v>
      </c>
      <c r="L897" t="s">
        <v>14</v>
      </c>
      <c r="M897" t="s">
        <v>33</v>
      </c>
      <c r="N897" t="s">
        <v>14</v>
      </c>
      <c r="O897">
        <v>33</v>
      </c>
      <c r="P897" t="s">
        <v>74</v>
      </c>
      <c r="Q897" t="s">
        <v>46</v>
      </c>
      <c r="R897" t="str" cm="1">
        <f t="array" ref="R897">_xlfn.IFS(B897&lt;31,"Young-Adult",B897&lt;41,"Adult",B897&lt;61,"Middle-aged",B897&gt;=61,"Senior")</f>
        <v>Adult</v>
      </c>
      <c r="S897" cm="1">
        <f t="array" ref="S897">_xlfn.IFS(Q897 ="Fortnightly",14,Q897="Weekly",7,Q897="Monthly",30,Q897="Quarterly",90,Q897="Bi-Weekly",14,Q897="Annually",365,Q897="Every 3 Months",90,TRUE,"NOT FOUND")</f>
        <v>90</v>
      </c>
    </row>
    <row r="898" spans="1:19" x14ac:dyDescent="0.35">
      <c r="A898">
        <v>897</v>
      </c>
      <c r="B898">
        <v>69</v>
      </c>
      <c r="C898" t="s">
        <v>7</v>
      </c>
      <c r="D898" t="s">
        <v>94</v>
      </c>
      <c r="E898" t="s">
        <v>55</v>
      </c>
      <c r="F898">
        <v>29</v>
      </c>
      <c r="G898" t="s">
        <v>60</v>
      </c>
      <c r="H898" t="s">
        <v>32</v>
      </c>
      <c r="I898" t="s">
        <v>81</v>
      </c>
      <c r="J898" t="s">
        <v>25</v>
      </c>
      <c r="K898">
        <v>4.7</v>
      </c>
      <c r="L898" t="s">
        <v>14</v>
      </c>
      <c r="M898" t="s">
        <v>15</v>
      </c>
      <c r="N898" t="s">
        <v>14</v>
      </c>
      <c r="O898">
        <v>38</v>
      </c>
      <c r="P898" t="s">
        <v>21</v>
      </c>
      <c r="Q898" t="s">
        <v>17</v>
      </c>
      <c r="R898" t="str" cm="1">
        <f t="array" ref="R898">_xlfn.IFS(B898&lt;31,"Young-Adult",B898&lt;41,"Adult",B898&lt;61,"Middle-aged",B898&gt;=61,"Senior")</f>
        <v>Senior</v>
      </c>
      <c r="S898" cm="1">
        <f t="array" ref="S898">_xlfn.IFS(Q898 ="Fortnightly",14,Q898="Weekly",7,Q898="Monthly",30,Q898="Quarterly",90,Q898="Bi-Weekly",14,Q898="Annually",365,Q898="Every 3 Months",90,TRUE,"NOT FOUND")</f>
        <v>14</v>
      </c>
    </row>
    <row r="899" spans="1:19" x14ac:dyDescent="0.35">
      <c r="A899">
        <v>898</v>
      </c>
      <c r="B899">
        <v>29</v>
      </c>
      <c r="C899" t="s">
        <v>7</v>
      </c>
      <c r="D899" t="s">
        <v>43</v>
      </c>
      <c r="E899" t="s">
        <v>9</v>
      </c>
      <c r="F899">
        <v>91</v>
      </c>
      <c r="G899" t="s">
        <v>103</v>
      </c>
      <c r="H899" t="s">
        <v>32</v>
      </c>
      <c r="I899" t="s">
        <v>12</v>
      </c>
      <c r="J899" t="s">
        <v>25</v>
      </c>
      <c r="K899">
        <v>3.4</v>
      </c>
      <c r="L899" t="s">
        <v>14</v>
      </c>
      <c r="M899" t="s">
        <v>15</v>
      </c>
      <c r="N899" t="s">
        <v>14</v>
      </c>
      <c r="O899">
        <v>46</v>
      </c>
      <c r="P899" t="s">
        <v>16</v>
      </c>
      <c r="Q899" t="s">
        <v>28</v>
      </c>
      <c r="R899" t="str" cm="1">
        <f t="array" ref="R899">_xlfn.IFS(B899&lt;31,"Young-Adult",B899&lt;41,"Adult",B899&lt;61,"Middle-aged",B899&gt;=61,"Senior")</f>
        <v>Young-Adult</v>
      </c>
      <c r="S899" cm="1">
        <f t="array" ref="S899">_xlfn.IFS(Q899 ="Fortnightly",14,Q899="Weekly",7,Q899="Monthly",30,Q899="Quarterly",90,Q899="Bi-Weekly",14,Q899="Annually",365,Q899="Every 3 Months",90,TRUE,"NOT FOUND")</f>
        <v>7</v>
      </c>
    </row>
    <row r="900" spans="1:19" x14ac:dyDescent="0.35">
      <c r="A900">
        <v>899</v>
      </c>
      <c r="B900">
        <v>54</v>
      </c>
      <c r="C900" t="s">
        <v>7</v>
      </c>
      <c r="D900" t="s">
        <v>121</v>
      </c>
      <c r="E900" t="s">
        <v>55</v>
      </c>
      <c r="F900">
        <v>70</v>
      </c>
      <c r="G900" t="s">
        <v>95</v>
      </c>
      <c r="H900" t="s">
        <v>11</v>
      </c>
      <c r="I900" t="s">
        <v>96</v>
      </c>
      <c r="J900" t="s">
        <v>25</v>
      </c>
      <c r="K900">
        <v>3.5</v>
      </c>
      <c r="L900" t="s">
        <v>14</v>
      </c>
      <c r="M900" t="s">
        <v>58</v>
      </c>
      <c r="N900" t="s">
        <v>14</v>
      </c>
      <c r="O900">
        <v>19</v>
      </c>
      <c r="P900" t="s">
        <v>63</v>
      </c>
      <c r="Q900" t="s">
        <v>85</v>
      </c>
      <c r="R900" t="str" cm="1">
        <f t="array" ref="R900">_xlfn.IFS(B900&lt;31,"Young-Adult",B900&lt;41,"Adult",B900&lt;61,"Middle-aged",B900&gt;=61,"Senior")</f>
        <v>Middle-aged</v>
      </c>
      <c r="S900" cm="1">
        <f t="array" ref="S900">_xlfn.IFS(Q900 ="Fortnightly",14,Q900="Weekly",7,Q900="Monthly",30,Q900="Quarterly",90,Q900="Bi-Weekly",14,Q900="Annually",365,Q900="Every 3 Months",90,TRUE,"NOT FOUND")</f>
        <v>90</v>
      </c>
    </row>
    <row r="901" spans="1:19" x14ac:dyDescent="0.35">
      <c r="A901">
        <v>900</v>
      </c>
      <c r="B901">
        <v>65</v>
      </c>
      <c r="C901" t="s">
        <v>7</v>
      </c>
      <c r="D901" t="s">
        <v>18</v>
      </c>
      <c r="E901" t="s">
        <v>9</v>
      </c>
      <c r="F901">
        <v>58</v>
      </c>
      <c r="G901" t="s">
        <v>31</v>
      </c>
      <c r="H901" t="s">
        <v>32</v>
      </c>
      <c r="I901" t="s">
        <v>88</v>
      </c>
      <c r="J901" t="s">
        <v>41</v>
      </c>
      <c r="K901">
        <v>4</v>
      </c>
      <c r="L901" t="s">
        <v>14</v>
      </c>
      <c r="M901" t="s">
        <v>42</v>
      </c>
      <c r="N901" t="s">
        <v>14</v>
      </c>
      <c r="O901">
        <v>20</v>
      </c>
      <c r="P901" t="s">
        <v>34</v>
      </c>
      <c r="Q901" t="s">
        <v>37</v>
      </c>
      <c r="R901" t="str" cm="1">
        <f t="array" ref="R901">_xlfn.IFS(B901&lt;31,"Young-Adult",B901&lt;41,"Adult",B901&lt;61,"Middle-aged",B901&gt;=61,"Senior")</f>
        <v>Senior</v>
      </c>
      <c r="S901" cm="1">
        <f t="array" ref="S901">_xlfn.IFS(Q901 ="Fortnightly",14,Q901="Weekly",7,Q901="Monthly",30,Q901="Quarterly",90,Q901="Bi-Weekly",14,Q901="Annually",365,Q901="Every 3 Months",90,TRUE,"NOT FOUND")</f>
        <v>365</v>
      </c>
    </row>
    <row r="902" spans="1:19" x14ac:dyDescent="0.35">
      <c r="A902">
        <v>901</v>
      </c>
      <c r="B902">
        <v>54</v>
      </c>
      <c r="C902" t="s">
        <v>7</v>
      </c>
      <c r="D902" t="s">
        <v>112</v>
      </c>
      <c r="E902" t="s">
        <v>55</v>
      </c>
      <c r="F902">
        <v>98</v>
      </c>
      <c r="G902" t="s">
        <v>52</v>
      </c>
      <c r="H902" t="s">
        <v>11</v>
      </c>
      <c r="I902" t="s">
        <v>12</v>
      </c>
      <c r="J902" t="s">
        <v>45</v>
      </c>
      <c r="K902">
        <v>3.3</v>
      </c>
      <c r="L902" t="s">
        <v>14</v>
      </c>
      <c r="M902" t="s">
        <v>26</v>
      </c>
      <c r="N902" t="s">
        <v>14</v>
      </c>
      <c r="O902">
        <v>42</v>
      </c>
      <c r="P902" t="s">
        <v>63</v>
      </c>
      <c r="Q902" t="s">
        <v>46</v>
      </c>
      <c r="R902" t="str" cm="1">
        <f t="array" ref="R902">_xlfn.IFS(B902&lt;31,"Young-Adult",B902&lt;41,"Adult",B902&lt;61,"Middle-aged",B902&gt;=61,"Senior")</f>
        <v>Middle-aged</v>
      </c>
      <c r="S902" cm="1">
        <f t="array" ref="S902">_xlfn.IFS(Q902 ="Fortnightly",14,Q902="Weekly",7,Q902="Monthly",30,Q902="Quarterly",90,Q902="Bi-Weekly",14,Q902="Annually",365,Q902="Every 3 Months",90,TRUE,"NOT FOUND")</f>
        <v>90</v>
      </c>
    </row>
    <row r="903" spans="1:19" x14ac:dyDescent="0.35">
      <c r="A903">
        <v>902</v>
      </c>
      <c r="B903">
        <v>60</v>
      </c>
      <c r="C903" t="s">
        <v>7</v>
      </c>
      <c r="D903" t="s">
        <v>107</v>
      </c>
      <c r="E903" t="s">
        <v>55</v>
      </c>
      <c r="F903">
        <v>68</v>
      </c>
      <c r="G903" t="s">
        <v>56</v>
      </c>
      <c r="H903" t="s">
        <v>11</v>
      </c>
      <c r="I903" t="s">
        <v>71</v>
      </c>
      <c r="J903" t="s">
        <v>41</v>
      </c>
      <c r="K903">
        <v>4.7</v>
      </c>
      <c r="L903" t="s">
        <v>14</v>
      </c>
      <c r="M903" t="s">
        <v>58</v>
      </c>
      <c r="N903" t="s">
        <v>14</v>
      </c>
      <c r="O903">
        <v>34</v>
      </c>
      <c r="P903" t="s">
        <v>21</v>
      </c>
      <c r="Q903" t="s">
        <v>76</v>
      </c>
      <c r="R903" t="str" cm="1">
        <f t="array" ref="R903">_xlfn.IFS(B903&lt;31,"Young-Adult",B903&lt;41,"Adult",B903&lt;61,"Middle-aged",B903&gt;=61,"Senior")</f>
        <v>Middle-aged</v>
      </c>
      <c r="S903" cm="1">
        <f t="array" ref="S903">_xlfn.IFS(Q903 ="Fortnightly",14,Q903="Weekly",7,Q903="Monthly",30,Q903="Quarterly",90,Q903="Bi-Weekly",14,Q903="Annually",365,Q903="Every 3 Months",90,TRUE,"NOT FOUND")</f>
        <v>30</v>
      </c>
    </row>
    <row r="904" spans="1:19" x14ac:dyDescent="0.35">
      <c r="A904">
        <v>903</v>
      </c>
      <c r="B904">
        <v>43</v>
      </c>
      <c r="C904" t="s">
        <v>7</v>
      </c>
      <c r="D904" t="s">
        <v>112</v>
      </c>
      <c r="E904" t="s">
        <v>55</v>
      </c>
      <c r="F904">
        <v>44</v>
      </c>
      <c r="G904" t="s">
        <v>10</v>
      </c>
      <c r="H904" t="s">
        <v>32</v>
      </c>
      <c r="I904" t="s">
        <v>106</v>
      </c>
      <c r="J904" t="s">
        <v>41</v>
      </c>
      <c r="K904">
        <v>2.8</v>
      </c>
      <c r="L904" t="s">
        <v>14</v>
      </c>
      <c r="M904" t="s">
        <v>33</v>
      </c>
      <c r="N904" t="s">
        <v>14</v>
      </c>
      <c r="O904">
        <v>5</v>
      </c>
      <c r="P904" t="s">
        <v>21</v>
      </c>
      <c r="Q904" t="s">
        <v>76</v>
      </c>
      <c r="R904" t="str" cm="1">
        <f t="array" ref="R904">_xlfn.IFS(B904&lt;31,"Young-Adult",B904&lt;41,"Adult",B904&lt;61,"Middle-aged",B904&gt;=61,"Senior")</f>
        <v>Middle-aged</v>
      </c>
      <c r="S904" cm="1">
        <f t="array" ref="S904">_xlfn.IFS(Q904 ="Fortnightly",14,Q904="Weekly",7,Q904="Monthly",30,Q904="Quarterly",90,Q904="Bi-Weekly",14,Q904="Annually",365,Q904="Every 3 Months",90,TRUE,"NOT FOUND")</f>
        <v>30</v>
      </c>
    </row>
    <row r="905" spans="1:19" x14ac:dyDescent="0.35">
      <c r="A905">
        <v>904</v>
      </c>
      <c r="B905">
        <v>44</v>
      </c>
      <c r="C905" t="s">
        <v>7</v>
      </c>
      <c r="D905" t="s">
        <v>90</v>
      </c>
      <c r="E905" t="s">
        <v>51</v>
      </c>
      <c r="F905">
        <v>45</v>
      </c>
      <c r="G905" t="s">
        <v>137</v>
      </c>
      <c r="H905" t="s">
        <v>32</v>
      </c>
      <c r="I905" t="s">
        <v>132</v>
      </c>
      <c r="J905" t="s">
        <v>13</v>
      </c>
      <c r="K905">
        <v>3.3</v>
      </c>
      <c r="L905" t="s">
        <v>14</v>
      </c>
      <c r="M905" t="s">
        <v>15</v>
      </c>
      <c r="N905" t="s">
        <v>14</v>
      </c>
      <c r="O905">
        <v>3</v>
      </c>
      <c r="P905" t="s">
        <v>34</v>
      </c>
      <c r="Q905" t="s">
        <v>46</v>
      </c>
      <c r="R905" t="str" cm="1">
        <f t="array" ref="R905">_xlfn.IFS(B905&lt;31,"Young-Adult",B905&lt;41,"Adult",B905&lt;61,"Middle-aged",B905&gt;=61,"Senior")</f>
        <v>Middle-aged</v>
      </c>
      <c r="S905" cm="1">
        <f t="array" ref="S905">_xlfn.IFS(Q905 ="Fortnightly",14,Q905="Weekly",7,Q905="Monthly",30,Q905="Quarterly",90,Q905="Bi-Weekly",14,Q905="Annually",365,Q905="Every 3 Months",90,TRUE,"NOT FOUND")</f>
        <v>90</v>
      </c>
    </row>
    <row r="906" spans="1:19" x14ac:dyDescent="0.35">
      <c r="A906">
        <v>905</v>
      </c>
      <c r="B906">
        <v>69</v>
      </c>
      <c r="C906" t="s">
        <v>7</v>
      </c>
      <c r="D906" t="s">
        <v>101</v>
      </c>
      <c r="E906" t="s">
        <v>9</v>
      </c>
      <c r="F906">
        <v>99</v>
      </c>
      <c r="G906" t="s">
        <v>108</v>
      </c>
      <c r="H906" t="s">
        <v>11</v>
      </c>
      <c r="I906" t="s">
        <v>124</v>
      </c>
      <c r="J906" t="s">
        <v>25</v>
      </c>
      <c r="K906">
        <v>2.9</v>
      </c>
      <c r="L906" t="s">
        <v>14</v>
      </c>
      <c r="M906" t="s">
        <v>26</v>
      </c>
      <c r="N906" t="s">
        <v>14</v>
      </c>
      <c r="O906">
        <v>46</v>
      </c>
      <c r="P906" t="s">
        <v>34</v>
      </c>
      <c r="Q906" t="s">
        <v>85</v>
      </c>
      <c r="R906" t="str" cm="1">
        <f t="array" ref="R906">_xlfn.IFS(B906&lt;31,"Young-Adult",B906&lt;41,"Adult",B906&lt;61,"Middle-aged",B906&gt;=61,"Senior")</f>
        <v>Senior</v>
      </c>
      <c r="S906" cm="1">
        <f t="array" ref="S906">_xlfn.IFS(Q906 ="Fortnightly",14,Q906="Weekly",7,Q906="Monthly",30,Q906="Quarterly",90,Q906="Bi-Weekly",14,Q906="Annually",365,Q906="Every 3 Months",90,TRUE,"NOT FOUND")</f>
        <v>90</v>
      </c>
    </row>
    <row r="907" spans="1:19" x14ac:dyDescent="0.35">
      <c r="A907">
        <v>906</v>
      </c>
      <c r="B907">
        <v>46</v>
      </c>
      <c r="C907" t="s">
        <v>7</v>
      </c>
      <c r="D907" t="s">
        <v>69</v>
      </c>
      <c r="E907" t="s">
        <v>9</v>
      </c>
      <c r="F907">
        <v>68</v>
      </c>
      <c r="G907" t="s">
        <v>79</v>
      </c>
      <c r="H907" t="s">
        <v>24</v>
      </c>
      <c r="I907" t="s">
        <v>97</v>
      </c>
      <c r="J907" t="s">
        <v>25</v>
      </c>
      <c r="K907">
        <v>2.8</v>
      </c>
      <c r="L907" t="s">
        <v>14</v>
      </c>
      <c r="M907" t="s">
        <v>42</v>
      </c>
      <c r="N907" t="s">
        <v>14</v>
      </c>
      <c r="O907">
        <v>16</v>
      </c>
      <c r="P907" t="s">
        <v>16</v>
      </c>
      <c r="Q907" t="s">
        <v>37</v>
      </c>
      <c r="R907" t="str" cm="1">
        <f t="array" ref="R907">_xlfn.IFS(B907&lt;31,"Young-Adult",B907&lt;41,"Adult",B907&lt;61,"Middle-aged",B907&gt;=61,"Senior")</f>
        <v>Middle-aged</v>
      </c>
      <c r="S907" cm="1">
        <f t="array" ref="S907">_xlfn.IFS(Q907 ="Fortnightly",14,Q907="Weekly",7,Q907="Monthly",30,Q907="Quarterly",90,Q907="Bi-Weekly",14,Q907="Annually",365,Q907="Every 3 Months",90,TRUE,"NOT FOUND")</f>
        <v>365</v>
      </c>
    </row>
    <row r="908" spans="1:19" x14ac:dyDescent="0.35">
      <c r="A908">
        <v>907</v>
      </c>
      <c r="B908">
        <v>41</v>
      </c>
      <c r="C908" t="s">
        <v>7</v>
      </c>
      <c r="D908" t="s">
        <v>83</v>
      </c>
      <c r="E908" t="s">
        <v>9</v>
      </c>
      <c r="F908">
        <v>56</v>
      </c>
      <c r="G908" t="s">
        <v>119</v>
      </c>
      <c r="H908" t="s">
        <v>32</v>
      </c>
      <c r="I908" t="s">
        <v>96</v>
      </c>
      <c r="J908" t="s">
        <v>25</v>
      </c>
      <c r="K908">
        <v>4.2</v>
      </c>
      <c r="L908" t="s">
        <v>14</v>
      </c>
      <c r="M908" t="s">
        <v>42</v>
      </c>
      <c r="N908" t="s">
        <v>14</v>
      </c>
      <c r="O908">
        <v>21</v>
      </c>
      <c r="P908" t="s">
        <v>74</v>
      </c>
      <c r="Q908" t="s">
        <v>64</v>
      </c>
      <c r="R908" t="str" cm="1">
        <f t="array" ref="R908">_xlfn.IFS(B908&lt;31,"Young-Adult",B908&lt;41,"Adult",B908&lt;61,"Middle-aged",B908&gt;=61,"Senior")</f>
        <v>Middle-aged</v>
      </c>
      <c r="S908" cm="1">
        <f t="array" ref="S908">_xlfn.IFS(Q908 ="Fortnightly",14,Q908="Weekly",7,Q908="Monthly",30,Q908="Quarterly",90,Q908="Bi-Weekly",14,Q908="Annually",365,Q908="Every 3 Months",90,TRUE,"NOT FOUND")</f>
        <v>14</v>
      </c>
    </row>
    <row r="909" spans="1:19" x14ac:dyDescent="0.35">
      <c r="A909">
        <v>908</v>
      </c>
      <c r="B909">
        <v>32</v>
      </c>
      <c r="C909" t="s">
        <v>7</v>
      </c>
      <c r="D909" t="s">
        <v>18</v>
      </c>
      <c r="E909" t="s">
        <v>9</v>
      </c>
      <c r="F909">
        <v>43</v>
      </c>
      <c r="G909" t="s">
        <v>56</v>
      </c>
      <c r="H909" t="s">
        <v>11</v>
      </c>
      <c r="I909" t="s">
        <v>97</v>
      </c>
      <c r="J909" t="s">
        <v>13</v>
      </c>
      <c r="K909">
        <v>4.4000000000000004</v>
      </c>
      <c r="L909" t="s">
        <v>14</v>
      </c>
      <c r="M909" t="s">
        <v>15</v>
      </c>
      <c r="N909" t="s">
        <v>14</v>
      </c>
      <c r="O909">
        <v>34</v>
      </c>
      <c r="P909" t="s">
        <v>27</v>
      </c>
      <c r="Q909" t="s">
        <v>64</v>
      </c>
      <c r="R909" t="str" cm="1">
        <f t="array" ref="R909">_xlfn.IFS(B909&lt;31,"Young-Adult",B909&lt;41,"Adult",B909&lt;61,"Middle-aged",B909&gt;=61,"Senior")</f>
        <v>Adult</v>
      </c>
      <c r="S909" cm="1">
        <f t="array" ref="S909">_xlfn.IFS(Q909 ="Fortnightly",14,Q909="Weekly",7,Q909="Monthly",30,Q909="Quarterly",90,Q909="Bi-Weekly",14,Q909="Annually",365,Q909="Every 3 Months",90,TRUE,"NOT FOUND")</f>
        <v>14</v>
      </c>
    </row>
    <row r="910" spans="1:19" x14ac:dyDescent="0.35">
      <c r="A910">
        <v>909</v>
      </c>
      <c r="B910">
        <v>26</v>
      </c>
      <c r="C910" t="s">
        <v>7</v>
      </c>
      <c r="D910" t="s">
        <v>77</v>
      </c>
      <c r="E910" t="s">
        <v>55</v>
      </c>
      <c r="F910">
        <v>99</v>
      </c>
      <c r="G910" t="s">
        <v>115</v>
      </c>
      <c r="H910" t="s">
        <v>32</v>
      </c>
      <c r="I910" t="s">
        <v>36</v>
      </c>
      <c r="J910" t="s">
        <v>13</v>
      </c>
      <c r="K910">
        <v>3.6</v>
      </c>
      <c r="L910" t="s">
        <v>14</v>
      </c>
      <c r="M910" t="s">
        <v>26</v>
      </c>
      <c r="N910" t="s">
        <v>14</v>
      </c>
      <c r="O910">
        <v>9</v>
      </c>
      <c r="P910" t="s">
        <v>34</v>
      </c>
      <c r="Q910" t="s">
        <v>85</v>
      </c>
      <c r="R910" t="str" cm="1">
        <f t="array" ref="R910">_xlfn.IFS(B910&lt;31,"Young-Adult",B910&lt;41,"Adult",B910&lt;61,"Middle-aged",B910&gt;=61,"Senior")</f>
        <v>Young-Adult</v>
      </c>
      <c r="S910" cm="1">
        <f t="array" ref="S910">_xlfn.IFS(Q910 ="Fortnightly",14,Q910="Weekly",7,Q910="Monthly",30,Q910="Quarterly",90,Q910="Bi-Weekly",14,Q910="Annually",365,Q910="Every 3 Months",90,TRUE,"NOT FOUND")</f>
        <v>90</v>
      </c>
    </row>
    <row r="911" spans="1:19" x14ac:dyDescent="0.35">
      <c r="A911">
        <v>910</v>
      </c>
      <c r="B911">
        <v>61</v>
      </c>
      <c r="C911" t="s">
        <v>7</v>
      </c>
      <c r="D911" t="s">
        <v>121</v>
      </c>
      <c r="E911" t="s">
        <v>55</v>
      </c>
      <c r="F911">
        <v>56</v>
      </c>
      <c r="G911" t="s">
        <v>48</v>
      </c>
      <c r="H911" t="s">
        <v>11</v>
      </c>
      <c r="I911" t="s">
        <v>53</v>
      </c>
      <c r="J911" t="s">
        <v>45</v>
      </c>
      <c r="K911">
        <v>2.7</v>
      </c>
      <c r="L911" t="s">
        <v>14</v>
      </c>
      <c r="M911" t="s">
        <v>15</v>
      </c>
      <c r="N911" t="s">
        <v>14</v>
      </c>
      <c r="O911">
        <v>36</v>
      </c>
      <c r="P911" t="s">
        <v>34</v>
      </c>
      <c r="Q911" t="s">
        <v>28</v>
      </c>
      <c r="R911" t="str" cm="1">
        <f t="array" ref="R911">_xlfn.IFS(B911&lt;31,"Young-Adult",B911&lt;41,"Adult",B911&lt;61,"Middle-aged",B911&gt;=61,"Senior")</f>
        <v>Senior</v>
      </c>
      <c r="S911" cm="1">
        <f t="array" ref="S911">_xlfn.IFS(Q911 ="Fortnightly",14,Q911="Weekly",7,Q911="Monthly",30,Q911="Quarterly",90,Q911="Bi-Weekly",14,Q911="Annually",365,Q911="Every 3 Months",90,TRUE,"NOT FOUND")</f>
        <v>7</v>
      </c>
    </row>
    <row r="912" spans="1:19" x14ac:dyDescent="0.35">
      <c r="A912">
        <v>911</v>
      </c>
      <c r="B912">
        <v>49</v>
      </c>
      <c r="C912" t="s">
        <v>7</v>
      </c>
      <c r="D912" t="s">
        <v>92</v>
      </c>
      <c r="E912" t="s">
        <v>9</v>
      </c>
      <c r="F912">
        <v>25</v>
      </c>
      <c r="G912" t="s">
        <v>119</v>
      </c>
      <c r="H912" t="s">
        <v>24</v>
      </c>
      <c r="I912" t="s">
        <v>57</v>
      </c>
      <c r="J912" t="s">
        <v>25</v>
      </c>
      <c r="K912">
        <v>3.4</v>
      </c>
      <c r="L912" t="s">
        <v>14</v>
      </c>
      <c r="M912" t="s">
        <v>15</v>
      </c>
      <c r="N912" t="s">
        <v>14</v>
      </c>
      <c r="O912">
        <v>22</v>
      </c>
      <c r="P912" t="s">
        <v>27</v>
      </c>
      <c r="Q912" t="s">
        <v>76</v>
      </c>
      <c r="R912" t="str" cm="1">
        <f t="array" ref="R912">_xlfn.IFS(B912&lt;31,"Young-Adult",B912&lt;41,"Adult",B912&lt;61,"Middle-aged",B912&gt;=61,"Senior")</f>
        <v>Middle-aged</v>
      </c>
      <c r="S912" cm="1">
        <f t="array" ref="S912">_xlfn.IFS(Q912 ="Fortnightly",14,Q912="Weekly",7,Q912="Monthly",30,Q912="Quarterly",90,Q912="Bi-Weekly",14,Q912="Annually",365,Q912="Every 3 Months",90,TRUE,"NOT FOUND")</f>
        <v>30</v>
      </c>
    </row>
    <row r="913" spans="1:19" x14ac:dyDescent="0.35">
      <c r="A913">
        <v>912</v>
      </c>
      <c r="B913">
        <v>53</v>
      </c>
      <c r="C913" t="s">
        <v>7</v>
      </c>
      <c r="D913" t="s">
        <v>83</v>
      </c>
      <c r="E913" t="s">
        <v>9</v>
      </c>
      <c r="F913">
        <v>74</v>
      </c>
      <c r="G913" t="s">
        <v>117</v>
      </c>
      <c r="H913" t="s">
        <v>32</v>
      </c>
      <c r="I913" t="s">
        <v>82</v>
      </c>
      <c r="J913" t="s">
        <v>13</v>
      </c>
      <c r="K913">
        <v>2.8</v>
      </c>
      <c r="L913" t="s">
        <v>14</v>
      </c>
      <c r="M913" t="s">
        <v>58</v>
      </c>
      <c r="N913" t="s">
        <v>14</v>
      </c>
      <c r="O913">
        <v>2</v>
      </c>
      <c r="P913" t="s">
        <v>63</v>
      </c>
      <c r="Q913" t="s">
        <v>46</v>
      </c>
      <c r="R913" t="str" cm="1">
        <f t="array" ref="R913">_xlfn.IFS(B913&lt;31,"Young-Adult",B913&lt;41,"Adult",B913&lt;61,"Middle-aged",B913&gt;=61,"Senior")</f>
        <v>Middle-aged</v>
      </c>
      <c r="S913" cm="1">
        <f t="array" ref="S913">_xlfn.IFS(Q913 ="Fortnightly",14,Q913="Weekly",7,Q913="Monthly",30,Q913="Quarterly",90,Q913="Bi-Weekly",14,Q913="Annually",365,Q913="Every 3 Months",90,TRUE,"NOT FOUND")</f>
        <v>90</v>
      </c>
    </row>
    <row r="914" spans="1:19" x14ac:dyDescent="0.35">
      <c r="A914">
        <v>913</v>
      </c>
      <c r="B914">
        <v>24</v>
      </c>
      <c r="C914" t="s">
        <v>7</v>
      </c>
      <c r="D914" t="s">
        <v>92</v>
      </c>
      <c r="E914" t="s">
        <v>9</v>
      </c>
      <c r="F914">
        <v>56</v>
      </c>
      <c r="G914" t="s">
        <v>60</v>
      </c>
      <c r="H914" t="s">
        <v>32</v>
      </c>
      <c r="I914" t="s">
        <v>84</v>
      </c>
      <c r="J914" t="s">
        <v>13</v>
      </c>
      <c r="K914">
        <v>3.4</v>
      </c>
      <c r="L914" t="s">
        <v>14</v>
      </c>
      <c r="M914" t="s">
        <v>33</v>
      </c>
      <c r="N914" t="s">
        <v>14</v>
      </c>
      <c r="O914">
        <v>32</v>
      </c>
      <c r="P914" t="s">
        <v>63</v>
      </c>
      <c r="Q914" t="s">
        <v>76</v>
      </c>
      <c r="R914" t="str" cm="1">
        <f t="array" ref="R914">_xlfn.IFS(B914&lt;31,"Young-Adult",B914&lt;41,"Adult",B914&lt;61,"Middle-aged",B914&gt;=61,"Senior")</f>
        <v>Young-Adult</v>
      </c>
      <c r="S914" cm="1">
        <f t="array" ref="S914">_xlfn.IFS(Q914 ="Fortnightly",14,Q914="Weekly",7,Q914="Monthly",30,Q914="Quarterly",90,Q914="Bi-Weekly",14,Q914="Annually",365,Q914="Every 3 Months",90,TRUE,"NOT FOUND")</f>
        <v>30</v>
      </c>
    </row>
    <row r="915" spans="1:19" x14ac:dyDescent="0.35">
      <c r="A915">
        <v>914</v>
      </c>
      <c r="B915">
        <v>37</v>
      </c>
      <c r="C915" t="s">
        <v>7</v>
      </c>
      <c r="D915" t="s">
        <v>38</v>
      </c>
      <c r="E915" t="s">
        <v>30</v>
      </c>
      <c r="F915">
        <v>47</v>
      </c>
      <c r="G915" t="s">
        <v>128</v>
      </c>
      <c r="H915" t="s">
        <v>32</v>
      </c>
      <c r="I915" t="s">
        <v>122</v>
      </c>
      <c r="J915" t="s">
        <v>45</v>
      </c>
      <c r="K915">
        <v>2.6</v>
      </c>
      <c r="L915" t="s">
        <v>14</v>
      </c>
      <c r="M915" t="s">
        <v>33</v>
      </c>
      <c r="N915" t="s">
        <v>14</v>
      </c>
      <c r="O915">
        <v>29</v>
      </c>
      <c r="P915" t="s">
        <v>21</v>
      </c>
      <c r="Q915" t="s">
        <v>85</v>
      </c>
      <c r="R915" t="str" cm="1">
        <f t="array" ref="R915">_xlfn.IFS(B915&lt;31,"Young-Adult",B915&lt;41,"Adult",B915&lt;61,"Middle-aged",B915&gt;=61,"Senior")</f>
        <v>Adult</v>
      </c>
      <c r="S915" cm="1">
        <f t="array" ref="S915">_xlfn.IFS(Q915 ="Fortnightly",14,Q915="Weekly",7,Q915="Monthly",30,Q915="Quarterly",90,Q915="Bi-Weekly",14,Q915="Annually",365,Q915="Every 3 Months",90,TRUE,"NOT FOUND")</f>
        <v>90</v>
      </c>
    </row>
    <row r="916" spans="1:19" x14ac:dyDescent="0.35">
      <c r="A916">
        <v>915</v>
      </c>
      <c r="B916">
        <v>43</v>
      </c>
      <c r="C916" t="s">
        <v>7</v>
      </c>
      <c r="D916" t="s">
        <v>69</v>
      </c>
      <c r="E916" t="s">
        <v>9</v>
      </c>
      <c r="F916">
        <v>67</v>
      </c>
      <c r="G916" t="s">
        <v>137</v>
      </c>
      <c r="H916" t="s">
        <v>11</v>
      </c>
      <c r="I916" t="s">
        <v>61</v>
      </c>
      <c r="J916" t="s">
        <v>41</v>
      </c>
      <c r="K916">
        <v>4.0999999999999996</v>
      </c>
      <c r="L916" t="s">
        <v>14</v>
      </c>
      <c r="M916" t="s">
        <v>42</v>
      </c>
      <c r="N916" t="s">
        <v>14</v>
      </c>
      <c r="O916">
        <v>27</v>
      </c>
      <c r="P916" t="s">
        <v>16</v>
      </c>
      <c r="Q916" t="s">
        <v>85</v>
      </c>
      <c r="R916" t="str" cm="1">
        <f t="array" ref="R916">_xlfn.IFS(B916&lt;31,"Young-Adult",B916&lt;41,"Adult",B916&lt;61,"Middle-aged",B916&gt;=61,"Senior")</f>
        <v>Middle-aged</v>
      </c>
      <c r="S916" cm="1">
        <f t="array" ref="S916">_xlfn.IFS(Q916 ="Fortnightly",14,Q916="Weekly",7,Q916="Monthly",30,Q916="Quarterly",90,Q916="Bi-Weekly",14,Q916="Annually",365,Q916="Every 3 Months",90,TRUE,"NOT FOUND")</f>
        <v>90</v>
      </c>
    </row>
    <row r="917" spans="1:19" x14ac:dyDescent="0.35">
      <c r="A917">
        <v>916</v>
      </c>
      <c r="B917">
        <v>31</v>
      </c>
      <c r="C917" t="s">
        <v>7</v>
      </c>
      <c r="D917" t="s">
        <v>69</v>
      </c>
      <c r="E917" t="s">
        <v>9</v>
      </c>
      <c r="F917">
        <v>22</v>
      </c>
      <c r="G917" t="s">
        <v>31</v>
      </c>
      <c r="H917" t="s">
        <v>11</v>
      </c>
      <c r="I917" t="s">
        <v>61</v>
      </c>
      <c r="J917" t="s">
        <v>13</v>
      </c>
      <c r="K917">
        <v>2.9</v>
      </c>
      <c r="L917" t="s">
        <v>14</v>
      </c>
      <c r="M917" t="s">
        <v>62</v>
      </c>
      <c r="N917" t="s">
        <v>14</v>
      </c>
      <c r="O917">
        <v>33</v>
      </c>
      <c r="P917" t="s">
        <v>27</v>
      </c>
      <c r="Q917" t="s">
        <v>17</v>
      </c>
      <c r="R917" t="str" cm="1">
        <f t="array" ref="R917">_xlfn.IFS(B917&lt;31,"Young-Adult",B917&lt;41,"Adult",B917&lt;61,"Middle-aged",B917&gt;=61,"Senior")</f>
        <v>Adult</v>
      </c>
      <c r="S917" cm="1">
        <f t="array" ref="S917">_xlfn.IFS(Q917 ="Fortnightly",14,Q917="Weekly",7,Q917="Monthly",30,Q917="Quarterly",90,Q917="Bi-Weekly",14,Q917="Annually",365,Q917="Every 3 Months",90,TRUE,"NOT FOUND")</f>
        <v>14</v>
      </c>
    </row>
    <row r="918" spans="1:19" x14ac:dyDescent="0.35">
      <c r="A918">
        <v>917</v>
      </c>
      <c r="B918">
        <v>49</v>
      </c>
      <c r="C918" t="s">
        <v>7</v>
      </c>
      <c r="D918" t="s">
        <v>22</v>
      </c>
      <c r="E918" t="s">
        <v>9</v>
      </c>
      <c r="F918">
        <v>34</v>
      </c>
      <c r="G918" t="s">
        <v>103</v>
      </c>
      <c r="H918" t="s">
        <v>24</v>
      </c>
      <c r="I918" t="s">
        <v>132</v>
      </c>
      <c r="J918" t="s">
        <v>25</v>
      </c>
      <c r="K918">
        <v>2.7</v>
      </c>
      <c r="L918" t="s">
        <v>14</v>
      </c>
      <c r="M918" t="s">
        <v>42</v>
      </c>
      <c r="N918" t="s">
        <v>14</v>
      </c>
      <c r="O918">
        <v>16</v>
      </c>
      <c r="P918" t="s">
        <v>16</v>
      </c>
      <c r="Q918" t="s">
        <v>76</v>
      </c>
      <c r="R918" t="str" cm="1">
        <f t="array" ref="R918">_xlfn.IFS(B918&lt;31,"Young-Adult",B918&lt;41,"Adult",B918&lt;61,"Middle-aged",B918&gt;=61,"Senior")</f>
        <v>Middle-aged</v>
      </c>
      <c r="S918" cm="1">
        <f t="array" ref="S918">_xlfn.IFS(Q918 ="Fortnightly",14,Q918="Weekly",7,Q918="Monthly",30,Q918="Quarterly",90,Q918="Bi-Weekly",14,Q918="Annually",365,Q918="Every 3 Months",90,TRUE,"NOT FOUND")</f>
        <v>30</v>
      </c>
    </row>
    <row r="919" spans="1:19" x14ac:dyDescent="0.35">
      <c r="A919">
        <v>918</v>
      </c>
      <c r="B919">
        <v>69</v>
      </c>
      <c r="C919" t="s">
        <v>7</v>
      </c>
      <c r="D919" t="s">
        <v>18</v>
      </c>
      <c r="E919" t="s">
        <v>9</v>
      </c>
      <c r="F919">
        <v>64</v>
      </c>
      <c r="G919" t="s">
        <v>56</v>
      </c>
      <c r="H919" t="s">
        <v>32</v>
      </c>
      <c r="I919" t="s">
        <v>20</v>
      </c>
      <c r="J919" t="s">
        <v>25</v>
      </c>
      <c r="K919">
        <v>3.7</v>
      </c>
      <c r="L919" t="s">
        <v>14</v>
      </c>
      <c r="M919" t="s">
        <v>42</v>
      </c>
      <c r="N919" t="s">
        <v>14</v>
      </c>
      <c r="O919">
        <v>11</v>
      </c>
      <c r="P919" t="s">
        <v>63</v>
      </c>
      <c r="Q919" t="s">
        <v>46</v>
      </c>
      <c r="R919" t="str" cm="1">
        <f t="array" ref="R919">_xlfn.IFS(B919&lt;31,"Young-Adult",B919&lt;41,"Adult",B919&lt;61,"Middle-aged",B919&gt;=61,"Senior")</f>
        <v>Senior</v>
      </c>
      <c r="S919" cm="1">
        <f t="array" ref="S919">_xlfn.IFS(Q919 ="Fortnightly",14,Q919="Weekly",7,Q919="Monthly",30,Q919="Quarterly",90,Q919="Bi-Weekly",14,Q919="Annually",365,Q919="Every 3 Months",90,TRUE,"NOT FOUND")</f>
        <v>90</v>
      </c>
    </row>
    <row r="920" spans="1:19" x14ac:dyDescent="0.35">
      <c r="A920">
        <v>919</v>
      </c>
      <c r="B920">
        <v>65</v>
      </c>
      <c r="C920" t="s">
        <v>7</v>
      </c>
      <c r="D920" t="s">
        <v>47</v>
      </c>
      <c r="E920" t="s">
        <v>9</v>
      </c>
      <c r="F920">
        <v>42</v>
      </c>
      <c r="G920" t="s">
        <v>86</v>
      </c>
      <c r="H920" t="s">
        <v>32</v>
      </c>
      <c r="I920" t="s">
        <v>109</v>
      </c>
      <c r="J920" t="s">
        <v>25</v>
      </c>
      <c r="K920">
        <v>4.3</v>
      </c>
      <c r="L920" t="s">
        <v>14</v>
      </c>
      <c r="M920" t="s">
        <v>58</v>
      </c>
      <c r="N920" t="s">
        <v>14</v>
      </c>
      <c r="O920">
        <v>11</v>
      </c>
      <c r="P920" t="s">
        <v>21</v>
      </c>
      <c r="Q920" t="s">
        <v>17</v>
      </c>
      <c r="R920" t="str" cm="1">
        <f t="array" ref="R920">_xlfn.IFS(B920&lt;31,"Young-Adult",B920&lt;41,"Adult",B920&lt;61,"Middle-aged",B920&gt;=61,"Senior")</f>
        <v>Senior</v>
      </c>
      <c r="S920" cm="1">
        <f t="array" ref="S920">_xlfn.IFS(Q920 ="Fortnightly",14,Q920="Weekly",7,Q920="Monthly",30,Q920="Quarterly",90,Q920="Bi-Weekly",14,Q920="Annually",365,Q920="Every 3 Months",90,TRUE,"NOT FOUND")</f>
        <v>14</v>
      </c>
    </row>
    <row r="921" spans="1:19" x14ac:dyDescent="0.35">
      <c r="A921">
        <v>920</v>
      </c>
      <c r="B921">
        <v>41</v>
      </c>
      <c r="C921" t="s">
        <v>7</v>
      </c>
      <c r="D921" t="s">
        <v>43</v>
      </c>
      <c r="E921" t="s">
        <v>9</v>
      </c>
      <c r="F921">
        <v>82</v>
      </c>
      <c r="G921" t="s">
        <v>23</v>
      </c>
      <c r="H921" t="s">
        <v>11</v>
      </c>
      <c r="I921" t="s">
        <v>84</v>
      </c>
      <c r="J921" t="s">
        <v>13</v>
      </c>
      <c r="K921">
        <v>2.6</v>
      </c>
      <c r="L921" t="s">
        <v>14</v>
      </c>
      <c r="M921" t="s">
        <v>58</v>
      </c>
      <c r="N921" t="s">
        <v>14</v>
      </c>
      <c r="O921">
        <v>17</v>
      </c>
      <c r="P921" t="s">
        <v>74</v>
      </c>
      <c r="Q921" t="s">
        <v>64</v>
      </c>
      <c r="R921" t="str" cm="1">
        <f t="array" ref="R921">_xlfn.IFS(B921&lt;31,"Young-Adult",B921&lt;41,"Adult",B921&lt;61,"Middle-aged",B921&gt;=61,"Senior")</f>
        <v>Middle-aged</v>
      </c>
      <c r="S921" cm="1">
        <f t="array" ref="S921">_xlfn.IFS(Q921 ="Fortnightly",14,Q921="Weekly",7,Q921="Monthly",30,Q921="Quarterly",90,Q921="Bi-Weekly",14,Q921="Annually",365,Q921="Every 3 Months",90,TRUE,"NOT FOUND")</f>
        <v>14</v>
      </c>
    </row>
    <row r="922" spans="1:19" x14ac:dyDescent="0.35">
      <c r="A922">
        <v>921</v>
      </c>
      <c r="B922">
        <v>37</v>
      </c>
      <c r="C922" t="s">
        <v>7</v>
      </c>
      <c r="D922" t="s">
        <v>121</v>
      </c>
      <c r="E922" t="s">
        <v>55</v>
      </c>
      <c r="F922">
        <v>81</v>
      </c>
      <c r="G922" t="s">
        <v>60</v>
      </c>
      <c r="H922" t="s">
        <v>80</v>
      </c>
      <c r="I922" t="s">
        <v>68</v>
      </c>
      <c r="J922" t="s">
        <v>41</v>
      </c>
      <c r="K922">
        <v>4.3</v>
      </c>
      <c r="L922" t="s">
        <v>14</v>
      </c>
      <c r="M922" t="s">
        <v>26</v>
      </c>
      <c r="N922" t="s">
        <v>14</v>
      </c>
      <c r="O922">
        <v>37</v>
      </c>
      <c r="P922" t="s">
        <v>21</v>
      </c>
      <c r="Q922" t="s">
        <v>28</v>
      </c>
      <c r="R922" t="str" cm="1">
        <f t="array" ref="R922">_xlfn.IFS(B922&lt;31,"Young-Adult",B922&lt;41,"Adult",B922&lt;61,"Middle-aged",B922&gt;=61,"Senior")</f>
        <v>Adult</v>
      </c>
      <c r="S922" cm="1">
        <f t="array" ref="S922">_xlfn.IFS(Q922 ="Fortnightly",14,Q922="Weekly",7,Q922="Monthly",30,Q922="Quarterly",90,Q922="Bi-Weekly",14,Q922="Annually",365,Q922="Every 3 Months",90,TRUE,"NOT FOUND")</f>
        <v>7</v>
      </c>
    </row>
    <row r="923" spans="1:19" x14ac:dyDescent="0.35">
      <c r="A923">
        <v>922</v>
      </c>
      <c r="B923">
        <v>70</v>
      </c>
      <c r="C923" t="s">
        <v>7</v>
      </c>
      <c r="D923" t="s">
        <v>50</v>
      </c>
      <c r="E923" t="s">
        <v>51</v>
      </c>
      <c r="F923">
        <v>24</v>
      </c>
      <c r="G923" t="s">
        <v>135</v>
      </c>
      <c r="H923" t="s">
        <v>11</v>
      </c>
      <c r="I923" t="s">
        <v>53</v>
      </c>
      <c r="J923" t="s">
        <v>41</v>
      </c>
      <c r="K923">
        <v>4.0999999999999996</v>
      </c>
      <c r="L923" t="s">
        <v>14</v>
      </c>
      <c r="M923" t="s">
        <v>15</v>
      </c>
      <c r="N923" t="s">
        <v>14</v>
      </c>
      <c r="O923">
        <v>18</v>
      </c>
      <c r="P923" t="s">
        <v>34</v>
      </c>
      <c r="Q923" t="s">
        <v>28</v>
      </c>
      <c r="R923" t="str" cm="1">
        <f t="array" ref="R923">_xlfn.IFS(B923&lt;31,"Young-Adult",B923&lt;41,"Adult",B923&lt;61,"Middle-aged",B923&gt;=61,"Senior")</f>
        <v>Senior</v>
      </c>
      <c r="S923" cm="1">
        <f t="array" ref="S923">_xlfn.IFS(Q923 ="Fortnightly",14,Q923="Weekly",7,Q923="Monthly",30,Q923="Quarterly",90,Q923="Bi-Weekly",14,Q923="Annually",365,Q923="Every 3 Months",90,TRUE,"NOT FOUND")</f>
        <v>7</v>
      </c>
    </row>
    <row r="924" spans="1:19" x14ac:dyDescent="0.35">
      <c r="A924">
        <v>923</v>
      </c>
      <c r="B924">
        <v>63</v>
      </c>
      <c r="C924" t="s">
        <v>7</v>
      </c>
      <c r="D924" t="s">
        <v>38</v>
      </c>
      <c r="E924" t="s">
        <v>30</v>
      </c>
      <c r="F924">
        <v>60</v>
      </c>
      <c r="G924" t="s">
        <v>130</v>
      </c>
      <c r="H924" t="s">
        <v>32</v>
      </c>
      <c r="I924" t="s">
        <v>97</v>
      </c>
      <c r="J924" t="s">
        <v>45</v>
      </c>
      <c r="K924">
        <v>4.2</v>
      </c>
      <c r="L924" t="s">
        <v>14</v>
      </c>
      <c r="M924" t="s">
        <v>42</v>
      </c>
      <c r="N924" t="s">
        <v>14</v>
      </c>
      <c r="O924">
        <v>13</v>
      </c>
      <c r="P924" t="s">
        <v>27</v>
      </c>
      <c r="Q924" t="s">
        <v>76</v>
      </c>
      <c r="R924" t="str" cm="1">
        <f t="array" ref="R924">_xlfn.IFS(B924&lt;31,"Young-Adult",B924&lt;41,"Adult",B924&lt;61,"Middle-aged",B924&gt;=61,"Senior")</f>
        <v>Senior</v>
      </c>
      <c r="S924" cm="1">
        <f t="array" ref="S924">_xlfn.IFS(Q924 ="Fortnightly",14,Q924="Weekly",7,Q924="Monthly",30,Q924="Quarterly",90,Q924="Bi-Weekly",14,Q924="Annually",365,Q924="Every 3 Months",90,TRUE,"NOT FOUND")</f>
        <v>30</v>
      </c>
    </row>
    <row r="925" spans="1:19" x14ac:dyDescent="0.35">
      <c r="A925">
        <v>924</v>
      </c>
      <c r="B925">
        <v>55</v>
      </c>
      <c r="C925" t="s">
        <v>7</v>
      </c>
      <c r="D925" t="s">
        <v>43</v>
      </c>
      <c r="E925" t="s">
        <v>9</v>
      </c>
      <c r="F925">
        <v>24</v>
      </c>
      <c r="G925" t="s">
        <v>60</v>
      </c>
      <c r="H925" t="s">
        <v>32</v>
      </c>
      <c r="I925" t="s">
        <v>53</v>
      </c>
      <c r="J925" t="s">
        <v>25</v>
      </c>
      <c r="K925">
        <v>4.2</v>
      </c>
      <c r="L925" t="s">
        <v>14</v>
      </c>
      <c r="M925" t="s">
        <v>58</v>
      </c>
      <c r="N925" t="s">
        <v>14</v>
      </c>
      <c r="O925">
        <v>7</v>
      </c>
      <c r="P925" t="s">
        <v>34</v>
      </c>
      <c r="Q925" t="s">
        <v>28</v>
      </c>
      <c r="R925" t="str" cm="1">
        <f t="array" ref="R925">_xlfn.IFS(B925&lt;31,"Young-Adult",B925&lt;41,"Adult",B925&lt;61,"Middle-aged",B925&gt;=61,"Senior")</f>
        <v>Middle-aged</v>
      </c>
      <c r="S925" cm="1">
        <f t="array" ref="S925">_xlfn.IFS(Q925 ="Fortnightly",14,Q925="Weekly",7,Q925="Monthly",30,Q925="Quarterly",90,Q925="Bi-Weekly",14,Q925="Annually",365,Q925="Every 3 Months",90,TRUE,"NOT FOUND")</f>
        <v>7</v>
      </c>
    </row>
    <row r="926" spans="1:19" x14ac:dyDescent="0.35">
      <c r="A926">
        <v>925</v>
      </c>
      <c r="B926">
        <v>52</v>
      </c>
      <c r="C926" t="s">
        <v>7</v>
      </c>
      <c r="D926" t="s">
        <v>113</v>
      </c>
      <c r="E926" t="s">
        <v>9</v>
      </c>
      <c r="F926">
        <v>78</v>
      </c>
      <c r="G926" t="s">
        <v>99</v>
      </c>
      <c r="H926" t="s">
        <v>80</v>
      </c>
      <c r="I926" t="s">
        <v>106</v>
      </c>
      <c r="J926" t="s">
        <v>13</v>
      </c>
      <c r="K926">
        <v>3.1</v>
      </c>
      <c r="L926" t="s">
        <v>14</v>
      </c>
      <c r="M926" t="s">
        <v>42</v>
      </c>
      <c r="N926" t="s">
        <v>14</v>
      </c>
      <c r="O926">
        <v>37</v>
      </c>
      <c r="P926" t="s">
        <v>21</v>
      </c>
      <c r="Q926" t="s">
        <v>46</v>
      </c>
      <c r="R926" t="str" cm="1">
        <f t="array" ref="R926">_xlfn.IFS(B926&lt;31,"Young-Adult",B926&lt;41,"Adult",B926&lt;61,"Middle-aged",B926&gt;=61,"Senior")</f>
        <v>Middle-aged</v>
      </c>
      <c r="S926" cm="1">
        <f t="array" ref="S926">_xlfn.IFS(Q926 ="Fortnightly",14,Q926="Weekly",7,Q926="Monthly",30,Q926="Quarterly",90,Q926="Bi-Weekly",14,Q926="Annually",365,Q926="Every 3 Months",90,TRUE,"NOT FOUND")</f>
        <v>90</v>
      </c>
    </row>
    <row r="927" spans="1:19" x14ac:dyDescent="0.35">
      <c r="A927">
        <v>926</v>
      </c>
      <c r="B927">
        <v>22</v>
      </c>
      <c r="C927" t="s">
        <v>7</v>
      </c>
      <c r="D927" t="s">
        <v>22</v>
      </c>
      <c r="E927" t="s">
        <v>9</v>
      </c>
      <c r="F927">
        <v>88</v>
      </c>
      <c r="G927" t="s">
        <v>105</v>
      </c>
      <c r="H927" t="s">
        <v>11</v>
      </c>
      <c r="I927" t="s">
        <v>73</v>
      </c>
      <c r="J927" t="s">
        <v>13</v>
      </c>
      <c r="K927">
        <v>4.9000000000000004</v>
      </c>
      <c r="L927" t="s">
        <v>14</v>
      </c>
      <c r="M927" t="s">
        <v>15</v>
      </c>
      <c r="N927" t="s">
        <v>14</v>
      </c>
      <c r="O927">
        <v>8</v>
      </c>
      <c r="P927" t="s">
        <v>21</v>
      </c>
      <c r="Q927" t="s">
        <v>76</v>
      </c>
      <c r="R927" t="str" cm="1">
        <f t="array" ref="R927">_xlfn.IFS(B927&lt;31,"Young-Adult",B927&lt;41,"Adult",B927&lt;61,"Middle-aged",B927&gt;=61,"Senior")</f>
        <v>Young-Adult</v>
      </c>
      <c r="S927" cm="1">
        <f t="array" ref="S927">_xlfn.IFS(Q927 ="Fortnightly",14,Q927="Weekly",7,Q927="Monthly",30,Q927="Quarterly",90,Q927="Bi-Weekly",14,Q927="Annually",365,Q927="Every 3 Months",90,TRUE,"NOT FOUND")</f>
        <v>30</v>
      </c>
    </row>
    <row r="928" spans="1:19" x14ac:dyDescent="0.35">
      <c r="A928">
        <v>927</v>
      </c>
      <c r="B928">
        <v>54</v>
      </c>
      <c r="C928" t="s">
        <v>7</v>
      </c>
      <c r="D928" t="s">
        <v>22</v>
      </c>
      <c r="E928" t="s">
        <v>9</v>
      </c>
      <c r="F928">
        <v>63</v>
      </c>
      <c r="G928" t="s">
        <v>23</v>
      </c>
      <c r="H928" t="s">
        <v>80</v>
      </c>
      <c r="I928" t="s">
        <v>84</v>
      </c>
      <c r="J928" t="s">
        <v>25</v>
      </c>
      <c r="K928">
        <v>4.4000000000000004</v>
      </c>
      <c r="L928" t="s">
        <v>14</v>
      </c>
      <c r="M928" t="s">
        <v>15</v>
      </c>
      <c r="N928" t="s">
        <v>14</v>
      </c>
      <c r="O928">
        <v>11</v>
      </c>
      <c r="P928" t="s">
        <v>21</v>
      </c>
      <c r="Q928" t="s">
        <v>64</v>
      </c>
      <c r="R928" t="str" cm="1">
        <f t="array" ref="R928">_xlfn.IFS(B928&lt;31,"Young-Adult",B928&lt;41,"Adult",B928&lt;61,"Middle-aged",B928&gt;=61,"Senior")</f>
        <v>Middle-aged</v>
      </c>
      <c r="S928" cm="1">
        <f t="array" ref="S928">_xlfn.IFS(Q928 ="Fortnightly",14,Q928="Weekly",7,Q928="Monthly",30,Q928="Quarterly",90,Q928="Bi-Weekly",14,Q928="Annually",365,Q928="Every 3 Months",90,TRUE,"NOT FOUND")</f>
        <v>14</v>
      </c>
    </row>
    <row r="929" spans="1:19" x14ac:dyDescent="0.35">
      <c r="A929">
        <v>928</v>
      </c>
      <c r="B929">
        <v>28</v>
      </c>
      <c r="C929" t="s">
        <v>7</v>
      </c>
      <c r="D929" t="s">
        <v>38</v>
      </c>
      <c r="E929" t="s">
        <v>30</v>
      </c>
      <c r="F929">
        <v>78</v>
      </c>
      <c r="G929" t="s">
        <v>118</v>
      </c>
      <c r="H929" t="s">
        <v>11</v>
      </c>
      <c r="I929" t="s">
        <v>82</v>
      </c>
      <c r="J929" t="s">
        <v>41</v>
      </c>
      <c r="K929">
        <v>4.4000000000000004</v>
      </c>
      <c r="L929" t="s">
        <v>14</v>
      </c>
      <c r="M929" t="s">
        <v>42</v>
      </c>
      <c r="N929" t="s">
        <v>14</v>
      </c>
      <c r="O929">
        <v>8</v>
      </c>
      <c r="P929" t="s">
        <v>16</v>
      </c>
      <c r="Q929" t="s">
        <v>64</v>
      </c>
      <c r="R929" t="str" cm="1">
        <f t="array" ref="R929">_xlfn.IFS(B929&lt;31,"Young-Adult",B929&lt;41,"Adult",B929&lt;61,"Middle-aged",B929&gt;=61,"Senior")</f>
        <v>Young-Adult</v>
      </c>
      <c r="S929" cm="1">
        <f t="array" ref="S929">_xlfn.IFS(Q929 ="Fortnightly",14,Q929="Weekly",7,Q929="Monthly",30,Q929="Quarterly",90,Q929="Bi-Weekly",14,Q929="Annually",365,Q929="Every 3 Months",90,TRUE,"NOT FOUND")</f>
        <v>14</v>
      </c>
    </row>
    <row r="930" spans="1:19" x14ac:dyDescent="0.35">
      <c r="A930">
        <v>929</v>
      </c>
      <c r="B930">
        <v>67</v>
      </c>
      <c r="C930" t="s">
        <v>7</v>
      </c>
      <c r="D930" t="s">
        <v>69</v>
      </c>
      <c r="E930" t="s">
        <v>9</v>
      </c>
      <c r="F930">
        <v>37</v>
      </c>
      <c r="G930" t="s">
        <v>60</v>
      </c>
      <c r="H930" t="s">
        <v>80</v>
      </c>
      <c r="I930" t="s">
        <v>122</v>
      </c>
      <c r="J930" t="s">
        <v>13</v>
      </c>
      <c r="K930">
        <v>3.4</v>
      </c>
      <c r="L930" t="s">
        <v>14</v>
      </c>
      <c r="M930" t="s">
        <v>62</v>
      </c>
      <c r="N930" t="s">
        <v>14</v>
      </c>
      <c r="O930">
        <v>31</v>
      </c>
      <c r="P930" t="s">
        <v>21</v>
      </c>
      <c r="Q930" t="s">
        <v>85</v>
      </c>
      <c r="R930" t="str" cm="1">
        <f t="array" ref="R930">_xlfn.IFS(B930&lt;31,"Young-Adult",B930&lt;41,"Adult",B930&lt;61,"Middle-aged",B930&gt;=61,"Senior")</f>
        <v>Senior</v>
      </c>
      <c r="S930" cm="1">
        <f t="array" ref="S930">_xlfn.IFS(Q930 ="Fortnightly",14,Q930="Weekly",7,Q930="Monthly",30,Q930="Quarterly",90,Q930="Bi-Weekly",14,Q930="Annually",365,Q930="Every 3 Months",90,TRUE,"NOT FOUND")</f>
        <v>90</v>
      </c>
    </row>
    <row r="931" spans="1:19" x14ac:dyDescent="0.35">
      <c r="A931">
        <v>930</v>
      </c>
      <c r="B931">
        <v>59</v>
      </c>
      <c r="C931" t="s">
        <v>7</v>
      </c>
      <c r="D931" t="s">
        <v>125</v>
      </c>
      <c r="E931" t="s">
        <v>30</v>
      </c>
      <c r="F931">
        <v>94</v>
      </c>
      <c r="G931" t="s">
        <v>133</v>
      </c>
      <c r="H931" t="s">
        <v>32</v>
      </c>
      <c r="I931" t="s">
        <v>40</v>
      </c>
      <c r="J931" t="s">
        <v>45</v>
      </c>
      <c r="K931">
        <v>4.5</v>
      </c>
      <c r="L931" t="s">
        <v>14</v>
      </c>
      <c r="M931" t="s">
        <v>58</v>
      </c>
      <c r="N931" t="s">
        <v>14</v>
      </c>
      <c r="O931">
        <v>26</v>
      </c>
      <c r="P931" t="s">
        <v>74</v>
      </c>
      <c r="Q931" t="s">
        <v>17</v>
      </c>
      <c r="R931" t="str" cm="1">
        <f t="array" ref="R931">_xlfn.IFS(B931&lt;31,"Young-Adult",B931&lt;41,"Adult",B931&lt;61,"Middle-aged",B931&gt;=61,"Senior")</f>
        <v>Middle-aged</v>
      </c>
      <c r="S931" cm="1">
        <f t="array" ref="S931">_xlfn.IFS(Q931 ="Fortnightly",14,Q931="Weekly",7,Q931="Monthly",30,Q931="Quarterly",90,Q931="Bi-Weekly",14,Q931="Annually",365,Q931="Every 3 Months",90,TRUE,"NOT FOUND")</f>
        <v>14</v>
      </c>
    </row>
    <row r="932" spans="1:19" x14ac:dyDescent="0.35">
      <c r="A932">
        <v>931</v>
      </c>
      <c r="B932">
        <v>26</v>
      </c>
      <c r="C932" t="s">
        <v>7</v>
      </c>
      <c r="D932" t="s">
        <v>101</v>
      </c>
      <c r="E932" t="s">
        <v>9</v>
      </c>
      <c r="F932">
        <v>78</v>
      </c>
      <c r="G932" t="s">
        <v>65</v>
      </c>
      <c r="H932" t="s">
        <v>11</v>
      </c>
      <c r="I932" t="s">
        <v>84</v>
      </c>
      <c r="J932" t="s">
        <v>45</v>
      </c>
      <c r="K932">
        <v>4.5</v>
      </c>
      <c r="L932" t="s">
        <v>14</v>
      </c>
      <c r="M932" t="s">
        <v>62</v>
      </c>
      <c r="N932" t="s">
        <v>14</v>
      </c>
      <c r="O932">
        <v>20</v>
      </c>
      <c r="P932" t="s">
        <v>27</v>
      </c>
      <c r="Q932" t="s">
        <v>64</v>
      </c>
      <c r="R932" t="str" cm="1">
        <f t="array" ref="R932">_xlfn.IFS(B932&lt;31,"Young-Adult",B932&lt;41,"Adult",B932&lt;61,"Middle-aged",B932&gt;=61,"Senior")</f>
        <v>Young-Adult</v>
      </c>
      <c r="S932" cm="1">
        <f t="array" ref="S932">_xlfn.IFS(Q932 ="Fortnightly",14,Q932="Weekly",7,Q932="Monthly",30,Q932="Quarterly",90,Q932="Bi-Weekly",14,Q932="Annually",365,Q932="Every 3 Months",90,TRUE,"NOT FOUND")</f>
        <v>14</v>
      </c>
    </row>
    <row r="933" spans="1:19" x14ac:dyDescent="0.35">
      <c r="A933">
        <v>932</v>
      </c>
      <c r="B933">
        <v>24</v>
      </c>
      <c r="C933" t="s">
        <v>7</v>
      </c>
      <c r="D933" t="s">
        <v>50</v>
      </c>
      <c r="E933" t="s">
        <v>51</v>
      </c>
      <c r="F933">
        <v>36</v>
      </c>
      <c r="G933" t="s">
        <v>133</v>
      </c>
      <c r="H933" t="s">
        <v>32</v>
      </c>
      <c r="I933" t="s">
        <v>53</v>
      </c>
      <c r="J933" t="s">
        <v>13</v>
      </c>
      <c r="K933">
        <v>4.0999999999999996</v>
      </c>
      <c r="L933" t="s">
        <v>14</v>
      </c>
      <c r="M933" t="s">
        <v>42</v>
      </c>
      <c r="N933" t="s">
        <v>14</v>
      </c>
      <c r="O933">
        <v>24</v>
      </c>
      <c r="P933" t="s">
        <v>63</v>
      </c>
      <c r="Q933" t="s">
        <v>17</v>
      </c>
      <c r="R933" t="str" cm="1">
        <f t="array" ref="R933">_xlfn.IFS(B933&lt;31,"Young-Adult",B933&lt;41,"Adult",B933&lt;61,"Middle-aged",B933&gt;=61,"Senior")</f>
        <v>Young-Adult</v>
      </c>
      <c r="S933" cm="1">
        <f t="array" ref="S933">_xlfn.IFS(Q933 ="Fortnightly",14,Q933="Weekly",7,Q933="Monthly",30,Q933="Quarterly",90,Q933="Bi-Weekly",14,Q933="Annually",365,Q933="Every 3 Months",90,TRUE,"NOT FOUND")</f>
        <v>14</v>
      </c>
    </row>
    <row r="934" spans="1:19" x14ac:dyDescent="0.35">
      <c r="A934">
        <v>933</v>
      </c>
      <c r="B934">
        <v>62</v>
      </c>
      <c r="C934" t="s">
        <v>7</v>
      </c>
      <c r="D934" t="s">
        <v>75</v>
      </c>
      <c r="E934" t="s">
        <v>9</v>
      </c>
      <c r="F934">
        <v>24</v>
      </c>
      <c r="G934" t="s">
        <v>104</v>
      </c>
      <c r="H934" t="s">
        <v>11</v>
      </c>
      <c r="I934" t="s">
        <v>132</v>
      </c>
      <c r="J934" t="s">
        <v>13</v>
      </c>
      <c r="K934">
        <v>3.2</v>
      </c>
      <c r="L934" t="s">
        <v>14</v>
      </c>
      <c r="M934" t="s">
        <v>42</v>
      </c>
      <c r="N934" t="s">
        <v>14</v>
      </c>
      <c r="O934">
        <v>45</v>
      </c>
      <c r="P934" t="s">
        <v>74</v>
      </c>
      <c r="Q934" t="s">
        <v>64</v>
      </c>
      <c r="R934" t="str" cm="1">
        <f t="array" ref="R934">_xlfn.IFS(B934&lt;31,"Young-Adult",B934&lt;41,"Adult",B934&lt;61,"Middle-aged",B934&gt;=61,"Senior")</f>
        <v>Senior</v>
      </c>
      <c r="S934" cm="1">
        <f t="array" ref="S934">_xlfn.IFS(Q934 ="Fortnightly",14,Q934="Weekly",7,Q934="Monthly",30,Q934="Quarterly",90,Q934="Bi-Weekly",14,Q934="Annually",365,Q934="Every 3 Months",90,TRUE,"NOT FOUND")</f>
        <v>14</v>
      </c>
    </row>
    <row r="935" spans="1:19" x14ac:dyDescent="0.35">
      <c r="A935">
        <v>934</v>
      </c>
      <c r="B935">
        <v>70</v>
      </c>
      <c r="C935" t="s">
        <v>7</v>
      </c>
      <c r="D935" t="s">
        <v>38</v>
      </c>
      <c r="E935" t="s">
        <v>30</v>
      </c>
      <c r="F935">
        <v>84</v>
      </c>
      <c r="G935" t="s">
        <v>100</v>
      </c>
      <c r="H935" t="s">
        <v>32</v>
      </c>
      <c r="I935" t="s">
        <v>124</v>
      </c>
      <c r="J935" t="s">
        <v>25</v>
      </c>
      <c r="K935">
        <v>2.7</v>
      </c>
      <c r="L935" t="s">
        <v>14</v>
      </c>
      <c r="M935" t="s">
        <v>62</v>
      </c>
      <c r="N935" t="s">
        <v>14</v>
      </c>
      <c r="O935">
        <v>33</v>
      </c>
      <c r="P935" t="s">
        <v>74</v>
      </c>
      <c r="Q935" t="s">
        <v>76</v>
      </c>
      <c r="R935" t="str" cm="1">
        <f t="array" ref="R935">_xlfn.IFS(B935&lt;31,"Young-Adult",B935&lt;41,"Adult",B935&lt;61,"Middle-aged",B935&gt;=61,"Senior")</f>
        <v>Senior</v>
      </c>
      <c r="S935" cm="1">
        <f t="array" ref="S935">_xlfn.IFS(Q935 ="Fortnightly",14,Q935="Weekly",7,Q935="Monthly",30,Q935="Quarterly",90,Q935="Bi-Weekly",14,Q935="Annually",365,Q935="Every 3 Months",90,TRUE,"NOT FOUND")</f>
        <v>30</v>
      </c>
    </row>
    <row r="936" spans="1:19" x14ac:dyDescent="0.35">
      <c r="A936">
        <v>935</v>
      </c>
      <c r="B936">
        <v>45</v>
      </c>
      <c r="C936" t="s">
        <v>7</v>
      </c>
      <c r="D936" t="s">
        <v>22</v>
      </c>
      <c r="E936" t="s">
        <v>9</v>
      </c>
      <c r="F936">
        <v>47</v>
      </c>
      <c r="G936" t="s">
        <v>35</v>
      </c>
      <c r="H936" t="s">
        <v>24</v>
      </c>
      <c r="I936" t="s">
        <v>122</v>
      </c>
      <c r="J936" t="s">
        <v>25</v>
      </c>
      <c r="K936">
        <v>3.7</v>
      </c>
      <c r="L936" t="s">
        <v>14</v>
      </c>
      <c r="M936" t="s">
        <v>15</v>
      </c>
      <c r="N936" t="s">
        <v>14</v>
      </c>
      <c r="O936">
        <v>21</v>
      </c>
      <c r="P936" t="s">
        <v>63</v>
      </c>
      <c r="Q936" t="s">
        <v>76</v>
      </c>
      <c r="R936" t="str" cm="1">
        <f t="array" ref="R936">_xlfn.IFS(B936&lt;31,"Young-Adult",B936&lt;41,"Adult",B936&lt;61,"Middle-aged",B936&gt;=61,"Senior")</f>
        <v>Middle-aged</v>
      </c>
      <c r="S936" cm="1">
        <f t="array" ref="S936">_xlfn.IFS(Q936 ="Fortnightly",14,Q936="Weekly",7,Q936="Monthly",30,Q936="Quarterly",90,Q936="Bi-Weekly",14,Q936="Annually",365,Q936="Every 3 Months",90,TRUE,"NOT FOUND")</f>
        <v>30</v>
      </c>
    </row>
    <row r="937" spans="1:19" x14ac:dyDescent="0.35">
      <c r="A937">
        <v>936</v>
      </c>
      <c r="B937">
        <v>58</v>
      </c>
      <c r="C937" t="s">
        <v>7</v>
      </c>
      <c r="D937" t="s">
        <v>92</v>
      </c>
      <c r="E937" t="s">
        <v>9</v>
      </c>
      <c r="F937">
        <v>51</v>
      </c>
      <c r="G937" t="s">
        <v>111</v>
      </c>
      <c r="H937" t="s">
        <v>11</v>
      </c>
      <c r="I937" t="s">
        <v>40</v>
      </c>
      <c r="J937" t="s">
        <v>45</v>
      </c>
      <c r="K937">
        <v>2.6</v>
      </c>
      <c r="L937" t="s">
        <v>14</v>
      </c>
      <c r="M937" t="s">
        <v>62</v>
      </c>
      <c r="N937" t="s">
        <v>14</v>
      </c>
      <c r="O937">
        <v>2</v>
      </c>
      <c r="P937" t="s">
        <v>63</v>
      </c>
      <c r="Q937" t="s">
        <v>17</v>
      </c>
      <c r="R937" t="str" cm="1">
        <f t="array" ref="R937">_xlfn.IFS(B937&lt;31,"Young-Adult",B937&lt;41,"Adult",B937&lt;61,"Middle-aged",B937&gt;=61,"Senior")</f>
        <v>Middle-aged</v>
      </c>
      <c r="S937" cm="1">
        <f t="array" ref="S937">_xlfn.IFS(Q937 ="Fortnightly",14,Q937="Weekly",7,Q937="Monthly",30,Q937="Quarterly",90,Q937="Bi-Weekly",14,Q937="Annually",365,Q937="Every 3 Months",90,TRUE,"NOT FOUND")</f>
        <v>14</v>
      </c>
    </row>
    <row r="938" spans="1:19" x14ac:dyDescent="0.35">
      <c r="A938">
        <v>937</v>
      </c>
      <c r="B938">
        <v>31</v>
      </c>
      <c r="C938" t="s">
        <v>7</v>
      </c>
      <c r="D938" t="s">
        <v>59</v>
      </c>
      <c r="E938" t="s">
        <v>30</v>
      </c>
      <c r="F938">
        <v>84</v>
      </c>
      <c r="G938" t="s">
        <v>19</v>
      </c>
      <c r="H938" t="s">
        <v>32</v>
      </c>
      <c r="I938" t="s">
        <v>57</v>
      </c>
      <c r="J938" t="s">
        <v>41</v>
      </c>
      <c r="K938">
        <v>2.7</v>
      </c>
      <c r="L938" t="s">
        <v>14</v>
      </c>
      <c r="M938" t="s">
        <v>26</v>
      </c>
      <c r="N938" t="s">
        <v>14</v>
      </c>
      <c r="O938">
        <v>28</v>
      </c>
      <c r="P938" t="s">
        <v>21</v>
      </c>
      <c r="Q938" t="s">
        <v>28</v>
      </c>
      <c r="R938" t="str" cm="1">
        <f t="array" ref="R938">_xlfn.IFS(B938&lt;31,"Young-Adult",B938&lt;41,"Adult",B938&lt;61,"Middle-aged",B938&gt;=61,"Senior")</f>
        <v>Adult</v>
      </c>
      <c r="S938" cm="1">
        <f t="array" ref="S938">_xlfn.IFS(Q938 ="Fortnightly",14,Q938="Weekly",7,Q938="Monthly",30,Q938="Quarterly",90,Q938="Bi-Weekly",14,Q938="Annually",365,Q938="Every 3 Months",90,TRUE,"NOT FOUND")</f>
        <v>7</v>
      </c>
    </row>
    <row r="939" spans="1:19" x14ac:dyDescent="0.35">
      <c r="A939">
        <v>938</v>
      </c>
      <c r="B939">
        <v>32</v>
      </c>
      <c r="C939" t="s">
        <v>7</v>
      </c>
      <c r="D939" t="s">
        <v>47</v>
      </c>
      <c r="E939" t="s">
        <v>9</v>
      </c>
      <c r="F939">
        <v>24</v>
      </c>
      <c r="G939" t="s">
        <v>134</v>
      </c>
      <c r="H939" t="s">
        <v>32</v>
      </c>
      <c r="I939" t="s">
        <v>124</v>
      </c>
      <c r="J939" t="s">
        <v>41</v>
      </c>
      <c r="K939">
        <v>2.7</v>
      </c>
      <c r="L939" t="s">
        <v>14</v>
      </c>
      <c r="M939" t="s">
        <v>15</v>
      </c>
      <c r="N939" t="s">
        <v>14</v>
      </c>
      <c r="O939">
        <v>18</v>
      </c>
      <c r="P939" t="s">
        <v>16</v>
      </c>
      <c r="Q939" t="s">
        <v>46</v>
      </c>
      <c r="R939" t="str" cm="1">
        <f t="array" ref="R939">_xlfn.IFS(B939&lt;31,"Young-Adult",B939&lt;41,"Adult",B939&lt;61,"Middle-aged",B939&gt;=61,"Senior")</f>
        <v>Adult</v>
      </c>
      <c r="S939" cm="1">
        <f t="array" ref="S939">_xlfn.IFS(Q939 ="Fortnightly",14,Q939="Weekly",7,Q939="Monthly",30,Q939="Quarterly",90,Q939="Bi-Weekly",14,Q939="Annually",365,Q939="Every 3 Months",90,TRUE,"NOT FOUND")</f>
        <v>90</v>
      </c>
    </row>
    <row r="940" spans="1:19" x14ac:dyDescent="0.35">
      <c r="A940">
        <v>939</v>
      </c>
      <c r="B940">
        <v>36</v>
      </c>
      <c r="C940" t="s">
        <v>7</v>
      </c>
      <c r="D940" t="s">
        <v>8</v>
      </c>
      <c r="E940" t="s">
        <v>9</v>
      </c>
      <c r="F940">
        <v>97</v>
      </c>
      <c r="G940" t="s">
        <v>138</v>
      </c>
      <c r="H940" t="s">
        <v>24</v>
      </c>
      <c r="I940" t="s">
        <v>73</v>
      </c>
      <c r="J940" t="s">
        <v>45</v>
      </c>
      <c r="K940">
        <v>4.8</v>
      </c>
      <c r="L940" t="s">
        <v>14</v>
      </c>
      <c r="M940" t="s">
        <v>26</v>
      </c>
      <c r="N940" t="s">
        <v>14</v>
      </c>
      <c r="O940">
        <v>21</v>
      </c>
      <c r="P940" t="s">
        <v>74</v>
      </c>
      <c r="Q940" t="s">
        <v>17</v>
      </c>
      <c r="R940" t="str" cm="1">
        <f t="array" ref="R940">_xlfn.IFS(B940&lt;31,"Young-Adult",B940&lt;41,"Adult",B940&lt;61,"Middle-aged",B940&gt;=61,"Senior")</f>
        <v>Adult</v>
      </c>
      <c r="S940" cm="1">
        <f t="array" ref="S940">_xlfn.IFS(Q940 ="Fortnightly",14,Q940="Weekly",7,Q940="Monthly",30,Q940="Quarterly",90,Q940="Bi-Weekly",14,Q940="Annually",365,Q940="Every 3 Months",90,TRUE,"NOT FOUND")</f>
        <v>14</v>
      </c>
    </row>
    <row r="941" spans="1:19" x14ac:dyDescent="0.35">
      <c r="A941">
        <v>940</v>
      </c>
      <c r="B941">
        <v>25</v>
      </c>
      <c r="C941" t="s">
        <v>7</v>
      </c>
      <c r="D941" t="s">
        <v>101</v>
      </c>
      <c r="E941" t="s">
        <v>9</v>
      </c>
      <c r="F941">
        <v>89</v>
      </c>
      <c r="G941" t="s">
        <v>72</v>
      </c>
      <c r="H941" t="s">
        <v>11</v>
      </c>
      <c r="I941" t="s">
        <v>114</v>
      </c>
      <c r="J941" t="s">
        <v>13</v>
      </c>
      <c r="K941">
        <v>4.8</v>
      </c>
      <c r="L941" t="s">
        <v>14</v>
      </c>
      <c r="M941" t="s">
        <v>33</v>
      </c>
      <c r="N941" t="s">
        <v>14</v>
      </c>
      <c r="O941">
        <v>24</v>
      </c>
      <c r="P941" t="s">
        <v>27</v>
      </c>
      <c r="Q941" t="s">
        <v>76</v>
      </c>
      <c r="R941" t="str" cm="1">
        <f t="array" ref="R941">_xlfn.IFS(B941&lt;31,"Young-Adult",B941&lt;41,"Adult",B941&lt;61,"Middle-aged",B941&gt;=61,"Senior")</f>
        <v>Young-Adult</v>
      </c>
      <c r="S941" cm="1">
        <f t="array" ref="S941">_xlfn.IFS(Q941 ="Fortnightly",14,Q941="Weekly",7,Q941="Monthly",30,Q941="Quarterly",90,Q941="Bi-Weekly",14,Q941="Annually",365,Q941="Every 3 Months",90,TRUE,"NOT FOUND")</f>
        <v>30</v>
      </c>
    </row>
    <row r="942" spans="1:19" x14ac:dyDescent="0.35">
      <c r="A942">
        <v>941</v>
      </c>
      <c r="B942">
        <v>48</v>
      </c>
      <c r="C942" t="s">
        <v>7</v>
      </c>
      <c r="D942" t="s">
        <v>121</v>
      </c>
      <c r="E942" t="s">
        <v>55</v>
      </c>
      <c r="F942">
        <v>44</v>
      </c>
      <c r="G942" t="s">
        <v>100</v>
      </c>
      <c r="H942" t="s">
        <v>24</v>
      </c>
      <c r="I942" t="s">
        <v>20</v>
      </c>
      <c r="J942" t="s">
        <v>25</v>
      </c>
      <c r="K942">
        <v>2.6</v>
      </c>
      <c r="L942" t="s">
        <v>14</v>
      </c>
      <c r="M942" t="s">
        <v>62</v>
      </c>
      <c r="N942" t="s">
        <v>14</v>
      </c>
      <c r="O942">
        <v>15</v>
      </c>
      <c r="P942" t="s">
        <v>34</v>
      </c>
      <c r="Q942" t="s">
        <v>85</v>
      </c>
      <c r="R942" t="str" cm="1">
        <f t="array" ref="R942">_xlfn.IFS(B942&lt;31,"Young-Adult",B942&lt;41,"Adult",B942&lt;61,"Middle-aged",B942&gt;=61,"Senior")</f>
        <v>Middle-aged</v>
      </c>
      <c r="S942" cm="1">
        <f t="array" ref="S942">_xlfn.IFS(Q942 ="Fortnightly",14,Q942="Weekly",7,Q942="Monthly",30,Q942="Quarterly",90,Q942="Bi-Weekly",14,Q942="Annually",365,Q942="Every 3 Months",90,TRUE,"NOT FOUND")</f>
        <v>90</v>
      </c>
    </row>
    <row r="943" spans="1:19" x14ac:dyDescent="0.35">
      <c r="A943">
        <v>942</v>
      </c>
      <c r="B943">
        <v>39</v>
      </c>
      <c r="C943" t="s">
        <v>7</v>
      </c>
      <c r="D943" t="s">
        <v>54</v>
      </c>
      <c r="E943" t="s">
        <v>55</v>
      </c>
      <c r="F943">
        <v>35</v>
      </c>
      <c r="G943" t="s">
        <v>103</v>
      </c>
      <c r="H943" t="s">
        <v>11</v>
      </c>
      <c r="I943" t="s">
        <v>82</v>
      </c>
      <c r="J943" t="s">
        <v>13</v>
      </c>
      <c r="K943">
        <v>4.5</v>
      </c>
      <c r="L943" t="s">
        <v>14</v>
      </c>
      <c r="M943" t="s">
        <v>58</v>
      </c>
      <c r="N943" t="s">
        <v>14</v>
      </c>
      <c r="O943">
        <v>38</v>
      </c>
      <c r="P943" t="s">
        <v>34</v>
      </c>
      <c r="Q943" t="s">
        <v>85</v>
      </c>
      <c r="R943" t="str" cm="1">
        <f t="array" ref="R943">_xlfn.IFS(B943&lt;31,"Young-Adult",B943&lt;41,"Adult",B943&lt;61,"Middle-aged",B943&gt;=61,"Senior")</f>
        <v>Adult</v>
      </c>
      <c r="S943" cm="1">
        <f t="array" ref="S943">_xlfn.IFS(Q943 ="Fortnightly",14,Q943="Weekly",7,Q943="Monthly",30,Q943="Quarterly",90,Q943="Bi-Weekly",14,Q943="Annually",365,Q943="Every 3 Months",90,TRUE,"NOT FOUND")</f>
        <v>90</v>
      </c>
    </row>
    <row r="944" spans="1:19" x14ac:dyDescent="0.35">
      <c r="A944">
        <v>943</v>
      </c>
      <c r="B944">
        <v>26</v>
      </c>
      <c r="C944" t="s">
        <v>7</v>
      </c>
      <c r="D944" t="s">
        <v>69</v>
      </c>
      <c r="E944" t="s">
        <v>9</v>
      </c>
      <c r="F944">
        <v>91</v>
      </c>
      <c r="G944" t="s">
        <v>105</v>
      </c>
      <c r="H944" t="s">
        <v>32</v>
      </c>
      <c r="I944" t="s">
        <v>97</v>
      </c>
      <c r="J944" t="s">
        <v>13</v>
      </c>
      <c r="K944">
        <v>3.2</v>
      </c>
      <c r="L944" t="s">
        <v>14</v>
      </c>
      <c r="M944" t="s">
        <v>15</v>
      </c>
      <c r="N944" t="s">
        <v>14</v>
      </c>
      <c r="O944">
        <v>38</v>
      </c>
      <c r="P944" t="s">
        <v>34</v>
      </c>
      <c r="Q944" t="s">
        <v>64</v>
      </c>
      <c r="R944" t="str" cm="1">
        <f t="array" ref="R944">_xlfn.IFS(B944&lt;31,"Young-Adult",B944&lt;41,"Adult",B944&lt;61,"Middle-aged",B944&gt;=61,"Senior")</f>
        <v>Young-Adult</v>
      </c>
      <c r="S944" cm="1">
        <f t="array" ref="S944">_xlfn.IFS(Q944 ="Fortnightly",14,Q944="Weekly",7,Q944="Monthly",30,Q944="Quarterly",90,Q944="Bi-Weekly",14,Q944="Annually",365,Q944="Every 3 Months",90,TRUE,"NOT FOUND")</f>
        <v>14</v>
      </c>
    </row>
    <row r="945" spans="1:19" x14ac:dyDescent="0.35">
      <c r="A945">
        <v>944</v>
      </c>
      <c r="B945">
        <v>32</v>
      </c>
      <c r="C945" t="s">
        <v>7</v>
      </c>
      <c r="D945" t="s">
        <v>112</v>
      </c>
      <c r="E945" t="s">
        <v>55</v>
      </c>
      <c r="F945">
        <v>63</v>
      </c>
      <c r="G945" t="s">
        <v>89</v>
      </c>
      <c r="H945" t="s">
        <v>11</v>
      </c>
      <c r="I945" t="s">
        <v>97</v>
      </c>
      <c r="J945" t="s">
        <v>13</v>
      </c>
      <c r="K945">
        <v>3.8</v>
      </c>
      <c r="L945" t="s">
        <v>14</v>
      </c>
      <c r="M945" t="s">
        <v>33</v>
      </c>
      <c r="N945" t="s">
        <v>14</v>
      </c>
      <c r="O945">
        <v>13</v>
      </c>
      <c r="P945" t="s">
        <v>16</v>
      </c>
      <c r="Q945" t="s">
        <v>17</v>
      </c>
      <c r="R945" t="str" cm="1">
        <f t="array" ref="R945">_xlfn.IFS(B945&lt;31,"Young-Adult",B945&lt;41,"Adult",B945&lt;61,"Middle-aged",B945&gt;=61,"Senior")</f>
        <v>Adult</v>
      </c>
      <c r="S945" cm="1">
        <f t="array" ref="S945">_xlfn.IFS(Q945 ="Fortnightly",14,Q945="Weekly",7,Q945="Monthly",30,Q945="Quarterly",90,Q945="Bi-Weekly",14,Q945="Annually",365,Q945="Every 3 Months",90,TRUE,"NOT FOUND")</f>
        <v>14</v>
      </c>
    </row>
    <row r="946" spans="1:19" x14ac:dyDescent="0.35">
      <c r="A946">
        <v>945</v>
      </c>
      <c r="B946">
        <v>54</v>
      </c>
      <c r="C946" t="s">
        <v>7</v>
      </c>
      <c r="D946" t="s">
        <v>121</v>
      </c>
      <c r="E946" t="s">
        <v>55</v>
      </c>
      <c r="F946">
        <v>97</v>
      </c>
      <c r="G946" t="s">
        <v>104</v>
      </c>
      <c r="H946" t="s">
        <v>24</v>
      </c>
      <c r="I946" t="s">
        <v>12</v>
      </c>
      <c r="J946" t="s">
        <v>25</v>
      </c>
      <c r="K946">
        <v>4.8</v>
      </c>
      <c r="L946" t="s">
        <v>14</v>
      </c>
      <c r="M946" t="s">
        <v>15</v>
      </c>
      <c r="N946" t="s">
        <v>14</v>
      </c>
      <c r="O946">
        <v>39</v>
      </c>
      <c r="P946" t="s">
        <v>21</v>
      </c>
      <c r="Q946" t="s">
        <v>64</v>
      </c>
      <c r="R946" t="str" cm="1">
        <f t="array" ref="R946">_xlfn.IFS(B946&lt;31,"Young-Adult",B946&lt;41,"Adult",B946&lt;61,"Middle-aged",B946&gt;=61,"Senior")</f>
        <v>Middle-aged</v>
      </c>
      <c r="S946" cm="1">
        <f t="array" ref="S946">_xlfn.IFS(Q946 ="Fortnightly",14,Q946="Weekly",7,Q946="Monthly",30,Q946="Quarterly",90,Q946="Bi-Weekly",14,Q946="Annually",365,Q946="Every 3 Months",90,TRUE,"NOT FOUND")</f>
        <v>14</v>
      </c>
    </row>
    <row r="947" spans="1:19" x14ac:dyDescent="0.35">
      <c r="A947">
        <v>946</v>
      </c>
      <c r="B947">
        <v>38</v>
      </c>
      <c r="C947" t="s">
        <v>7</v>
      </c>
      <c r="D947" t="s">
        <v>125</v>
      </c>
      <c r="E947" t="s">
        <v>30</v>
      </c>
      <c r="F947">
        <v>38</v>
      </c>
      <c r="G947" t="s">
        <v>136</v>
      </c>
      <c r="H947" t="s">
        <v>32</v>
      </c>
      <c r="I947" t="s">
        <v>71</v>
      </c>
      <c r="J947" t="s">
        <v>41</v>
      </c>
      <c r="K947">
        <v>4.0999999999999996</v>
      </c>
      <c r="L947" t="s">
        <v>14</v>
      </c>
      <c r="M947" t="s">
        <v>62</v>
      </c>
      <c r="N947" t="s">
        <v>14</v>
      </c>
      <c r="O947">
        <v>8</v>
      </c>
      <c r="P947" t="s">
        <v>16</v>
      </c>
      <c r="Q947" t="s">
        <v>85</v>
      </c>
      <c r="R947" t="str" cm="1">
        <f t="array" ref="R947">_xlfn.IFS(B947&lt;31,"Young-Adult",B947&lt;41,"Adult",B947&lt;61,"Middle-aged",B947&gt;=61,"Senior")</f>
        <v>Adult</v>
      </c>
      <c r="S947" cm="1">
        <f t="array" ref="S947">_xlfn.IFS(Q947 ="Fortnightly",14,Q947="Weekly",7,Q947="Monthly",30,Q947="Quarterly",90,Q947="Bi-Weekly",14,Q947="Annually",365,Q947="Every 3 Months",90,TRUE,"NOT FOUND")</f>
        <v>90</v>
      </c>
    </row>
    <row r="948" spans="1:19" x14ac:dyDescent="0.35">
      <c r="A948">
        <v>947</v>
      </c>
      <c r="B948">
        <v>46</v>
      </c>
      <c r="C948" t="s">
        <v>7</v>
      </c>
      <c r="D948" t="s">
        <v>50</v>
      </c>
      <c r="E948" t="s">
        <v>51</v>
      </c>
      <c r="F948">
        <v>24</v>
      </c>
      <c r="G948" t="s">
        <v>126</v>
      </c>
      <c r="H948" t="s">
        <v>80</v>
      </c>
      <c r="I948" t="s">
        <v>132</v>
      </c>
      <c r="J948" t="s">
        <v>25</v>
      </c>
      <c r="K948">
        <v>2.8</v>
      </c>
      <c r="L948" t="s">
        <v>14</v>
      </c>
      <c r="M948" t="s">
        <v>33</v>
      </c>
      <c r="N948" t="s">
        <v>14</v>
      </c>
      <c r="O948">
        <v>4</v>
      </c>
      <c r="P948" t="s">
        <v>34</v>
      </c>
      <c r="Q948" t="s">
        <v>46</v>
      </c>
      <c r="R948" t="str" cm="1">
        <f t="array" ref="R948">_xlfn.IFS(B948&lt;31,"Young-Adult",B948&lt;41,"Adult",B948&lt;61,"Middle-aged",B948&gt;=61,"Senior")</f>
        <v>Middle-aged</v>
      </c>
      <c r="S948" cm="1">
        <f t="array" ref="S948">_xlfn.IFS(Q948 ="Fortnightly",14,Q948="Weekly",7,Q948="Monthly",30,Q948="Quarterly",90,Q948="Bi-Weekly",14,Q948="Annually",365,Q948="Every 3 Months",90,TRUE,"NOT FOUND")</f>
        <v>90</v>
      </c>
    </row>
    <row r="949" spans="1:19" x14ac:dyDescent="0.35">
      <c r="A949">
        <v>948</v>
      </c>
      <c r="B949">
        <v>57</v>
      </c>
      <c r="C949" t="s">
        <v>7</v>
      </c>
      <c r="D949" t="s">
        <v>8</v>
      </c>
      <c r="E949" t="s">
        <v>9</v>
      </c>
      <c r="F949">
        <v>32</v>
      </c>
      <c r="G949" t="s">
        <v>104</v>
      </c>
      <c r="H949" t="s">
        <v>32</v>
      </c>
      <c r="I949" t="s">
        <v>49</v>
      </c>
      <c r="J949" t="s">
        <v>13</v>
      </c>
      <c r="K949">
        <v>3.9</v>
      </c>
      <c r="L949" t="s">
        <v>14</v>
      </c>
      <c r="M949" t="s">
        <v>62</v>
      </c>
      <c r="N949" t="s">
        <v>14</v>
      </c>
      <c r="O949">
        <v>6</v>
      </c>
      <c r="P949" t="s">
        <v>21</v>
      </c>
      <c r="Q949" t="s">
        <v>85</v>
      </c>
      <c r="R949" t="str" cm="1">
        <f t="array" ref="R949">_xlfn.IFS(B949&lt;31,"Young-Adult",B949&lt;41,"Adult",B949&lt;61,"Middle-aged",B949&gt;=61,"Senior")</f>
        <v>Middle-aged</v>
      </c>
      <c r="S949" cm="1">
        <f t="array" ref="S949">_xlfn.IFS(Q949 ="Fortnightly",14,Q949="Weekly",7,Q949="Monthly",30,Q949="Quarterly",90,Q949="Bi-Weekly",14,Q949="Annually",365,Q949="Every 3 Months",90,TRUE,"NOT FOUND")</f>
        <v>90</v>
      </c>
    </row>
    <row r="950" spans="1:19" x14ac:dyDescent="0.35">
      <c r="A950">
        <v>949</v>
      </c>
      <c r="B950">
        <v>49</v>
      </c>
      <c r="C950" t="s">
        <v>7</v>
      </c>
      <c r="D950" t="s">
        <v>112</v>
      </c>
      <c r="E950" t="s">
        <v>55</v>
      </c>
      <c r="F950">
        <v>90</v>
      </c>
      <c r="G950" t="s">
        <v>78</v>
      </c>
      <c r="H950" t="s">
        <v>11</v>
      </c>
      <c r="I950" t="s">
        <v>66</v>
      </c>
      <c r="J950" t="s">
        <v>41</v>
      </c>
      <c r="K950">
        <v>4.9000000000000004</v>
      </c>
      <c r="L950" t="s">
        <v>14</v>
      </c>
      <c r="M950" t="s">
        <v>15</v>
      </c>
      <c r="N950" t="s">
        <v>14</v>
      </c>
      <c r="O950">
        <v>11</v>
      </c>
      <c r="P950" t="s">
        <v>16</v>
      </c>
      <c r="Q950" t="s">
        <v>85</v>
      </c>
      <c r="R950" t="str" cm="1">
        <f t="array" ref="R950">_xlfn.IFS(B950&lt;31,"Young-Adult",B950&lt;41,"Adult",B950&lt;61,"Middle-aged",B950&gt;=61,"Senior")</f>
        <v>Middle-aged</v>
      </c>
      <c r="S950" cm="1">
        <f t="array" ref="S950">_xlfn.IFS(Q950 ="Fortnightly",14,Q950="Weekly",7,Q950="Monthly",30,Q950="Quarterly",90,Q950="Bi-Weekly",14,Q950="Annually",365,Q950="Every 3 Months",90,TRUE,"NOT FOUND")</f>
        <v>90</v>
      </c>
    </row>
    <row r="951" spans="1:19" x14ac:dyDescent="0.35">
      <c r="A951">
        <v>950</v>
      </c>
      <c r="B951">
        <v>33</v>
      </c>
      <c r="C951" t="s">
        <v>7</v>
      </c>
      <c r="D951" t="s">
        <v>22</v>
      </c>
      <c r="E951" t="s">
        <v>9</v>
      </c>
      <c r="F951">
        <v>36</v>
      </c>
      <c r="G951" t="s">
        <v>44</v>
      </c>
      <c r="H951" t="s">
        <v>32</v>
      </c>
      <c r="I951" t="s">
        <v>66</v>
      </c>
      <c r="J951" t="s">
        <v>41</v>
      </c>
      <c r="K951">
        <v>3.4</v>
      </c>
      <c r="L951" t="s">
        <v>14</v>
      </c>
      <c r="M951" t="s">
        <v>42</v>
      </c>
      <c r="N951" t="s">
        <v>14</v>
      </c>
      <c r="O951">
        <v>49</v>
      </c>
      <c r="P951" t="s">
        <v>16</v>
      </c>
      <c r="Q951" t="s">
        <v>76</v>
      </c>
      <c r="R951" t="str" cm="1">
        <f t="array" ref="R951">_xlfn.IFS(B951&lt;31,"Young-Adult",B951&lt;41,"Adult",B951&lt;61,"Middle-aged",B951&gt;=61,"Senior")</f>
        <v>Adult</v>
      </c>
      <c r="S951" cm="1">
        <f t="array" ref="S951">_xlfn.IFS(Q951 ="Fortnightly",14,Q951="Weekly",7,Q951="Monthly",30,Q951="Quarterly",90,Q951="Bi-Weekly",14,Q951="Annually",365,Q951="Every 3 Months",90,TRUE,"NOT FOUND")</f>
        <v>30</v>
      </c>
    </row>
    <row r="952" spans="1:19" x14ac:dyDescent="0.35">
      <c r="A952">
        <v>951</v>
      </c>
      <c r="B952">
        <v>54</v>
      </c>
      <c r="C952" t="s">
        <v>7</v>
      </c>
      <c r="D952" t="s">
        <v>120</v>
      </c>
      <c r="E952" t="s">
        <v>55</v>
      </c>
      <c r="F952">
        <v>37</v>
      </c>
      <c r="G952" t="s">
        <v>118</v>
      </c>
      <c r="H952" t="s">
        <v>80</v>
      </c>
      <c r="I952" t="s">
        <v>36</v>
      </c>
      <c r="J952" t="s">
        <v>13</v>
      </c>
      <c r="K952">
        <v>4.0999999999999996</v>
      </c>
      <c r="L952" t="s">
        <v>14</v>
      </c>
      <c r="M952" t="s">
        <v>26</v>
      </c>
      <c r="N952" t="s">
        <v>14</v>
      </c>
      <c r="O952">
        <v>30</v>
      </c>
      <c r="P952" t="s">
        <v>34</v>
      </c>
      <c r="Q952" t="s">
        <v>46</v>
      </c>
      <c r="R952" t="str" cm="1">
        <f t="array" ref="R952">_xlfn.IFS(B952&lt;31,"Young-Adult",B952&lt;41,"Adult",B952&lt;61,"Middle-aged",B952&gt;=61,"Senior")</f>
        <v>Middle-aged</v>
      </c>
      <c r="S952" cm="1">
        <f t="array" ref="S952">_xlfn.IFS(Q952 ="Fortnightly",14,Q952="Weekly",7,Q952="Monthly",30,Q952="Quarterly",90,Q952="Bi-Weekly",14,Q952="Annually",365,Q952="Every 3 Months",90,TRUE,"NOT FOUND")</f>
        <v>90</v>
      </c>
    </row>
    <row r="953" spans="1:19" x14ac:dyDescent="0.35">
      <c r="A953">
        <v>952</v>
      </c>
      <c r="B953">
        <v>47</v>
      </c>
      <c r="C953" t="s">
        <v>7</v>
      </c>
      <c r="D953" t="s">
        <v>69</v>
      </c>
      <c r="E953" t="s">
        <v>9</v>
      </c>
      <c r="F953">
        <v>51</v>
      </c>
      <c r="G953" t="s">
        <v>108</v>
      </c>
      <c r="H953" t="s">
        <v>32</v>
      </c>
      <c r="I953" t="s">
        <v>97</v>
      </c>
      <c r="J953" t="s">
        <v>41</v>
      </c>
      <c r="K953">
        <v>2.9</v>
      </c>
      <c r="L953" t="s">
        <v>14</v>
      </c>
      <c r="M953" t="s">
        <v>15</v>
      </c>
      <c r="N953" t="s">
        <v>14</v>
      </c>
      <c r="O953">
        <v>34</v>
      </c>
      <c r="P953" t="s">
        <v>63</v>
      </c>
      <c r="Q953" t="s">
        <v>76</v>
      </c>
      <c r="R953" t="str" cm="1">
        <f t="array" ref="R953">_xlfn.IFS(B953&lt;31,"Young-Adult",B953&lt;41,"Adult",B953&lt;61,"Middle-aged",B953&gt;=61,"Senior")</f>
        <v>Middle-aged</v>
      </c>
      <c r="S953" cm="1">
        <f t="array" ref="S953">_xlfn.IFS(Q953 ="Fortnightly",14,Q953="Weekly",7,Q953="Monthly",30,Q953="Quarterly",90,Q953="Bi-Weekly",14,Q953="Annually",365,Q953="Every 3 Months",90,TRUE,"NOT FOUND")</f>
        <v>30</v>
      </c>
    </row>
    <row r="954" spans="1:19" x14ac:dyDescent="0.35">
      <c r="A954">
        <v>953</v>
      </c>
      <c r="B954">
        <v>36</v>
      </c>
      <c r="C954" t="s">
        <v>7</v>
      </c>
      <c r="D954" t="s">
        <v>112</v>
      </c>
      <c r="E954" t="s">
        <v>55</v>
      </c>
      <c r="F954">
        <v>71</v>
      </c>
      <c r="G954" t="s">
        <v>123</v>
      </c>
      <c r="H954" t="s">
        <v>24</v>
      </c>
      <c r="I954" t="s">
        <v>96</v>
      </c>
      <c r="J954" t="s">
        <v>45</v>
      </c>
      <c r="K954">
        <v>3.1</v>
      </c>
      <c r="L954" t="s">
        <v>14</v>
      </c>
      <c r="M954" t="s">
        <v>58</v>
      </c>
      <c r="N954" t="s">
        <v>14</v>
      </c>
      <c r="O954">
        <v>28</v>
      </c>
      <c r="P954" t="s">
        <v>34</v>
      </c>
      <c r="Q954" t="s">
        <v>76</v>
      </c>
      <c r="R954" t="str" cm="1">
        <f t="array" ref="R954">_xlfn.IFS(B954&lt;31,"Young-Adult",B954&lt;41,"Adult",B954&lt;61,"Middle-aged",B954&gt;=61,"Senior")</f>
        <v>Adult</v>
      </c>
      <c r="S954" cm="1">
        <f t="array" ref="S954">_xlfn.IFS(Q954 ="Fortnightly",14,Q954="Weekly",7,Q954="Monthly",30,Q954="Quarterly",90,Q954="Bi-Weekly",14,Q954="Annually",365,Q954="Every 3 Months",90,TRUE,"NOT FOUND")</f>
        <v>30</v>
      </c>
    </row>
    <row r="955" spans="1:19" x14ac:dyDescent="0.35">
      <c r="A955">
        <v>954</v>
      </c>
      <c r="B955">
        <v>68</v>
      </c>
      <c r="C955" t="s">
        <v>7</v>
      </c>
      <c r="D955" t="s">
        <v>77</v>
      </c>
      <c r="E955" t="s">
        <v>55</v>
      </c>
      <c r="F955">
        <v>50</v>
      </c>
      <c r="G955" t="s">
        <v>128</v>
      </c>
      <c r="H955" t="s">
        <v>24</v>
      </c>
      <c r="I955" t="s">
        <v>97</v>
      </c>
      <c r="J955" t="s">
        <v>25</v>
      </c>
      <c r="K955">
        <v>3.6</v>
      </c>
      <c r="L955" t="s">
        <v>14</v>
      </c>
      <c r="M955" t="s">
        <v>58</v>
      </c>
      <c r="N955" t="s">
        <v>14</v>
      </c>
      <c r="O955">
        <v>36</v>
      </c>
      <c r="P955" t="s">
        <v>16</v>
      </c>
      <c r="Q955" t="s">
        <v>46</v>
      </c>
      <c r="R955" t="str" cm="1">
        <f t="array" ref="R955">_xlfn.IFS(B955&lt;31,"Young-Adult",B955&lt;41,"Adult",B955&lt;61,"Middle-aged",B955&gt;=61,"Senior")</f>
        <v>Senior</v>
      </c>
      <c r="S955" cm="1">
        <f t="array" ref="S955">_xlfn.IFS(Q955 ="Fortnightly",14,Q955="Weekly",7,Q955="Monthly",30,Q955="Quarterly",90,Q955="Bi-Weekly",14,Q955="Annually",365,Q955="Every 3 Months",90,TRUE,"NOT FOUND")</f>
        <v>90</v>
      </c>
    </row>
    <row r="956" spans="1:19" x14ac:dyDescent="0.35">
      <c r="A956">
        <v>955</v>
      </c>
      <c r="B956">
        <v>60</v>
      </c>
      <c r="C956" t="s">
        <v>7</v>
      </c>
      <c r="D956" t="s">
        <v>112</v>
      </c>
      <c r="E956" t="s">
        <v>55</v>
      </c>
      <c r="F956">
        <v>74</v>
      </c>
      <c r="G956" t="s">
        <v>48</v>
      </c>
      <c r="H956" t="s">
        <v>24</v>
      </c>
      <c r="I956" t="s">
        <v>36</v>
      </c>
      <c r="J956" t="s">
        <v>45</v>
      </c>
      <c r="K956">
        <v>3.5</v>
      </c>
      <c r="L956" t="s">
        <v>14</v>
      </c>
      <c r="M956" t="s">
        <v>42</v>
      </c>
      <c r="N956" t="s">
        <v>14</v>
      </c>
      <c r="O956">
        <v>18</v>
      </c>
      <c r="P956" t="s">
        <v>27</v>
      </c>
      <c r="Q956" t="s">
        <v>85</v>
      </c>
      <c r="R956" t="str" cm="1">
        <f t="array" ref="R956">_xlfn.IFS(B956&lt;31,"Young-Adult",B956&lt;41,"Adult",B956&lt;61,"Middle-aged",B956&gt;=61,"Senior")</f>
        <v>Middle-aged</v>
      </c>
      <c r="S956" cm="1">
        <f t="array" ref="S956">_xlfn.IFS(Q956 ="Fortnightly",14,Q956="Weekly",7,Q956="Monthly",30,Q956="Quarterly",90,Q956="Bi-Weekly",14,Q956="Annually",365,Q956="Every 3 Months",90,TRUE,"NOT FOUND")</f>
        <v>90</v>
      </c>
    </row>
    <row r="957" spans="1:19" x14ac:dyDescent="0.35">
      <c r="A957">
        <v>956</v>
      </c>
      <c r="B957">
        <v>55</v>
      </c>
      <c r="C957" t="s">
        <v>7</v>
      </c>
      <c r="D957" t="s">
        <v>69</v>
      </c>
      <c r="E957" t="s">
        <v>9</v>
      </c>
      <c r="F957">
        <v>75</v>
      </c>
      <c r="G957" t="s">
        <v>79</v>
      </c>
      <c r="H957" t="s">
        <v>11</v>
      </c>
      <c r="I957" t="s">
        <v>81</v>
      </c>
      <c r="J957" t="s">
        <v>41</v>
      </c>
      <c r="K957">
        <v>3.4</v>
      </c>
      <c r="L957" t="s">
        <v>14</v>
      </c>
      <c r="M957" t="s">
        <v>26</v>
      </c>
      <c r="N957" t="s">
        <v>14</v>
      </c>
      <c r="O957">
        <v>4</v>
      </c>
      <c r="P957" t="s">
        <v>34</v>
      </c>
      <c r="Q957" t="s">
        <v>76</v>
      </c>
      <c r="R957" t="str" cm="1">
        <f t="array" ref="R957">_xlfn.IFS(B957&lt;31,"Young-Adult",B957&lt;41,"Adult",B957&lt;61,"Middle-aged",B957&gt;=61,"Senior")</f>
        <v>Middle-aged</v>
      </c>
      <c r="S957" cm="1">
        <f t="array" ref="S957">_xlfn.IFS(Q957 ="Fortnightly",14,Q957="Weekly",7,Q957="Monthly",30,Q957="Quarterly",90,Q957="Bi-Weekly",14,Q957="Annually",365,Q957="Every 3 Months",90,TRUE,"NOT FOUND")</f>
        <v>30</v>
      </c>
    </row>
    <row r="958" spans="1:19" x14ac:dyDescent="0.35">
      <c r="A958">
        <v>957</v>
      </c>
      <c r="B958">
        <v>29</v>
      </c>
      <c r="C958" t="s">
        <v>7</v>
      </c>
      <c r="D958" t="s">
        <v>43</v>
      </c>
      <c r="E958" t="s">
        <v>9</v>
      </c>
      <c r="F958">
        <v>99</v>
      </c>
      <c r="G958" t="s">
        <v>79</v>
      </c>
      <c r="H958" t="s">
        <v>80</v>
      </c>
      <c r="I958" t="s">
        <v>97</v>
      </c>
      <c r="J958" t="s">
        <v>25</v>
      </c>
      <c r="K958">
        <v>2.9</v>
      </c>
      <c r="L958" t="s">
        <v>14</v>
      </c>
      <c r="M958" t="s">
        <v>58</v>
      </c>
      <c r="N958" t="s">
        <v>14</v>
      </c>
      <c r="O958">
        <v>42</v>
      </c>
      <c r="P958" t="s">
        <v>74</v>
      </c>
      <c r="Q958" t="s">
        <v>46</v>
      </c>
      <c r="R958" t="str" cm="1">
        <f t="array" ref="R958">_xlfn.IFS(B958&lt;31,"Young-Adult",B958&lt;41,"Adult",B958&lt;61,"Middle-aged",B958&gt;=61,"Senior")</f>
        <v>Young-Adult</v>
      </c>
      <c r="S958" cm="1">
        <f t="array" ref="S958">_xlfn.IFS(Q958 ="Fortnightly",14,Q958="Weekly",7,Q958="Monthly",30,Q958="Quarterly",90,Q958="Bi-Weekly",14,Q958="Annually",365,Q958="Every 3 Months",90,TRUE,"NOT FOUND")</f>
        <v>90</v>
      </c>
    </row>
    <row r="959" spans="1:19" x14ac:dyDescent="0.35">
      <c r="A959">
        <v>958</v>
      </c>
      <c r="B959">
        <v>38</v>
      </c>
      <c r="C959" t="s">
        <v>7</v>
      </c>
      <c r="D959" t="s">
        <v>107</v>
      </c>
      <c r="E959" t="s">
        <v>55</v>
      </c>
      <c r="F959">
        <v>23</v>
      </c>
      <c r="G959" t="s">
        <v>104</v>
      </c>
      <c r="H959" t="s">
        <v>80</v>
      </c>
      <c r="I959" t="s">
        <v>71</v>
      </c>
      <c r="J959" t="s">
        <v>25</v>
      </c>
      <c r="K959">
        <v>4.7</v>
      </c>
      <c r="L959" t="s">
        <v>14</v>
      </c>
      <c r="M959" t="s">
        <v>62</v>
      </c>
      <c r="N959" t="s">
        <v>14</v>
      </c>
      <c r="O959">
        <v>11</v>
      </c>
      <c r="P959" t="s">
        <v>21</v>
      </c>
      <c r="Q959" t="s">
        <v>46</v>
      </c>
      <c r="R959" t="str" cm="1">
        <f t="array" ref="R959">_xlfn.IFS(B959&lt;31,"Young-Adult",B959&lt;41,"Adult",B959&lt;61,"Middle-aged",B959&gt;=61,"Senior")</f>
        <v>Adult</v>
      </c>
      <c r="S959" cm="1">
        <f t="array" ref="S959">_xlfn.IFS(Q959 ="Fortnightly",14,Q959="Weekly",7,Q959="Monthly",30,Q959="Quarterly",90,Q959="Bi-Weekly",14,Q959="Annually",365,Q959="Every 3 Months",90,TRUE,"NOT FOUND")</f>
        <v>90</v>
      </c>
    </row>
    <row r="960" spans="1:19" x14ac:dyDescent="0.35">
      <c r="A960">
        <v>959</v>
      </c>
      <c r="B960">
        <v>70</v>
      </c>
      <c r="C960" t="s">
        <v>7</v>
      </c>
      <c r="D960" t="s">
        <v>38</v>
      </c>
      <c r="E960" t="s">
        <v>30</v>
      </c>
      <c r="F960">
        <v>53</v>
      </c>
      <c r="G960" t="s">
        <v>137</v>
      </c>
      <c r="H960" t="s">
        <v>80</v>
      </c>
      <c r="I960" t="s">
        <v>106</v>
      </c>
      <c r="J960" t="s">
        <v>13</v>
      </c>
      <c r="K960">
        <v>4.4000000000000004</v>
      </c>
      <c r="L960" t="s">
        <v>14</v>
      </c>
      <c r="M960" t="s">
        <v>26</v>
      </c>
      <c r="N960" t="s">
        <v>14</v>
      </c>
      <c r="O960">
        <v>31</v>
      </c>
      <c r="P960" t="s">
        <v>27</v>
      </c>
      <c r="Q960" t="s">
        <v>64</v>
      </c>
      <c r="R960" t="str" cm="1">
        <f t="array" ref="R960">_xlfn.IFS(B960&lt;31,"Young-Adult",B960&lt;41,"Adult",B960&lt;61,"Middle-aged",B960&gt;=61,"Senior")</f>
        <v>Senior</v>
      </c>
      <c r="S960" cm="1">
        <f t="array" ref="S960">_xlfn.IFS(Q960 ="Fortnightly",14,Q960="Weekly",7,Q960="Monthly",30,Q960="Quarterly",90,Q960="Bi-Weekly",14,Q960="Annually",365,Q960="Every 3 Months",90,TRUE,"NOT FOUND")</f>
        <v>14</v>
      </c>
    </row>
    <row r="961" spans="1:19" x14ac:dyDescent="0.35">
      <c r="A961">
        <v>960</v>
      </c>
      <c r="B961">
        <v>36</v>
      </c>
      <c r="C961" t="s">
        <v>7</v>
      </c>
      <c r="D961" t="s">
        <v>75</v>
      </c>
      <c r="E961" t="s">
        <v>9</v>
      </c>
      <c r="F961">
        <v>99</v>
      </c>
      <c r="G961" t="s">
        <v>95</v>
      </c>
      <c r="H961" t="s">
        <v>32</v>
      </c>
      <c r="I961" t="s">
        <v>97</v>
      </c>
      <c r="J961" t="s">
        <v>25</v>
      </c>
      <c r="K961">
        <v>2.6</v>
      </c>
      <c r="L961" t="s">
        <v>14</v>
      </c>
      <c r="M961" t="s">
        <v>42</v>
      </c>
      <c r="N961" t="s">
        <v>14</v>
      </c>
      <c r="O961">
        <v>12</v>
      </c>
      <c r="P961" t="s">
        <v>21</v>
      </c>
      <c r="Q961" t="s">
        <v>17</v>
      </c>
      <c r="R961" t="str" cm="1">
        <f t="array" ref="R961">_xlfn.IFS(B961&lt;31,"Young-Adult",B961&lt;41,"Adult",B961&lt;61,"Middle-aged",B961&gt;=61,"Senior")</f>
        <v>Adult</v>
      </c>
      <c r="S961" cm="1">
        <f t="array" ref="S961">_xlfn.IFS(Q961 ="Fortnightly",14,Q961="Weekly",7,Q961="Monthly",30,Q961="Quarterly",90,Q961="Bi-Weekly",14,Q961="Annually",365,Q961="Every 3 Months",90,TRUE,"NOT FOUND")</f>
        <v>14</v>
      </c>
    </row>
    <row r="962" spans="1:19" x14ac:dyDescent="0.35">
      <c r="A962">
        <v>961</v>
      </c>
      <c r="B962">
        <v>18</v>
      </c>
      <c r="C962" t="s">
        <v>7</v>
      </c>
      <c r="D962" t="s">
        <v>94</v>
      </c>
      <c r="E962" t="s">
        <v>55</v>
      </c>
      <c r="F962">
        <v>48</v>
      </c>
      <c r="G962" t="s">
        <v>48</v>
      </c>
      <c r="H962" t="s">
        <v>80</v>
      </c>
      <c r="I962" t="s">
        <v>114</v>
      </c>
      <c r="J962" t="s">
        <v>25</v>
      </c>
      <c r="K962">
        <v>4.4000000000000004</v>
      </c>
      <c r="L962" t="s">
        <v>14</v>
      </c>
      <c r="M962" t="s">
        <v>42</v>
      </c>
      <c r="N962" t="s">
        <v>14</v>
      </c>
      <c r="O962">
        <v>20</v>
      </c>
      <c r="P962" t="s">
        <v>16</v>
      </c>
      <c r="Q962" t="s">
        <v>46</v>
      </c>
      <c r="R962" t="str" cm="1">
        <f t="array" ref="R962">_xlfn.IFS(B962&lt;31,"Young-Adult",B962&lt;41,"Adult",B962&lt;61,"Middle-aged",B962&gt;=61,"Senior")</f>
        <v>Young-Adult</v>
      </c>
      <c r="S962" cm="1">
        <f t="array" ref="S962">_xlfn.IFS(Q962 ="Fortnightly",14,Q962="Weekly",7,Q962="Monthly",30,Q962="Quarterly",90,Q962="Bi-Weekly",14,Q962="Annually",365,Q962="Every 3 Months",90,TRUE,"NOT FOUND")</f>
        <v>90</v>
      </c>
    </row>
    <row r="963" spans="1:19" x14ac:dyDescent="0.35">
      <c r="A963">
        <v>962</v>
      </c>
      <c r="B963">
        <v>62</v>
      </c>
      <c r="C963" t="s">
        <v>7</v>
      </c>
      <c r="D963" t="s">
        <v>125</v>
      </c>
      <c r="E963" t="s">
        <v>30</v>
      </c>
      <c r="F963">
        <v>72</v>
      </c>
      <c r="G963" t="s">
        <v>126</v>
      </c>
      <c r="H963" t="s">
        <v>11</v>
      </c>
      <c r="I963" t="s">
        <v>66</v>
      </c>
      <c r="J963" t="s">
        <v>45</v>
      </c>
      <c r="K963">
        <v>3.7</v>
      </c>
      <c r="L963" t="s">
        <v>14</v>
      </c>
      <c r="M963" t="s">
        <v>33</v>
      </c>
      <c r="N963" t="s">
        <v>14</v>
      </c>
      <c r="O963">
        <v>37</v>
      </c>
      <c r="P963" t="s">
        <v>74</v>
      </c>
      <c r="Q963" t="s">
        <v>46</v>
      </c>
      <c r="R963" t="str" cm="1">
        <f t="array" ref="R963">_xlfn.IFS(B963&lt;31,"Young-Adult",B963&lt;41,"Adult",B963&lt;61,"Middle-aged",B963&gt;=61,"Senior")</f>
        <v>Senior</v>
      </c>
      <c r="S963" cm="1">
        <f t="array" ref="S963">_xlfn.IFS(Q963 ="Fortnightly",14,Q963="Weekly",7,Q963="Monthly",30,Q963="Quarterly",90,Q963="Bi-Weekly",14,Q963="Annually",365,Q963="Every 3 Months",90,TRUE,"NOT FOUND")</f>
        <v>90</v>
      </c>
    </row>
    <row r="964" spans="1:19" x14ac:dyDescent="0.35">
      <c r="A964">
        <v>963</v>
      </c>
      <c r="B964">
        <v>29</v>
      </c>
      <c r="C964" t="s">
        <v>7</v>
      </c>
      <c r="D964" t="s">
        <v>77</v>
      </c>
      <c r="E964" t="s">
        <v>55</v>
      </c>
      <c r="F964">
        <v>64</v>
      </c>
      <c r="G964" t="s">
        <v>139</v>
      </c>
      <c r="H964" t="s">
        <v>11</v>
      </c>
      <c r="I964" t="s">
        <v>84</v>
      </c>
      <c r="J964" t="s">
        <v>25</v>
      </c>
      <c r="K964">
        <v>4.4000000000000004</v>
      </c>
      <c r="L964" t="s">
        <v>14</v>
      </c>
      <c r="M964" t="s">
        <v>42</v>
      </c>
      <c r="N964" t="s">
        <v>14</v>
      </c>
      <c r="O964">
        <v>26</v>
      </c>
      <c r="P964" t="s">
        <v>74</v>
      </c>
      <c r="Q964" t="s">
        <v>17</v>
      </c>
      <c r="R964" t="str" cm="1">
        <f t="array" ref="R964">_xlfn.IFS(B964&lt;31,"Young-Adult",B964&lt;41,"Adult",B964&lt;61,"Middle-aged",B964&gt;=61,"Senior")</f>
        <v>Young-Adult</v>
      </c>
      <c r="S964" cm="1">
        <f t="array" ref="S964">_xlfn.IFS(Q964 ="Fortnightly",14,Q964="Weekly",7,Q964="Monthly",30,Q964="Quarterly",90,Q964="Bi-Weekly",14,Q964="Annually",365,Q964="Every 3 Months",90,TRUE,"NOT FOUND")</f>
        <v>14</v>
      </c>
    </row>
    <row r="965" spans="1:19" x14ac:dyDescent="0.35">
      <c r="A965">
        <v>964</v>
      </c>
      <c r="B965">
        <v>21</v>
      </c>
      <c r="C965" t="s">
        <v>7</v>
      </c>
      <c r="D965" t="s">
        <v>125</v>
      </c>
      <c r="E965" t="s">
        <v>30</v>
      </c>
      <c r="F965">
        <v>63</v>
      </c>
      <c r="G965" t="s">
        <v>119</v>
      </c>
      <c r="H965" t="s">
        <v>11</v>
      </c>
      <c r="I965" t="s">
        <v>84</v>
      </c>
      <c r="J965" t="s">
        <v>25</v>
      </c>
      <c r="K965">
        <v>2.5</v>
      </c>
      <c r="L965" t="s">
        <v>14</v>
      </c>
      <c r="M965" t="s">
        <v>58</v>
      </c>
      <c r="N965" t="s">
        <v>14</v>
      </c>
      <c r="O965">
        <v>14</v>
      </c>
      <c r="P965" t="s">
        <v>27</v>
      </c>
      <c r="Q965" t="s">
        <v>28</v>
      </c>
      <c r="R965" t="str" cm="1">
        <f t="array" ref="R965">_xlfn.IFS(B965&lt;31,"Young-Adult",B965&lt;41,"Adult",B965&lt;61,"Middle-aged",B965&gt;=61,"Senior")</f>
        <v>Young-Adult</v>
      </c>
      <c r="S965" cm="1">
        <f t="array" ref="S965">_xlfn.IFS(Q965 ="Fortnightly",14,Q965="Weekly",7,Q965="Monthly",30,Q965="Quarterly",90,Q965="Bi-Weekly",14,Q965="Annually",365,Q965="Every 3 Months",90,TRUE,"NOT FOUND")</f>
        <v>7</v>
      </c>
    </row>
    <row r="966" spans="1:19" x14ac:dyDescent="0.35">
      <c r="A966">
        <v>965</v>
      </c>
      <c r="B966">
        <v>42</v>
      </c>
      <c r="C966" t="s">
        <v>7</v>
      </c>
      <c r="D966" t="s">
        <v>29</v>
      </c>
      <c r="E966" t="s">
        <v>30</v>
      </c>
      <c r="F966">
        <v>51</v>
      </c>
      <c r="G966" t="s">
        <v>105</v>
      </c>
      <c r="H966" t="s">
        <v>32</v>
      </c>
      <c r="I966" t="s">
        <v>106</v>
      </c>
      <c r="J966" t="s">
        <v>25</v>
      </c>
      <c r="K966">
        <v>2.6</v>
      </c>
      <c r="L966" t="s">
        <v>14</v>
      </c>
      <c r="M966" t="s">
        <v>33</v>
      </c>
      <c r="N966" t="s">
        <v>14</v>
      </c>
      <c r="O966">
        <v>12</v>
      </c>
      <c r="P966" t="s">
        <v>16</v>
      </c>
      <c r="Q966" t="s">
        <v>64</v>
      </c>
      <c r="R966" t="str" cm="1">
        <f t="array" ref="R966">_xlfn.IFS(B966&lt;31,"Young-Adult",B966&lt;41,"Adult",B966&lt;61,"Middle-aged",B966&gt;=61,"Senior")</f>
        <v>Middle-aged</v>
      </c>
      <c r="S966" cm="1">
        <f t="array" ref="S966">_xlfn.IFS(Q966 ="Fortnightly",14,Q966="Weekly",7,Q966="Monthly",30,Q966="Quarterly",90,Q966="Bi-Weekly",14,Q966="Annually",365,Q966="Every 3 Months",90,TRUE,"NOT FOUND")</f>
        <v>14</v>
      </c>
    </row>
    <row r="967" spans="1:19" x14ac:dyDescent="0.35">
      <c r="A967">
        <v>966</v>
      </c>
      <c r="B967">
        <v>43</v>
      </c>
      <c r="C967" t="s">
        <v>7</v>
      </c>
      <c r="D967" t="s">
        <v>125</v>
      </c>
      <c r="E967" t="s">
        <v>30</v>
      </c>
      <c r="F967">
        <v>55</v>
      </c>
      <c r="G967" t="s">
        <v>67</v>
      </c>
      <c r="H967" t="s">
        <v>11</v>
      </c>
      <c r="I967" t="s">
        <v>82</v>
      </c>
      <c r="J967" t="s">
        <v>25</v>
      </c>
      <c r="K967">
        <v>5</v>
      </c>
      <c r="L967" t="s">
        <v>14</v>
      </c>
      <c r="M967" t="s">
        <v>62</v>
      </c>
      <c r="N967" t="s">
        <v>14</v>
      </c>
      <c r="O967">
        <v>10</v>
      </c>
      <c r="P967" t="s">
        <v>27</v>
      </c>
      <c r="Q967" t="s">
        <v>37</v>
      </c>
      <c r="R967" t="str" cm="1">
        <f t="array" ref="R967">_xlfn.IFS(B967&lt;31,"Young-Adult",B967&lt;41,"Adult",B967&lt;61,"Middle-aged",B967&gt;=61,"Senior")</f>
        <v>Middle-aged</v>
      </c>
      <c r="S967" cm="1">
        <f t="array" ref="S967">_xlfn.IFS(Q967 ="Fortnightly",14,Q967="Weekly",7,Q967="Monthly",30,Q967="Quarterly",90,Q967="Bi-Weekly",14,Q967="Annually",365,Q967="Every 3 Months",90,TRUE,"NOT FOUND")</f>
        <v>365</v>
      </c>
    </row>
    <row r="968" spans="1:19" x14ac:dyDescent="0.35">
      <c r="A968">
        <v>967</v>
      </c>
      <c r="B968">
        <v>58</v>
      </c>
      <c r="C968" t="s">
        <v>7</v>
      </c>
      <c r="D968" t="s">
        <v>69</v>
      </c>
      <c r="E968" t="s">
        <v>9</v>
      </c>
      <c r="F968">
        <v>55</v>
      </c>
      <c r="G968" t="s">
        <v>10</v>
      </c>
      <c r="H968" t="s">
        <v>32</v>
      </c>
      <c r="I968" t="s">
        <v>98</v>
      </c>
      <c r="J968" t="s">
        <v>25</v>
      </c>
      <c r="K968">
        <v>4.9000000000000004</v>
      </c>
      <c r="L968" t="s">
        <v>14</v>
      </c>
      <c r="M968" t="s">
        <v>15</v>
      </c>
      <c r="N968" t="s">
        <v>14</v>
      </c>
      <c r="O968">
        <v>19</v>
      </c>
      <c r="P968" t="s">
        <v>21</v>
      </c>
      <c r="Q968" t="s">
        <v>37</v>
      </c>
      <c r="R968" t="str" cm="1">
        <f t="array" ref="R968">_xlfn.IFS(B968&lt;31,"Young-Adult",B968&lt;41,"Adult",B968&lt;61,"Middle-aged",B968&gt;=61,"Senior")</f>
        <v>Middle-aged</v>
      </c>
      <c r="S968" cm="1">
        <f t="array" ref="S968">_xlfn.IFS(Q968 ="Fortnightly",14,Q968="Weekly",7,Q968="Monthly",30,Q968="Quarterly",90,Q968="Bi-Weekly",14,Q968="Annually",365,Q968="Every 3 Months",90,TRUE,"NOT FOUND")</f>
        <v>365</v>
      </c>
    </row>
    <row r="969" spans="1:19" x14ac:dyDescent="0.35">
      <c r="A969">
        <v>968</v>
      </c>
      <c r="B969">
        <v>27</v>
      </c>
      <c r="C969" t="s">
        <v>7</v>
      </c>
      <c r="D969" t="s">
        <v>92</v>
      </c>
      <c r="E969" t="s">
        <v>9</v>
      </c>
      <c r="F969">
        <v>26</v>
      </c>
      <c r="G969" t="s">
        <v>130</v>
      </c>
      <c r="H969" t="s">
        <v>24</v>
      </c>
      <c r="I969" t="s">
        <v>53</v>
      </c>
      <c r="J969" t="s">
        <v>41</v>
      </c>
      <c r="K969">
        <v>3.7</v>
      </c>
      <c r="L969" t="s">
        <v>14</v>
      </c>
      <c r="M969" t="s">
        <v>62</v>
      </c>
      <c r="N969" t="s">
        <v>14</v>
      </c>
      <c r="O969">
        <v>4</v>
      </c>
      <c r="P969" t="s">
        <v>21</v>
      </c>
      <c r="Q969" t="s">
        <v>28</v>
      </c>
      <c r="R969" t="str" cm="1">
        <f t="array" ref="R969">_xlfn.IFS(B969&lt;31,"Young-Adult",B969&lt;41,"Adult",B969&lt;61,"Middle-aged",B969&gt;=61,"Senior")</f>
        <v>Young-Adult</v>
      </c>
      <c r="S969" cm="1">
        <f t="array" ref="S969">_xlfn.IFS(Q969 ="Fortnightly",14,Q969="Weekly",7,Q969="Monthly",30,Q969="Quarterly",90,Q969="Bi-Weekly",14,Q969="Annually",365,Q969="Every 3 Months",90,TRUE,"NOT FOUND")</f>
        <v>7</v>
      </c>
    </row>
    <row r="970" spans="1:19" x14ac:dyDescent="0.35">
      <c r="A970">
        <v>969</v>
      </c>
      <c r="B970">
        <v>57</v>
      </c>
      <c r="C970" t="s">
        <v>7</v>
      </c>
      <c r="D970" t="s">
        <v>47</v>
      </c>
      <c r="E970" t="s">
        <v>9</v>
      </c>
      <c r="F970">
        <v>67</v>
      </c>
      <c r="G970" t="s">
        <v>86</v>
      </c>
      <c r="H970" t="s">
        <v>11</v>
      </c>
      <c r="I970" t="s">
        <v>12</v>
      </c>
      <c r="J970" t="s">
        <v>41</v>
      </c>
      <c r="K970">
        <v>3.1</v>
      </c>
      <c r="L970" t="s">
        <v>14</v>
      </c>
      <c r="M970" t="s">
        <v>33</v>
      </c>
      <c r="N970" t="s">
        <v>14</v>
      </c>
      <c r="O970">
        <v>48</v>
      </c>
      <c r="P970" t="s">
        <v>63</v>
      </c>
      <c r="Q970" t="s">
        <v>46</v>
      </c>
      <c r="R970" t="str" cm="1">
        <f t="array" ref="R970">_xlfn.IFS(B970&lt;31,"Young-Adult",B970&lt;41,"Adult",B970&lt;61,"Middle-aged",B970&gt;=61,"Senior")</f>
        <v>Middle-aged</v>
      </c>
      <c r="S970" cm="1">
        <f t="array" ref="S970">_xlfn.IFS(Q970 ="Fortnightly",14,Q970="Weekly",7,Q970="Monthly",30,Q970="Quarterly",90,Q970="Bi-Weekly",14,Q970="Annually",365,Q970="Every 3 Months",90,TRUE,"NOT FOUND")</f>
        <v>90</v>
      </c>
    </row>
    <row r="971" spans="1:19" x14ac:dyDescent="0.35">
      <c r="A971">
        <v>970</v>
      </c>
      <c r="B971">
        <v>40</v>
      </c>
      <c r="C971" t="s">
        <v>7</v>
      </c>
      <c r="D971" t="s">
        <v>50</v>
      </c>
      <c r="E971" t="s">
        <v>51</v>
      </c>
      <c r="F971">
        <v>31</v>
      </c>
      <c r="G971" t="s">
        <v>87</v>
      </c>
      <c r="H971" t="s">
        <v>24</v>
      </c>
      <c r="I971" t="s">
        <v>57</v>
      </c>
      <c r="J971" t="s">
        <v>45</v>
      </c>
      <c r="K971">
        <v>3.2</v>
      </c>
      <c r="L971" t="s">
        <v>14</v>
      </c>
      <c r="M971" t="s">
        <v>15</v>
      </c>
      <c r="N971" t="s">
        <v>14</v>
      </c>
      <c r="O971">
        <v>37</v>
      </c>
      <c r="P971" t="s">
        <v>34</v>
      </c>
      <c r="Q971" t="s">
        <v>76</v>
      </c>
      <c r="R971" t="str" cm="1">
        <f t="array" ref="R971">_xlfn.IFS(B971&lt;31,"Young-Adult",B971&lt;41,"Adult",B971&lt;61,"Middle-aged",B971&gt;=61,"Senior")</f>
        <v>Adult</v>
      </c>
      <c r="S971" cm="1">
        <f t="array" ref="S971">_xlfn.IFS(Q971 ="Fortnightly",14,Q971="Weekly",7,Q971="Monthly",30,Q971="Quarterly",90,Q971="Bi-Weekly",14,Q971="Annually",365,Q971="Every 3 Months",90,TRUE,"NOT FOUND")</f>
        <v>30</v>
      </c>
    </row>
    <row r="972" spans="1:19" x14ac:dyDescent="0.35">
      <c r="A972">
        <v>971</v>
      </c>
      <c r="B972">
        <v>45</v>
      </c>
      <c r="C972" t="s">
        <v>7</v>
      </c>
      <c r="D972" t="s">
        <v>22</v>
      </c>
      <c r="E972" t="s">
        <v>9</v>
      </c>
      <c r="F972">
        <v>66</v>
      </c>
      <c r="G972" t="s">
        <v>87</v>
      </c>
      <c r="H972" t="s">
        <v>24</v>
      </c>
      <c r="I972" t="s">
        <v>20</v>
      </c>
      <c r="J972" t="s">
        <v>13</v>
      </c>
      <c r="K972">
        <v>4.4000000000000004</v>
      </c>
      <c r="L972" t="s">
        <v>14</v>
      </c>
      <c r="M972" t="s">
        <v>26</v>
      </c>
      <c r="N972" t="s">
        <v>14</v>
      </c>
      <c r="O972">
        <v>4</v>
      </c>
      <c r="P972" t="s">
        <v>21</v>
      </c>
      <c r="Q972" t="s">
        <v>76</v>
      </c>
      <c r="R972" t="str" cm="1">
        <f t="array" ref="R972">_xlfn.IFS(B972&lt;31,"Young-Adult",B972&lt;41,"Adult",B972&lt;61,"Middle-aged",B972&gt;=61,"Senior")</f>
        <v>Middle-aged</v>
      </c>
      <c r="S972" cm="1">
        <f t="array" ref="S972">_xlfn.IFS(Q972 ="Fortnightly",14,Q972="Weekly",7,Q972="Monthly",30,Q972="Quarterly",90,Q972="Bi-Weekly",14,Q972="Annually",365,Q972="Every 3 Months",90,TRUE,"NOT FOUND")</f>
        <v>30</v>
      </c>
    </row>
    <row r="973" spans="1:19" x14ac:dyDescent="0.35">
      <c r="A973">
        <v>972</v>
      </c>
      <c r="B973">
        <v>47</v>
      </c>
      <c r="C973" t="s">
        <v>7</v>
      </c>
      <c r="D973" t="s">
        <v>77</v>
      </c>
      <c r="E973" t="s">
        <v>55</v>
      </c>
      <c r="F973">
        <v>67</v>
      </c>
      <c r="G973" t="s">
        <v>104</v>
      </c>
      <c r="H973" t="s">
        <v>32</v>
      </c>
      <c r="I973" t="s">
        <v>97</v>
      </c>
      <c r="J973" t="s">
        <v>41</v>
      </c>
      <c r="K973">
        <v>4.3</v>
      </c>
      <c r="L973" t="s">
        <v>14</v>
      </c>
      <c r="M973" t="s">
        <v>33</v>
      </c>
      <c r="N973" t="s">
        <v>14</v>
      </c>
      <c r="O973">
        <v>15</v>
      </c>
      <c r="P973" t="s">
        <v>27</v>
      </c>
      <c r="Q973" t="s">
        <v>28</v>
      </c>
      <c r="R973" t="str" cm="1">
        <f t="array" ref="R973">_xlfn.IFS(B973&lt;31,"Young-Adult",B973&lt;41,"Adult",B973&lt;61,"Middle-aged",B973&gt;=61,"Senior")</f>
        <v>Middle-aged</v>
      </c>
      <c r="S973" cm="1">
        <f t="array" ref="S973">_xlfn.IFS(Q973 ="Fortnightly",14,Q973="Weekly",7,Q973="Monthly",30,Q973="Quarterly",90,Q973="Bi-Weekly",14,Q973="Annually",365,Q973="Every 3 Months",90,TRUE,"NOT FOUND")</f>
        <v>7</v>
      </c>
    </row>
    <row r="974" spans="1:19" x14ac:dyDescent="0.35">
      <c r="A974">
        <v>973</v>
      </c>
      <c r="B974">
        <v>61</v>
      </c>
      <c r="C974" t="s">
        <v>7</v>
      </c>
      <c r="D974" t="s">
        <v>38</v>
      </c>
      <c r="E974" t="s">
        <v>30</v>
      </c>
      <c r="F974">
        <v>61</v>
      </c>
      <c r="G974" t="s">
        <v>100</v>
      </c>
      <c r="H974" t="s">
        <v>11</v>
      </c>
      <c r="I974" t="s">
        <v>68</v>
      </c>
      <c r="J974" t="s">
        <v>13</v>
      </c>
      <c r="K974">
        <v>3</v>
      </c>
      <c r="L974" t="s">
        <v>14</v>
      </c>
      <c r="M974" t="s">
        <v>42</v>
      </c>
      <c r="N974" t="s">
        <v>14</v>
      </c>
      <c r="O974">
        <v>33</v>
      </c>
      <c r="P974" t="s">
        <v>27</v>
      </c>
      <c r="Q974" t="s">
        <v>28</v>
      </c>
      <c r="R974" t="str" cm="1">
        <f t="array" ref="R974">_xlfn.IFS(B974&lt;31,"Young-Adult",B974&lt;41,"Adult",B974&lt;61,"Middle-aged",B974&gt;=61,"Senior")</f>
        <v>Senior</v>
      </c>
      <c r="S974" cm="1">
        <f t="array" ref="S974">_xlfn.IFS(Q974 ="Fortnightly",14,Q974="Weekly",7,Q974="Monthly",30,Q974="Quarterly",90,Q974="Bi-Weekly",14,Q974="Annually",365,Q974="Every 3 Months",90,TRUE,"NOT FOUND")</f>
        <v>7</v>
      </c>
    </row>
    <row r="975" spans="1:19" x14ac:dyDescent="0.35">
      <c r="A975">
        <v>974</v>
      </c>
      <c r="B975">
        <v>60</v>
      </c>
      <c r="C975" t="s">
        <v>7</v>
      </c>
      <c r="D975" t="s">
        <v>90</v>
      </c>
      <c r="E975" t="s">
        <v>51</v>
      </c>
      <c r="F975">
        <v>75</v>
      </c>
      <c r="G975" t="s">
        <v>100</v>
      </c>
      <c r="H975" t="s">
        <v>32</v>
      </c>
      <c r="I975" t="s">
        <v>73</v>
      </c>
      <c r="J975" t="s">
        <v>45</v>
      </c>
      <c r="K975">
        <v>3.5</v>
      </c>
      <c r="L975" t="s">
        <v>14</v>
      </c>
      <c r="M975" t="s">
        <v>58</v>
      </c>
      <c r="N975" t="s">
        <v>14</v>
      </c>
      <c r="O975">
        <v>30</v>
      </c>
      <c r="P975" t="s">
        <v>63</v>
      </c>
      <c r="Q975" t="s">
        <v>46</v>
      </c>
      <c r="R975" t="str" cm="1">
        <f t="array" ref="R975">_xlfn.IFS(B975&lt;31,"Young-Adult",B975&lt;41,"Adult",B975&lt;61,"Middle-aged",B975&gt;=61,"Senior")</f>
        <v>Middle-aged</v>
      </c>
      <c r="S975" cm="1">
        <f t="array" ref="S975">_xlfn.IFS(Q975 ="Fortnightly",14,Q975="Weekly",7,Q975="Monthly",30,Q975="Quarterly",90,Q975="Bi-Weekly",14,Q975="Annually",365,Q975="Every 3 Months",90,TRUE,"NOT FOUND")</f>
        <v>90</v>
      </c>
    </row>
    <row r="976" spans="1:19" x14ac:dyDescent="0.35">
      <c r="A976">
        <v>975</v>
      </c>
      <c r="B976">
        <v>69</v>
      </c>
      <c r="C976" t="s">
        <v>7</v>
      </c>
      <c r="D976" t="s">
        <v>75</v>
      </c>
      <c r="E976" t="s">
        <v>9</v>
      </c>
      <c r="F976">
        <v>90</v>
      </c>
      <c r="G976" t="s">
        <v>86</v>
      </c>
      <c r="H976" t="s">
        <v>32</v>
      </c>
      <c r="I976" t="s">
        <v>106</v>
      </c>
      <c r="J976" t="s">
        <v>25</v>
      </c>
      <c r="K976">
        <v>3.6</v>
      </c>
      <c r="L976" t="s">
        <v>14</v>
      </c>
      <c r="M976" t="s">
        <v>58</v>
      </c>
      <c r="N976" t="s">
        <v>14</v>
      </c>
      <c r="O976">
        <v>23</v>
      </c>
      <c r="P976" t="s">
        <v>63</v>
      </c>
      <c r="Q976" t="s">
        <v>76</v>
      </c>
      <c r="R976" t="str" cm="1">
        <f t="array" ref="R976">_xlfn.IFS(B976&lt;31,"Young-Adult",B976&lt;41,"Adult",B976&lt;61,"Middle-aged",B976&gt;=61,"Senior")</f>
        <v>Senior</v>
      </c>
      <c r="S976" cm="1">
        <f t="array" ref="S976">_xlfn.IFS(Q976 ="Fortnightly",14,Q976="Weekly",7,Q976="Monthly",30,Q976="Quarterly",90,Q976="Bi-Weekly",14,Q976="Annually",365,Q976="Every 3 Months",90,TRUE,"NOT FOUND")</f>
        <v>30</v>
      </c>
    </row>
    <row r="977" spans="1:19" x14ac:dyDescent="0.35">
      <c r="A977">
        <v>976</v>
      </c>
      <c r="B977">
        <v>58</v>
      </c>
      <c r="C977" t="s">
        <v>7</v>
      </c>
      <c r="D977" t="s">
        <v>18</v>
      </c>
      <c r="E977" t="s">
        <v>9</v>
      </c>
      <c r="F977">
        <v>40</v>
      </c>
      <c r="G977" t="s">
        <v>137</v>
      </c>
      <c r="H977" t="s">
        <v>32</v>
      </c>
      <c r="I977" t="s">
        <v>66</v>
      </c>
      <c r="J977" t="s">
        <v>41</v>
      </c>
      <c r="K977">
        <v>3.8</v>
      </c>
      <c r="L977" t="s">
        <v>14</v>
      </c>
      <c r="M977" t="s">
        <v>58</v>
      </c>
      <c r="N977" t="s">
        <v>14</v>
      </c>
      <c r="O977">
        <v>2</v>
      </c>
      <c r="P977" t="s">
        <v>63</v>
      </c>
      <c r="Q977" t="s">
        <v>28</v>
      </c>
      <c r="R977" t="str" cm="1">
        <f t="array" ref="R977">_xlfn.IFS(B977&lt;31,"Young-Adult",B977&lt;41,"Adult",B977&lt;61,"Middle-aged",B977&gt;=61,"Senior")</f>
        <v>Middle-aged</v>
      </c>
      <c r="S977" cm="1">
        <f t="array" ref="S977">_xlfn.IFS(Q977 ="Fortnightly",14,Q977="Weekly",7,Q977="Monthly",30,Q977="Quarterly",90,Q977="Bi-Weekly",14,Q977="Annually",365,Q977="Every 3 Months",90,TRUE,"NOT FOUND")</f>
        <v>7</v>
      </c>
    </row>
    <row r="978" spans="1:19" x14ac:dyDescent="0.35">
      <c r="A978">
        <v>977</v>
      </c>
      <c r="B978">
        <v>34</v>
      </c>
      <c r="C978" t="s">
        <v>7</v>
      </c>
      <c r="D978" t="s">
        <v>101</v>
      </c>
      <c r="E978" t="s">
        <v>9</v>
      </c>
      <c r="F978">
        <v>90</v>
      </c>
      <c r="G978" t="s">
        <v>91</v>
      </c>
      <c r="H978" t="s">
        <v>32</v>
      </c>
      <c r="I978" t="s">
        <v>12</v>
      </c>
      <c r="J978" t="s">
        <v>45</v>
      </c>
      <c r="K978">
        <v>3.6</v>
      </c>
      <c r="L978" t="s">
        <v>14</v>
      </c>
      <c r="M978" t="s">
        <v>15</v>
      </c>
      <c r="N978" t="s">
        <v>14</v>
      </c>
      <c r="O978">
        <v>50</v>
      </c>
      <c r="P978" t="s">
        <v>27</v>
      </c>
      <c r="Q978" t="s">
        <v>85</v>
      </c>
      <c r="R978" t="str" cm="1">
        <f t="array" ref="R978">_xlfn.IFS(B978&lt;31,"Young-Adult",B978&lt;41,"Adult",B978&lt;61,"Middle-aged",B978&gt;=61,"Senior")</f>
        <v>Adult</v>
      </c>
      <c r="S978" cm="1">
        <f t="array" ref="S978">_xlfn.IFS(Q978 ="Fortnightly",14,Q978="Weekly",7,Q978="Monthly",30,Q978="Quarterly",90,Q978="Bi-Weekly",14,Q978="Annually",365,Q978="Every 3 Months",90,TRUE,"NOT FOUND")</f>
        <v>90</v>
      </c>
    </row>
    <row r="979" spans="1:19" x14ac:dyDescent="0.35">
      <c r="A979">
        <v>978</v>
      </c>
      <c r="B979">
        <v>20</v>
      </c>
      <c r="C979" t="s">
        <v>7</v>
      </c>
      <c r="D979" t="s">
        <v>121</v>
      </c>
      <c r="E979" t="s">
        <v>55</v>
      </c>
      <c r="F979">
        <v>20</v>
      </c>
      <c r="G979" t="s">
        <v>137</v>
      </c>
      <c r="H979" t="s">
        <v>32</v>
      </c>
      <c r="I979" t="s">
        <v>82</v>
      </c>
      <c r="J979" t="s">
        <v>25</v>
      </c>
      <c r="K979">
        <v>4.5999999999999996</v>
      </c>
      <c r="L979" t="s">
        <v>14</v>
      </c>
      <c r="M979" t="s">
        <v>15</v>
      </c>
      <c r="N979" t="s">
        <v>14</v>
      </c>
      <c r="O979">
        <v>34</v>
      </c>
      <c r="P979" t="s">
        <v>21</v>
      </c>
      <c r="Q979" t="s">
        <v>64</v>
      </c>
      <c r="R979" t="str" cm="1">
        <f t="array" ref="R979">_xlfn.IFS(B979&lt;31,"Young-Adult",B979&lt;41,"Adult",B979&lt;61,"Middle-aged",B979&gt;=61,"Senior")</f>
        <v>Young-Adult</v>
      </c>
      <c r="S979" cm="1">
        <f t="array" ref="S979">_xlfn.IFS(Q979 ="Fortnightly",14,Q979="Weekly",7,Q979="Monthly",30,Q979="Quarterly",90,Q979="Bi-Weekly",14,Q979="Annually",365,Q979="Every 3 Months",90,TRUE,"NOT FOUND")</f>
        <v>14</v>
      </c>
    </row>
    <row r="980" spans="1:19" x14ac:dyDescent="0.35">
      <c r="A980">
        <v>979</v>
      </c>
      <c r="B980">
        <v>56</v>
      </c>
      <c r="C980" t="s">
        <v>7</v>
      </c>
      <c r="D980" t="s">
        <v>131</v>
      </c>
      <c r="E980" t="s">
        <v>55</v>
      </c>
      <c r="F980">
        <v>40</v>
      </c>
      <c r="G980" t="s">
        <v>100</v>
      </c>
      <c r="H980" t="s">
        <v>32</v>
      </c>
      <c r="I980" t="s">
        <v>36</v>
      </c>
      <c r="J980" t="s">
        <v>41</v>
      </c>
      <c r="K980">
        <v>2.5</v>
      </c>
      <c r="L980" t="s">
        <v>14</v>
      </c>
      <c r="M980" t="s">
        <v>42</v>
      </c>
      <c r="N980" t="s">
        <v>14</v>
      </c>
      <c r="O980">
        <v>33</v>
      </c>
      <c r="P980" t="s">
        <v>27</v>
      </c>
      <c r="Q980" t="s">
        <v>28</v>
      </c>
      <c r="R980" t="str" cm="1">
        <f t="array" ref="R980">_xlfn.IFS(B980&lt;31,"Young-Adult",B980&lt;41,"Adult",B980&lt;61,"Middle-aged",B980&gt;=61,"Senior")</f>
        <v>Middle-aged</v>
      </c>
      <c r="S980" cm="1">
        <f t="array" ref="S980">_xlfn.IFS(Q980 ="Fortnightly",14,Q980="Weekly",7,Q980="Monthly",30,Q980="Quarterly",90,Q980="Bi-Weekly",14,Q980="Annually",365,Q980="Every 3 Months",90,TRUE,"NOT FOUND")</f>
        <v>7</v>
      </c>
    </row>
    <row r="981" spans="1:19" x14ac:dyDescent="0.35">
      <c r="A981">
        <v>980</v>
      </c>
      <c r="B981">
        <v>64</v>
      </c>
      <c r="C981" t="s">
        <v>7</v>
      </c>
      <c r="D981" t="s">
        <v>112</v>
      </c>
      <c r="E981" t="s">
        <v>55</v>
      </c>
      <c r="F981">
        <v>33</v>
      </c>
      <c r="G981" t="s">
        <v>70</v>
      </c>
      <c r="H981" t="s">
        <v>24</v>
      </c>
      <c r="I981" t="s">
        <v>98</v>
      </c>
      <c r="J981" t="s">
        <v>45</v>
      </c>
      <c r="K981">
        <v>3.5</v>
      </c>
      <c r="L981" t="s">
        <v>14</v>
      </c>
      <c r="M981" t="s">
        <v>62</v>
      </c>
      <c r="N981" t="s">
        <v>14</v>
      </c>
      <c r="O981">
        <v>34</v>
      </c>
      <c r="P981" t="s">
        <v>74</v>
      </c>
      <c r="Q981" t="s">
        <v>76</v>
      </c>
      <c r="R981" t="str" cm="1">
        <f t="array" ref="R981">_xlfn.IFS(B981&lt;31,"Young-Adult",B981&lt;41,"Adult",B981&lt;61,"Middle-aged",B981&gt;=61,"Senior")</f>
        <v>Senior</v>
      </c>
      <c r="S981" cm="1">
        <f t="array" ref="S981">_xlfn.IFS(Q981 ="Fortnightly",14,Q981="Weekly",7,Q981="Monthly",30,Q981="Quarterly",90,Q981="Bi-Weekly",14,Q981="Annually",365,Q981="Every 3 Months",90,TRUE,"NOT FOUND")</f>
        <v>30</v>
      </c>
    </row>
    <row r="982" spans="1:19" x14ac:dyDescent="0.35">
      <c r="A982">
        <v>981</v>
      </c>
      <c r="B982">
        <v>56</v>
      </c>
      <c r="C982" t="s">
        <v>7</v>
      </c>
      <c r="D982" t="s">
        <v>125</v>
      </c>
      <c r="E982" t="s">
        <v>30</v>
      </c>
      <c r="F982">
        <v>98</v>
      </c>
      <c r="G982" t="s">
        <v>116</v>
      </c>
      <c r="H982" t="s">
        <v>24</v>
      </c>
      <c r="I982" t="s">
        <v>124</v>
      </c>
      <c r="J982" t="s">
        <v>25</v>
      </c>
      <c r="K982">
        <v>4</v>
      </c>
      <c r="L982" t="s">
        <v>14</v>
      </c>
      <c r="M982" t="s">
        <v>26</v>
      </c>
      <c r="N982" t="s">
        <v>14</v>
      </c>
      <c r="O982">
        <v>39</v>
      </c>
      <c r="P982" t="s">
        <v>34</v>
      </c>
      <c r="Q982" t="s">
        <v>85</v>
      </c>
      <c r="R982" t="str" cm="1">
        <f t="array" ref="R982">_xlfn.IFS(B982&lt;31,"Young-Adult",B982&lt;41,"Adult",B982&lt;61,"Middle-aged",B982&gt;=61,"Senior")</f>
        <v>Middle-aged</v>
      </c>
      <c r="S982" cm="1">
        <f t="array" ref="S982">_xlfn.IFS(Q982 ="Fortnightly",14,Q982="Weekly",7,Q982="Monthly",30,Q982="Quarterly",90,Q982="Bi-Weekly",14,Q982="Annually",365,Q982="Every 3 Months",90,TRUE,"NOT FOUND")</f>
        <v>90</v>
      </c>
    </row>
    <row r="983" spans="1:19" x14ac:dyDescent="0.35">
      <c r="A983">
        <v>982</v>
      </c>
      <c r="B983">
        <v>27</v>
      </c>
      <c r="C983" t="s">
        <v>7</v>
      </c>
      <c r="D983" t="s">
        <v>121</v>
      </c>
      <c r="E983" t="s">
        <v>55</v>
      </c>
      <c r="F983">
        <v>42</v>
      </c>
      <c r="G983" t="s">
        <v>116</v>
      </c>
      <c r="H983" t="s">
        <v>32</v>
      </c>
      <c r="I983" t="s">
        <v>53</v>
      </c>
      <c r="J983" t="s">
        <v>25</v>
      </c>
      <c r="K983">
        <v>3.5</v>
      </c>
      <c r="L983" t="s">
        <v>14</v>
      </c>
      <c r="M983" t="s">
        <v>33</v>
      </c>
      <c r="N983" t="s">
        <v>14</v>
      </c>
      <c r="O983">
        <v>47</v>
      </c>
      <c r="P983" t="s">
        <v>27</v>
      </c>
      <c r="Q983" t="s">
        <v>46</v>
      </c>
      <c r="R983" t="str" cm="1">
        <f t="array" ref="R983">_xlfn.IFS(B983&lt;31,"Young-Adult",B983&lt;41,"Adult",B983&lt;61,"Middle-aged",B983&gt;=61,"Senior")</f>
        <v>Young-Adult</v>
      </c>
      <c r="S983" cm="1">
        <f t="array" ref="S983">_xlfn.IFS(Q983 ="Fortnightly",14,Q983="Weekly",7,Q983="Monthly",30,Q983="Quarterly",90,Q983="Bi-Weekly",14,Q983="Annually",365,Q983="Every 3 Months",90,TRUE,"NOT FOUND")</f>
        <v>90</v>
      </c>
    </row>
    <row r="984" spans="1:19" x14ac:dyDescent="0.35">
      <c r="A984">
        <v>983</v>
      </c>
      <c r="B984">
        <v>35</v>
      </c>
      <c r="C984" t="s">
        <v>7</v>
      </c>
      <c r="D984" t="s">
        <v>50</v>
      </c>
      <c r="E984" t="s">
        <v>51</v>
      </c>
      <c r="F984">
        <v>62</v>
      </c>
      <c r="G984" t="s">
        <v>93</v>
      </c>
      <c r="H984" t="s">
        <v>24</v>
      </c>
      <c r="I984" t="s">
        <v>96</v>
      </c>
      <c r="J984" t="s">
        <v>41</v>
      </c>
      <c r="K984">
        <v>3.2</v>
      </c>
      <c r="L984" t="s">
        <v>14</v>
      </c>
      <c r="M984" t="s">
        <v>42</v>
      </c>
      <c r="N984" t="s">
        <v>14</v>
      </c>
      <c r="O984">
        <v>37</v>
      </c>
      <c r="P984" t="s">
        <v>34</v>
      </c>
      <c r="Q984" t="s">
        <v>76</v>
      </c>
      <c r="R984" t="str" cm="1">
        <f t="array" ref="R984">_xlfn.IFS(B984&lt;31,"Young-Adult",B984&lt;41,"Adult",B984&lt;61,"Middle-aged",B984&gt;=61,"Senior")</f>
        <v>Adult</v>
      </c>
      <c r="S984" cm="1">
        <f t="array" ref="S984">_xlfn.IFS(Q984 ="Fortnightly",14,Q984="Weekly",7,Q984="Monthly",30,Q984="Quarterly",90,Q984="Bi-Weekly",14,Q984="Annually",365,Q984="Every 3 Months",90,TRUE,"NOT FOUND")</f>
        <v>30</v>
      </c>
    </row>
    <row r="985" spans="1:19" x14ac:dyDescent="0.35">
      <c r="A985">
        <v>984</v>
      </c>
      <c r="B985">
        <v>24</v>
      </c>
      <c r="C985" t="s">
        <v>7</v>
      </c>
      <c r="D985" t="s">
        <v>112</v>
      </c>
      <c r="E985" t="s">
        <v>55</v>
      </c>
      <c r="F985">
        <v>45</v>
      </c>
      <c r="G985" t="s">
        <v>118</v>
      </c>
      <c r="H985" t="s">
        <v>11</v>
      </c>
      <c r="I985" t="s">
        <v>114</v>
      </c>
      <c r="J985" t="s">
        <v>13</v>
      </c>
      <c r="K985">
        <v>3.5</v>
      </c>
      <c r="L985" t="s">
        <v>14</v>
      </c>
      <c r="M985" t="s">
        <v>26</v>
      </c>
      <c r="N985" t="s">
        <v>14</v>
      </c>
      <c r="O985">
        <v>40</v>
      </c>
      <c r="P985" t="s">
        <v>16</v>
      </c>
      <c r="Q985" t="s">
        <v>64</v>
      </c>
      <c r="R985" t="str" cm="1">
        <f t="array" ref="R985">_xlfn.IFS(B985&lt;31,"Young-Adult",B985&lt;41,"Adult",B985&lt;61,"Middle-aged",B985&gt;=61,"Senior")</f>
        <v>Young-Adult</v>
      </c>
      <c r="S985" cm="1">
        <f t="array" ref="S985">_xlfn.IFS(Q985 ="Fortnightly",14,Q985="Weekly",7,Q985="Monthly",30,Q985="Quarterly",90,Q985="Bi-Weekly",14,Q985="Annually",365,Q985="Every 3 Months",90,TRUE,"NOT FOUND")</f>
        <v>14</v>
      </c>
    </row>
    <row r="986" spans="1:19" x14ac:dyDescent="0.35">
      <c r="A986">
        <v>985</v>
      </c>
      <c r="B986">
        <v>26</v>
      </c>
      <c r="C986" t="s">
        <v>7</v>
      </c>
      <c r="D986" t="s">
        <v>59</v>
      </c>
      <c r="E986" t="s">
        <v>30</v>
      </c>
      <c r="F986">
        <v>78</v>
      </c>
      <c r="G986" t="s">
        <v>128</v>
      </c>
      <c r="H986" t="s">
        <v>32</v>
      </c>
      <c r="I986" t="s">
        <v>84</v>
      </c>
      <c r="J986" t="s">
        <v>41</v>
      </c>
      <c r="K986">
        <v>3.4</v>
      </c>
      <c r="L986" t="s">
        <v>14</v>
      </c>
      <c r="M986" t="s">
        <v>26</v>
      </c>
      <c r="N986" t="s">
        <v>14</v>
      </c>
      <c r="O986">
        <v>8</v>
      </c>
      <c r="P986" t="s">
        <v>27</v>
      </c>
      <c r="Q986" t="s">
        <v>64</v>
      </c>
      <c r="R986" t="str" cm="1">
        <f t="array" ref="R986">_xlfn.IFS(B986&lt;31,"Young-Adult",B986&lt;41,"Adult",B986&lt;61,"Middle-aged",B986&gt;=61,"Senior")</f>
        <v>Young-Adult</v>
      </c>
      <c r="S986" cm="1">
        <f t="array" ref="S986">_xlfn.IFS(Q986 ="Fortnightly",14,Q986="Weekly",7,Q986="Monthly",30,Q986="Quarterly",90,Q986="Bi-Weekly",14,Q986="Annually",365,Q986="Every 3 Months",90,TRUE,"NOT FOUND")</f>
        <v>14</v>
      </c>
    </row>
    <row r="987" spans="1:19" x14ac:dyDescent="0.35">
      <c r="A987">
        <v>986</v>
      </c>
      <c r="B987">
        <v>32</v>
      </c>
      <c r="C987" t="s">
        <v>7</v>
      </c>
      <c r="D987" t="s">
        <v>54</v>
      </c>
      <c r="E987" t="s">
        <v>55</v>
      </c>
      <c r="F987">
        <v>80</v>
      </c>
      <c r="G987" t="s">
        <v>52</v>
      </c>
      <c r="H987" t="s">
        <v>32</v>
      </c>
      <c r="I987" t="s">
        <v>12</v>
      </c>
      <c r="J987" t="s">
        <v>45</v>
      </c>
      <c r="K987">
        <v>5</v>
      </c>
      <c r="L987" t="s">
        <v>14</v>
      </c>
      <c r="M987" t="s">
        <v>15</v>
      </c>
      <c r="N987" t="s">
        <v>14</v>
      </c>
      <c r="O987">
        <v>12</v>
      </c>
      <c r="P987" t="s">
        <v>63</v>
      </c>
      <c r="Q987" t="s">
        <v>37</v>
      </c>
      <c r="R987" t="str" cm="1">
        <f t="array" ref="R987">_xlfn.IFS(B987&lt;31,"Young-Adult",B987&lt;41,"Adult",B987&lt;61,"Middle-aged",B987&gt;=61,"Senior")</f>
        <v>Adult</v>
      </c>
      <c r="S987" cm="1">
        <f t="array" ref="S987">_xlfn.IFS(Q987 ="Fortnightly",14,Q987="Weekly",7,Q987="Monthly",30,Q987="Quarterly",90,Q987="Bi-Weekly",14,Q987="Annually",365,Q987="Every 3 Months",90,TRUE,"NOT FOUND")</f>
        <v>365</v>
      </c>
    </row>
    <row r="988" spans="1:19" x14ac:dyDescent="0.35">
      <c r="A988">
        <v>987</v>
      </c>
      <c r="B988">
        <v>54</v>
      </c>
      <c r="C988" t="s">
        <v>7</v>
      </c>
      <c r="D988" t="s">
        <v>107</v>
      </c>
      <c r="E988" t="s">
        <v>55</v>
      </c>
      <c r="F988">
        <v>96</v>
      </c>
      <c r="G988" t="s">
        <v>127</v>
      </c>
      <c r="H988" t="s">
        <v>24</v>
      </c>
      <c r="I988" t="s">
        <v>88</v>
      </c>
      <c r="J988" t="s">
        <v>25</v>
      </c>
      <c r="K988">
        <v>4.5</v>
      </c>
      <c r="L988" t="s">
        <v>14</v>
      </c>
      <c r="M988" t="s">
        <v>62</v>
      </c>
      <c r="N988" t="s">
        <v>14</v>
      </c>
      <c r="O988">
        <v>36</v>
      </c>
      <c r="P988" t="s">
        <v>63</v>
      </c>
      <c r="Q988" t="s">
        <v>76</v>
      </c>
      <c r="R988" t="str" cm="1">
        <f t="array" ref="R988">_xlfn.IFS(B988&lt;31,"Young-Adult",B988&lt;41,"Adult",B988&lt;61,"Middle-aged",B988&gt;=61,"Senior")</f>
        <v>Middle-aged</v>
      </c>
      <c r="S988" cm="1">
        <f t="array" ref="S988">_xlfn.IFS(Q988 ="Fortnightly",14,Q988="Weekly",7,Q988="Monthly",30,Q988="Quarterly",90,Q988="Bi-Weekly",14,Q988="Annually",365,Q988="Every 3 Months",90,TRUE,"NOT FOUND")</f>
        <v>30</v>
      </c>
    </row>
    <row r="989" spans="1:19" x14ac:dyDescent="0.35">
      <c r="A989">
        <v>988</v>
      </c>
      <c r="B989">
        <v>62</v>
      </c>
      <c r="C989" t="s">
        <v>7</v>
      </c>
      <c r="D989" t="s">
        <v>54</v>
      </c>
      <c r="E989" t="s">
        <v>55</v>
      </c>
      <c r="F989">
        <v>47</v>
      </c>
      <c r="G989" t="s">
        <v>52</v>
      </c>
      <c r="H989" t="s">
        <v>32</v>
      </c>
      <c r="I989" t="s">
        <v>49</v>
      </c>
      <c r="J989" t="s">
        <v>41</v>
      </c>
      <c r="K989">
        <v>2.8</v>
      </c>
      <c r="L989" t="s">
        <v>14</v>
      </c>
      <c r="M989" t="s">
        <v>15</v>
      </c>
      <c r="N989" t="s">
        <v>14</v>
      </c>
      <c r="O989">
        <v>48</v>
      </c>
      <c r="P989" t="s">
        <v>34</v>
      </c>
      <c r="Q989" t="s">
        <v>28</v>
      </c>
      <c r="R989" t="str" cm="1">
        <f t="array" ref="R989">_xlfn.IFS(B989&lt;31,"Young-Adult",B989&lt;41,"Adult",B989&lt;61,"Middle-aged",B989&gt;=61,"Senior")</f>
        <v>Senior</v>
      </c>
      <c r="S989" cm="1">
        <f t="array" ref="S989">_xlfn.IFS(Q989 ="Fortnightly",14,Q989="Weekly",7,Q989="Monthly",30,Q989="Quarterly",90,Q989="Bi-Weekly",14,Q989="Annually",365,Q989="Every 3 Months",90,TRUE,"NOT FOUND")</f>
        <v>7</v>
      </c>
    </row>
    <row r="990" spans="1:19" x14ac:dyDescent="0.35">
      <c r="A990">
        <v>989</v>
      </c>
      <c r="B990">
        <v>50</v>
      </c>
      <c r="C990" t="s">
        <v>7</v>
      </c>
      <c r="D990" t="s">
        <v>83</v>
      </c>
      <c r="E990" t="s">
        <v>9</v>
      </c>
      <c r="F990">
        <v>84</v>
      </c>
      <c r="G990" t="s">
        <v>111</v>
      </c>
      <c r="H990" t="s">
        <v>32</v>
      </c>
      <c r="I990" t="s">
        <v>109</v>
      </c>
      <c r="J990" t="s">
        <v>13</v>
      </c>
      <c r="K990">
        <v>4.9000000000000004</v>
      </c>
      <c r="L990" t="s">
        <v>14</v>
      </c>
      <c r="M990" t="s">
        <v>58</v>
      </c>
      <c r="N990" t="s">
        <v>14</v>
      </c>
      <c r="O990">
        <v>47</v>
      </c>
      <c r="P990" t="s">
        <v>34</v>
      </c>
      <c r="Q990" t="s">
        <v>17</v>
      </c>
      <c r="R990" t="str" cm="1">
        <f t="array" ref="R990">_xlfn.IFS(B990&lt;31,"Young-Adult",B990&lt;41,"Adult",B990&lt;61,"Middle-aged",B990&gt;=61,"Senior")</f>
        <v>Middle-aged</v>
      </c>
      <c r="S990" cm="1">
        <f t="array" ref="S990">_xlfn.IFS(Q990 ="Fortnightly",14,Q990="Weekly",7,Q990="Monthly",30,Q990="Quarterly",90,Q990="Bi-Weekly",14,Q990="Annually",365,Q990="Every 3 Months",90,TRUE,"NOT FOUND")</f>
        <v>14</v>
      </c>
    </row>
    <row r="991" spans="1:19" x14ac:dyDescent="0.35">
      <c r="A991">
        <v>990</v>
      </c>
      <c r="B991">
        <v>70</v>
      </c>
      <c r="C991" t="s">
        <v>7</v>
      </c>
      <c r="D991" t="s">
        <v>59</v>
      </c>
      <c r="E991" t="s">
        <v>30</v>
      </c>
      <c r="F991">
        <v>31</v>
      </c>
      <c r="G991" t="s">
        <v>93</v>
      </c>
      <c r="H991" t="s">
        <v>32</v>
      </c>
      <c r="I991" t="s">
        <v>106</v>
      </c>
      <c r="J991" t="s">
        <v>25</v>
      </c>
      <c r="K991">
        <v>3.1</v>
      </c>
      <c r="L991" t="s">
        <v>14</v>
      </c>
      <c r="M991" t="s">
        <v>62</v>
      </c>
      <c r="N991" t="s">
        <v>14</v>
      </c>
      <c r="O991">
        <v>2</v>
      </c>
      <c r="P991" t="s">
        <v>63</v>
      </c>
      <c r="Q991" t="s">
        <v>76</v>
      </c>
      <c r="R991" t="str" cm="1">
        <f t="array" ref="R991">_xlfn.IFS(B991&lt;31,"Young-Adult",B991&lt;41,"Adult",B991&lt;61,"Middle-aged",B991&gt;=61,"Senior")</f>
        <v>Senior</v>
      </c>
      <c r="S991" cm="1">
        <f t="array" ref="S991">_xlfn.IFS(Q991 ="Fortnightly",14,Q991="Weekly",7,Q991="Monthly",30,Q991="Quarterly",90,Q991="Bi-Weekly",14,Q991="Annually",365,Q991="Every 3 Months",90,TRUE,"NOT FOUND")</f>
        <v>30</v>
      </c>
    </row>
    <row r="992" spans="1:19" x14ac:dyDescent="0.35">
      <c r="A992">
        <v>991</v>
      </c>
      <c r="B992">
        <v>48</v>
      </c>
      <c r="C992" t="s">
        <v>7</v>
      </c>
      <c r="D992" t="s">
        <v>77</v>
      </c>
      <c r="E992" t="s">
        <v>55</v>
      </c>
      <c r="F992">
        <v>63</v>
      </c>
      <c r="G992" t="s">
        <v>137</v>
      </c>
      <c r="H992" t="s">
        <v>24</v>
      </c>
      <c r="I992" t="s">
        <v>122</v>
      </c>
      <c r="J992" t="s">
        <v>25</v>
      </c>
      <c r="K992">
        <v>4.8</v>
      </c>
      <c r="L992" t="s">
        <v>14</v>
      </c>
      <c r="M992" t="s">
        <v>62</v>
      </c>
      <c r="N992" t="s">
        <v>14</v>
      </c>
      <c r="O992">
        <v>24</v>
      </c>
      <c r="P992" t="s">
        <v>21</v>
      </c>
      <c r="Q992" t="s">
        <v>28</v>
      </c>
      <c r="R992" t="str" cm="1">
        <f t="array" ref="R992">_xlfn.IFS(B992&lt;31,"Young-Adult",B992&lt;41,"Adult",B992&lt;61,"Middle-aged",B992&gt;=61,"Senior")</f>
        <v>Middle-aged</v>
      </c>
      <c r="S992" cm="1">
        <f t="array" ref="S992">_xlfn.IFS(Q992 ="Fortnightly",14,Q992="Weekly",7,Q992="Monthly",30,Q992="Quarterly",90,Q992="Bi-Weekly",14,Q992="Annually",365,Q992="Every 3 Months",90,TRUE,"NOT FOUND")</f>
        <v>7</v>
      </c>
    </row>
    <row r="993" spans="1:19" x14ac:dyDescent="0.35">
      <c r="A993">
        <v>992</v>
      </c>
      <c r="B993">
        <v>20</v>
      </c>
      <c r="C993" t="s">
        <v>7</v>
      </c>
      <c r="D993" t="s">
        <v>47</v>
      </c>
      <c r="E993" t="s">
        <v>9</v>
      </c>
      <c r="F993">
        <v>97</v>
      </c>
      <c r="G993" t="s">
        <v>138</v>
      </c>
      <c r="H993" t="s">
        <v>80</v>
      </c>
      <c r="I993" t="s">
        <v>40</v>
      </c>
      <c r="J993" t="s">
        <v>25</v>
      </c>
      <c r="K993">
        <v>2.7</v>
      </c>
      <c r="L993" t="s">
        <v>14</v>
      </c>
      <c r="M993" t="s">
        <v>42</v>
      </c>
      <c r="N993" t="s">
        <v>14</v>
      </c>
      <c r="O993">
        <v>40</v>
      </c>
      <c r="P993" t="s">
        <v>63</v>
      </c>
      <c r="Q993" t="s">
        <v>64</v>
      </c>
      <c r="R993" t="str" cm="1">
        <f t="array" ref="R993">_xlfn.IFS(B993&lt;31,"Young-Adult",B993&lt;41,"Adult",B993&lt;61,"Middle-aged",B993&gt;=61,"Senior")</f>
        <v>Young-Adult</v>
      </c>
      <c r="S993" cm="1">
        <f t="array" ref="S993">_xlfn.IFS(Q993 ="Fortnightly",14,Q993="Weekly",7,Q993="Monthly",30,Q993="Quarterly",90,Q993="Bi-Weekly",14,Q993="Annually",365,Q993="Every 3 Months",90,TRUE,"NOT FOUND")</f>
        <v>14</v>
      </c>
    </row>
    <row r="994" spans="1:19" x14ac:dyDescent="0.35">
      <c r="A994">
        <v>993</v>
      </c>
      <c r="B994">
        <v>46</v>
      </c>
      <c r="C994" t="s">
        <v>7</v>
      </c>
      <c r="D994" t="s">
        <v>90</v>
      </c>
      <c r="E994" t="s">
        <v>51</v>
      </c>
      <c r="F994">
        <v>99</v>
      </c>
      <c r="G994" t="s">
        <v>48</v>
      </c>
      <c r="H994" t="s">
        <v>32</v>
      </c>
      <c r="I994" t="s">
        <v>12</v>
      </c>
      <c r="J994" t="s">
        <v>13</v>
      </c>
      <c r="K994">
        <v>4.5999999999999996</v>
      </c>
      <c r="L994" t="s">
        <v>14</v>
      </c>
      <c r="M994" t="s">
        <v>15</v>
      </c>
      <c r="N994" t="s">
        <v>14</v>
      </c>
      <c r="O994">
        <v>50</v>
      </c>
      <c r="P994" t="s">
        <v>74</v>
      </c>
      <c r="Q994" t="s">
        <v>28</v>
      </c>
      <c r="R994" t="str" cm="1">
        <f t="array" ref="R994">_xlfn.IFS(B994&lt;31,"Young-Adult",B994&lt;41,"Adult",B994&lt;61,"Middle-aged",B994&gt;=61,"Senior")</f>
        <v>Middle-aged</v>
      </c>
      <c r="S994" cm="1">
        <f t="array" ref="S994">_xlfn.IFS(Q994 ="Fortnightly",14,Q994="Weekly",7,Q994="Monthly",30,Q994="Quarterly",90,Q994="Bi-Weekly",14,Q994="Annually",365,Q994="Every 3 Months",90,TRUE,"NOT FOUND")</f>
        <v>7</v>
      </c>
    </row>
    <row r="995" spans="1:19" x14ac:dyDescent="0.35">
      <c r="A995">
        <v>994</v>
      </c>
      <c r="B995">
        <v>51</v>
      </c>
      <c r="C995" t="s">
        <v>7</v>
      </c>
      <c r="D995" t="s">
        <v>29</v>
      </c>
      <c r="E995" t="s">
        <v>30</v>
      </c>
      <c r="F995">
        <v>90</v>
      </c>
      <c r="G995" t="s">
        <v>134</v>
      </c>
      <c r="H995" t="s">
        <v>32</v>
      </c>
      <c r="I995" t="s">
        <v>88</v>
      </c>
      <c r="J995" t="s">
        <v>13</v>
      </c>
      <c r="K995">
        <v>4.4000000000000004</v>
      </c>
      <c r="L995" t="s">
        <v>14</v>
      </c>
      <c r="M995" t="s">
        <v>62</v>
      </c>
      <c r="N995" t="s">
        <v>14</v>
      </c>
      <c r="O995">
        <v>25</v>
      </c>
      <c r="P995" t="s">
        <v>21</v>
      </c>
      <c r="Q995" t="s">
        <v>28</v>
      </c>
      <c r="R995" t="str" cm="1">
        <f t="array" ref="R995">_xlfn.IFS(B995&lt;31,"Young-Adult",B995&lt;41,"Adult",B995&lt;61,"Middle-aged",B995&gt;=61,"Senior")</f>
        <v>Middle-aged</v>
      </c>
      <c r="S995" cm="1">
        <f t="array" ref="S995">_xlfn.IFS(Q995 ="Fortnightly",14,Q995="Weekly",7,Q995="Monthly",30,Q995="Quarterly",90,Q995="Bi-Weekly",14,Q995="Annually",365,Q995="Every 3 Months",90,TRUE,"NOT FOUND")</f>
        <v>7</v>
      </c>
    </row>
    <row r="996" spans="1:19" x14ac:dyDescent="0.35">
      <c r="A996">
        <v>995</v>
      </c>
      <c r="B996">
        <v>53</v>
      </c>
      <c r="C996" t="s">
        <v>7</v>
      </c>
      <c r="D996" t="s">
        <v>59</v>
      </c>
      <c r="E996" t="s">
        <v>30</v>
      </c>
      <c r="F996">
        <v>68</v>
      </c>
      <c r="G996" t="s">
        <v>72</v>
      </c>
      <c r="H996" t="s">
        <v>11</v>
      </c>
      <c r="I996" t="s">
        <v>71</v>
      </c>
      <c r="J996" t="s">
        <v>45</v>
      </c>
      <c r="K996">
        <v>3.2</v>
      </c>
      <c r="L996" t="s">
        <v>14</v>
      </c>
      <c r="M996" t="s">
        <v>15</v>
      </c>
      <c r="N996" t="s">
        <v>14</v>
      </c>
      <c r="O996">
        <v>20</v>
      </c>
      <c r="P996" t="s">
        <v>74</v>
      </c>
      <c r="Q996" t="s">
        <v>76</v>
      </c>
      <c r="R996" t="str" cm="1">
        <f t="array" ref="R996">_xlfn.IFS(B996&lt;31,"Young-Adult",B996&lt;41,"Adult",B996&lt;61,"Middle-aged",B996&gt;=61,"Senior")</f>
        <v>Middle-aged</v>
      </c>
      <c r="S996" cm="1">
        <f t="array" ref="S996">_xlfn.IFS(Q996 ="Fortnightly",14,Q996="Weekly",7,Q996="Monthly",30,Q996="Quarterly",90,Q996="Bi-Weekly",14,Q996="Annually",365,Q996="Every 3 Months",90,TRUE,"NOT FOUND")</f>
        <v>30</v>
      </c>
    </row>
    <row r="997" spans="1:19" x14ac:dyDescent="0.35">
      <c r="A997">
        <v>996</v>
      </c>
      <c r="B997">
        <v>44</v>
      </c>
      <c r="C997" t="s">
        <v>7</v>
      </c>
      <c r="D997" t="s">
        <v>94</v>
      </c>
      <c r="E997" t="s">
        <v>55</v>
      </c>
      <c r="F997">
        <v>80</v>
      </c>
      <c r="G997" t="s">
        <v>123</v>
      </c>
      <c r="H997" t="s">
        <v>32</v>
      </c>
      <c r="I997" t="s">
        <v>124</v>
      </c>
      <c r="J997" t="s">
        <v>25</v>
      </c>
      <c r="K997">
        <v>3</v>
      </c>
      <c r="L997" t="s">
        <v>14</v>
      </c>
      <c r="M997" t="s">
        <v>58</v>
      </c>
      <c r="N997" t="s">
        <v>14</v>
      </c>
      <c r="O997">
        <v>10</v>
      </c>
      <c r="P997" t="s">
        <v>16</v>
      </c>
      <c r="Q997" t="s">
        <v>28</v>
      </c>
      <c r="R997" t="str" cm="1">
        <f t="array" ref="R997">_xlfn.IFS(B997&lt;31,"Young-Adult",B997&lt;41,"Adult",B997&lt;61,"Middle-aged",B997&gt;=61,"Senior")</f>
        <v>Middle-aged</v>
      </c>
      <c r="S997" cm="1">
        <f t="array" ref="S997">_xlfn.IFS(Q997 ="Fortnightly",14,Q997="Weekly",7,Q997="Monthly",30,Q997="Quarterly",90,Q997="Bi-Weekly",14,Q997="Annually",365,Q997="Every 3 Months",90,TRUE,"NOT FOUND")</f>
        <v>7</v>
      </c>
    </row>
    <row r="998" spans="1:19" x14ac:dyDescent="0.35">
      <c r="A998">
        <v>997</v>
      </c>
      <c r="B998">
        <v>29</v>
      </c>
      <c r="C998" t="s">
        <v>7</v>
      </c>
      <c r="D998" t="s">
        <v>29</v>
      </c>
      <c r="E998" t="s">
        <v>30</v>
      </c>
      <c r="F998">
        <v>91</v>
      </c>
      <c r="G998" t="s">
        <v>67</v>
      </c>
      <c r="H998" t="s">
        <v>11</v>
      </c>
      <c r="I998" t="s">
        <v>20</v>
      </c>
      <c r="J998" t="s">
        <v>41</v>
      </c>
      <c r="K998">
        <v>4.9000000000000004</v>
      </c>
      <c r="L998" t="s">
        <v>14</v>
      </c>
      <c r="M998" t="s">
        <v>42</v>
      </c>
      <c r="N998" t="s">
        <v>14</v>
      </c>
      <c r="O998">
        <v>32</v>
      </c>
      <c r="P998" t="s">
        <v>63</v>
      </c>
      <c r="Q998" t="s">
        <v>46</v>
      </c>
      <c r="R998" t="str" cm="1">
        <f t="array" ref="R998">_xlfn.IFS(B998&lt;31,"Young-Adult",B998&lt;41,"Adult",B998&lt;61,"Middle-aged",B998&gt;=61,"Senior")</f>
        <v>Young-Adult</v>
      </c>
      <c r="S998" cm="1">
        <f t="array" ref="S998">_xlfn.IFS(Q998 ="Fortnightly",14,Q998="Weekly",7,Q998="Monthly",30,Q998="Quarterly",90,Q998="Bi-Weekly",14,Q998="Annually",365,Q998="Every 3 Months",90,TRUE,"NOT FOUND")</f>
        <v>90</v>
      </c>
    </row>
    <row r="999" spans="1:19" x14ac:dyDescent="0.35">
      <c r="A999">
        <v>998</v>
      </c>
      <c r="B999">
        <v>64</v>
      </c>
      <c r="C999" t="s">
        <v>7</v>
      </c>
      <c r="D999" t="s">
        <v>83</v>
      </c>
      <c r="E999" t="s">
        <v>9</v>
      </c>
      <c r="F999">
        <v>30</v>
      </c>
      <c r="G999" t="s">
        <v>10</v>
      </c>
      <c r="H999" t="s">
        <v>32</v>
      </c>
      <c r="I999" t="s">
        <v>97</v>
      </c>
      <c r="J999" t="s">
        <v>25</v>
      </c>
      <c r="K999">
        <v>3.6</v>
      </c>
      <c r="L999" t="s">
        <v>14</v>
      </c>
      <c r="M999" t="s">
        <v>15</v>
      </c>
      <c r="N999" t="s">
        <v>14</v>
      </c>
      <c r="O999">
        <v>31</v>
      </c>
      <c r="P999" t="s">
        <v>21</v>
      </c>
      <c r="Q999" t="s">
        <v>17</v>
      </c>
      <c r="R999" t="str" cm="1">
        <f t="array" ref="R999">_xlfn.IFS(B999&lt;31,"Young-Adult",B999&lt;41,"Adult",B999&lt;61,"Middle-aged",B999&gt;=61,"Senior")</f>
        <v>Senior</v>
      </c>
      <c r="S999" cm="1">
        <f t="array" ref="S999">_xlfn.IFS(Q999 ="Fortnightly",14,Q999="Weekly",7,Q999="Monthly",30,Q999="Quarterly",90,Q999="Bi-Weekly",14,Q999="Annually",365,Q999="Every 3 Months",90,TRUE,"NOT FOUND")</f>
        <v>14</v>
      </c>
    </row>
    <row r="1000" spans="1:19" x14ac:dyDescent="0.35">
      <c r="A1000">
        <v>999</v>
      </c>
      <c r="B1000">
        <v>51</v>
      </c>
      <c r="C1000" t="s">
        <v>7</v>
      </c>
      <c r="D1000" t="s">
        <v>59</v>
      </c>
      <c r="E1000" t="s">
        <v>30</v>
      </c>
      <c r="F1000">
        <v>90</v>
      </c>
      <c r="G1000" t="s">
        <v>127</v>
      </c>
      <c r="H1000" t="s">
        <v>32</v>
      </c>
      <c r="I1000" t="s">
        <v>40</v>
      </c>
      <c r="J1000" t="s">
        <v>25</v>
      </c>
      <c r="K1000">
        <v>3.8</v>
      </c>
      <c r="L1000" t="s">
        <v>14</v>
      </c>
      <c r="M1000" t="s">
        <v>33</v>
      </c>
      <c r="N1000" t="s">
        <v>14</v>
      </c>
      <c r="O1000">
        <v>48</v>
      </c>
      <c r="P1000" t="s">
        <v>63</v>
      </c>
      <c r="Q1000" t="s">
        <v>64</v>
      </c>
      <c r="R1000" t="str" cm="1">
        <f t="array" ref="R1000">_xlfn.IFS(B1000&lt;31,"Young-Adult",B1000&lt;41,"Adult",B1000&lt;61,"Middle-aged",B1000&gt;=61,"Senior")</f>
        <v>Middle-aged</v>
      </c>
      <c r="S1000" cm="1">
        <f t="array" ref="S1000">_xlfn.IFS(Q1000 ="Fortnightly",14,Q1000="Weekly",7,Q1000="Monthly",30,Q1000="Quarterly",90,Q1000="Bi-Weekly",14,Q1000="Annually",365,Q1000="Every 3 Months",90,TRUE,"NOT FOUND")</f>
        <v>14</v>
      </c>
    </row>
    <row r="1001" spans="1:19" x14ac:dyDescent="0.35">
      <c r="A1001">
        <v>1000</v>
      </c>
      <c r="B1001">
        <v>50</v>
      </c>
      <c r="C1001" t="s">
        <v>7</v>
      </c>
      <c r="D1001" t="s">
        <v>113</v>
      </c>
      <c r="E1001" t="s">
        <v>9</v>
      </c>
      <c r="F1001">
        <v>28</v>
      </c>
      <c r="G1001" t="s">
        <v>118</v>
      </c>
      <c r="H1001" t="s">
        <v>11</v>
      </c>
      <c r="I1001" t="s">
        <v>98</v>
      </c>
      <c r="J1001" t="s">
        <v>25</v>
      </c>
      <c r="K1001">
        <v>2.9</v>
      </c>
      <c r="L1001" t="s">
        <v>14</v>
      </c>
      <c r="M1001" t="s">
        <v>42</v>
      </c>
      <c r="N1001" t="s">
        <v>14</v>
      </c>
      <c r="O1001">
        <v>23</v>
      </c>
      <c r="P1001" t="s">
        <v>74</v>
      </c>
      <c r="Q1001" t="s">
        <v>76</v>
      </c>
      <c r="R1001" t="str" cm="1">
        <f t="array" ref="R1001">_xlfn.IFS(B1001&lt;31,"Young-Adult",B1001&lt;41,"Adult",B1001&lt;61,"Middle-aged",B1001&gt;=61,"Senior")</f>
        <v>Middle-aged</v>
      </c>
      <c r="S1001" cm="1">
        <f t="array" ref="S1001">_xlfn.IFS(Q1001 ="Fortnightly",14,Q1001="Weekly",7,Q1001="Monthly",30,Q1001="Quarterly",90,Q1001="Bi-Weekly",14,Q1001="Annually",365,Q1001="Every 3 Months",90,TRUE,"NOT FOUND")</f>
        <v>30</v>
      </c>
    </row>
    <row r="1002" spans="1:19" x14ac:dyDescent="0.35">
      <c r="A1002">
        <v>1001</v>
      </c>
      <c r="B1002">
        <v>43</v>
      </c>
      <c r="C1002" t="s">
        <v>7</v>
      </c>
      <c r="D1002" t="s">
        <v>113</v>
      </c>
      <c r="E1002" t="s">
        <v>9</v>
      </c>
      <c r="F1002">
        <v>46</v>
      </c>
      <c r="G1002" t="s">
        <v>130</v>
      </c>
      <c r="H1002" t="s">
        <v>32</v>
      </c>
      <c r="I1002" t="s">
        <v>96</v>
      </c>
      <c r="J1002" t="s">
        <v>13</v>
      </c>
      <c r="K1002">
        <v>3.9</v>
      </c>
      <c r="L1002" t="s">
        <v>14</v>
      </c>
      <c r="M1002" t="s">
        <v>15</v>
      </c>
      <c r="N1002" t="s">
        <v>14</v>
      </c>
      <c r="O1002">
        <v>1</v>
      </c>
      <c r="P1002" t="s">
        <v>63</v>
      </c>
      <c r="Q1002" t="s">
        <v>64</v>
      </c>
      <c r="R1002" t="str" cm="1">
        <f t="array" ref="R1002">_xlfn.IFS(B1002&lt;31,"Young-Adult",B1002&lt;41,"Adult",B1002&lt;61,"Middle-aged",B1002&gt;=61,"Senior")</f>
        <v>Middle-aged</v>
      </c>
      <c r="S1002" cm="1">
        <f t="array" ref="S1002">_xlfn.IFS(Q1002 ="Fortnightly",14,Q1002="Weekly",7,Q1002="Monthly",30,Q1002="Quarterly",90,Q1002="Bi-Weekly",14,Q1002="Annually",365,Q1002="Every 3 Months",90,TRUE,"NOT FOUND")</f>
        <v>14</v>
      </c>
    </row>
    <row r="1003" spans="1:19" x14ac:dyDescent="0.35">
      <c r="A1003">
        <v>1002</v>
      </c>
      <c r="B1003">
        <v>61</v>
      </c>
      <c r="C1003" t="s">
        <v>7</v>
      </c>
      <c r="D1003" t="s">
        <v>69</v>
      </c>
      <c r="E1003" t="s">
        <v>9</v>
      </c>
      <c r="F1003">
        <v>60</v>
      </c>
      <c r="G1003" t="s">
        <v>137</v>
      </c>
      <c r="H1003" t="s">
        <v>32</v>
      </c>
      <c r="I1003" t="s">
        <v>109</v>
      </c>
      <c r="J1003" t="s">
        <v>45</v>
      </c>
      <c r="K1003">
        <v>3.6</v>
      </c>
      <c r="L1003" t="s">
        <v>14</v>
      </c>
      <c r="M1003" t="s">
        <v>42</v>
      </c>
      <c r="N1003" t="s">
        <v>14</v>
      </c>
      <c r="O1003">
        <v>4</v>
      </c>
      <c r="P1003" t="s">
        <v>74</v>
      </c>
      <c r="Q1003" t="s">
        <v>17</v>
      </c>
      <c r="R1003" t="str" cm="1">
        <f t="array" ref="R1003">_xlfn.IFS(B1003&lt;31,"Young-Adult",B1003&lt;41,"Adult",B1003&lt;61,"Middle-aged",B1003&gt;=61,"Senior")</f>
        <v>Senior</v>
      </c>
      <c r="S1003" cm="1">
        <f t="array" ref="S1003">_xlfn.IFS(Q1003 ="Fortnightly",14,Q1003="Weekly",7,Q1003="Monthly",30,Q1003="Quarterly",90,Q1003="Bi-Weekly",14,Q1003="Annually",365,Q1003="Every 3 Months",90,TRUE,"NOT FOUND")</f>
        <v>14</v>
      </c>
    </row>
    <row r="1004" spans="1:19" x14ac:dyDescent="0.35">
      <c r="A1004">
        <v>1003</v>
      </c>
      <c r="B1004">
        <v>55</v>
      </c>
      <c r="C1004" t="s">
        <v>7</v>
      </c>
      <c r="D1004" t="s">
        <v>59</v>
      </c>
      <c r="E1004" t="s">
        <v>30</v>
      </c>
      <c r="F1004">
        <v>59</v>
      </c>
      <c r="G1004" t="s">
        <v>102</v>
      </c>
      <c r="H1004" t="s">
        <v>32</v>
      </c>
      <c r="I1004" t="s">
        <v>40</v>
      </c>
      <c r="J1004" t="s">
        <v>25</v>
      </c>
      <c r="K1004">
        <v>3.5</v>
      </c>
      <c r="L1004" t="s">
        <v>14</v>
      </c>
      <c r="M1004" t="s">
        <v>62</v>
      </c>
      <c r="N1004" t="s">
        <v>14</v>
      </c>
      <c r="O1004">
        <v>3</v>
      </c>
      <c r="P1004" t="s">
        <v>63</v>
      </c>
      <c r="Q1004" t="s">
        <v>64</v>
      </c>
      <c r="R1004" t="str" cm="1">
        <f t="array" ref="R1004">_xlfn.IFS(B1004&lt;31,"Young-Adult",B1004&lt;41,"Adult",B1004&lt;61,"Middle-aged",B1004&gt;=61,"Senior")</f>
        <v>Middle-aged</v>
      </c>
      <c r="S1004" cm="1">
        <f t="array" ref="S1004">_xlfn.IFS(Q1004 ="Fortnightly",14,Q1004="Weekly",7,Q1004="Monthly",30,Q1004="Quarterly",90,Q1004="Bi-Weekly",14,Q1004="Annually",365,Q1004="Every 3 Months",90,TRUE,"NOT FOUND")</f>
        <v>14</v>
      </c>
    </row>
    <row r="1005" spans="1:19" x14ac:dyDescent="0.35">
      <c r="A1005">
        <v>1004</v>
      </c>
      <c r="B1005">
        <v>56</v>
      </c>
      <c r="C1005" t="s">
        <v>7</v>
      </c>
      <c r="D1005" t="s">
        <v>112</v>
      </c>
      <c r="E1005" t="s">
        <v>55</v>
      </c>
      <c r="F1005">
        <v>68</v>
      </c>
      <c r="G1005" t="s">
        <v>111</v>
      </c>
      <c r="H1005" t="s">
        <v>32</v>
      </c>
      <c r="I1005" t="s">
        <v>84</v>
      </c>
      <c r="J1005" t="s">
        <v>45</v>
      </c>
      <c r="K1005">
        <v>4</v>
      </c>
      <c r="L1005" t="s">
        <v>14</v>
      </c>
      <c r="M1005" t="s">
        <v>62</v>
      </c>
      <c r="N1005" t="s">
        <v>14</v>
      </c>
      <c r="O1005">
        <v>3</v>
      </c>
      <c r="P1005" t="s">
        <v>21</v>
      </c>
      <c r="Q1005" t="s">
        <v>64</v>
      </c>
      <c r="R1005" t="str" cm="1">
        <f t="array" ref="R1005">_xlfn.IFS(B1005&lt;31,"Young-Adult",B1005&lt;41,"Adult",B1005&lt;61,"Middle-aged",B1005&gt;=61,"Senior")</f>
        <v>Middle-aged</v>
      </c>
      <c r="S1005" cm="1">
        <f t="array" ref="S1005">_xlfn.IFS(Q1005 ="Fortnightly",14,Q1005="Weekly",7,Q1005="Monthly",30,Q1005="Quarterly",90,Q1005="Bi-Weekly",14,Q1005="Annually",365,Q1005="Every 3 Months",90,TRUE,"NOT FOUND")</f>
        <v>14</v>
      </c>
    </row>
    <row r="1006" spans="1:19" x14ac:dyDescent="0.35">
      <c r="A1006">
        <v>1005</v>
      </c>
      <c r="B1006">
        <v>33</v>
      </c>
      <c r="C1006" t="s">
        <v>7</v>
      </c>
      <c r="D1006" t="s">
        <v>120</v>
      </c>
      <c r="E1006" t="s">
        <v>55</v>
      </c>
      <c r="F1006">
        <v>79</v>
      </c>
      <c r="G1006" t="s">
        <v>110</v>
      </c>
      <c r="H1006" t="s">
        <v>32</v>
      </c>
      <c r="I1006" t="s">
        <v>82</v>
      </c>
      <c r="J1006" t="s">
        <v>41</v>
      </c>
      <c r="K1006">
        <v>4.8</v>
      </c>
      <c r="L1006" t="s">
        <v>14</v>
      </c>
      <c r="M1006" t="s">
        <v>58</v>
      </c>
      <c r="N1006" t="s">
        <v>14</v>
      </c>
      <c r="O1006">
        <v>44</v>
      </c>
      <c r="P1006" t="s">
        <v>21</v>
      </c>
      <c r="Q1006" t="s">
        <v>37</v>
      </c>
      <c r="R1006" t="str" cm="1">
        <f t="array" ref="R1006">_xlfn.IFS(B1006&lt;31,"Young-Adult",B1006&lt;41,"Adult",B1006&lt;61,"Middle-aged",B1006&gt;=61,"Senior")</f>
        <v>Adult</v>
      </c>
      <c r="S1006" cm="1">
        <f t="array" ref="S1006">_xlfn.IFS(Q1006 ="Fortnightly",14,Q1006="Weekly",7,Q1006="Monthly",30,Q1006="Quarterly",90,Q1006="Bi-Weekly",14,Q1006="Annually",365,Q1006="Every 3 Months",90,TRUE,"NOT FOUND")</f>
        <v>365</v>
      </c>
    </row>
    <row r="1007" spans="1:19" x14ac:dyDescent="0.35">
      <c r="A1007">
        <v>1006</v>
      </c>
      <c r="B1007">
        <v>43</v>
      </c>
      <c r="C1007" t="s">
        <v>7</v>
      </c>
      <c r="D1007" t="s">
        <v>120</v>
      </c>
      <c r="E1007" t="s">
        <v>55</v>
      </c>
      <c r="F1007">
        <v>94</v>
      </c>
      <c r="G1007" t="s">
        <v>72</v>
      </c>
      <c r="H1007" t="s">
        <v>32</v>
      </c>
      <c r="I1007" t="s">
        <v>68</v>
      </c>
      <c r="J1007" t="s">
        <v>13</v>
      </c>
      <c r="K1007">
        <v>3.9</v>
      </c>
      <c r="L1007" t="s">
        <v>14</v>
      </c>
      <c r="M1007" t="s">
        <v>62</v>
      </c>
      <c r="N1007" t="s">
        <v>14</v>
      </c>
      <c r="O1007">
        <v>5</v>
      </c>
      <c r="P1007" t="s">
        <v>74</v>
      </c>
      <c r="Q1007" t="s">
        <v>64</v>
      </c>
      <c r="R1007" t="str" cm="1">
        <f t="array" ref="R1007">_xlfn.IFS(B1007&lt;31,"Young-Adult",B1007&lt;41,"Adult",B1007&lt;61,"Middle-aged",B1007&gt;=61,"Senior")</f>
        <v>Middle-aged</v>
      </c>
      <c r="S1007" cm="1">
        <f t="array" ref="S1007">_xlfn.IFS(Q1007 ="Fortnightly",14,Q1007="Weekly",7,Q1007="Monthly",30,Q1007="Quarterly",90,Q1007="Bi-Weekly",14,Q1007="Annually",365,Q1007="Every 3 Months",90,TRUE,"NOT FOUND")</f>
        <v>14</v>
      </c>
    </row>
    <row r="1008" spans="1:19" x14ac:dyDescent="0.35">
      <c r="A1008">
        <v>1007</v>
      </c>
      <c r="B1008">
        <v>21</v>
      </c>
      <c r="C1008" t="s">
        <v>7</v>
      </c>
      <c r="D1008" t="s">
        <v>83</v>
      </c>
      <c r="E1008" t="s">
        <v>9</v>
      </c>
      <c r="F1008">
        <v>83</v>
      </c>
      <c r="G1008" t="s">
        <v>139</v>
      </c>
      <c r="H1008" t="s">
        <v>24</v>
      </c>
      <c r="I1008" t="s">
        <v>81</v>
      </c>
      <c r="J1008" t="s">
        <v>41</v>
      </c>
      <c r="K1008">
        <v>4.5</v>
      </c>
      <c r="L1008" t="s">
        <v>14</v>
      </c>
      <c r="M1008" t="s">
        <v>33</v>
      </c>
      <c r="N1008" t="s">
        <v>14</v>
      </c>
      <c r="O1008">
        <v>50</v>
      </c>
      <c r="P1008" t="s">
        <v>16</v>
      </c>
      <c r="Q1008" t="s">
        <v>46</v>
      </c>
      <c r="R1008" t="str" cm="1">
        <f t="array" ref="R1008">_xlfn.IFS(B1008&lt;31,"Young-Adult",B1008&lt;41,"Adult",B1008&lt;61,"Middle-aged",B1008&gt;=61,"Senior")</f>
        <v>Young-Adult</v>
      </c>
      <c r="S1008" cm="1">
        <f t="array" ref="S1008">_xlfn.IFS(Q1008 ="Fortnightly",14,Q1008="Weekly",7,Q1008="Monthly",30,Q1008="Quarterly",90,Q1008="Bi-Weekly",14,Q1008="Annually",365,Q1008="Every 3 Months",90,TRUE,"NOT FOUND")</f>
        <v>90</v>
      </c>
    </row>
    <row r="1009" spans="1:19" x14ac:dyDescent="0.35">
      <c r="A1009">
        <v>1008</v>
      </c>
      <c r="B1009">
        <v>58</v>
      </c>
      <c r="C1009" t="s">
        <v>7</v>
      </c>
      <c r="D1009" t="s">
        <v>131</v>
      </c>
      <c r="E1009" t="s">
        <v>55</v>
      </c>
      <c r="F1009">
        <v>62</v>
      </c>
      <c r="G1009" t="s">
        <v>130</v>
      </c>
      <c r="H1009" t="s">
        <v>80</v>
      </c>
      <c r="I1009" t="s">
        <v>36</v>
      </c>
      <c r="J1009" t="s">
        <v>25</v>
      </c>
      <c r="K1009">
        <v>4.8</v>
      </c>
      <c r="L1009" t="s">
        <v>14</v>
      </c>
      <c r="M1009" t="s">
        <v>42</v>
      </c>
      <c r="N1009" t="s">
        <v>14</v>
      </c>
      <c r="O1009">
        <v>2</v>
      </c>
      <c r="P1009" t="s">
        <v>27</v>
      </c>
      <c r="Q1009" t="s">
        <v>37</v>
      </c>
      <c r="R1009" t="str" cm="1">
        <f t="array" ref="R1009">_xlfn.IFS(B1009&lt;31,"Young-Adult",B1009&lt;41,"Adult",B1009&lt;61,"Middle-aged",B1009&gt;=61,"Senior")</f>
        <v>Middle-aged</v>
      </c>
      <c r="S1009" cm="1">
        <f t="array" ref="S1009">_xlfn.IFS(Q1009 ="Fortnightly",14,Q1009="Weekly",7,Q1009="Monthly",30,Q1009="Quarterly",90,Q1009="Bi-Weekly",14,Q1009="Annually",365,Q1009="Every 3 Months",90,TRUE,"NOT FOUND")</f>
        <v>365</v>
      </c>
    </row>
    <row r="1010" spans="1:19" x14ac:dyDescent="0.35">
      <c r="A1010">
        <v>1009</v>
      </c>
      <c r="B1010">
        <v>41</v>
      </c>
      <c r="C1010" t="s">
        <v>7</v>
      </c>
      <c r="D1010" t="s">
        <v>107</v>
      </c>
      <c r="E1010" t="s">
        <v>55</v>
      </c>
      <c r="F1010">
        <v>85</v>
      </c>
      <c r="G1010" t="s">
        <v>118</v>
      </c>
      <c r="H1010" t="s">
        <v>32</v>
      </c>
      <c r="I1010" t="s">
        <v>57</v>
      </c>
      <c r="J1010" t="s">
        <v>25</v>
      </c>
      <c r="K1010">
        <v>2.6</v>
      </c>
      <c r="L1010" t="s">
        <v>14</v>
      </c>
      <c r="M1010" t="s">
        <v>62</v>
      </c>
      <c r="N1010" t="s">
        <v>14</v>
      </c>
      <c r="O1010">
        <v>29</v>
      </c>
      <c r="P1010" t="s">
        <v>34</v>
      </c>
      <c r="Q1010" t="s">
        <v>37</v>
      </c>
      <c r="R1010" t="str" cm="1">
        <f t="array" ref="R1010">_xlfn.IFS(B1010&lt;31,"Young-Adult",B1010&lt;41,"Adult",B1010&lt;61,"Middle-aged",B1010&gt;=61,"Senior")</f>
        <v>Middle-aged</v>
      </c>
      <c r="S1010" cm="1">
        <f t="array" ref="S1010">_xlfn.IFS(Q1010 ="Fortnightly",14,Q1010="Weekly",7,Q1010="Monthly",30,Q1010="Quarterly",90,Q1010="Bi-Weekly",14,Q1010="Annually",365,Q1010="Every 3 Months",90,TRUE,"NOT FOUND")</f>
        <v>365</v>
      </c>
    </row>
    <row r="1011" spans="1:19" x14ac:dyDescent="0.35">
      <c r="A1011">
        <v>1010</v>
      </c>
      <c r="B1011">
        <v>39</v>
      </c>
      <c r="C1011" t="s">
        <v>7</v>
      </c>
      <c r="D1011" t="s">
        <v>92</v>
      </c>
      <c r="E1011" t="s">
        <v>9</v>
      </c>
      <c r="F1011">
        <v>30</v>
      </c>
      <c r="G1011" t="s">
        <v>48</v>
      </c>
      <c r="H1011" t="s">
        <v>32</v>
      </c>
      <c r="I1011" t="s">
        <v>53</v>
      </c>
      <c r="J1011" t="s">
        <v>41</v>
      </c>
      <c r="K1011">
        <v>3.1</v>
      </c>
      <c r="L1011" t="s">
        <v>14</v>
      </c>
      <c r="M1011" t="s">
        <v>15</v>
      </c>
      <c r="N1011" t="s">
        <v>14</v>
      </c>
      <c r="O1011">
        <v>11</v>
      </c>
      <c r="P1011" t="s">
        <v>16</v>
      </c>
      <c r="Q1011" t="s">
        <v>37</v>
      </c>
      <c r="R1011" t="str" cm="1">
        <f t="array" ref="R1011">_xlfn.IFS(B1011&lt;31,"Young-Adult",B1011&lt;41,"Adult",B1011&lt;61,"Middle-aged",B1011&gt;=61,"Senior")</f>
        <v>Adult</v>
      </c>
      <c r="S1011" cm="1">
        <f t="array" ref="S1011">_xlfn.IFS(Q1011 ="Fortnightly",14,Q1011="Weekly",7,Q1011="Monthly",30,Q1011="Quarterly",90,Q1011="Bi-Weekly",14,Q1011="Annually",365,Q1011="Every 3 Months",90,TRUE,"NOT FOUND")</f>
        <v>365</v>
      </c>
    </row>
    <row r="1012" spans="1:19" x14ac:dyDescent="0.35">
      <c r="A1012">
        <v>1011</v>
      </c>
      <c r="B1012">
        <v>54</v>
      </c>
      <c r="C1012" t="s">
        <v>7</v>
      </c>
      <c r="D1012" t="s">
        <v>22</v>
      </c>
      <c r="E1012" t="s">
        <v>9</v>
      </c>
      <c r="F1012">
        <v>24</v>
      </c>
      <c r="G1012" t="s">
        <v>135</v>
      </c>
      <c r="H1012" t="s">
        <v>80</v>
      </c>
      <c r="I1012" t="s">
        <v>12</v>
      </c>
      <c r="J1012" t="s">
        <v>25</v>
      </c>
      <c r="K1012">
        <v>4.7</v>
      </c>
      <c r="L1012" t="s">
        <v>14</v>
      </c>
      <c r="M1012" t="s">
        <v>58</v>
      </c>
      <c r="N1012" t="s">
        <v>14</v>
      </c>
      <c r="O1012">
        <v>37</v>
      </c>
      <c r="P1012" t="s">
        <v>27</v>
      </c>
      <c r="Q1012" t="s">
        <v>17</v>
      </c>
      <c r="R1012" t="str" cm="1">
        <f t="array" ref="R1012">_xlfn.IFS(B1012&lt;31,"Young-Adult",B1012&lt;41,"Adult",B1012&lt;61,"Middle-aged",B1012&gt;=61,"Senior")</f>
        <v>Middle-aged</v>
      </c>
      <c r="S1012" cm="1">
        <f t="array" ref="S1012">_xlfn.IFS(Q1012 ="Fortnightly",14,Q1012="Weekly",7,Q1012="Monthly",30,Q1012="Quarterly",90,Q1012="Bi-Weekly",14,Q1012="Annually",365,Q1012="Every 3 Months",90,TRUE,"NOT FOUND")</f>
        <v>14</v>
      </c>
    </row>
    <row r="1013" spans="1:19" x14ac:dyDescent="0.35">
      <c r="A1013">
        <v>1012</v>
      </c>
      <c r="B1013">
        <v>43</v>
      </c>
      <c r="C1013" t="s">
        <v>7</v>
      </c>
      <c r="D1013" t="s">
        <v>120</v>
      </c>
      <c r="E1013" t="s">
        <v>55</v>
      </c>
      <c r="F1013">
        <v>25</v>
      </c>
      <c r="G1013" t="s">
        <v>44</v>
      </c>
      <c r="H1013" t="s">
        <v>11</v>
      </c>
      <c r="I1013" t="s">
        <v>114</v>
      </c>
      <c r="J1013" t="s">
        <v>25</v>
      </c>
      <c r="K1013">
        <v>2.9</v>
      </c>
      <c r="L1013" t="s">
        <v>14</v>
      </c>
      <c r="M1013" t="s">
        <v>33</v>
      </c>
      <c r="N1013" t="s">
        <v>14</v>
      </c>
      <c r="O1013">
        <v>32</v>
      </c>
      <c r="P1013" t="s">
        <v>74</v>
      </c>
      <c r="Q1013" t="s">
        <v>17</v>
      </c>
      <c r="R1013" t="str" cm="1">
        <f t="array" ref="R1013">_xlfn.IFS(B1013&lt;31,"Young-Adult",B1013&lt;41,"Adult",B1013&lt;61,"Middle-aged",B1013&gt;=61,"Senior")</f>
        <v>Middle-aged</v>
      </c>
      <c r="S1013" cm="1">
        <f t="array" ref="S1013">_xlfn.IFS(Q1013 ="Fortnightly",14,Q1013="Weekly",7,Q1013="Monthly",30,Q1013="Quarterly",90,Q1013="Bi-Weekly",14,Q1013="Annually",365,Q1013="Every 3 Months",90,TRUE,"NOT FOUND")</f>
        <v>14</v>
      </c>
    </row>
    <row r="1014" spans="1:19" x14ac:dyDescent="0.35">
      <c r="A1014">
        <v>1013</v>
      </c>
      <c r="B1014">
        <v>28</v>
      </c>
      <c r="C1014" t="s">
        <v>7</v>
      </c>
      <c r="D1014" t="s">
        <v>29</v>
      </c>
      <c r="E1014" t="s">
        <v>30</v>
      </c>
      <c r="F1014">
        <v>37</v>
      </c>
      <c r="G1014" t="s">
        <v>118</v>
      </c>
      <c r="H1014" t="s">
        <v>11</v>
      </c>
      <c r="I1014" t="s">
        <v>73</v>
      </c>
      <c r="J1014" t="s">
        <v>41</v>
      </c>
      <c r="K1014">
        <v>3.8</v>
      </c>
      <c r="L1014" t="s">
        <v>14</v>
      </c>
      <c r="M1014" t="s">
        <v>15</v>
      </c>
      <c r="N1014" t="s">
        <v>14</v>
      </c>
      <c r="O1014">
        <v>27</v>
      </c>
      <c r="P1014" t="s">
        <v>27</v>
      </c>
      <c r="Q1014" t="s">
        <v>37</v>
      </c>
      <c r="R1014" t="str" cm="1">
        <f t="array" ref="R1014">_xlfn.IFS(B1014&lt;31,"Young-Adult",B1014&lt;41,"Adult",B1014&lt;61,"Middle-aged",B1014&gt;=61,"Senior")</f>
        <v>Young-Adult</v>
      </c>
      <c r="S1014" cm="1">
        <f t="array" ref="S1014">_xlfn.IFS(Q1014 ="Fortnightly",14,Q1014="Weekly",7,Q1014="Monthly",30,Q1014="Quarterly",90,Q1014="Bi-Weekly",14,Q1014="Annually",365,Q1014="Every 3 Months",90,TRUE,"NOT FOUND")</f>
        <v>365</v>
      </c>
    </row>
    <row r="1015" spans="1:19" x14ac:dyDescent="0.35">
      <c r="A1015">
        <v>1014</v>
      </c>
      <c r="B1015">
        <v>59</v>
      </c>
      <c r="C1015" t="s">
        <v>7</v>
      </c>
      <c r="D1015" t="s">
        <v>121</v>
      </c>
      <c r="E1015" t="s">
        <v>55</v>
      </c>
      <c r="F1015">
        <v>69</v>
      </c>
      <c r="G1015" t="s">
        <v>119</v>
      </c>
      <c r="H1015" t="s">
        <v>80</v>
      </c>
      <c r="I1015" t="s">
        <v>84</v>
      </c>
      <c r="J1015" t="s">
        <v>41</v>
      </c>
      <c r="K1015">
        <v>3.8</v>
      </c>
      <c r="L1015" t="s">
        <v>14</v>
      </c>
      <c r="M1015" t="s">
        <v>58</v>
      </c>
      <c r="N1015" t="s">
        <v>14</v>
      </c>
      <c r="O1015">
        <v>31</v>
      </c>
      <c r="P1015" t="s">
        <v>16</v>
      </c>
      <c r="Q1015" t="s">
        <v>64</v>
      </c>
      <c r="R1015" t="str" cm="1">
        <f t="array" ref="R1015">_xlfn.IFS(B1015&lt;31,"Young-Adult",B1015&lt;41,"Adult",B1015&lt;61,"Middle-aged",B1015&gt;=61,"Senior")</f>
        <v>Middle-aged</v>
      </c>
      <c r="S1015" cm="1">
        <f t="array" ref="S1015">_xlfn.IFS(Q1015 ="Fortnightly",14,Q1015="Weekly",7,Q1015="Monthly",30,Q1015="Quarterly",90,Q1015="Bi-Weekly",14,Q1015="Annually",365,Q1015="Every 3 Months",90,TRUE,"NOT FOUND")</f>
        <v>14</v>
      </c>
    </row>
    <row r="1016" spans="1:19" x14ac:dyDescent="0.35">
      <c r="A1016">
        <v>1015</v>
      </c>
      <c r="B1016">
        <v>28</v>
      </c>
      <c r="C1016" t="s">
        <v>7</v>
      </c>
      <c r="D1016" t="s">
        <v>59</v>
      </c>
      <c r="E1016" t="s">
        <v>30</v>
      </c>
      <c r="F1016">
        <v>97</v>
      </c>
      <c r="G1016" t="s">
        <v>111</v>
      </c>
      <c r="H1016" t="s">
        <v>32</v>
      </c>
      <c r="I1016" t="s">
        <v>71</v>
      </c>
      <c r="J1016" t="s">
        <v>41</v>
      </c>
      <c r="K1016">
        <v>3</v>
      </c>
      <c r="L1016" t="s">
        <v>14</v>
      </c>
      <c r="M1016" t="s">
        <v>42</v>
      </c>
      <c r="N1016" t="s">
        <v>14</v>
      </c>
      <c r="O1016">
        <v>36</v>
      </c>
      <c r="P1016" t="s">
        <v>74</v>
      </c>
      <c r="Q1016" t="s">
        <v>17</v>
      </c>
      <c r="R1016" t="str" cm="1">
        <f t="array" ref="R1016">_xlfn.IFS(B1016&lt;31,"Young-Adult",B1016&lt;41,"Adult",B1016&lt;61,"Middle-aged",B1016&gt;=61,"Senior")</f>
        <v>Young-Adult</v>
      </c>
      <c r="S1016" cm="1">
        <f t="array" ref="S1016">_xlfn.IFS(Q1016 ="Fortnightly",14,Q1016="Weekly",7,Q1016="Monthly",30,Q1016="Quarterly",90,Q1016="Bi-Weekly",14,Q1016="Annually",365,Q1016="Every 3 Months",90,TRUE,"NOT FOUND")</f>
        <v>14</v>
      </c>
    </row>
    <row r="1017" spans="1:19" x14ac:dyDescent="0.35">
      <c r="A1017">
        <v>1016</v>
      </c>
      <c r="B1017">
        <v>68</v>
      </c>
      <c r="C1017" t="s">
        <v>7</v>
      </c>
      <c r="D1017" t="s">
        <v>131</v>
      </c>
      <c r="E1017" t="s">
        <v>55</v>
      </c>
      <c r="F1017">
        <v>24</v>
      </c>
      <c r="G1017" t="s">
        <v>86</v>
      </c>
      <c r="H1017" t="s">
        <v>32</v>
      </c>
      <c r="I1017" t="s">
        <v>97</v>
      </c>
      <c r="J1017" t="s">
        <v>41</v>
      </c>
      <c r="K1017">
        <v>4.0999999999999996</v>
      </c>
      <c r="L1017" t="s">
        <v>14</v>
      </c>
      <c r="M1017" t="s">
        <v>42</v>
      </c>
      <c r="N1017" t="s">
        <v>14</v>
      </c>
      <c r="O1017">
        <v>34</v>
      </c>
      <c r="P1017" t="s">
        <v>21</v>
      </c>
      <c r="Q1017" t="s">
        <v>28</v>
      </c>
      <c r="R1017" t="str" cm="1">
        <f t="array" ref="R1017">_xlfn.IFS(B1017&lt;31,"Young-Adult",B1017&lt;41,"Adult",B1017&lt;61,"Middle-aged",B1017&gt;=61,"Senior")</f>
        <v>Senior</v>
      </c>
      <c r="S1017" cm="1">
        <f t="array" ref="S1017">_xlfn.IFS(Q1017 ="Fortnightly",14,Q1017="Weekly",7,Q1017="Monthly",30,Q1017="Quarterly",90,Q1017="Bi-Weekly",14,Q1017="Annually",365,Q1017="Every 3 Months",90,TRUE,"NOT FOUND")</f>
        <v>7</v>
      </c>
    </row>
    <row r="1018" spans="1:19" x14ac:dyDescent="0.35">
      <c r="A1018">
        <v>1017</v>
      </c>
      <c r="B1018">
        <v>20</v>
      </c>
      <c r="C1018" t="s">
        <v>7</v>
      </c>
      <c r="D1018" t="s">
        <v>121</v>
      </c>
      <c r="E1018" t="s">
        <v>55</v>
      </c>
      <c r="F1018">
        <v>30</v>
      </c>
      <c r="G1018" t="s">
        <v>123</v>
      </c>
      <c r="H1018" t="s">
        <v>80</v>
      </c>
      <c r="I1018" t="s">
        <v>132</v>
      </c>
      <c r="J1018" t="s">
        <v>41</v>
      </c>
      <c r="K1018">
        <v>3.4</v>
      </c>
      <c r="L1018" t="s">
        <v>14</v>
      </c>
      <c r="M1018" t="s">
        <v>15</v>
      </c>
      <c r="N1018" t="s">
        <v>14</v>
      </c>
      <c r="O1018">
        <v>15</v>
      </c>
      <c r="P1018" t="s">
        <v>63</v>
      </c>
      <c r="Q1018" t="s">
        <v>85</v>
      </c>
      <c r="R1018" t="str" cm="1">
        <f t="array" ref="R1018">_xlfn.IFS(B1018&lt;31,"Young-Adult",B1018&lt;41,"Adult",B1018&lt;61,"Middle-aged",B1018&gt;=61,"Senior")</f>
        <v>Young-Adult</v>
      </c>
      <c r="S1018" cm="1">
        <f t="array" ref="S1018">_xlfn.IFS(Q1018 ="Fortnightly",14,Q1018="Weekly",7,Q1018="Monthly",30,Q1018="Quarterly",90,Q1018="Bi-Weekly",14,Q1018="Annually",365,Q1018="Every 3 Months",90,TRUE,"NOT FOUND")</f>
        <v>90</v>
      </c>
    </row>
    <row r="1019" spans="1:19" x14ac:dyDescent="0.35">
      <c r="A1019">
        <v>1018</v>
      </c>
      <c r="B1019">
        <v>21</v>
      </c>
      <c r="C1019" t="s">
        <v>7</v>
      </c>
      <c r="D1019" t="s">
        <v>90</v>
      </c>
      <c r="E1019" t="s">
        <v>51</v>
      </c>
      <c r="F1019">
        <v>53</v>
      </c>
      <c r="G1019" t="s">
        <v>89</v>
      </c>
      <c r="H1019" t="s">
        <v>11</v>
      </c>
      <c r="I1019" t="s">
        <v>109</v>
      </c>
      <c r="J1019" t="s">
        <v>45</v>
      </c>
      <c r="K1019">
        <v>2.5</v>
      </c>
      <c r="L1019" t="s">
        <v>14</v>
      </c>
      <c r="M1019" t="s">
        <v>15</v>
      </c>
      <c r="N1019" t="s">
        <v>14</v>
      </c>
      <c r="O1019">
        <v>14</v>
      </c>
      <c r="P1019" t="s">
        <v>27</v>
      </c>
      <c r="Q1019" t="s">
        <v>37</v>
      </c>
      <c r="R1019" t="str" cm="1">
        <f t="array" ref="R1019">_xlfn.IFS(B1019&lt;31,"Young-Adult",B1019&lt;41,"Adult",B1019&lt;61,"Middle-aged",B1019&gt;=61,"Senior")</f>
        <v>Young-Adult</v>
      </c>
      <c r="S1019" cm="1">
        <f t="array" ref="S1019">_xlfn.IFS(Q1019 ="Fortnightly",14,Q1019="Weekly",7,Q1019="Monthly",30,Q1019="Quarterly",90,Q1019="Bi-Weekly",14,Q1019="Annually",365,Q1019="Every 3 Months",90,TRUE,"NOT FOUND")</f>
        <v>365</v>
      </c>
    </row>
    <row r="1020" spans="1:19" x14ac:dyDescent="0.35">
      <c r="A1020">
        <v>1019</v>
      </c>
      <c r="B1020">
        <v>50</v>
      </c>
      <c r="C1020" t="s">
        <v>7</v>
      </c>
      <c r="D1020" t="s">
        <v>69</v>
      </c>
      <c r="E1020" t="s">
        <v>9</v>
      </c>
      <c r="F1020">
        <v>70</v>
      </c>
      <c r="G1020" t="s">
        <v>130</v>
      </c>
      <c r="H1020" t="s">
        <v>80</v>
      </c>
      <c r="I1020" t="s">
        <v>49</v>
      </c>
      <c r="J1020" t="s">
        <v>25</v>
      </c>
      <c r="K1020">
        <v>4.9000000000000004</v>
      </c>
      <c r="L1020" t="s">
        <v>14</v>
      </c>
      <c r="M1020" t="s">
        <v>33</v>
      </c>
      <c r="N1020" t="s">
        <v>14</v>
      </c>
      <c r="O1020">
        <v>46</v>
      </c>
      <c r="P1020" t="s">
        <v>21</v>
      </c>
      <c r="Q1020" t="s">
        <v>28</v>
      </c>
      <c r="R1020" t="str" cm="1">
        <f t="array" ref="R1020">_xlfn.IFS(B1020&lt;31,"Young-Adult",B1020&lt;41,"Adult",B1020&lt;61,"Middle-aged",B1020&gt;=61,"Senior")</f>
        <v>Middle-aged</v>
      </c>
      <c r="S1020" cm="1">
        <f t="array" ref="S1020">_xlfn.IFS(Q1020 ="Fortnightly",14,Q1020="Weekly",7,Q1020="Monthly",30,Q1020="Quarterly",90,Q1020="Bi-Weekly",14,Q1020="Annually",365,Q1020="Every 3 Months",90,TRUE,"NOT FOUND")</f>
        <v>7</v>
      </c>
    </row>
    <row r="1021" spans="1:19" x14ac:dyDescent="0.35">
      <c r="A1021">
        <v>1020</v>
      </c>
      <c r="B1021">
        <v>32</v>
      </c>
      <c r="C1021" t="s">
        <v>7</v>
      </c>
      <c r="D1021" t="s">
        <v>43</v>
      </c>
      <c r="E1021" t="s">
        <v>9</v>
      </c>
      <c r="F1021">
        <v>76</v>
      </c>
      <c r="G1021" t="s">
        <v>10</v>
      </c>
      <c r="H1021" t="s">
        <v>24</v>
      </c>
      <c r="I1021" t="s">
        <v>106</v>
      </c>
      <c r="J1021" t="s">
        <v>13</v>
      </c>
      <c r="K1021">
        <v>2.8</v>
      </c>
      <c r="L1021" t="s">
        <v>14</v>
      </c>
      <c r="M1021" t="s">
        <v>42</v>
      </c>
      <c r="N1021" t="s">
        <v>14</v>
      </c>
      <c r="O1021">
        <v>33</v>
      </c>
      <c r="P1021" t="s">
        <v>16</v>
      </c>
      <c r="Q1021" t="s">
        <v>64</v>
      </c>
      <c r="R1021" t="str" cm="1">
        <f t="array" ref="R1021">_xlfn.IFS(B1021&lt;31,"Young-Adult",B1021&lt;41,"Adult",B1021&lt;61,"Middle-aged",B1021&gt;=61,"Senior")</f>
        <v>Adult</v>
      </c>
      <c r="S1021" cm="1">
        <f t="array" ref="S1021">_xlfn.IFS(Q1021 ="Fortnightly",14,Q1021="Weekly",7,Q1021="Monthly",30,Q1021="Quarterly",90,Q1021="Bi-Weekly",14,Q1021="Annually",365,Q1021="Every 3 Months",90,TRUE,"NOT FOUND")</f>
        <v>14</v>
      </c>
    </row>
    <row r="1022" spans="1:19" x14ac:dyDescent="0.35">
      <c r="A1022">
        <v>1021</v>
      </c>
      <c r="B1022">
        <v>24</v>
      </c>
      <c r="C1022" t="s">
        <v>7</v>
      </c>
      <c r="D1022" t="s">
        <v>107</v>
      </c>
      <c r="E1022" t="s">
        <v>55</v>
      </c>
      <c r="F1022">
        <v>95</v>
      </c>
      <c r="G1022" t="s">
        <v>67</v>
      </c>
      <c r="H1022" t="s">
        <v>32</v>
      </c>
      <c r="I1022" t="s">
        <v>82</v>
      </c>
      <c r="J1022" t="s">
        <v>45</v>
      </c>
      <c r="K1022">
        <v>4.5</v>
      </c>
      <c r="L1022" t="s">
        <v>14</v>
      </c>
      <c r="M1022" t="s">
        <v>15</v>
      </c>
      <c r="N1022" t="s">
        <v>14</v>
      </c>
      <c r="O1022">
        <v>41</v>
      </c>
      <c r="P1022" t="s">
        <v>74</v>
      </c>
      <c r="Q1022" t="s">
        <v>37</v>
      </c>
      <c r="R1022" t="str" cm="1">
        <f t="array" ref="R1022">_xlfn.IFS(B1022&lt;31,"Young-Adult",B1022&lt;41,"Adult",B1022&lt;61,"Middle-aged",B1022&gt;=61,"Senior")</f>
        <v>Young-Adult</v>
      </c>
      <c r="S1022" cm="1">
        <f t="array" ref="S1022">_xlfn.IFS(Q1022 ="Fortnightly",14,Q1022="Weekly",7,Q1022="Monthly",30,Q1022="Quarterly",90,Q1022="Bi-Weekly",14,Q1022="Annually",365,Q1022="Every 3 Months",90,TRUE,"NOT FOUND")</f>
        <v>365</v>
      </c>
    </row>
    <row r="1023" spans="1:19" x14ac:dyDescent="0.35">
      <c r="A1023">
        <v>1022</v>
      </c>
      <c r="B1023">
        <v>55</v>
      </c>
      <c r="C1023" t="s">
        <v>7</v>
      </c>
      <c r="D1023" t="s">
        <v>50</v>
      </c>
      <c r="E1023" t="s">
        <v>51</v>
      </c>
      <c r="F1023">
        <v>51</v>
      </c>
      <c r="G1023" t="s">
        <v>23</v>
      </c>
      <c r="H1023" t="s">
        <v>24</v>
      </c>
      <c r="I1023" t="s">
        <v>81</v>
      </c>
      <c r="J1023" t="s">
        <v>13</v>
      </c>
      <c r="K1023">
        <v>4.9000000000000004</v>
      </c>
      <c r="L1023" t="s">
        <v>14</v>
      </c>
      <c r="M1023" t="s">
        <v>58</v>
      </c>
      <c r="N1023" t="s">
        <v>14</v>
      </c>
      <c r="O1023">
        <v>39</v>
      </c>
      <c r="P1023" t="s">
        <v>34</v>
      </c>
      <c r="Q1023" t="s">
        <v>28</v>
      </c>
      <c r="R1023" t="str" cm="1">
        <f t="array" ref="R1023">_xlfn.IFS(B1023&lt;31,"Young-Adult",B1023&lt;41,"Adult",B1023&lt;61,"Middle-aged",B1023&gt;=61,"Senior")</f>
        <v>Middle-aged</v>
      </c>
      <c r="S1023" cm="1">
        <f t="array" ref="S1023">_xlfn.IFS(Q1023 ="Fortnightly",14,Q1023="Weekly",7,Q1023="Monthly",30,Q1023="Quarterly",90,Q1023="Bi-Weekly",14,Q1023="Annually",365,Q1023="Every 3 Months",90,TRUE,"NOT FOUND")</f>
        <v>7</v>
      </c>
    </row>
    <row r="1024" spans="1:19" x14ac:dyDescent="0.35">
      <c r="A1024">
        <v>1023</v>
      </c>
      <c r="B1024">
        <v>61</v>
      </c>
      <c r="C1024" t="s">
        <v>7</v>
      </c>
      <c r="D1024" t="s">
        <v>54</v>
      </c>
      <c r="E1024" t="s">
        <v>55</v>
      </c>
      <c r="F1024">
        <v>41</v>
      </c>
      <c r="G1024" t="s">
        <v>133</v>
      </c>
      <c r="H1024" t="s">
        <v>32</v>
      </c>
      <c r="I1024" t="s">
        <v>81</v>
      </c>
      <c r="J1024" t="s">
        <v>13</v>
      </c>
      <c r="K1024">
        <v>4.9000000000000004</v>
      </c>
      <c r="L1024" t="s">
        <v>14</v>
      </c>
      <c r="M1024" t="s">
        <v>62</v>
      </c>
      <c r="N1024" t="s">
        <v>14</v>
      </c>
      <c r="O1024">
        <v>7</v>
      </c>
      <c r="P1024" t="s">
        <v>21</v>
      </c>
      <c r="Q1024" t="s">
        <v>37</v>
      </c>
      <c r="R1024" t="str" cm="1">
        <f t="array" ref="R1024">_xlfn.IFS(B1024&lt;31,"Young-Adult",B1024&lt;41,"Adult",B1024&lt;61,"Middle-aged",B1024&gt;=61,"Senior")</f>
        <v>Senior</v>
      </c>
      <c r="S1024" cm="1">
        <f t="array" ref="S1024">_xlfn.IFS(Q1024 ="Fortnightly",14,Q1024="Weekly",7,Q1024="Monthly",30,Q1024="Quarterly",90,Q1024="Bi-Weekly",14,Q1024="Annually",365,Q1024="Every 3 Months",90,TRUE,"NOT FOUND")</f>
        <v>365</v>
      </c>
    </row>
    <row r="1025" spans="1:19" x14ac:dyDescent="0.35">
      <c r="A1025">
        <v>1024</v>
      </c>
      <c r="B1025">
        <v>61</v>
      </c>
      <c r="C1025" t="s">
        <v>7</v>
      </c>
      <c r="D1025" t="s">
        <v>77</v>
      </c>
      <c r="E1025" t="s">
        <v>55</v>
      </c>
      <c r="F1025">
        <v>71</v>
      </c>
      <c r="G1025" t="s">
        <v>19</v>
      </c>
      <c r="H1025" t="s">
        <v>24</v>
      </c>
      <c r="I1025" t="s">
        <v>36</v>
      </c>
      <c r="J1025" t="s">
        <v>13</v>
      </c>
      <c r="K1025">
        <v>3.5</v>
      </c>
      <c r="L1025" t="s">
        <v>14</v>
      </c>
      <c r="M1025" t="s">
        <v>26</v>
      </c>
      <c r="N1025" t="s">
        <v>14</v>
      </c>
      <c r="O1025">
        <v>29</v>
      </c>
      <c r="P1025" t="s">
        <v>63</v>
      </c>
      <c r="Q1025" t="s">
        <v>85</v>
      </c>
      <c r="R1025" t="str" cm="1">
        <f t="array" ref="R1025">_xlfn.IFS(B1025&lt;31,"Young-Adult",B1025&lt;41,"Adult",B1025&lt;61,"Middle-aged",B1025&gt;=61,"Senior")</f>
        <v>Senior</v>
      </c>
      <c r="S1025" cm="1">
        <f t="array" ref="S1025">_xlfn.IFS(Q1025 ="Fortnightly",14,Q1025="Weekly",7,Q1025="Monthly",30,Q1025="Quarterly",90,Q1025="Bi-Weekly",14,Q1025="Annually",365,Q1025="Every 3 Months",90,TRUE,"NOT FOUND")</f>
        <v>90</v>
      </c>
    </row>
    <row r="1026" spans="1:19" x14ac:dyDescent="0.35">
      <c r="A1026">
        <v>1025</v>
      </c>
      <c r="B1026">
        <v>28</v>
      </c>
      <c r="C1026" t="s">
        <v>7</v>
      </c>
      <c r="D1026" t="s">
        <v>101</v>
      </c>
      <c r="E1026" t="s">
        <v>9</v>
      </c>
      <c r="F1026">
        <v>66</v>
      </c>
      <c r="G1026" t="s">
        <v>126</v>
      </c>
      <c r="H1026" t="s">
        <v>32</v>
      </c>
      <c r="I1026" t="s">
        <v>61</v>
      </c>
      <c r="J1026" t="s">
        <v>41</v>
      </c>
      <c r="K1026">
        <v>3.5</v>
      </c>
      <c r="L1026" t="s">
        <v>14</v>
      </c>
      <c r="M1026" t="s">
        <v>26</v>
      </c>
      <c r="N1026" t="s">
        <v>14</v>
      </c>
      <c r="O1026">
        <v>18</v>
      </c>
      <c r="P1026" t="s">
        <v>16</v>
      </c>
      <c r="Q1026" t="s">
        <v>46</v>
      </c>
      <c r="R1026" t="str" cm="1">
        <f t="array" ref="R1026">_xlfn.IFS(B1026&lt;31,"Young-Adult",B1026&lt;41,"Adult",B1026&lt;61,"Middle-aged",B1026&gt;=61,"Senior")</f>
        <v>Young-Adult</v>
      </c>
      <c r="S1026" cm="1">
        <f t="array" ref="S1026">_xlfn.IFS(Q1026 ="Fortnightly",14,Q1026="Weekly",7,Q1026="Monthly",30,Q1026="Quarterly",90,Q1026="Bi-Weekly",14,Q1026="Annually",365,Q1026="Every 3 Months",90,TRUE,"NOT FOUND")</f>
        <v>90</v>
      </c>
    </row>
    <row r="1027" spans="1:19" x14ac:dyDescent="0.35">
      <c r="A1027">
        <v>1026</v>
      </c>
      <c r="B1027">
        <v>60</v>
      </c>
      <c r="C1027" t="s">
        <v>7</v>
      </c>
      <c r="D1027" t="s">
        <v>43</v>
      </c>
      <c r="E1027" t="s">
        <v>9</v>
      </c>
      <c r="F1027">
        <v>84</v>
      </c>
      <c r="G1027" t="s">
        <v>133</v>
      </c>
      <c r="H1027" t="s">
        <v>32</v>
      </c>
      <c r="I1027" t="s">
        <v>66</v>
      </c>
      <c r="J1027" t="s">
        <v>13</v>
      </c>
      <c r="K1027">
        <v>4.9000000000000004</v>
      </c>
      <c r="L1027" t="s">
        <v>14</v>
      </c>
      <c r="M1027" t="s">
        <v>26</v>
      </c>
      <c r="N1027" t="s">
        <v>14</v>
      </c>
      <c r="O1027">
        <v>15</v>
      </c>
      <c r="P1027" t="s">
        <v>27</v>
      </c>
      <c r="Q1027" t="s">
        <v>37</v>
      </c>
      <c r="R1027" t="str" cm="1">
        <f t="array" ref="R1027">_xlfn.IFS(B1027&lt;31,"Young-Adult",B1027&lt;41,"Adult",B1027&lt;61,"Middle-aged",B1027&gt;=61,"Senior")</f>
        <v>Middle-aged</v>
      </c>
      <c r="S1027" cm="1">
        <f t="array" ref="S1027">_xlfn.IFS(Q1027 ="Fortnightly",14,Q1027="Weekly",7,Q1027="Monthly",30,Q1027="Quarterly",90,Q1027="Bi-Weekly",14,Q1027="Annually",365,Q1027="Every 3 Months",90,TRUE,"NOT FOUND")</f>
        <v>365</v>
      </c>
    </row>
    <row r="1028" spans="1:19" x14ac:dyDescent="0.35">
      <c r="A1028">
        <v>1027</v>
      </c>
      <c r="B1028">
        <v>49</v>
      </c>
      <c r="C1028" t="s">
        <v>7</v>
      </c>
      <c r="D1028" t="s">
        <v>54</v>
      </c>
      <c r="E1028" t="s">
        <v>55</v>
      </c>
      <c r="F1028">
        <v>95</v>
      </c>
      <c r="G1028" t="s">
        <v>129</v>
      </c>
      <c r="H1028" t="s">
        <v>11</v>
      </c>
      <c r="I1028" t="s">
        <v>36</v>
      </c>
      <c r="J1028" t="s">
        <v>13</v>
      </c>
      <c r="K1028">
        <v>3</v>
      </c>
      <c r="L1028" t="s">
        <v>14</v>
      </c>
      <c r="M1028" t="s">
        <v>15</v>
      </c>
      <c r="N1028" t="s">
        <v>14</v>
      </c>
      <c r="O1028">
        <v>39</v>
      </c>
      <c r="P1028" t="s">
        <v>34</v>
      </c>
      <c r="Q1028" t="s">
        <v>64</v>
      </c>
      <c r="R1028" t="str" cm="1">
        <f t="array" ref="R1028">_xlfn.IFS(B1028&lt;31,"Young-Adult",B1028&lt;41,"Adult",B1028&lt;61,"Middle-aged",B1028&gt;=61,"Senior")</f>
        <v>Middle-aged</v>
      </c>
      <c r="S1028" cm="1">
        <f t="array" ref="S1028">_xlfn.IFS(Q1028 ="Fortnightly",14,Q1028="Weekly",7,Q1028="Monthly",30,Q1028="Quarterly",90,Q1028="Bi-Weekly",14,Q1028="Annually",365,Q1028="Every 3 Months",90,TRUE,"NOT FOUND")</f>
        <v>14</v>
      </c>
    </row>
    <row r="1029" spans="1:19" x14ac:dyDescent="0.35">
      <c r="A1029">
        <v>1028</v>
      </c>
      <c r="B1029">
        <v>33</v>
      </c>
      <c r="C1029" t="s">
        <v>7</v>
      </c>
      <c r="D1029" t="s">
        <v>94</v>
      </c>
      <c r="E1029" t="s">
        <v>55</v>
      </c>
      <c r="F1029">
        <v>90</v>
      </c>
      <c r="G1029" t="s">
        <v>111</v>
      </c>
      <c r="H1029" t="s">
        <v>11</v>
      </c>
      <c r="I1029" t="s">
        <v>73</v>
      </c>
      <c r="J1029" t="s">
        <v>41</v>
      </c>
      <c r="K1029">
        <v>2.8</v>
      </c>
      <c r="L1029" t="s">
        <v>14</v>
      </c>
      <c r="M1029" t="s">
        <v>33</v>
      </c>
      <c r="N1029" t="s">
        <v>14</v>
      </c>
      <c r="O1029">
        <v>11</v>
      </c>
      <c r="P1029" t="s">
        <v>21</v>
      </c>
      <c r="Q1029" t="s">
        <v>76</v>
      </c>
      <c r="R1029" t="str" cm="1">
        <f t="array" ref="R1029">_xlfn.IFS(B1029&lt;31,"Young-Adult",B1029&lt;41,"Adult",B1029&lt;61,"Middle-aged",B1029&gt;=61,"Senior")</f>
        <v>Adult</v>
      </c>
      <c r="S1029" cm="1">
        <f t="array" ref="S1029">_xlfn.IFS(Q1029 ="Fortnightly",14,Q1029="Weekly",7,Q1029="Monthly",30,Q1029="Quarterly",90,Q1029="Bi-Weekly",14,Q1029="Annually",365,Q1029="Every 3 Months",90,TRUE,"NOT FOUND")</f>
        <v>30</v>
      </c>
    </row>
    <row r="1030" spans="1:19" x14ac:dyDescent="0.35">
      <c r="A1030">
        <v>1029</v>
      </c>
      <c r="B1030">
        <v>45</v>
      </c>
      <c r="C1030" t="s">
        <v>7</v>
      </c>
      <c r="D1030" t="s">
        <v>92</v>
      </c>
      <c r="E1030" t="s">
        <v>9</v>
      </c>
      <c r="F1030">
        <v>36</v>
      </c>
      <c r="G1030" t="s">
        <v>133</v>
      </c>
      <c r="H1030" t="s">
        <v>24</v>
      </c>
      <c r="I1030" t="s">
        <v>81</v>
      </c>
      <c r="J1030" t="s">
        <v>41</v>
      </c>
      <c r="K1030">
        <v>3.7</v>
      </c>
      <c r="L1030" t="s">
        <v>14</v>
      </c>
      <c r="M1030" t="s">
        <v>42</v>
      </c>
      <c r="N1030" t="s">
        <v>14</v>
      </c>
      <c r="O1030">
        <v>4</v>
      </c>
      <c r="P1030" t="s">
        <v>21</v>
      </c>
      <c r="Q1030" t="s">
        <v>17</v>
      </c>
      <c r="R1030" t="str" cm="1">
        <f t="array" ref="R1030">_xlfn.IFS(B1030&lt;31,"Young-Adult",B1030&lt;41,"Adult",B1030&lt;61,"Middle-aged",B1030&gt;=61,"Senior")</f>
        <v>Middle-aged</v>
      </c>
      <c r="S1030" cm="1">
        <f t="array" ref="S1030">_xlfn.IFS(Q1030 ="Fortnightly",14,Q1030="Weekly",7,Q1030="Monthly",30,Q1030="Quarterly",90,Q1030="Bi-Weekly",14,Q1030="Annually",365,Q1030="Every 3 Months",90,TRUE,"NOT FOUND")</f>
        <v>14</v>
      </c>
    </row>
    <row r="1031" spans="1:19" x14ac:dyDescent="0.35">
      <c r="A1031">
        <v>1030</v>
      </c>
      <c r="B1031">
        <v>29</v>
      </c>
      <c r="C1031" t="s">
        <v>7</v>
      </c>
      <c r="D1031" t="s">
        <v>131</v>
      </c>
      <c r="E1031" t="s">
        <v>55</v>
      </c>
      <c r="F1031">
        <v>22</v>
      </c>
      <c r="G1031" t="s">
        <v>111</v>
      </c>
      <c r="H1031" t="s">
        <v>32</v>
      </c>
      <c r="I1031" t="s">
        <v>61</v>
      </c>
      <c r="J1031" t="s">
        <v>25</v>
      </c>
      <c r="K1031">
        <v>3.6</v>
      </c>
      <c r="L1031" t="s">
        <v>14</v>
      </c>
      <c r="M1031" t="s">
        <v>58</v>
      </c>
      <c r="N1031" t="s">
        <v>14</v>
      </c>
      <c r="O1031">
        <v>33</v>
      </c>
      <c r="P1031" t="s">
        <v>16</v>
      </c>
      <c r="Q1031" t="s">
        <v>64</v>
      </c>
      <c r="R1031" t="str" cm="1">
        <f t="array" ref="R1031">_xlfn.IFS(B1031&lt;31,"Young-Adult",B1031&lt;41,"Adult",B1031&lt;61,"Middle-aged",B1031&gt;=61,"Senior")</f>
        <v>Young-Adult</v>
      </c>
      <c r="S1031" cm="1">
        <f t="array" ref="S1031">_xlfn.IFS(Q1031 ="Fortnightly",14,Q1031="Weekly",7,Q1031="Monthly",30,Q1031="Quarterly",90,Q1031="Bi-Weekly",14,Q1031="Annually",365,Q1031="Every 3 Months",90,TRUE,"NOT FOUND")</f>
        <v>14</v>
      </c>
    </row>
    <row r="1032" spans="1:19" x14ac:dyDescent="0.35">
      <c r="A1032">
        <v>1031</v>
      </c>
      <c r="B1032">
        <v>58</v>
      </c>
      <c r="C1032" t="s">
        <v>7</v>
      </c>
      <c r="D1032" t="s">
        <v>50</v>
      </c>
      <c r="E1032" t="s">
        <v>51</v>
      </c>
      <c r="F1032">
        <v>89</v>
      </c>
      <c r="G1032" t="s">
        <v>10</v>
      </c>
      <c r="H1032" t="s">
        <v>11</v>
      </c>
      <c r="I1032" t="s">
        <v>132</v>
      </c>
      <c r="J1032" t="s">
        <v>13</v>
      </c>
      <c r="K1032">
        <v>3.3</v>
      </c>
      <c r="L1032" t="s">
        <v>14</v>
      </c>
      <c r="M1032" t="s">
        <v>33</v>
      </c>
      <c r="N1032" t="s">
        <v>14</v>
      </c>
      <c r="O1032">
        <v>37</v>
      </c>
      <c r="P1032" t="s">
        <v>74</v>
      </c>
      <c r="Q1032" t="s">
        <v>46</v>
      </c>
      <c r="R1032" t="str" cm="1">
        <f t="array" ref="R1032">_xlfn.IFS(B1032&lt;31,"Young-Adult",B1032&lt;41,"Adult",B1032&lt;61,"Middle-aged",B1032&gt;=61,"Senior")</f>
        <v>Middle-aged</v>
      </c>
      <c r="S1032" cm="1">
        <f t="array" ref="S1032">_xlfn.IFS(Q1032 ="Fortnightly",14,Q1032="Weekly",7,Q1032="Monthly",30,Q1032="Quarterly",90,Q1032="Bi-Weekly",14,Q1032="Annually",365,Q1032="Every 3 Months",90,TRUE,"NOT FOUND")</f>
        <v>90</v>
      </c>
    </row>
    <row r="1033" spans="1:19" x14ac:dyDescent="0.35">
      <c r="A1033">
        <v>1032</v>
      </c>
      <c r="B1033">
        <v>22</v>
      </c>
      <c r="C1033" t="s">
        <v>7</v>
      </c>
      <c r="D1033" t="s">
        <v>29</v>
      </c>
      <c r="E1033" t="s">
        <v>30</v>
      </c>
      <c r="F1033">
        <v>50</v>
      </c>
      <c r="G1033" t="s">
        <v>110</v>
      </c>
      <c r="H1033" t="s">
        <v>32</v>
      </c>
      <c r="I1033" t="s">
        <v>73</v>
      </c>
      <c r="J1033" t="s">
        <v>25</v>
      </c>
      <c r="K1033">
        <v>3.4</v>
      </c>
      <c r="L1033" t="s">
        <v>14</v>
      </c>
      <c r="M1033" t="s">
        <v>26</v>
      </c>
      <c r="N1033" t="s">
        <v>14</v>
      </c>
      <c r="O1033">
        <v>32</v>
      </c>
      <c r="P1033" t="s">
        <v>21</v>
      </c>
      <c r="Q1033" t="s">
        <v>46</v>
      </c>
      <c r="R1033" t="str" cm="1">
        <f t="array" ref="R1033">_xlfn.IFS(B1033&lt;31,"Young-Adult",B1033&lt;41,"Adult",B1033&lt;61,"Middle-aged",B1033&gt;=61,"Senior")</f>
        <v>Young-Adult</v>
      </c>
      <c r="S1033" cm="1">
        <f t="array" ref="S1033">_xlfn.IFS(Q1033 ="Fortnightly",14,Q1033="Weekly",7,Q1033="Monthly",30,Q1033="Quarterly",90,Q1033="Bi-Weekly",14,Q1033="Annually",365,Q1033="Every 3 Months",90,TRUE,"NOT FOUND")</f>
        <v>90</v>
      </c>
    </row>
    <row r="1034" spans="1:19" x14ac:dyDescent="0.35">
      <c r="A1034">
        <v>1033</v>
      </c>
      <c r="B1034">
        <v>55</v>
      </c>
      <c r="C1034" t="s">
        <v>7</v>
      </c>
      <c r="D1034" t="s">
        <v>125</v>
      </c>
      <c r="E1034" t="s">
        <v>30</v>
      </c>
      <c r="F1034">
        <v>36</v>
      </c>
      <c r="G1034" t="s">
        <v>19</v>
      </c>
      <c r="H1034" t="s">
        <v>32</v>
      </c>
      <c r="I1034" t="s">
        <v>81</v>
      </c>
      <c r="J1034" t="s">
        <v>45</v>
      </c>
      <c r="K1034">
        <v>4</v>
      </c>
      <c r="L1034" t="s">
        <v>14</v>
      </c>
      <c r="M1034" t="s">
        <v>26</v>
      </c>
      <c r="N1034" t="s">
        <v>14</v>
      </c>
      <c r="O1034">
        <v>44</v>
      </c>
      <c r="P1034" t="s">
        <v>27</v>
      </c>
      <c r="Q1034" t="s">
        <v>46</v>
      </c>
      <c r="R1034" t="str" cm="1">
        <f t="array" ref="R1034">_xlfn.IFS(B1034&lt;31,"Young-Adult",B1034&lt;41,"Adult",B1034&lt;61,"Middle-aged",B1034&gt;=61,"Senior")</f>
        <v>Middle-aged</v>
      </c>
      <c r="S1034" cm="1">
        <f t="array" ref="S1034">_xlfn.IFS(Q1034 ="Fortnightly",14,Q1034="Weekly",7,Q1034="Monthly",30,Q1034="Quarterly",90,Q1034="Bi-Weekly",14,Q1034="Annually",365,Q1034="Every 3 Months",90,TRUE,"NOT FOUND")</f>
        <v>90</v>
      </c>
    </row>
    <row r="1035" spans="1:19" x14ac:dyDescent="0.35">
      <c r="A1035">
        <v>1034</v>
      </c>
      <c r="B1035">
        <v>19</v>
      </c>
      <c r="C1035" t="s">
        <v>7</v>
      </c>
      <c r="D1035" t="s">
        <v>83</v>
      </c>
      <c r="E1035" t="s">
        <v>9</v>
      </c>
      <c r="F1035">
        <v>52</v>
      </c>
      <c r="G1035" t="s">
        <v>44</v>
      </c>
      <c r="H1035" t="s">
        <v>24</v>
      </c>
      <c r="I1035" t="s">
        <v>53</v>
      </c>
      <c r="J1035" t="s">
        <v>25</v>
      </c>
      <c r="K1035">
        <v>4.5999999999999996</v>
      </c>
      <c r="L1035" t="s">
        <v>14</v>
      </c>
      <c r="M1035" t="s">
        <v>26</v>
      </c>
      <c r="N1035" t="s">
        <v>14</v>
      </c>
      <c r="O1035">
        <v>41</v>
      </c>
      <c r="P1035" t="s">
        <v>63</v>
      </c>
      <c r="Q1035" t="s">
        <v>46</v>
      </c>
      <c r="R1035" t="str" cm="1">
        <f t="array" ref="R1035">_xlfn.IFS(B1035&lt;31,"Young-Adult",B1035&lt;41,"Adult",B1035&lt;61,"Middle-aged",B1035&gt;=61,"Senior")</f>
        <v>Young-Adult</v>
      </c>
      <c r="S1035" cm="1">
        <f t="array" ref="S1035">_xlfn.IFS(Q1035 ="Fortnightly",14,Q1035="Weekly",7,Q1035="Monthly",30,Q1035="Quarterly",90,Q1035="Bi-Weekly",14,Q1035="Annually",365,Q1035="Every 3 Months",90,TRUE,"NOT FOUND")</f>
        <v>90</v>
      </c>
    </row>
    <row r="1036" spans="1:19" x14ac:dyDescent="0.35">
      <c r="A1036">
        <v>1035</v>
      </c>
      <c r="B1036">
        <v>68</v>
      </c>
      <c r="C1036" t="s">
        <v>7</v>
      </c>
      <c r="D1036" t="s">
        <v>113</v>
      </c>
      <c r="E1036" t="s">
        <v>9</v>
      </c>
      <c r="F1036">
        <v>29</v>
      </c>
      <c r="G1036" t="s">
        <v>116</v>
      </c>
      <c r="H1036" t="s">
        <v>32</v>
      </c>
      <c r="I1036" t="s">
        <v>66</v>
      </c>
      <c r="J1036" t="s">
        <v>45</v>
      </c>
      <c r="K1036">
        <v>4.2</v>
      </c>
      <c r="L1036" t="s">
        <v>14</v>
      </c>
      <c r="M1036" t="s">
        <v>33</v>
      </c>
      <c r="N1036" t="s">
        <v>14</v>
      </c>
      <c r="O1036">
        <v>44</v>
      </c>
      <c r="P1036" t="s">
        <v>63</v>
      </c>
      <c r="Q1036" t="s">
        <v>28</v>
      </c>
      <c r="R1036" t="str" cm="1">
        <f t="array" ref="R1036">_xlfn.IFS(B1036&lt;31,"Young-Adult",B1036&lt;41,"Adult",B1036&lt;61,"Middle-aged",B1036&gt;=61,"Senior")</f>
        <v>Senior</v>
      </c>
      <c r="S1036" cm="1">
        <f t="array" ref="S1036">_xlfn.IFS(Q1036 ="Fortnightly",14,Q1036="Weekly",7,Q1036="Monthly",30,Q1036="Quarterly",90,Q1036="Bi-Weekly",14,Q1036="Annually",365,Q1036="Every 3 Months",90,TRUE,"NOT FOUND")</f>
        <v>7</v>
      </c>
    </row>
    <row r="1037" spans="1:19" x14ac:dyDescent="0.35">
      <c r="A1037">
        <v>1036</v>
      </c>
      <c r="B1037">
        <v>61</v>
      </c>
      <c r="C1037" t="s">
        <v>7</v>
      </c>
      <c r="D1037" t="s">
        <v>8</v>
      </c>
      <c r="E1037" t="s">
        <v>9</v>
      </c>
      <c r="F1037">
        <v>89</v>
      </c>
      <c r="G1037" t="s">
        <v>130</v>
      </c>
      <c r="H1037" t="s">
        <v>32</v>
      </c>
      <c r="I1037" t="s">
        <v>98</v>
      </c>
      <c r="J1037" t="s">
        <v>45</v>
      </c>
      <c r="K1037">
        <v>2.8</v>
      </c>
      <c r="L1037" t="s">
        <v>14</v>
      </c>
      <c r="M1037" t="s">
        <v>15</v>
      </c>
      <c r="N1037" t="s">
        <v>14</v>
      </c>
      <c r="O1037">
        <v>32</v>
      </c>
      <c r="P1037" t="s">
        <v>16</v>
      </c>
      <c r="Q1037" t="s">
        <v>37</v>
      </c>
      <c r="R1037" t="str" cm="1">
        <f t="array" ref="R1037">_xlfn.IFS(B1037&lt;31,"Young-Adult",B1037&lt;41,"Adult",B1037&lt;61,"Middle-aged",B1037&gt;=61,"Senior")</f>
        <v>Senior</v>
      </c>
      <c r="S1037" cm="1">
        <f t="array" ref="S1037">_xlfn.IFS(Q1037 ="Fortnightly",14,Q1037="Weekly",7,Q1037="Monthly",30,Q1037="Quarterly",90,Q1037="Bi-Weekly",14,Q1037="Annually",365,Q1037="Every 3 Months",90,TRUE,"NOT FOUND")</f>
        <v>365</v>
      </c>
    </row>
    <row r="1038" spans="1:19" x14ac:dyDescent="0.35">
      <c r="A1038">
        <v>1037</v>
      </c>
      <c r="B1038">
        <v>68</v>
      </c>
      <c r="C1038" t="s">
        <v>7</v>
      </c>
      <c r="D1038" t="s">
        <v>54</v>
      </c>
      <c r="E1038" t="s">
        <v>55</v>
      </c>
      <c r="F1038">
        <v>47</v>
      </c>
      <c r="G1038" t="s">
        <v>65</v>
      </c>
      <c r="H1038" t="s">
        <v>32</v>
      </c>
      <c r="I1038" t="s">
        <v>122</v>
      </c>
      <c r="J1038" t="s">
        <v>45</v>
      </c>
      <c r="K1038">
        <v>3.7</v>
      </c>
      <c r="L1038" t="s">
        <v>14</v>
      </c>
      <c r="M1038" t="s">
        <v>58</v>
      </c>
      <c r="N1038" t="s">
        <v>14</v>
      </c>
      <c r="O1038">
        <v>13</v>
      </c>
      <c r="P1038" t="s">
        <v>63</v>
      </c>
      <c r="Q1038" t="s">
        <v>76</v>
      </c>
      <c r="R1038" t="str" cm="1">
        <f t="array" ref="R1038">_xlfn.IFS(B1038&lt;31,"Young-Adult",B1038&lt;41,"Adult",B1038&lt;61,"Middle-aged",B1038&gt;=61,"Senior")</f>
        <v>Senior</v>
      </c>
      <c r="S1038" cm="1">
        <f t="array" ref="S1038">_xlfn.IFS(Q1038 ="Fortnightly",14,Q1038="Weekly",7,Q1038="Monthly",30,Q1038="Quarterly",90,Q1038="Bi-Weekly",14,Q1038="Annually",365,Q1038="Every 3 Months",90,TRUE,"NOT FOUND")</f>
        <v>30</v>
      </c>
    </row>
    <row r="1039" spans="1:19" x14ac:dyDescent="0.35">
      <c r="A1039">
        <v>1038</v>
      </c>
      <c r="B1039">
        <v>52</v>
      </c>
      <c r="C1039" t="s">
        <v>7</v>
      </c>
      <c r="D1039" t="s">
        <v>94</v>
      </c>
      <c r="E1039" t="s">
        <v>55</v>
      </c>
      <c r="F1039">
        <v>25</v>
      </c>
      <c r="G1039" t="s">
        <v>31</v>
      </c>
      <c r="H1039" t="s">
        <v>80</v>
      </c>
      <c r="I1039" t="s">
        <v>98</v>
      </c>
      <c r="J1039" t="s">
        <v>25</v>
      </c>
      <c r="K1039">
        <v>3.4</v>
      </c>
      <c r="L1039" t="s">
        <v>14</v>
      </c>
      <c r="M1039" t="s">
        <v>42</v>
      </c>
      <c r="N1039" t="s">
        <v>14</v>
      </c>
      <c r="O1039">
        <v>48</v>
      </c>
      <c r="P1039" t="s">
        <v>74</v>
      </c>
      <c r="Q1039" t="s">
        <v>46</v>
      </c>
      <c r="R1039" t="str" cm="1">
        <f t="array" ref="R1039">_xlfn.IFS(B1039&lt;31,"Young-Adult",B1039&lt;41,"Adult",B1039&lt;61,"Middle-aged",B1039&gt;=61,"Senior")</f>
        <v>Middle-aged</v>
      </c>
      <c r="S1039" cm="1">
        <f t="array" ref="S1039">_xlfn.IFS(Q1039 ="Fortnightly",14,Q1039="Weekly",7,Q1039="Monthly",30,Q1039="Quarterly",90,Q1039="Bi-Weekly",14,Q1039="Annually",365,Q1039="Every 3 Months",90,TRUE,"NOT FOUND")</f>
        <v>90</v>
      </c>
    </row>
    <row r="1040" spans="1:19" x14ac:dyDescent="0.35">
      <c r="A1040">
        <v>1039</v>
      </c>
      <c r="B1040">
        <v>41</v>
      </c>
      <c r="C1040" t="s">
        <v>7</v>
      </c>
      <c r="D1040" t="s">
        <v>83</v>
      </c>
      <c r="E1040" t="s">
        <v>9</v>
      </c>
      <c r="F1040">
        <v>74</v>
      </c>
      <c r="G1040" t="s">
        <v>133</v>
      </c>
      <c r="H1040" t="s">
        <v>80</v>
      </c>
      <c r="I1040" t="s">
        <v>97</v>
      </c>
      <c r="J1040" t="s">
        <v>45</v>
      </c>
      <c r="K1040">
        <v>3</v>
      </c>
      <c r="L1040" t="s">
        <v>14</v>
      </c>
      <c r="M1040" t="s">
        <v>15</v>
      </c>
      <c r="N1040" t="s">
        <v>14</v>
      </c>
      <c r="O1040">
        <v>3</v>
      </c>
      <c r="P1040" t="s">
        <v>63</v>
      </c>
      <c r="Q1040" t="s">
        <v>28</v>
      </c>
      <c r="R1040" t="str" cm="1">
        <f t="array" ref="R1040">_xlfn.IFS(B1040&lt;31,"Young-Adult",B1040&lt;41,"Adult",B1040&lt;61,"Middle-aged",B1040&gt;=61,"Senior")</f>
        <v>Middle-aged</v>
      </c>
      <c r="S1040" cm="1">
        <f t="array" ref="S1040">_xlfn.IFS(Q1040 ="Fortnightly",14,Q1040="Weekly",7,Q1040="Monthly",30,Q1040="Quarterly",90,Q1040="Bi-Weekly",14,Q1040="Annually",365,Q1040="Every 3 Months",90,TRUE,"NOT FOUND")</f>
        <v>7</v>
      </c>
    </row>
    <row r="1041" spans="1:19" x14ac:dyDescent="0.35">
      <c r="A1041">
        <v>1040</v>
      </c>
      <c r="B1041">
        <v>29</v>
      </c>
      <c r="C1041" t="s">
        <v>7</v>
      </c>
      <c r="D1041" t="s">
        <v>121</v>
      </c>
      <c r="E1041" t="s">
        <v>55</v>
      </c>
      <c r="F1041">
        <v>46</v>
      </c>
      <c r="G1041" t="s">
        <v>139</v>
      </c>
      <c r="H1041" t="s">
        <v>32</v>
      </c>
      <c r="I1041" t="s">
        <v>124</v>
      </c>
      <c r="J1041" t="s">
        <v>45</v>
      </c>
      <c r="K1041">
        <v>4.8</v>
      </c>
      <c r="L1041" t="s">
        <v>14</v>
      </c>
      <c r="M1041" t="s">
        <v>42</v>
      </c>
      <c r="N1041" t="s">
        <v>14</v>
      </c>
      <c r="O1041">
        <v>39</v>
      </c>
      <c r="P1041" t="s">
        <v>16</v>
      </c>
      <c r="Q1041" t="s">
        <v>76</v>
      </c>
      <c r="R1041" t="str" cm="1">
        <f t="array" ref="R1041">_xlfn.IFS(B1041&lt;31,"Young-Adult",B1041&lt;41,"Adult",B1041&lt;61,"Middle-aged",B1041&gt;=61,"Senior")</f>
        <v>Young-Adult</v>
      </c>
      <c r="S1041" cm="1">
        <f t="array" ref="S1041">_xlfn.IFS(Q1041 ="Fortnightly",14,Q1041="Weekly",7,Q1041="Monthly",30,Q1041="Quarterly",90,Q1041="Bi-Weekly",14,Q1041="Annually",365,Q1041="Every 3 Months",90,TRUE,"NOT FOUND")</f>
        <v>30</v>
      </c>
    </row>
    <row r="1042" spans="1:19" x14ac:dyDescent="0.35">
      <c r="A1042">
        <v>1041</v>
      </c>
      <c r="B1042">
        <v>68</v>
      </c>
      <c r="C1042" t="s">
        <v>7</v>
      </c>
      <c r="D1042" t="s">
        <v>22</v>
      </c>
      <c r="E1042" t="s">
        <v>9</v>
      </c>
      <c r="F1042">
        <v>22</v>
      </c>
      <c r="G1042" t="s">
        <v>86</v>
      </c>
      <c r="H1042" t="s">
        <v>24</v>
      </c>
      <c r="I1042" t="s">
        <v>124</v>
      </c>
      <c r="J1042" t="s">
        <v>45</v>
      </c>
      <c r="K1042">
        <v>4</v>
      </c>
      <c r="L1042" t="s">
        <v>14</v>
      </c>
      <c r="M1042" t="s">
        <v>33</v>
      </c>
      <c r="N1042" t="s">
        <v>14</v>
      </c>
      <c r="O1042">
        <v>7</v>
      </c>
      <c r="P1042" t="s">
        <v>21</v>
      </c>
      <c r="Q1042" t="s">
        <v>17</v>
      </c>
      <c r="R1042" t="str" cm="1">
        <f t="array" ref="R1042">_xlfn.IFS(B1042&lt;31,"Young-Adult",B1042&lt;41,"Adult",B1042&lt;61,"Middle-aged",B1042&gt;=61,"Senior")</f>
        <v>Senior</v>
      </c>
      <c r="S1042" cm="1">
        <f t="array" ref="S1042">_xlfn.IFS(Q1042 ="Fortnightly",14,Q1042="Weekly",7,Q1042="Monthly",30,Q1042="Quarterly",90,Q1042="Bi-Weekly",14,Q1042="Annually",365,Q1042="Every 3 Months",90,TRUE,"NOT FOUND")</f>
        <v>14</v>
      </c>
    </row>
    <row r="1043" spans="1:19" x14ac:dyDescent="0.35">
      <c r="A1043">
        <v>1042</v>
      </c>
      <c r="B1043">
        <v>36</v>
      </c>
      <c r="C1043" t="s">
        <v>7</v>
      </c>
      <c r="D1043" t="s">
        <v>43</v>
      </c>
      <c r="E1043" t="s">
        <v>9</v>
      </c>
      <c r="F1043">
        <v>25</v>
      </c>
      <c r="G1043" t="s">
        <v>136</v>
      </c>
      <c r="H1043" t="s">
        <v>32</v>
      </c>
      <c r="I1043" t="s">
        <v>109</v>
      </c>
      <c r="J1043" t="s">
        <v>41</v>
      </c>
      <c r="K1043">
        <v>4.9000000000000004</v>
      </c>
      <c r="L1043" t="s">
        <v>14</v>
      </c>
      <c r="M1043" t="s">
        <v>33</v>
      </c>
      <c r="N1043" t="s">
        <v>14</v>
      </c>
      <c r="O1043">
        <v>11</v>
      </c>
      <c r="P1043" t="s">
        <v>21</v>
      </c>
      <c r="Q1043" t="s">
        <v>17</v>
      </c>
      <c r="R1043" t="str" cm="1">
        <f t="array" ref="R1043">_xlfn.IFS(B1043&lt;31,"Young-Adult",B1043&lt;41,"Adult",B1043&lt;61,"Middle-aged",B1043&gt;=61,"Senior")</f>
        <v>Adult</v>
      </c>
      <c r="S1043" cm="1">
        <f t="array" ref="S1043">_xlfn.IFS(Q1043 ="Fortnightly",14,Q1043="Weekly",7,Q1043="Monthly",30,Q1043="Quarterly",90,Q1043="Bi-Weekly",14,Q1043="Annually",365,Q1043="Every 3 Months",90,TRUE,"NOT FOUND")</f>
        <v>14</v>
      </c>
    </row>
    <row r="1044" spans="1:19" x14ac:dyDescent="0.35">
      <c r="A1044">
        <v>1043</v>
      </c>
      <c r="B1044">
        <v>55</v>
      </c>
      <c r="C1044" t="s">
        <v>7</v>
      </c>
      <c r="D1044" t="s">
        <v>121</v>
      </c>
      <c r="E1044" t="s">
        <v>55</v>
      </c>
      <c r="F1044">
        <v>80</v>
      </c>
      <c r="G1044" t="s">
        <v>116</v>
      </c>
      <c r="H1044" t="s">
        <v>32</v>
      </c>
      <c r="I1044" t="s">
        <v>20</v>
      </c>
      <c r="J1044" t="s">
        <v>25</v>
      </c>
      <c r="K1044">
        <v>4.9000000000000004</v>
      </c>
      <c r="L1044" t="s">
        <v>14</v>
      </c>
      <c r="M1044" t="s">
        <v>33</v>
      </c>
      <c r="N1044" t="s">
        <v>14</v>
      </c>
      <c r="O1044">
        <v>47</v>
      </c>
      <c r="P1044" t="s">
        <v>27</v>
      </c>
      <c r="Q1044" t="s">
        <v>28</v>
      </c>
      <c r="R1044" t="str" cm="1">
        <f t="array" ref="R1044">_xlfn.IFS(B1044&lt;31,"Young-Adult",B1044&lt;41,"Adult",B1044&lt;61,"Middle-aged",B1044&gt;=61,"Senior")</f>
        <v>Middle-aged</v>
      </c>
      <c r="S1044" cm="1">
        <f t="array" ref="S1044">_xlfn.IFS(Q1044 ="Fortnightly",14,Q1044="Weekly",7,Q1044="Monthly",30,Q1044="Quarterly",90,Q1044="Bi-Weekly",14,Q1044="Annually",365,Q1044="Every 3 Months",90,TRUE,"NOT FOUND")</f>
        <v>7</v>
      </c>
    </row>
    <row r="1045" spans="1:19" x14ac:dyDescent="0.35">
      <c r="A1045">
        <v>1044</v>
      </c>
      <c r="B1045">
        <v>28</v>
      </c>
      <c r="C1045" t="s">
        <v>7</v>
      </c>
      <c r="D1045" t="s">
        <v>22</v>
      </c>
      <c r="E1045" t="s">
        <v>9</v>
      </c>
      <c r="F1045">
        <v>76</v>
      </c>
      <c r="G1045" t="s">
        <v>65</v>
      </c>
      <c r="H1045" t="s">
        <v>32</v>
      </c>
      <c r="I1045" t="s">
        <v>84</v>
      </c>
      <c r="J1045" t="s">
        <v>25</v>
      </c>
      <c r="K1045">
        <v>3.3</v>
      </c>
      <c r="L1045" t="s">
        <v>14</v>
      </c>
      <c r="M1045" t="s">
        <v>58</v>
      </c>
      <c r="N1045" t="s">
        <v>14</v>
      </c>
      <c r="O1045">
        <v>28</v>
      </c>
      <c r="P1045" t="s">
        <v>74</v>
      </c>
      <c r="Q1045" t="s">
        <v>17</v>
      </c>
      <c r="R1045" t="str" cm="1">
        <f t="array" ref="R1045">_xlfn.IFS(B1045&lt;31,"Young-Adult",B1045&lt;41,"Adult",B1045&lt;61,"Middle-aged",B1045&gt;=61,"Senior")</f>
        <v>Young-Adult</v>
      </c>
      <c r="S1045" cm="1">
        <f t="array" ref="S1045">_xlfn.IFS(Q1045 ="Fortnightly",14,Q1045="Weekly",7,Q1045="Monthly",30,Q1045="Quarterly",90,Q1045="Bi-Weekly",14,Q1045="Annually",365,Q1045="Every 3 Months",90,TRUE,"NOT FOUND")</f>
        <v>14</v>
      </c>
    </row>
    <row r="1046" spans="1:19" x14ac:dyDescent="0.35">
      <c r="A1046">
        <v>1045</v>
      </c>
      <c r="B1046">
        <v>39</v>
      </c>
      <c r="C1046" t="s">
        <v>7</v>
      </c>
      <c r="D1046" t="s">
        <v>22</v>
      </c>
      <c r="E1046" t="s">
        <v>9</v>
      </c>
      <c r="F1046">
        <v>30</v>
      </c>
      <c r="G1046" t="s">
        <v>35</v>
      </c>
      <c r="H1046" t="s">
        <v>11</v>
      </c>
      <c r="I1046" t="s">
        <v>73</v>
      </c>
      <c r="J1046" t="s">
        <v>41</v>
      </c>
      <c r="K1046">
        <v>4.4000000000000004</v>
      </c>
      <c r="L1046" t="s">
        <v>14</v>
      </c>
      <c r="M1046" t="s">
        <v>33</v>
      </c>
      <c r="N1046" t="s">
        <v>14</v>
      </c>
      <c r="O1046">
        <v>17</v>
      </c>
      <c r="P1046" t="s">
        <v>63</v>
      </c>
      <c r="Q1046" t="s">
        <v>85</v>
      </c>
      <c r="R1046" t="str" cm="1">
        <f t="array" ref="R1046">_xlfn.IFS(B1046&lt;31,"Young-Adult",B1046&lt;41,"Adult",B1046&lt;61,"Middle-aged",B1046&gt;=61,"Senior")</f>
        <v>Adult</v>
      </c>
      <c r="S1046" cm="1">
        <f t="array" ref="S1046">_xlfn.IFS(Q1046 ="Fortnightly",14,Q1046="Weekly",7,Q1046="Monthly",30,Q1046="Quarterly",90,Q1046="Bi-Weekly",14,Q1046="Annually",365,Q1046="Every 3 Months",90,TRUE,"NOT FOUND")</f>
        <v>90</v>
      </c>
    </row>
    <row r="1047" spans="1:19" x14ac:dyDescent="0.35">
      <c r="A1047">
        <v>1046</v>
      </c>
      <c r="B1047">
        <v>54</v>
      </c>
      <c r="C1047" t="s">
        <v>7</v>
      </c>
      <c r="D1047" t="s">
        <v>18</v>
      </c>
      <c r="E1047" t="s">
        <v>9</v>
      </c>
      <c r="F1047">
        <v>79</v>
      </c>
      <c r="G1047" t="s">
        <v>118</v>
      </c>
      <c r="H1047" t="s">
        <v>11</v>
      </c>
      <c r="I1047" t="s">
        <v>82</v>
      </c>
      <c r="J1047" t="s">
        <v>45</v>
      </c>
      <c r="K1047">
        <v>3.5</v>
      </c>
      <c r="L1047" t="s">
        <v>14</v>
      </c>
      <c r="M1047" t="s">
        <v>58</v>
      </c>
      <c r="N1047" t="s">
        <v>14</v>
      </c>
      <c r="O1047">
        <v>11</v>
      </c>
      <c r="P1047" t="s">
        <v>34</v>
      </c>
      <c r="Q1047" t="s">
        <v>64</v>
      </c>
      <c r="R1047" t="str" cm="1">
        <f t="array" ref="R1047">_xlfn.IFS(B1047&lt;31,"Young-Adult",B1047&lt;41,"Adult",B1047&lt;61,"Middle-aged",B1047&gt;=61,"Senior")</f>
        <v>Middle-aged</v>
      </c>
      <c r="S1047" cm="1">
        <f t="array" ref="S1047">_xlfn.IFS(Q1047 ="Fortnightly",14,Q1047="Weekly",7,Q1047="Monthly",30,Q1047="Quarterly",90,Q1047="Bi-Weekly",14,Q1047="Annually",365,Q1047="Every 3 Months",90,TRUE,"NOT FOUND")</f>
        <v>14</v>
      </c>
    </row>
    <row r="1048" spans="1:19" x14ac:dyDescent="0.35">
      <c r="A1048">
        <v>1047</v>
      </c>
      <c r="B1048">
        <v>40</v>
      </c>
      <c r="C1048" t="s">
        <v>7</v>
      </c>
      <c r="D1048" t="s">
        <v>38</v>
      </c>
      <c r="E1048" t="s">
        <v>30</v>
      </c>
      <c r="F1048">
        <v>22</v>
      </c>
      <c r="G1048" t="s">
        <v>103</v>
      </c>
      <c r="H1048" t="s">
        <v>32</v>
      </c>
      <c r="I1048" t="s">
        <v>124</v>
      </c>
      <c r="J1048" t="s">
        <v>13</v>
      </c>
      <c r="K1048">
        <v>4.2</v>
      </c>
      <c r="L1048" t="s">
        <v>14</v>
      </c>
      <c r="M1048" t="s">
        <v>42</v>
      </c>
      <c r="N1048" t="s">
        <v>14</v>
      </c>
      <c r="O1048">
        <v>12</v>
      </c>
      <c r="P1048" t="s">
        <v>16</v>
      </c>
      <c r="Q1048" t="s">
        <v>37</v>
      </c>
      <c r="R1048" t="str" cm="1">
        <f t="array" ref="R1048">_xlfn.IFS(B1048&lt;31,"Young-Adult",B1048&lt;41,"Adult",B1048&lt;61,"Middle-aged",B1048&gt;=61,"Senior")</f>
        <v>Adult</v>
      </c>
      <c r="S1048" cm="1">
        <f t="array" ref="S1048">_xlfn.IFS(Q1048 ="Fortnightly",14,Q1048="Weekly",7,Q1048="Monthly",30,Q1048="Quarterly",90,Q1048="Bi-Weekly",14,Q1048="Annually",365,Q1048="Every 3 Months",90,TRUE,"NOT FOUND")</f>
        <v>365</v>
      </c>
    </row>
    <row r="1049" spans="1:19" x14ac:dyDescent="0.35">
      <c r="A1049">
        <v>1048</v>
      </c>
      <c r="B1049">
        <v>31</v>
      </c>
      <c r="C1049" t="s">
        <v>7</v>
      </c>
      <c r="D1049" t="s">
        <v>113</v>
      </c>
      <c r="E1049" t="s">
        <v>9</v>
      </c>
      <c r="F1049">
        <v>36</v>
      </c>
      <c r="G1049" t="s">
        <v>128</v>
      </c>
      <c r="H1049" t="s">
        <v>24</v>
      </c>
      <c r="I1049" t="s">
        <v>66</v>
      </c>
      <c r="J1049" t="s">
        <v>45</v>
      </c>
      <c r="K1049">
        <v>4.2</v>
      </c>
      <c r="L1049" t="s">
        <v>14</v>
      </c>
      <c r="M1049" t="s">
        <v>42</v>
      </c>
      <c r="N1049" t="s">
        <v>14</v>
      </c>
      <c r="O1049">
        <v>7</v>
      </c>
      <c r="P1049" t="s">
        <v>27</v>
      </c>
      <c r="Q1049" t="s">
        <v>17</v>
      </c>
      <c r="R1049" t="str" cm="1">
        <f t="array" ref="R1049">_xlfn.IFS(B1049&lt;31,"Young-Adult",B1049&lt;41,"Adult",B1049&lt;61,"Middle-aged",B1049&gt;=61,"Senior")</f>
        <v>Adult</v>
      </c>
      <c r="S1049" cm="1">
        <f t="array" ref="S1049">_xlfn.IFS(Q1049 ="Fortnightly",14,Q1049="Weekly",7,Q1049="Monthly",30,Q1049="Quarterly",90,Q1049="Bi-Weekly",14,Q1049="Annually",365,Q1049="Every 3 Months",90,TRUE,"NOT FOUND")</f>
        <v>14</v>
      </c>
    </row>
    <row r="1050" spans="1:19" x14ac:dyDescent="0.35">
      <c r="A1050">
        <v>1049</v>
      </c>
      <c r="B1050">
        <v>30</v>
      </c>
      <c r="C1050" t="s">
        <v>7</v>
      </c>
      <c r="D1050" t="s">
        <v>113</v>
      </c>
      <c r="E1050" t="s">
        <v>9</v>
      </c>
      <c r="F1050">
        <v>77</v>
      </c>
      <c r="G1050" t="s">
        <v>19</v>
      </c>
      <c r="H1050" t="s">
        <v>11</v>
      </c>
      <c r="I1050" t="s">
        <v>122</v>
      </c>
      <c r="J1050" t="s">
        <v>45</v>
      </c>
      <c r="K1050">
        <v>2.7</v>
      </c>
      <c r="L1050" t="s">
        <v>14</v>
      </c>
      <c r="M1050" t="s">
        <v>42</v>
      </c>
      <c r="N1050" t="s">
        <v>14</v>
      </c>
      <c r="O1050">
        <v>19</v>
      </c>
      <c r="P1050" t="s">
        <v>16</v>
      </c>
      <c r="Q1050" t="s">
        <v>17</v>
      </c>
      <c r="R1050" t="str" cm="1">
        <f t="array" ref="R1050">_xlfn.IFS(B1050&lt;31,"Young-Adult",B1050&lt;41,"Adult",B1050&lt;61,"Middle-aged",B1050&gt;=61,"Senior")</f>
        <v>Young-Adult</v>
      </c>
      <c r="S1050" cm="1">
        <f t="array" ref="S1050">_xlfn.IFS(Q1050 ="Fortnightly",14,Q1050="Weekly",7,Q1050="Monthly",30,Q1050="Quarterly",90,Q1050="Bi-Weekly",14,Q1050="Annually",365,Q1050="Every 3 Months",90,TRUE,"NOT FOUND")</f>
        <v>14</v>
      </c>
    </row>
    <row r="1051" spans="1:19" x14ac:dyDescent="0.35">
      <c r="A1051">
        <v>1050</v>
      </c>
      <c r="B1051">
        <v>45</v>
      </c>
      <c r="C1051" t="s">
        <v>7</v>
      </c>
      <c r="D1051" t="s">
        <v>77</v>
      </c>
      <c r="E1051" t="s">
        <v>55</v>
      </c>
      <c r="F1051">
        <v>33</v>
      </c>
      <c r="G1051" t="s">
        <v>129</v>
      </c>
      <c r="H1051" t="s">
        <v>24</v>
      </c>
      <c r="I1051" t="s">
        <v>61</v>
      </c>
      <c r="J1051" t="s">
        <v>45</v>
      </c>
      <c r="K1051">
        <v>2.8</v>
      </c>
      <c r="L1051" t="s">
        <v>14</v>
      </c>
      <c r="M1051" t="s">
        <v>62</v>
      </c>
      <c r="N1051" t="s">
        <v>14</v>
      </c>
      <c r="O1051">
        <v>24</v>
      </c>
      <c r="P1051" t="s">
        <v>21</v>
      </c>
      <c r="Q1051" t="s">
        <v>46</v>
      </c>
      <c r="R1051" t="str" cm="1">
        <f t="array" ref="R1051">_xlfn.IFS(B1051&lt;31,"Young-Adult",B1051&lt;41,"Adult",B1051&lt;61,"Middle-aged",B1051&gt;=61,"Senior")</f>
        <v>Middle-aged</v>
      </c>
      <c r="S1051" cm="1">
        <f t="array" ref="S1051">_xlfn.IFS(Q1051 ="Fortnightly",14,Q1051="Weekly",7,Q1051="Monthly",30,Q1051="Quarterly",90,Q1051="Bi-Weekly",14,Q1051="Annually",365,Q1051="Every 3 Months",90,TRUE,"NOT FOUND")</f>
        <v>90</v>
      </c>
    </row>
    <row r="1052" spans="1:19" x14ac:dyDescent="0.35">
      <c r="A1052">
        <v>1051</v>
      </c>
      <c r="B1052">
        <v>48</v>
      </c>
      <c r="C1052" t="s">
        <v>7</v>
      </c>
      <c r="D1052" t="s">
        <v>38</v>
      </c>
      <c r="E1052" t="s">
        <v>30</v>
      </c>
      <c r="F1052">
        <v>64</v>
      </c>
      <c r="G1052" t="s">
        <v>91</v>
      </c>
      <c r="H1052" t="s">
        <v>32</v>
      </c>
      <c r="I1052" t="s">
        <v>106</v>
      </c>
      <c r="J1052" t="s">
        <v>13</v>
      </c>
      <c r="K1052">
        <v>3.8</v>
      </c>
      <c r="L1052" t="s">
        <v>14</v>
      </c>
      <c r="M1052" t="s">
        <v>33</v>
      </c>
      <c r="N1052" t="s">
        <v>14</v>
      </c>
      <c r="O1052">
        <v>19</v>
      </c>
      <c r="P1052" t="s">
        <v>16</v>
      </c>
      <c r="Q1052" t="s">
        <v>76</v>
      </c>
      <c r="R1052" t="str" cm="1">
        <f t="array" ref="R1052">_xlfn.IFS(B1052&lt;31,"Young-Adult",B1052&lt;41,"Adult",B1052&lt;61,"Middle-aged",B1052&gt;=61,"Senior")</f>
        <v>Middle-aged</v>
      </c>
      <c r="S1052" cm="1">
        <f t="array" ref="S1052">_xlfn.IFS(Q1052 ="Fortnightly",14,Q1052="Weekly",7,Q1052="Monthly",30,Q1052="Quarterly",90,Q1052="Bi-Weekly",14,Q1052="Annually",365,Q1052="Every 3 Months",90,TRUE,"NOT FOUND")</f>
        <v>30</v>
      </c>
    </row>
    <row r="1053" spans="1:19" x14ac:dyDescent="0.35">
      <c r="A1053">
        <v>1052</v>
      </c>
      <c r="B1053">
        <v>45</v>
      </c>
      <c r="C1053" t="s">
        <v>7</v>
      </c>
      <c r="D1053" t="s">
        <v>113</v>
      </c>
      <c r="E1053" t="s">
        <v>9</v>
      </c>
      <c r="F1053">
        <v>53</v>
      </c>
      <c r="G1053" t="s">
        <v>111</v>
      </c>
      <c r="H1053" t="s">
        <v>32</v>
      </c>
      <c r="I1053" t="s">
        <v>114</v>
      </c>
      <c r="J1053" t="s">
        <v>45</v>
      </c>
      <c r="K1053">
        <v>2.6</v>
      </c>
      <c r="L1053" t="s">
        <v>14</v>
      </c>
      <c r="M1053" t="s">
        <v>26</v>
      </c>
      <c r="N1053" t="s">
        <v>14</v>
      </c>
      <c r="O1053">
        <v>39</v>
      </c>
      <c r="P1053" t="s">
        <v>34</v>
      </c>
      <c r="Q1053" t="s">
        <v>37</v>
      </c>
      <c r="R1053" t="str" cm="1">
        <f t="array" ref="R1053">_xlfn.IFS(B1053&lt;31,"Young-Adult",B1053&lt;41,"Adult",B1053&lt;61,"Middle-aged",B1053&gt;=61,"Senior")</f>
        <v>Middle-aged</v>
      </c>
      <c r="S1053" cm="1">
        <f t="array" ref="S1053">_xlfn.IFS(Q1053 ="Fortnightly",14,Q1053="Weekly",7,Q1053="Monthly",30,Q1053="Quarterly",90,Q1053="Bi-Weekly",14,Q1053="Annually",365,Q1053="Every 3 Months",90,TRUE,"NOT FOUND")</f>
        <v>365</v>
      </c>
    </row>
    <row r="1054" spans="1:19" x14ac:dyDescent="0.35">
      <c r="A1054">
        <v>1053</v>
      </c>
      <c r="B1054">
        <v>60</v>
      </c>
      <c r="C1054" t="s">
        <v>7</v>
      </c>
      <c r="D1054" t="s">
        <v>59</v>
      </c>
      <c r="E1054" t="s">
        <v>30</v>
      </c>
      <c r="F1054">
        <v>36</v>
      </c>
      <c r="G1054" t="s">
        <v>129</v>
      </c>
      <c r="H1054" t="s">
        <v>80</v>
      </c>
      <c r="I1054" t="s">
        <v>57</v>
      </c>
      <c r="J1054" t="s">
        <v>45</v>
      </c>
      <c r="K1054">
        <v>3</v>
      </c>
      <c r="L1054" t="s">
        <v>14</v>
      </c>
      <c r="M1054" t="s">
        <v>58</v>
      </c>
      <c r="N1054" t="s">
        <v>14</v>
      </c>
      <c r="O1054">
        <v>1</v>
      </c>
      <c r="P1054" t="s">
        <v>27</v>
      </c>
      <c r="Q1054" t="s">
        <v>17</v>
      </c>
      <c r="R1054" t="str" cm="1">
        <f t="array" ref="R1054">_xlfn.IFS(B1054&lt;31,"Young-Adult",B1054&lt;41,"Adult",B1054&lt;61,"Middle-aged",B1054&gt;=61,"Senior")</f>
        <v>Middle-aged</v>
      </c>
      <c r="S1054" cm="1">
        <f t="array" ref="S1054">_xlfn.IFS(Q1054 ="Fortnightly",14,Q1054="Weekly",7,Q1054="Monthly",30,Q1054="Quarterly",90,Q1054="Bi-Weekly",14,Q1054="Annually",365,Q1054="Every 3 Months",90,TRUE,"NOT FOUND")</f>
        <v>14</v>
      </c>
    </row>
    <row r="1055" spans="1:19" x14ac:dyDescent="0.35">
      <c r="A1055">
        <v>1054</v>
      </c>
      <c r="B1055">
        <v>59</v>
      </c>
      <c r="C1055" t="s">
        <v>7</v>
      </c>
      <c r="D1055" t="s">
        <v>8</v>
      </c>
      <c r="E1055" t="s">
        <v>9</v>
      </c>
      <c r="F1055">
        <v>70</v>
      </c>
      <c r="G1055" t="s">
        <v>99</v>
      </c>
      <c r="H1055" t="s">
        <v>32</v>
      </c>
      <c r="I1055" t="s">
        <v>132</v>
      </c>
      <c r="J1055" t="s">
        <v>25</v>
      </c>
      <c r="K1055">
        <v>3.3</v>
      </c>
      <c r="L1055" t="s">
        <v>140</v>
      </c>
      <c r="M1055" t="s">
        <v>58</v>
      </c>
      <c r="N1055" t="s">
        <v>14</v>
      </c>
      <c r="O1055">
        <v>10</v>
      </c>
      <c r="P1055" t="s">
        <v>74</v>
      </c>
      <c r="Q1055" t="s">
        <v>64</v>
      </c>
      <c r="R1055" t="str" cm="1">
        <f t="array" ref="R1055">_xlfn.IFS(B1055&lt;31,"Young-Adult",B1055&lt;41,"Adult",B1055&lt;61,"Middle-aged",B1055&gt;=61,"Senior")</f>
        <v>Middle-aged</v>
      </c>
      <c r="S1055" cm="1">
        <f t="array" ref="S1055">_xlfn.IFS(Q1055 ="Fortnightly",14,Q1055="Weekly",7,Q1055="Monthly",30,Q1055="Quarterly",90,Q1055="Bi-Weekly",14,Q1055="Annually",365,Q1055="Every 3 Months",90,TRUE,"NOT FOUND")</f>
        <v>14</v>
      </c>
    </row>
    <row r="1056" spans="1:19" x14ac:dyDescent="0.35">
      <c r="A1056">
        <v>1055</v>
      </c>
      <c r="B1056">
        <v>18</v>
      </c>
      <c r="C1056" t="s">
        <v>7</v>
      </c>
      <c r="D1056" t="s">
        <v>47</v>
      </c>
      <c r="E1056" t="s">
        <v>9</v>
      </c>
      <c r="F1056">
        <v>96</v>
      </c>
      <c r="G1056" t="s">
        <v>60</v>
      </c>
      <c r="H1056" t="s">
        <v>11</v>
      </c>
      <c r="I1056" t="s">
        <v>97</v>
      </c>
      <c r="J1056" t="s">
        <v>13</v>
      </c>
      <c r="K1056">
        <v>4.9000000000000004</v>
      </c>
      <c r="L1056" t="s">
        <v>140</v>
      </c>
      <c r="M1056" t="s">
        <v>15</v>
      </c>
      <c r="N1056" t="s">
        <v>14</v>
      </c>
      <c r="O1056">
        <v>48</v>
      </c>
      <c r="P1056" t="s">
        <v>34</v>
      </c>
      <c r="Q1056" t="s">
        <v>46</v>
      </c>
      <c r="R1056" t="str" cm="1">
        <f t="array" ref="R1056">_xlfn.IFS(B1056&lt;31,"Young-Adult",B1056&lt;41,"Adult",B1056&lt;61,"Middle-aged",B1056&gt;=61,"Senior")</f>
        <v>Young-Adult</v>
      </c>
      <c r="S1056" cm="1">
        <f t="array" ref="S1056">_xlfn.IFS(Q1056 ="Fortnightly",14,Q1056="Weekly",7,Q1056="Monthly",30,Q1056="Quarterly",90,Q1056="Bi-Weekly",14,Q1056="Annually",365,Q1056="Every 3 Months",90,TRUE,"NOT FOUND")</f>
        <v>90</v>
      </c>
    </row>
    <row r="1057" spans="1:19" x14ac:dyDescent="0.35">
      <c r="A1057">
        <v>1056</v>
      </c>
      <c r="B1057">
        <v>70</v>
      </c>
      <c r="C1057" t="s">
        <v>7</v>
      </c>
      <c r="D1057" t="s">
        <v>90</v>
      </c>
      <c r="E1057" t="s">
        <v>51</v>
      </c>
      <c r="F1057">
        <v>27</v>
      </c>
      <c r="G1057" t="s">
        <v>23</v>
      </c>
      <c r="H1057" t="s">
        <v>32</v>
      </c>
      <c r="I1057" t="s">
        <v>109</v>
      </c>
      <c r="J1057" t="s">
        <v>25</v>
      </c>
      <c r="K1057">
        <v>3.3</v>
      </c>
      <c r="L1057" t="s">
        <v>140</v>
      </c>
      <c r="M1057" t="s">
        <v>33</v>
      </c>
      <c r="N1057" t="s">
        <v>14</v>
      </c>
      <c r="O1057">
        <v>24</v>
      </c>
      <c r="P1057" t="s">
        <v>74</v>
      </c>
      <c r="Q1057" t="s">
        <v>37</v>
      </c>
      <c r="R1057" t="str" cm="1">
        <f t="array" ref="R1057">_xlfn.IFS(B1057&lt;31,"Young-Adult",B1057&lt;41,"Adult",B1057&lt;61,"Middle-aged",B1057&gt;=61,"Senior")</f>
        <v>Senior</v>
      </c>
      <c r="S1057" cm="1">
        <f t="array" ref="S1057">_xlfn.IFS(Q1057 ="Fortnightly",14,Q1057="Weekly",7,Q1057="Monthly",30,Q1057="Quarterly",90,Q1057="Bi-Weekly",14,Q1057="Annually",365,Q1057="Every 3 Months",90,TRUE,"NOT FOUND")</f>
        <v>365</v>
      </c>
    </row>
    <row r="1058" spans="1:19" x14ac:dyDescent="0.35">
      <c r="A1058">
        <v>1057</v>
      </c>
      <c r="B1058">
        <v>20</v>
      </c>
      <c r="C1058" t="s">
        <v>7</v>
      </c>
      <c r="D1058" t="s">
        <v>18</v>
      </c>
      <c r="E1058" t="s">
        <v>9</v>
      </c>
      <c r="F1058">
        <v>64</v>
      </c>
      <c r="G1058" t="s">
        <v>123</v>
      </c>
      <c r="H1058" t="s">
        <v>11</v>
      </c>
      <c r="I1058" t="s">
        <v>82</v>
      </c>
      <c r="J1058" t="s">
        <v>13</v>
      </c>
      <c r="K1058">
        <v>2.9</v>
      </c>
      <c r="L1058" t="s">
        <v>140</v>
      </c>
      <c r="M1058" t="s">
        <v>58</v>
      </c>
      <c r="N1058" t="s">
        <v>14</v>
      </c>
      <c r="O1058">
        <v>42</v>
      </c>
      <c r="P1058" t="s">
        <v>16</v>
      </c>
      <c r="Q1058" t="s">
        <v>17</v>
      </c>
      <c r="R1058" t="str" cm="1">
        <f t="array" ref="R1058">_xlfn.IFS(B1058&lt;31,"Young-Adult",B1058&lt;41,"Adult",B1058&lt;61,"Middle-aged",B1058&gt;=61,"Senior")</f>
        <v>Young-Adult</v>
      </c>
      <c r="S1058" cm="1">
        <f t="array" ref="S1058">_xlfn.IFS(Q1058 ="Fortnightly",14,Q1058="Weekly",7,Q1058="Monthly",30,Q1058="Quarterly",90,Q1058="Bi-Weekly",14,Q1058="Annually",365,Q1058="Every 3 Months",90,TRUE,"NOT FOUND")</f>
        <v>14</v>
      </c>
    </row>
    <row r="1059" spans="1:19" x14ac:dyDescent="0.35">
      <c r="A1059">
        <v>1058</v>
      </c>
      <c r="B1059">
        <v>65</v>
      </c>
      <c r="C1059" t="s">
        <v>7</v>
      </c>
      <c r="D1059" t="s">
        <v>90</v>
      </c>
      <c r="E1059" t="s">
        <v>51</v>
      </c>
      <c r="F1059">
        <v>23</v>
      </c>
      <c r="G1059" t="s">
        <v>138</v>
      </c>
      <c r="H1059" t="s">
        <v>24</v>
      </c>
      <c r="I1059" t="s">
        <v>20</v>
      </c>
      <c r="J1059" t="s">
        <v>25</v>
      </c>
      <c r="K1059">
        <v>4.4000000000000004</v>
      </c>
      <c r="L1059" t="s">
        <v>140</v>
      </c>
      <c r="M1059" t="s">
        <v>58</v>
      </c>
      <c r="N1059" t="s">
        <v>14</v>
      </c>
      <c r="O1059">
        <v>20</v>
      </c>
      <c r="P1059" t="s">
        <v>27</v>
      </c>
      <c r="Q1059" t="s">
        <v>28</v>
      </c>
      <c r="R1059" t="str" cm="1">
        <f t="array" ref="R1059">_xlfn.IFS(B1059&lt;31,"Young-Adult",B1059&lt;41,"Adult",B1059&lt;61,"Middle-aged",B1059&gt;=61,"Senior")</f>
        <v>Senior</v>
      </c>
      <c r="S1059" cm="1">
        <f t="array" ref="S1059">_xlfn.IFS(Q1059 ="Fortnightly",14,Q1059="Weekly",7,Q1059="Monthly",30,Q1059="Quarterly",90,Q1059="Bi-Weekly",14,Q1059="Annually",365,Q1059="Every 3 Months",90,TRUE,"NOT FOUND")</f>
        <v>7</v>
      </c>
    </row>
    <row r="1060" spans="1:19" x14ac:dyDescent="0.35">
      <c r="A1060">
        <v>1059</v>
      </c>
      <c r="B1060">
        <v>29</v>
      </c>
      <c r="C1060" t="s">
        <v>7</v>
      </c>
      <c r="D1060" t="s">
        <v>107</v>
      </c>
      <c r="E1060" t="s">
        <v>55</v>
      </c>
      <c r="F1060">
        <v>33</v>
      </c>
      <c r="G1060" t="s">
        <v>118</v>
      </c>
      <c r="H1060" t="s">
        <v>11</v>
      </c>
      <c r="I1060" t="s">
        <v>71</v>
      </c>
      <c r="J1060" t="s">
        <v>41</v>
      </c>
      <c r="K1060">
        <v>3.1</v>
      </c>
      <c r="L1060" t="s">
        <v>140</v>
      </c>
      <c r="M1060" t="s">
        <v>33</v>
      </c>
      <c r="N1060" t="s">
        <v>14</v>
      </c>
      <c r="O1060">
        <v>49</v>
      </c>
      <c r="P1060" t="s">
        <v>63</v>
      </c>
      <c r="Q1060" t="s">
        <v>85</v>
      </c>
      <c r="R1060" t="str" cm="1">
        <f t="array" ref="R1060">_xlfn.IFS(B1060&lt;31,"Young-Adult",B1060&lt;41,"Adult",B1060&lt;61,"Middle-aged",B1060&gt;=61,"Senior")</f>
        <v>Young-Adult</v>
      </c>
      <c r="S1060" cm="1">
        <f t="array" ref="S1060">_xlfn.IFS(Q1060 ="Fortnightly",14,Q1060="Weekly",7,Q1060="Monthly",30,Q1060="Quarterly",90,Q1060="Bi-Weekly",14,Q1060="Annually",365,Q1060="Every 3 Months",90,TRUE,"NOT FOUND")</f>
        <v>90</v>
      </c>
    </row>
    <row r="1061" spans="1:19" x14ac:dyDescent="0.35">
      <c r="A1061">
        <v>1060</v>
      </c>
      <c r="B1061">
        <v>22</v>
      </c>
      <c r="C1061" t="s">
        <v>7</v>
      </c>
      <c r="D1061" t="s">
        <v>90</v>
      </c>
      <c r="E1061" t="s">
        <v>51</v>
      </c>
      <c r="F1061">
        <v>34</v>
      </c>
      <c r="G1061" t="s">
        <v>86</v>
      </c>
      <c r="H1061" t="s">
        <v>32</v>
      </c>
      <c r="I1061" t="s">
        <v>106</v>
      </c>
      <c r="J1061" t="s">
        <v>13</v>
      </c>
      <c r="K1061">
        <v>2.5</v>
      </c>
      <c r="L1061" t="s">
        <v>140</v>
      </c>
      <c r="M1061" t="s">
        <v>42</v>
      </c>
      <c r="N1061" t="s">
        <v>14</v>
      </c>
      <c r="O1061">
        <v>25</v>
      </c>
      <c r="P1061" t="s">
        <v>74</v>
      </c>
      <c r="Q1061" t="s">
        <v>76</v>
      </c>
      <c r="R1061" t="str" cm="1">
        <f t="array" ref="R1061">_xlfn.IFS(B1061&lt;31,"Young-Adult",B1061&lt;41,"Adult",B1061&lt;61,"Middle-aged",B1061&gt;=61,"Senior")</f>
        <v>Young-Adult</v>
      </c>
      <c r="S1061" cm="1">
        <f t="array" ref="S1061">_xlfn.IFS(Q1061 ="Fortnightly",14,Q1061="Weekly",7,Q1061="Monthly",30,Q1061="Quarterly",90,Q1061="Bi-Weekly",14,Q1061="Annually",365,Q1061="Every 3 Months",90,TRUE,"NOT FOUND")</f>
        <v>30</v>
      </c>
    </row>
    <row r="1062" spans="1:19" x14ac:dyDescent="0.35">
      <c r="A1062">
        <v>1061</v>
      </c>
      <c r="B1062">
        <v>27</v>
      </c>
      <c r="C1062" t="s">
        <v>7</v>
      </c>
      <c r="D1062" t="s">
        <v>18</v>
      </c>
      <c r="E1062" t="s">
        <v>9</v>
      </c>
      <c r="F1062">
        <v>35</v>
      </c>
      <c r="G1062" t="s">
        <v>134</v>
      </c>
      <c r="H1062" t="s">
        <v>24</v>
      </c>
      <c r="I1062" t="s">
        <v>12</v>
      </c>
      <c r="J1062" t="s">
        <v>41</v>
      </c>
      <c r="K1062">
        <v>2.6</v>
      </c>
      <c r="L1062" t="s">
        <v>140</v>
      </c>
      <c r="M1062" t="s">
        <v>33</v>
      </c>
      <c r="N1062" t="s">
        <v>14</v>
      </c>
      <c r="O1062">
        <v>21</v>
      </c>
      <c r="P1062" t="s">
        <v>74</v>
      </c>
      <c r="Q1062" t="s">
        <v>85</v>
      </c>
      <c r="R1062" t="str" cm="1">
        <f t="array" ref="R1062">_xlfn.IFS(B1062&lt;31,"Young-Adult",B1062&lt;41,"Adult",B1062&lt;61,"Middle-aged",B1062&gt;=61,"Senior")</f>
        <v>Young-Adult</v>
      </c>
      <c r="S1062" cm="1">
        <f t="array" ref="S1062">_xlfn.IFS(Q1062 ="Fortnightly",14,Q1062="Weekly",7,Q1062="Monthly",30,Q1062="Quarterly",90,Q1062="Bi-Weekly",14,Q1062="Annually",365,Q1062="Every 3 Months",90,TRUE,"NOT FOUND")</f>
        <v>90</v>
      </c>
    </row>
    <row r="1063" spans="1:19" x14ac:dyDescent="0.35">
      <c r="A1063">
        <v>1062</v>
      </c>
      <c r="B1063">
        <v>36</v>
      </c>
      <c r="C1063" t="s">
        <v>7</v>
      </c>
      <c r="D1063" t="s">
        <v>50</v>
      </c>
      <c r="E1063" t="s">
        <v>51</v>
      </c>
      <c r="F1063">
        <v>62</v>
      </c>
      <c r="G1063" t="s">
        <v>123</v>
      </c>
      <c r="H1063" t="s">
        <v>32</v>
      </c>
      <c r="I1063" t="s">
        <v>12</v>
      </c>
      <c r="J1063" t="s">
        <v>41</v>
      </c>
      <c r="K1063">
        <v>4.4000000000000004</v>
      </c>
      <c r="L1063" t="s">
        <v>140</v>
      </c>
      <c r="M1063" t="s">
        <v>26</v>
      </c>
      <c r="N1063" t="s">
        <v>14</v>
      </c>
      <c r="O1063">
        <v>12</v>
      </c>
      <c r="P1063" t="s">
        <v>16</v>
      </c>
      <c r="Q1063" t="s">
        <v>85</v>
      </c>
      <c r="R1063" t="str" cm="1">
        <f t="array" ref="R1063">_xlfn.IFS(B1063&lt;31,"Young-Adult",B1063&lt;41,"Adult",B1063&lt;61,"Middle-aged",B1063&gt;=61,"Senior")</f>
        <v>Adult</v>
      </c>
      <c r="S1063" cm="1">
        <f t="array" ref="S1063">_xlfn.IFS(Q1063 ="Fortnightly",14,Q1063="Weekly",7,Q1063="Monthly",30,Q1063="Quarterly",90,Q1063="Bi-Weekly",14,Q1063="Annually",365,Q1063="Every 3 Months",90,TRUE,"NOT FOUND")</f>
        <v>90</v>
      </c>
    </row>
    <row r="1064" spans="1:19" x14ac:dyDescent="0.35">
      <c r="A1064">
        <v>1063</v>
      </c>
      <c r="B1064">
        <v>59</v>
      </c>
      <c r="C1064" t="s">
        <v>7</v>
      </c>
      <c r="D1064" t="s">
        <v>125</v>
      </c>
      <c r="E1064" t="s">
        <v>30</v>
      </c>
      <c r="F1064">
        <v>75</v>
      </c>
      <c r="G1064" t="s">
        <v>111</v>
      </c>
      <c r="H1064" t="s">
        <v>32</v>
      </c>
      <c r="I1064" t="s">
        <v>98</v>
      </c>
      <c r="J1064" t="s">
        <v>45</v>
      </c>
      <c r="K1064">
        <v>2.6</v>
      </c>
      <c r="L1064" t="s">
        <v>140</v>
      </c>
      <c r="M1064" t="s">
        <v>33</v>
      </c>
      <c r="N1064" t="s">
        <v>14</v>
      </c>
      <c r="O1064">
        <v>21</v>
      </c>
      <c r="P1064" t="s">
        <v>74</v>
      </c>
      <c r="Q1064" t="s">
        <v>85</v>
      </c>
      <c r="R1064" t="str" cm="1">
        <f t="array" ref="R1064">_xlfn.IFS(B1064&lt;31,"Young-Adult",B1064&lt;41,"Adult",B1064&lt;61,"Middle-aged",B1064&gt;=61,"Senior")</f>
        <v>Middle-aged</v>
      </c>
      <c r="S1064" cm="1">
        <f t="array" ref="S1064">_xlfn.IFS(Q1064 ="Fortnightly",14,Q1064="Weekly",7,Q1064="Monthly",30,Q1064="Quarterly",90,Q1064="Bi-Weekly",14,Q1064="Annually",365,Q1064="Every 3 Months",90,TRUE,"NOT FOUND")</f>
        <v>90</v>
      </c>
    </row>
    <row r="1065" spans="1:19" x14ac:dyDescent="0.35">
      <c r="A1065">
        <v>1064</v>
      </c>
      <c r="B1065">
        <v>62</v>
      </c>
      <c r="C1065" t="s">
        <v>7</v>
      </c>
      <c r="D1065" t="s">
        <v>92</v>
      </c>
      <c r="E1065" t="s">
        <v>9</v>
      </c>
      <c r="F1065">
        <v>29</v>
      </c>
      <c r="G1065" t="s">
        <v>78</v>
      </c>
      <c r="H1065" t="s">
        <v>24</v>
      </c>
      <c r="I1065" t="s">
        <v>114</v>
      </c>
      <c r="J1065" t="s">
        <v>41</v>
      </c>
      <c r="K1065">
        <v>3.3</v>
      </c>
      <c r="L1065" t="s">
        <v>140</v>
      </c>
      <c r="M1065" t="s">
        <v>26</v>
      </c>
      <c r="N1065" t="s">
        <v>14</v>
      </c>
      <c r="O1065">
        <v>35</v>
      </c>
      <c r="P1065" t="s">
        <v>21</v>
      </c>
      <c r="Q1065" t="s">
        <v>76</v>
      </c>
      <c r="R1065" t="str" cm="1">
        <f t="array" ref="R1065">_xlfn.IFS(B1065&lt;31,"Young-Adult",B1065&lt;41,"Adult",B1065&lt;61,"Middle-aged",B1065&gt;=61,"Senior")</f>
        <v>Senior</v>
      </c>
      <c r="S1065" cm="1">
        <f t="array" ref="S1065">_xlfn.IFS(Q1065 ="Fortnightly",14,Q1065="Weekly",7,Q1065="Monthly",30,Q1065="Quarterly",90,Q1065="Bi-Weekly",14,Q1065="Annually",365,Q1065="Every 3 Months",90,TRUE,"NOT FOUND")</f>
        <v>30</v>
      </c>
    </row>
    <row r="1066" spans="1:19" x14ac:dyDescent="0.35">
      <c r="A1066">
        <v>1065</v>
      </c>
      <c r="B1066">
        <v>34</v>
      </c>
      <c r="C1066" t="s">
        <v>7</v>
      </c>
      <c r="D1066" t="s">
        <v>112</v>
      </c>
      <c r="E1066" t="s">
        <v>55</v>
      </c>
      <c r="F1066">
        <v>28</v>
      </c>
      <c r="G1066" t="s">
        <v>39</v>
      </c>
      <c r="H1066" t="s">
        <v>32</v>
      </c>
      <c r="I1066" t="s">
        <v>71</v>
      </c>
      <c r="J1066" t="s">
        <v>25</v>
      </c>
      <c r="K1066">
        <v>3.5</v>
      </c>
      <c r="L1066" t="s">
        <v>140</v>
      </c>
      <c r="M1066" t="s">
        <v>15</v>
      </c>
      <c r="N1066" t="s">
        <v>14</v>
      </c>
      <c r="O1066">
        <v>42</v>
      </c>
      <c r="P1066" t="s">
        <v>27</v>
      </c>
      <c r="Q1066" t="s">
        <v>85</v>
      </c>
      <c r="R1066" t="str" cm="1">
        <f t="array" ref="R1066">_xlfn.IFS(B1066&lt;31,"Young-Adult",B1066&lt;41,"Adult",B1066&lt;61,"Middle-aged",B1066&gt;=61,"Senior")</f>
        <v>Adult</v>
      </c>
      <c r="S1066" cm="1">
        <f t="array" ref="S1066">_xlfn.IFS(Q1066 ="Fortnightly",14,Q1066="Weekly",7,Q1066="Monthly",30,Q1066="Quarterly",90,Q1066="Bi-Weekly",14,Q1066="Annually",365,Q1066="Every 3 Months",90,TRUE,"NOT FOUND")</f>
        <v>90</v>
      </c>
    </row>
    <row r="1067" spans="1:19" x14ac:dyDescent="0.35">
      <c r="A1067">
        <v>1066</v>
      </c>
      <c r="B1067">
        <v>59</v>
      </c>
      <c r="C1067" t="s">
        <v>7</v>
      </c>
      <c r="D1067" t="s">
        <v>101</v>
      </c>
      <c r="E1067" t="s">
        <v>9</v>
      </c>
      <c r="F1067">
        <v>20</v>
      </c>
      <c r="G1067" t="s">
        <v>78</v>
      </c>
      <c r="H1067" t="s">
        <v>80</v>
      </c>
      <c r="I1067" t="s">
        <v>132</v>
      </c>
      <c r="J1067" t="s">
        <v>25</v>
      </c>
      <c r="K1067">
        <v>4.0999999999999996</v>
      </c>
      <c r="L1067" t="s">
        <v>140</v>
      </c>
      <c r="M1067" t="s">
        <v>62</v>
      </c>
      <c r="N1067" t="s">
        <v>14</v>
      </c>
      <c r="O1067">
        <v>3</v>
      </c>
      <c r="P1067" t="s">
        <v>34</v>
      </c>
      <c r="Q1067" t="s">
        <v>85</v>
      </c>
      <c r="R1067" t="str" cm="1">
        <f t="array" ref="R1067">_xlfn.IFS(B1067&lt;31,"Young-Adult",B1067&lt;41,"Adult",B1067&lt;61,"Middle-aged",B1067&gt;=61,"Senior")</f>
        <v>Middle-aged</v>
      </c>
      <c r="S1067" cm="1">
        <f t="array" ref="S1067">_xlfn.IFS(Q1067 ="Fortnightly",14,Q1067="Weekly",7,Q1067="Monthly",30,Q1067="Quarterly",90,Q1067="Bi-Weekly",14,Q1067="Annually",365,Q1067="Every 3 Months",90,TRUE,"NOT FOUND")</f>
        <v>90</v>
      </c>
    </row>
    <row r="1068" spans="1:19" x14ac:dyDescent="0.35">
      <c r="A1068">
        <v>1067</v>
      </c>
      <c r="B1068">
        <v>49</v>
      </c>
      <c r="C1068" t="s">
        <v>7</v>
      </c>
      <c r="D1068" t="s">
        <v>50</v>
      </c>
      <c r="E1068" t="s">
        <v>51</v>
      </c>
      <c r="F1068">
        <v>96</v>
      </c>
      <c r="G1068" t="s">
        <v>79</v>
      </c>
      <c r="H1068" t="s">
        <v>32</v>
      </c>
      <c r="I1068" t="s">
        <v>96</v>
      </c>
      <c r="J1068" t="s">
        <v>13</v>
      </c>
      <c r="K1068">
        <v>4</v>
      </c>
      <c r="L1068" t="s">
        <v>140</v>
      </c>
      <c r="M1068" t="s">
        <v>62</v>
      </c>
      <c r="N1068" t="s">
        <v>14</v>
      </c>
      <c r="O1068">
        <v>11</v>
      </c>
      <c r="P1068" t="s">
        <v>34</v>
      </c>
      <c r="Q1068" t="s">
        <v>64</v>
      </c>
      <c r="R1068" t="str" cm="1">
        <f t="array" ref="R1068">_xlfn.IFS(B1068&lt;31,"Young-Adult",B1068&lt;41,"Adult",B1068&lt;61,"Middle-aged",B1068&gt;=61,"Senior")</f>
        <v>Middle-aged</v>
      </c>
      <c r="S1068" cm="1">
        <f t="array" ref="S1068">_xlfn.IFS(Q1068 ="Fortnightly",14,Q1068="Weekly",7,Q1068="Monthly",30,Q1068="Quarterly",90,Q1068="Bi-Weekly",14,Q1068="Annually",365,Q1068="Every 3 Months",90,TRUE,"NOT FOUND")</f>
        <v>14</v>
      </c>
    </row>
    <row r="1069" spans="1:19" x14ac:dyDescent="0.35">
      <c r="A1069">
        <v>1068</v>
      </c>
      <c r="B1069">
        <v>18</v>
      </c>
      <c r="C1069" t="s">
        <v>7</v>
      </c>
      <c r="D1069" t="s">
        <v>69</v>
      </c>
      <c r="E1069" t="s">
        <v>9</v>
      </c>
      <c r="F1069">
        <v>43</v>
      </c>
      <c r="G1069" t="s">
        <v>126</v>
      </c>
      <c r="H1069" t="s">
        <v>24</v>
      </c>
      <c r="I1069" t="s">
        <v>88</v>
      </c>
      <c r="J1069" t="s">
        <v>41</v>
      </c>
      <c r="K1069">
        <v>2.7</v>
      </c>
      <c r="L1069" t="s">
        <v>140</v>
      </c>
      <c r="M1069" t="s">
        <v>58</v>
      </c>
      <c r="N1069" t="s">
        <v>14</v>
      </c>
      <c r="O1069">
        <v>22</v>
      </c>
      <c r="P1069" t="s">
        <v>34</v>
      </c>
      <c r="Q1069" t="s">
        <v>46</v>
      </c>
      <c r="R1069" t="str" cm="1">
        <f t="array" ref="R1069">_xlfn.IFS(B1069&lt;31,"Young-Adult",B1069&lt;41,"Adult",B1069&lt;61,"Middle-aged",B1069&gt;=61,"Senior")</f>
        <v>Young-Adult</v>
      </c>
      <c r="S1069" cm="1">
        <f t="array" ref="S1069">_xlfn.IFS(Q1069 ="Fortnightly",14,Q1069="Weekly",7,Q1069="Monthly",30,Q1069="Quarterly",90,Q1069="Bi-Weekly",14,Q1069="Annually",365,Q1069="Every 3 Months",90,TRUE,"NOT FOUND")</f>
        <v>90</v>
      </c>
    </row>
    <row r="1070" spans="1:19" x14ac:dyDescent="0.35">
      <c r="A1070">
        <v>1069</v>
      </c>
      <c r="B1070">
        <v>55</v>
      </c>
      <c r="C1070" t="s">
        <v>7</v>
      </c>
      <c r="D1070" t="s">
        <v>43</v>
      </c>
      <c r="E1070" t="s">
        <v>9</v>
      </c>
      <c r="F1070">
        <v>94</v>
      </c>
      <c r="G1070" t="s">
        <v>39</v>
      </c>
      <c r="H1070" t="s">
        <v>32</v>
      </c>
      <c r="I1070" t="s">
        <v>66</v>
      </c>
      <c r="J1070" t="s">
        <v>45</v>
      </c>
      <c r="K1070">
        <v>2.5</v>
      </c>
      <c r="L1070" t="s">
        <v>140</v>
      </c>
      <c r="M1070" t="s">
        <v>42</v>
      </c>
      <c r="N1070" t="s">
        <v>14</v>
      </c>
      <c r="O1070">
        <v>47</v>
      </c>
      <c r="P1070" t="s">
        <v>27</v>
      </c>
      <c r="Q1070" t="s">
        <v>28</v>
      </c>
      <c r="R1070" t="str" cm="1">
        <f t="array" ref="R1070">_xlfn.IFS(B1070&lt;31,"Young-Adult",B1070&lt;41,"Adult",B1070&lt;61,"Middle-aged",B1070&gt;=61,"Senior")</f>
        <v>Middle-aged</v>
      </c>
      <c r="S1070" cm="1">
        <f t="array" ref="S1070">_xlfn.IFS(Q1070 ="Fortnightly",14,Q1070="Weekly",7,Q1070="Monthly",30,Q1070="Quarterly",90,Q1070="Bi-Weekly",14,Q1070="Annually",365,Q1070="Every 3 Months",90,TRUE,"NOT FOUND")</f>
        <v>7</v>
      </c>
    </row>
    <row r="1071" spans="1:19" x14ac:dyDescent="0.35">
      <c r="A1071">
        <v>1070</v>
      </c>
      <c r="B1071">
        <v>38</v>
      </c>
      <c r="C1071" t="s">
        <v>7</v>
      </c>
      <c r="D1071" t="s">
        <v>75</v>
      </c>
      <c r="E1071" t="s">
        <v>9</v>
      </c>
      <c r="F1071">
        <v>81</v>
      </c>
      <c r="G1071" t="s">
        <v>116</v>
      </c>
      <c r="H1071" t="s">
        <v>80</v>
      </c>
      <c r="I1071" t="s">
        <v>40</v>
      </c>
      <c r="J1071" t="s">
        <v>45</v>
      </c>
      <c r="K1071">
        <v>4.3</v>
      </c>
      <c r="L1071" t="s">
        <v>140</v>
      </c>
      <c r="M1071" t="s">
        <v>33</v>
      </c>
      <c r="N1071" t="s">
        <v>14</v>
      </c>
      <c r="O1071">
        <v>33</v>
      </c>
      <c r="P1071" t="s">
        <v>16</v>
      </c>
      <c r="Q1071" t="s">
        <v>85</v>
      </c>
      <c r="R1071" t="str" cm="1">
        <f t="array" ref="R1071">_xlfn.IFS(B1071&lt;31,"Young-Adult",B1071&lt;41,"Adult",B1071&lt;61,"Middle-aged",B1071&gt;=61,"Senior")</f>
        <v>Adult</v>
      </c>
      <c r="S1071" cm="1">
        <f t="array" ref="S1071">_xlfn.IFS(Q1071 ="Fortnightly",14,Q1071="Weekly",7,Q1071="Monthly",30,Q1071="Quarterly",90,Q1071="Bi-Weekly",14,Q1071="Annually",365,Q1071="Every 3 Months",90,TRUE,"NOT FOUND")</f>
        <v>90</v>
      </c>
    </row>
    <row r="1072" spans="1:19" x14ac:dyDescent="0.35">
      <c r="A1072">
        <v>1071</v>
      </c>
      <c r="B1072">
        <v>50</v>
      </c>
      <c r="C1072" t="s">
        <v>7</v>
      </c>
      <c r="D1072" t="s">
        <v>94</v>
      </c>
      <c r="E1072" t="s">
        <v>55</v>
      </c>
      <c r="F1072">
        <v>75</v>
      </c>
      <c r="G1072" t="s">
        <v>86</v>
      </c>
      <c r="H1072" t="s">
        <v>32</v>
      </c>
      <c r="I1072" t="s">
        <v>124</v>
      </c>
      <c r="J1072" t="s">
        <v>41</v>
      </c>
      <c r="K1072">
        <v>3.3</v>
      </c>
      <c r="L1072" t="s">
        <v>140</v>
      </c>
      <c r="M1072" t="s">
        <v>26</v>
      </c>
      <c r="N1072" t="s">
        <v>14</v>
      </c>
      <c r="O1072">
        <v>50</v>
      </c>
      <c r="P1072" t="s">
        <v>74</v>
      </c>
      <c r="Q1072" t="s">
        <v>28</v>
      </c>
      <c r="R1072" t="str" cm="1">
        <f t="array" ref="R1072">_xlfn.IFS(B1072&lt;31,"Young-Adult",B1072&lt;41,"Adult",B1072&lt;61,"Middle-aged",B1072&gt;=61,"Senior")</f>
        <v>Middle-aged</v>
      </c>
      <c r="S1072" cm="1">
        <f t="array" ref="S1072">_xlfn.IFS(Q1072 ="Fortnightly",14,Q1072="Weekly",7,Q1072="Monthly",30,Q1072="Quarterly",90,Q1072="Bi-Weekly",14,Q1072="Annually",365,Q1072="Every 3 Months",90,TRUE,"NOT FOUND")</f>
        <v>7</v>
      </c>
    </row>
    <row r="1073" spans="1:19" x14ac:dyDescent="0.35">
      <c r="A1073">
        <v>1072</v>
      </c>
      <c r="B1073">
        <v>61</v>
      </c>
      <c r="C1073" t="s">
        <v>7</v>
      </c>
      <c r="D1073" t="s">
        <v>112</v>
      </c>
      <c r="E1073" t="s">
        <v>55</v>
      </c>
      <c r="F1073">
        <v>81</v>
      </c>
      <c r="G1073" t="s">
        <v>126</v>
      </c>
      <c r="H1073" t="s">
        <v>32</v>
      </c>
      <c r="I1073" t="s">
        <v>106</v>
      </c>
      <c r="J1073" t="s">
        <v>41</v>
      </c>
      <c r="K1073">
        <v>2.6</v>
      </c>
      <c r="L1073" t="s">
        <v>140</v>
      </c>
      <c r="M1073" t="s">
        <v>15</v>
      </c>
      <c r="N1073" t="s">
        <v>14</v>
      </c>
      <c r="O1073">
        <v>46</v>
      </c>
      <c r="P1073" t="s">
        <v>27</v>
      </c>
      <c r="Q1073" t="s">
        <v>76</v>
      </c>
      <c r="R1073" t="str" cm="1">
        <f t="array" ref="R1073">_xlfn.IFS(B1073&lt;31,"Young-Adult",B1073&lt;41,"Adult",B1073&lt;61,"Middle-aged",B1073&gt;=61,"Senior")</f>
        <v>Senior</v>
      </c>
      <c r="S1073" cm="1">
        <f t="array" ref="S1073">_xlfn.IFS(Q1073 ="Fortnightly",14,Q1073="Weekly",7,Q1073="Monthly",30,Q1073="Quarterly",90,Q1073="Bi-Weekly",14,Q1073="Annually",365,Q1073="Every 3 Months",90,TRUE,"NOT FOUND")</f>
        <v>30</v>
      </c>
    </row>
    <row r="1074" spans="1:19" x14ac:dyDescent="0.35">
      <c r="A1074">
        <v>1073</v>
      </c>
      <c r="B1074">
        <v>48</v>
      </c>
      <c r="C1074" t="s">
        <v>7</v>
      </c>
      <c r="D1074" t="s">
        <v>47</v>
      </c>
      <c r="E1074" t="s">
        <v>9</v>
      </c>
      <c r="F1074">
        <v>92</v>
      </c>
      <c r="G1074" t="s">
        <v>123</v>
      </c>
      <c r="H1074" t="s">
        <v>11</v>
      </c>
      <c r="I1074" t="s">
        <v>68</v>
      </c>
      <c r="J1074" t="s">
        <v>45</v>
      </c>
      <c r="K1074">
        <v>3.8</v>
      </c>
      <c r="L1074" t="s">
        <v>140</v>
      </c>
      <c r="M1074" t="s">
        <v>15</v>
      </c>
      <c r="N1074" t="s">
        <v>14</v>
      </c>
      <c r="O1074">
        <v>34</v>
      </c>
      <c r="P1074" t="s">
        <v>74</v>
      </c>
      <c r="Q1074" t="s">
        <v>17</v>
      </c>
      <c r="R1074" t="str" cm="1">
        <f t="array" ref="R1074">_xlfn.IFS(B1074&lt;31,"Young-Adult",B1074&lt;41,"Adult",B1074&lt;61,"Middle-aged",B1074&gt;=61,"Senior")</f>
        <v>Middle-aged</v>
      </c>
      <c r="S1074" cm="1">
        <f t="array" ref="S1074">_xlfn.IFS(Q1074 ="Fortnightly",14,Q1074="Weekly",7,Q1074="Monthly",30,Q1074="Quarterly",90,Q1074="Bi-Weekly",14,Q1074="Annually",365,Q1074="Every 3 Months",90,TRUE,"NOT FOUND")</f>
        <v>14</v>
      </c>
    </row>
    <row r="1075" spans="1:19" x14ac:dyDescent="0.35">
      <c r="A1075">
        <v>1074</v>
      </c>
      <c r="B1075">
        <v>22</v>
      </c>
      <c r="C1075" t="s">
        <v>7</v>
      </c>
      <c r="D1075" t="s">
        <v>107</v>
      </c>
      <c r="E1075" t="s">
        <v>55</v>
      </c>
      <c r="F1075">
        <v>96</v>
      </c>
      <c r="G1075" t="s">
        <v>87</v>
      </c>
      <c r="H1075" t="s">
        <v>80</v>
      </c>
      <c r="I1075" t="s">
        <v>61</v>
      </c>
      <c r="J1075" t="s">
        <v>25</v>
      </c>
      <c r="K1075">
        <v>4</v>
      </c>
      <c r="L1075" t="s">
        <v>140</v>
      </c>
      <c r="M1075" t="s">
        <v>62</v>
      </c>
      <c r="N1075" t="s">
        <v>14</v>
      </c>
      <c r="O1075">
        <v>33</v>
      </c>
      <c r="P1075" t="s">
        <v>27</v>
      </c>
      <c r="Q1075" t="s">
        <v>76</v>
      </c>
      <c r="R1075" t="str" cm="1">
        <f t="array" ref="R1075">_xlfn.IFS(B1075&lt;31,"Young-Adult",B1075&lt;41,"Adult",B1075&lt;61,"Middle-aged",B1075&gt;=61,"Senior")</f>
        <v>Young-Adult</v>
      </c>
      <c r="S1075" cm="1">
        <f t="array" ref="S1075">_xlfn.IFS(Q1075 ="Fortnightly",14,Q1075="Weekly",7,Q1075="Monthly",30,Q1075="Quarterly",90,Q1075="Bi-Weekly",14,Q1075="Annually",365,Q1075="Every 3 Months",90,TRUE,"NOT FOUND")</f>
        <v>30</v>
      </c>
    </row>
    <row r="1076" spans="1:19" x14ac:dyDescent="0.35">
      <c r="A1076">
        <v>1075</v>
      </c>
      <c r="B1076">
        <v>48</v>
      </c>
      <c r="C1076" t="s">
        <v>7</v>
      </c>
      <c r="D1076" t="s">
        <v>94</v>
      </c>
      <c r="E1076" t="s">
        <v>55</v>
      </c>
      <c r="F1076">
        <v>71</v>
      </c>
      <c r="G1076" t="s">
        <v>110</v>
      </c>
      <c r="H1076" t="s">
        <v>24</v>
      </c>
      <c r="I1076" t="s">
        <v>40</v>
      </c>
      <c r="J1076" t="s">
        <v>45</v>
      </c>
      <c r="K1076">
        <v>2.6</v>
      </c>
      <c r="L1076" t="s">
        <v>140</v>
      </c>
      <c r="M1076" t="s">
        <v>42</v>
      </c>
      <c r="N1076" t="s">
        <v>14</v>
      </c>
      <c r="O1076">
        <v>45</v>
      </c>
      <c r="P1076" t="s">
        <v>63</v>
      </c>
      <c r="Q1076" t="s">
        <v>17</v>
      </c>
      <c r="R1076" t="str" cm="1">
        <f t="array" ref="R1076">_xlfn.IFS(B1076&lt;31,"Young-Adult",B1076&lt;41,"Adult",B1076&lt;61,"Middle-aged",B1076&gt;=61,"Senior")</f>
        <v>Middle-aged</v>
      </c>
      <c r="S1076" cm="1">
        <f t="array" ref="S1076">_xlfn.IFS(Q1076 ="Fortnightly",14,Q1076="Weekly",7,Q1076="Monthly",30,Q1076="Quarterly",90,Q1076="Bi-Weekly",14,Q1076="Annually",365,Q1076="Every 3 Months",90,TRUE,"NOT FOUND")</f>
        <v>14</v>
      </c>
    </row>
    <row r="1077" spans="1:19" x14ac:dyDescent="0.35">
      <c r="A1077">
        <v>1076</v>
      </c>
      <c r="B1077">
        <v>57</v>
      </c>
      <c r="C1077" t="s">
        <v>7</v>
      </c>
      <c r="D1077" t="s">
        <v>77</v>
      </c>
      <c r="E1077" t="s">
        <v>55</v>
      </c>
      <c r="F1077">
        <v>50</v>
      </c>
      <c r="G1077" t="s">
        <v>56</v>
      </c>
      <c r="H1077" t="s">
        <v>11</v>
      </c>
      <c r="I1077" t="s">
        <v>114</v>
      </c>
      <c r="J1077" t="s">
        <v>41</v>
      </c>
      <c r="K1077">
        <v>4.9000000000000004</v>
      </c>
      <c r="L1077" t="s">
        <v>140</v>
      </c>
      <c r="M1077" t="s">
        <v>33</v>
      </c>
      <c r="N1077" t="s">
        <v>14</v>
      </c>
      <c r="O1077">
        <v>32</v>
      </c>
      <c r="P1077" t="s">
        <v>74</v>
      </c>
      <c r="Q1077" t="s">
        <v>64</v>
      </c>
      <c r="R1077" t="str" cm="1">
        <f t="array" ref="R1077">_xlfn.IFS(B1077&lt;31,"Young-Adult",B1077&lt;41,"Adult",B1077&lt;61,"Middle-aged",B1077&gt;=61,"Senior")</f>
        <v>Middle-aged</v>
      </c>
      <c r="S1077" cm="1">
        <f t="array" ref="S1077">_xlfn.IFS(Q1077 ="Fortnightly",14,Q1077="Weekly",7,Q1077="Monthly",30,Q1077="Quarterly",90,Q1077="Bi-Weekly",14,Q1077="Annually",365,Q1077="Every 3 Months",90,TRUE,"NOT FOUND")</f>
        <v>14</v>
      </c>
    </row>
    <row r="1078" spans="1:19" x14ac:dyDescent="0.35">
      <c r="A1078">
        <v>1077</v>
      </c>
      <c r="B1078">
        <v>33</v>
      </c>
      <c r="C1078" t="s">
        <v>7</v>
      </c>
      <c r="D1078" t="s">
        <v>50</v>
      </c>
      <c r="E1078" t="s">
        <v>51</v>
      </c>
      <c r="F1078">
        <v>72</v>
      </c>
      <c r="G1078" t="s">
        <v>102</v>
      </c>
      <c r="H1078" t="s">
        <v>11</v>
      </c>
      <c r="I1078" t="s">
        <v>49</v>
      </c>
      <c r="J1078" t="s">
        <v>25</v>
      </c>
      <c r="K1078">
        <v>2.9</v>
      </c>
      <c r="L1078" t="s">
        <v>140</v>
      </c>
      <c r="M1078" t="s">
        <v>42</v>
      </c>
      <c r="N1078" t="s">
        <v>14</v>
      </c>
      <c r="O1078">
        <v>47</v>
      </c>
      <c r="P1078" t="s">
        <v>16</v>
      </c>
      <c r="Q1078" t="s">
        <v>64</v>
      </c>
      <c r="R1078" t="str" cm="1">
        <f t="array" ref="R1078">_xlfn.IFS(B1078&lt;31,"Young-Adult",B1078&lt;41,"Adult",B1078&lt;61,"Middle-aged",B1078&gt;=61,"Senior")</f>
        <v>Adult</v>
      </c>
      <c r="S1078" cm="1">
        <f t="array" ref="S1078">_xlfn.IFS(Q1078 ="Fortnightly",14,Q1078="Weekly",7,Q1078="Monthly",30,Q1078="Quarterly",90,Q1078="Bi-Weekly",14,Q1078="Annually",365,Q1078="Every 3 Months",90,TRUE,"NOT FOUND")</f>
        <v>14</v>
      </c>
    </row>
    <row r="1079" spans="1:19" x14ac:dyDescent="0.35">
      <c r="A1079">
        <v>1078</v>
      </c>
      <c r="B1079">
        <v>58</v>
      </c>
      <c r="C1079" t="s">
        <v>7</v>
      </c>
      <c r="D1079" t="s">
        <v>90</v>
      </c>
      <c r="E1079" t="s">
        <v>51</v>
      </c>
      <c r="F1079">
        <v>28</v>
      </c>
      <c r="G1079" t="s">
        <v>52</v>
      </c>
      <c r="H1079" t="s">
        <v>32</v>
      </c>
      <c r="I1079" t="s">
        <v>57</v>
      </c>
      <c r="J1079" t="s">
        <v>13</v>
      </c>
      <c r="K1079">
        <v>3.7</v>
      </c>
      <c r="L1079" t="s">
        <v>140</v>
      </c>
      <c r="M1079" t="s">
        <v>42</v>
      </c>
      <c r="N1079" t="s">
        <v>14</v>
      </c>
      <c r="O1079">
        <v>5</v>
      </c>
      <c r="P1079" t="s">
        <v>34</v>
      </c>
      <c r="Q1079" t="s">
        <v>46</v>
      </c>
      <c r="R1079" t="str" cm="1">
        <f t="array" ref="R1079">_xlfn.IFS(B1079&lt;31,"Young-Adult",B1079&lt;41,"Adult",B1079&lt;61,"Middle-aged",B1079&gt;=61,"Senior")</f>
        <v>Middle-aged</v>
      </c>
      <c r="S1079" cm="1">
        <f t="array" ref="S1079">_xlfn.IFS(Q1079 ="Fortnightly",14,Q1079="Weekly",7,Q1079="Monthly",30,Q1079="Quarterly",90,Q1079="Bi-Weekly",14,Q1079="Annually",365,Q1079="Every 3 Months",90,TRUE,"NOT FOUND")</f>
        <v>90</v>
      </c>
    </row>
    <row r="1080" spans="1:19" x14ac:dyDescent="0.35">
      <c r="A1080">
        <v>1079</v>
      </c>
      <c r="B1080">
        <v>37</v>
      </c>
      <c r="C1080" t="s">
        <v>7</v>
      </c>
      <c r="D1080" t="s">
        <v>18</v>
      </c>
      <c r="E1080" t="s">
        <v>9</v>
      </c>
      <c r="F1080">
        <v>59</v>
      </c>
      <c r="G1080" t="s">
        <v>105</v>
      </c>
      <c r="H1080" t="s">
        <v>32</v>
      </c>
      <c r="I1080" t="s">
        <v>53</v>
      </c>
      <c r="J1080" t="s">
        <v>45</v>
      </c>
      <c r="K1080">
        <v>4.4000000000000004</v>
      </c>
      <c r="L1080" t="s">
        <v>140</v>
      </c>
      <c r="M1080" t="s">
        <v>15</v>
      </c>
      <c r="N1080" t="s">
        <v>14</v>
      </c>
      <c r="O1080">
        <v>49</v>
      </c>
      <c r="P1080" t="s">
        <v>27</v>
      </c>
      <c r="Q1080" t="s">
        <v>17</v>
      </c>
      <c r="R1080" t="str" cm="1">
        <f t="array" ref="R1080">_xlfn.IFS(B1080&lt;31,"Young-Adult",B1080&lt;41,"Adult",B1080&lt;61,"Middle-aged",B1080&gt;=61,"Senior")</f>
        <v>Adult</v>
      </c>
      <c r="S1080" cm="1">
        <f t="array" ref="S1080">_xlfn.IFS(Q1080 ="Fortnightly",14,Q1080="Weekly",7,Q1080="Monthly",30,Q1080="Quarterly",90,Q1080="Bi-Weekly",14,Q1080="Annually",365,Q1080="Every 3 Months",90,TRUE,"NOT FOUND")</f>
        <v>14</v>
      </c>
    </row>
    <row r="1081" spans="1:19" x14ac:dyDescent="0.35">
      <c r="A1081">
        <v>1080</v>
      </c>
      <c r="B1081">
        <v>18</v>
      </c>
      <c r="C1081" t="s">
        <v>7</v>
      </c>
      <c r="D1081" t="s">
        <v>50</v>
      </c>
      <c r="E1081" t="s">
        <v>51</v>
      </c>
      <c r="F1081">
        <v>33</v>
      </c>
      <c r="G1081" t="s">
        <v>89</v>
      </c>
      <c r="H1081" t="s">
        <v>24</v>
      </c>
      <c r="I1081" t="s">
        <v>132</v>
      </c>
      <c r="J1081" t="s">
        <v>41</v>
      </c>
      <c r="K1081">
        <v>4.4000000000000004</v>
      </c>
      <c r="L1081" t="s">
        <v>140</v>
      </c>
      <c r="M1081" t="s">
        <v>26</v>
      </c>
      <c r="N1081" t="s">
        <v>14</v>
      </c>
      <c r="O1081">
        <v>48</v>
      </c>
      <c r="P1081" t="s">
        <v>63</v>
      </c>
      <c r="Q1081" t="s">
        <v>76</v>
      </c>
      <c r="R1081" t="str" cm="1">
        <f t="array" ref="R1081">_xlfn.IFS(B1081&lt;31,"Young-Adult",B1081&lt;41,"Adult",B1081&lt;61,"Middle-aged",B1081&gt;=61,"Senior")</f>
        <v>Young-Adult</v>
      </c>
      <c r="S1081" cm="1">
        <f t="array" ref="S1081">_xlfn.IFS(Q1081 ="Fortnightly",14,Q1081="Weekly",7,Q1081="Monthly",30,Q1081="Quarterly",90,Q1081="Bi-Weekly",14,Q1081="Annually",365,Q1081="Every 3 Months",90,TRUE,"NOT FOUND")</f>
        <v>30</v>
      </c>
    </row>
    <row r="1082" spans="1:19" x14ac:dyDescent="0.35">
      <c r="A1082">
        <v>1081</v>
      </c>
      <c r="B1082">
        <v>65</v>
      </c>
      <c r="C1082" t="s">
        <v>7</v>
      </c>
      <c r="D1082" t="s">
        <v>107</v>
      </c>
      <c r="E1082" t="s">
        <v>55</v>
      </c>
      <c r="F1082">
        <v>59</v>
      </c>
      <c r="G1082" t="s">
        <v>126</v>
      </c>
      <c r="H1082" t="s">
        <v>11</v>
      </c>
      <c r="I1082" t="s">
        <v>132</v>
      </c>
      <c r="J1082" t="s">
        <v>45</v>
      </c>
      <c r="K1082">
        <v>3.8</v>
      </c>
      <c r="L1082" t="s">
        <v>140</v>
      </c>
      <c r="M1082" t="s">
        <v>15</v>
      </c>
      <c r="N1082" t="s">
        <v>14</v>
      </c>
      <c r="O1082">
        <v>22</v>
      </c>
      <c r="P1082" t="s">
        <v>21</v>
      </c>
      <c r="Q1082" t="s">
        <v>85</v>
      </c>
      <c r="R1082" t="str" cm="1">
        <f t="array" ref="R1082">_xlfn.IFS(B1082&lt;31,"Young-Adult",B1082&lt;41,"Adult",B1082&lt;61,"Middle-aged",B1082&gt;=61,"Senior")</f>
        <v>Senior</v>
      </c>
      <c r="S1082" cm="1">
        <f t="array" ref="S1082">_xlfn.IFS(Q1082 ="Fortnightly",14,Q1082="Weekly",7,Q1082="Monthly",30,Q1082="Quarterly",90,Q1082="Bi-Weekly",14,Q1082="Annually",365,Q1082="Every 3 Months",90,TRUE,"NOT FOUND")</f>
        <v>90</v>
      </c>
    </row>
    <row r="1083" spans="1:19" x14ac:dyDescent="0.35">
      <c r="A1083">
        <v>1082</v>
      </c>
      <c r="B1083">
        <v>62</v>
      </c>
      <c r="C1083" t="s">
        <v>7</v>
      </c>
      <c r="D1083" t="s">
        <v>121</v>
      </c>
      <c r="E1083" t="s">
        <v>55</v>
      </c>
      <c r="F1083">
        <v>30</v>
      </c>
      <c r="G1083" t="s">
        <v>123</v>
      </c>
      <c r="H1083" t="s">
        <v>80</v>
      </c>
      <c r="I1083" t="s">
        <v>98</v>
      </c>
      <c r="J1083" t="s">
        <v>25</v>
      </c>
      <c r="K1083">
        <v>4.5</v>
      </c>
      <c r="L1083" t="s">
        <v>140</v>
      </c>
      <c r="M1083" t="s">
        <v>42</v>
      </c>
      <c r="N1083" t="s">
        <v>14</v>
      </c>
      <c r="O1083">
        <v>45</v>
      </c>
      <c r="P1083" t="s">
        <v>27</v>
      </c>
      <c r="Q1083" t="s">
        <v>37</v>
      </c>
      <c r="R1083" t="str" cm="1">
        <f t="array" ref="R1083">_xlfn.IFS(B1083&lt;31,"Young-Adult",B1083&lt;41,"Adult",B1083&lt;61,"Middle-aged",B1083&gt;=61,"Senior")</f>
        <v>Senior</v>
      </c>
      <c r="S1083" cm="1">
        <f t="array" ref="S1083">_xlfn.IFS(Q1083 ="Fortnightly",14,Q1083="Weekly",7,Q1083="Monthly",30,Q1083="Quarterly",90,Q1083="Bi-Weekly",14,Q1083="Annually",365,Q1083="Every 3 Months",90,TRUE,"NOT FOUND")</f>
        <v>365</v>
      </c>
    </row>
    <row r="1084" spans="1:19" x14ac:dyDescent="0.35">
      <c r="A1084">
        <v>1083</v>
      </c>
      <c r="B1084">
        <v>54</v>
      </c>
      <c r="C1084" t="s">
        <v>7</v>
      </c>
      <c r="D1084" t="s">
        <v>112</v>
      </c>
      <c r="E1084" t="s">
        <v>55</v>
      </c>
      <c r="F1084">
        <v>85</v>
      </c>
      <c r="G1084" t="s">
        <v>119</v>
      </c>
      <c r="H1084" t="s">
        <v>80</v>
      </c>
      <c r="I1084" t="s">
        <v>97</v>
      </c>
      <c r="J1084" t="s">
        <v>13</v>
      </c>
      <c r="K1084">
        <v>2.6</v>
      </c>
      <c r="L1084" t="s">
        <v>140</v>
      </c>
      <c r="M1084" t="s">
        <v>33</v>
      </c>
      <c r="N1084" t="s">
        <v>14</v>
      </c>
      <c r="O1084">
        <v>30</v>
      </c>
      <c r="P1084" t="s">
        <v>16</v>
      </c>
      <c r="Q1084" t="s">
        <v>46</v>
      </c>
      <c r="R1084" t="str" cm="1">
        <f t="array" ref="R1084">_xlfn.IFS(B1084&lt;31,"Young-Adult",B1084&lt;41,"Adult",B1084&lt;61,"Middle-aged",B1084&gt;=61,"Senior")</f>
        <v>Middle-aged</v>
      </c>
      <c r="S1084" cm="1">
        <f t="array" ref="S1084">_xlfn.IFS(Q1084 ="Fortnightly",14,Q1084="Weekly",7,Q1084="Monthly",30,Q1084="Quarterly",90,Q1084="Bi-Weekly",14,Q1084="Annually",365,Q1084="Every 3 Months",90,TRUE,"NOT FOUND")</f>
        <v>90</v>
      </c>
    </row>
    <row r="1085" spans="1:19" x14ac:dyDescent="0.35">
      <c r="A1085">
        <v>1084</v>
      </c>
      <c r="B1085">
        <v>35</v>
      </c>
      <c r="C1085" t="s">
        <v>7</v>
      </c>
      <c r="D1085" t="s">
        <v>120</v>
      </c>
      <c r="E1085" t="s">
        <v>55</v>
      </c>
      <c r="F1085">
        <v>97</v>
      </c>
      <c r="G1085" t="s">
        <v>137</v>
      </c>
      <c r="H1085" t="s">
        <v>11</v>
      </c>
      <c r="I1085" t="s">
        <v>73</v>
      </c>
      <c r="J1085" t="s">
        <v>41</v>
      </c>
      <c r="K1085">
        <v>3.3</v>
      </c>
      <c r="L1085" t="s">
        <v>140</v>
      </c>
      <c r="M1085" t="s">
        <v>62</v>
      </c>
      <c r="N1085" t="s">
        <v>14</v>
      </c>
      <c r="O1085">
        <v>43</v>
      </c>
      <c r="P1085" t="s">
        <v>21</v>
      </c>
      <c r="Q1085" t="s">
        <v>28</v>
      </c>
      <c r="R1085" t="str" cm="1">
        <f t="array" ref="R1085">_xlfn.IFS(B1085&lt;31,"Young-Adult",B1085&lt;41,"Adult",B1085&lt;61,"Middle-aged",B1085&gt;=61,"Senior")</f>
        <v>Adult</v>
      </c>
      <c r="S1085" cm="1">
        <f t="array" ref="S1085">_xlfn.IFS(Q1085 ="Fortnightly",14,Q1085="Weekly",7,Q1085="Monthly",30,Q1085="Quarterly",90,Q1085="Bi-Weekly",14,Q1085="Annually",365,Q1085="Every 3 Months",90,TRUE,"NOT FOUND")</f>
        <v>7</v>
      </c>
    </row>
    <row r="1086" spans="1:19" x14ac:dyDescent="0.35">
      <c r="A1086">
        <v>1085</v>
      </c>
      <c r="B1086">
        <v>34</v>
      </c>
      <c r="C1086" t="s">
        <v>7</v>
      </c>
      <c r="D1086" t="s">
        <v>101</v>
      </c>
      <c r="E1086" t="s">
        <v>9</v>
      </c>
      <c r="F1086">
        <v>36</v>
      </c>
      <c r="G1086" t="s">
        <v>60</v>
      </c>
      <c r="H1086" t="s">
        <v>24</v>
      </c>
      <c r="I1086" t="s">
        <v>61</v>
      </c>
      <c r="J1086" t="s">
        <v>45</v>
      </c>
      <c r="K1086">
        <v>4.0999999999999996</v>
      </c>
      <c r="L1086" t="s">
        <v>140</v>
      </c>
      <c r="M1086" t="s">
        <v>33</v>
      </c>
      <c r="N1086" t="s">
        <v>14</v>
      </c>
      <c r="O1086">
        <v>48</v>
      </c>
      <c r="P1086" t="s">
        <v>21</v>
      </c>
      <c r="Q1086" t="s">
        <v>46</v>
      </c>
      <c r="R1086" t="str" cm="1">
        <f t="array" ref="R1086">_xlfn.IFS(B1086&lt;31,"Young-Adult",B1086&lt;41,"Adult",B1086&lt;61,"Middle-aged",B1086&gt;=61,"Senior")</f>
        <v>Adult</v>
      </c>
      <c r="S1086" cm="1">
        <f t="array" ref="S1086">_xlfn.IFS(Q1086 ="Fortnightly",14,Q1086="Weekly",7,Q1086="Monthly",30,Q1086="Quarterly",90,Q1086="Bi-Weekly",14,Q1086="Annually",365,Q1086="Every 3 Months",90,TRUE,"NOT FOUND")</f>
        <v>90</v>
      </c>
    </row>
    <row r="1087" spans="1:19" x14ac:dyDescent="0.35">
      <c r="A1087">
        <v>1086</v>
      </c>
      <c r="B1087">
        <v>25</v>
      </c>
      <c r="C1087" t="s">
        <v>7</v>
      </c>
      <c r="D1087" t="s">
        <v>94</v>
      </c>
      <c r="E1087" t="s">
        <v>55</v>
      </c>
      <c r="F1087">
        <v>85</v>
      </c>
      <c r="G1087" t="s">
        <v>128</v>
      </c>
      <c r="H1087" t="s">
        <v>32</v>
      </c>
      <c r="I1087" t="s">
        <v>36</v>
      </c>
      <c r="J1087" t="s">
        <v>13</v>
      </c>
      <c r="K1087">
        <v>3</v>
      </c>
      <c r="L1087" t="s">
        <v>140</v>
      </c>
      <c r="M1087" t="s">
        <v>62</v>
      </c>
      <c r="N1087" t="s">
        <v>14</v>
      </c>
      <c r="O1087">
        <v>23</v>
      </c>
      <c r="P1087" t="s">
        <v>16</v>
      </c>
      <c r="Q1087" t="s">
        <v>17</v>
      </c>
      <c r="R1087" t="str" cm="1">
        <f t="array" ref="R1087">_xlfn.IFS(B1087&lt;31,"Young-Adult",B1087&lt;41,"Adult",B1087&lt;61,"Middle-aged",B1087&gt;=61,"Senior")</f>
        <v>Young-Adult</v>
      </c>
      <c r="S1087" cm="1">
        <f t="array" ref="S1087">_xlfn.IFS(Q1087 ="Fortnightly",14,Q1087="Weekly",7,Q1087="Monthly",30,Q1087="Quarterly",90,Q1087="Bi-Weekly",14,Q1087="Annually",365,Q1087="Every 3 Months",90,TRUE,"NOT FOUND")</f>
        <v>14</v>
      </c>
    </row>
    <row r="1088" spans="1:19" x14ac:dyDescent="0.35">
      <c r="A1088">
        <v>1087</v>
      </c>
      <c r="B1088">
        <v>53</v>
      </c>
      <c r="C1088" t="s">
        <v>7</v>
      </c>
      <c r="D1088" t="s">
        <v>77</v>
      </c>
      <c r="E1088" t="s">
        <v>55</v>
      </c>
      <c r="F1088">
        <v>62</v>
      </c>
      <c r="G1088" t="s">
        <v>108</v>
      </c>
      <c r="H1088" t="s">
        <v>32</v>
      </c>
      <c r="I1088" t="s">
        <v>66</v>
      </c>
      <c r="J1088" t="s">
        <v>13</v>
      </c>
      <c r="K1088">
        <v>3</v>
      </c>
      <c r="L1088" t="s">
        <v>140</v>
      </c>
      <c r="M1088" t="s">
        <v>26</v>
      </c>
      <c r="N1088" t="s">
        <v>14</v>
      </c>
      <c r="O1088">
        <v>27</v>
      </c>
      <c r="P1088" t="s">
        <v>34</v>
      </c>
      <c r="Q1088" t="s">
        <v>64</v>
      </c>
      <c r="R1088" t="str" cm="1">
        <f t="array" ref="R1088">_xlfn.IFS(B1088&lt;31,"Young-Adult",B1088&lt;41,"Adult",B1088&lt;61,"Middle-aged",B1088&gt;=61,"Senior")</f>
        <v>Middle-aged</v>
      </c>
      <c r="S1088" cm="1">
        <f t="array" ref="S1088">_xlfn.IFS(Q1088 ="Fortnightly",14,Q1088="Weekly",7,Q1088="Monthly",30,Q1088="Quarterly",90,Q1088="Bi-Weekly",14,Q1088="Annually",365,Q1088="Every 3 Months",90,TRUE,"NOT FOUND")</f>
        <v>14</v>
      </c>
    </row>
    <row r="1089" spans="1:19" x14ac:dyDescent="0.35">
      <c r="A1089">
        <v>1088</v>
      </c>
      <c r="B1089">
        <v>45</v>
      </c>
      <c r="C1089" t="s">
        <v>7</v>
      </c>
      <c r="D1089" t="s">
        <v>22</v>
      </c>
      <c r="E1089" t="s">
        <v>9</v>
      </c>
      <c r="F1089">
        <v>71</v>
      </c>
      <c r="G1089" t="s">
        <v>52</v>
      </c>
      <c r="H1089" t="s">
        <v>24</v>
      </c>
      <c r="I1089" t="s">
        <v>40</v>
      </c>
      <c r="J1089" t="s">
        <v>13</v>
      </c>
      <c r="K1089">
        <v>3.4</v>
      </c>
      <c r="L1089" t="s">
        <v>140</v>
      </c>
      <c r="M1089" t="s">
        <v>33</v>
      </c>
      <c r="N1089" t="s">
        <v>14</v>
      </c>
      <c r="O1089">
        <v>7</v>
      </c>
      <c r="P1089" t="s">
        <v>63</v>
      </c>
      <c r="Q1089" t="s">
        <v>76</v>
      </c>
      <c r="R1089" t="str" cm="1">
        <f t="array" ref="R1089">_xlfn.IFS(B1089&lt;31,"Young-Adult",B1089&lt;41,"Adult",B1089&lt;61,"Middle-aged",B1089&gt;=61,"Senior")</f>
        <v>Middle-aged</v>
      </c>
      <c r="S1089" cm="1">
        <f t="array" ref="S1089">_xlfn.IFS(Q1089 ="Fortnightly",14,Q1089="Weekly",7,Q1089="Monthly",30,Q1089="Quarterly",90,Q1089="Bi-Weekly",14,Q1089="Annually",365,Q1089="Every 3 Months",90,TRUE,"NOT FOUND")</f>
        <v>30</v>
      </c>
    </row>
    <row r="1090" spans="1:19" x14ac:dyDescent="0.35">
      <c r="A1090">
        <v>1089</v>
      </c>
      <c r="B1090">
        <v>49</v>
      </c>
      <c r="C1090" t="s">
        <v>7</v>
      </c>
      <c r="D1090" t="s">
        <v>83</v>
      </c>
      <c r="E1090" t="s">
        <v>9</v>
      </c>
      <c r="F1090">
        <v>21</v>
      </c>
      <c r="G1090" t="s">
        <v>48</v>
      </c>
      <c r="H1090" t="s">
        <v>32</v>
      </c>
      <c r="I1090" t="s">
        <v>36</v>
      </c>
      <c r="J1090" t="s">
        <v>13</v>
      </c>
      <c r="K1090">
        <v>2.7</v>
      </c>
      <c r="L1090" t="s">
        <v>140</v>
      </c>
      <c r="M1090" t="s">
        <v>26</v>
      </c>
      <c r="N1090" t="s">
        <v>14</v>
      </c>
      <c r="O1090">
        <v>2</v>
      </c>
      <c r="P1090" t="s">
        <v>34</v>
      </c>
      <c r="Q1090" t="s">
        <v>28</v>
      </c>
      <c r="R1090" t="str" cm="1">
        <f t="array" ref="R1090">_xlfn.IFS(B1090&lt;31,"Young-Adult",B1090&lt;41,"Adult",B1090&lt;61,"Middle-aged",B1090&gt;=61,"Senior")</f>
        <v>Middle-aged</v>
      </c>
      <c r="S1090" cm="1">
        <f t="array" ref="S1090">_xlfn.IFS(Q1090 ="Fortnightly",14,Q1090="Weekly",7,Q1090="Monthly",30,Q1090="Quarterly",90,Q1090="Bi-Weekly",14,Q1090="Annually",365,Q1090="Every 3 Months",90,TRUE,"NOT FOUND")</f>
        <v>7</v>
      </c>
    </row>
    <row r="1091" spans="1:19" x14ac:dyDescent="0.35">
      <c r="A1091">
        <v>1090</v>
      </c>
      <c r="B1091">
        <v>40</v>
      </c>
      <c r="C1091" t="s">
        <v>7</v>
      </c>
      <c r="D1091" t="s">
        <v>120</v>
      </c>
      <c r="E1091" t="s">
        <v>55</v>
      </c>
      <c r="F1091">
        <v>61</v>
      </c>
      <c r="G1091" t="s">
        <v>105</v>
      </c>
      <c r="H1091" t="s">
        <v>32</v>
      </c>
      <c r="I1091" t="s">
        <v>53</v>
      </c>
      <c r="J1091" t="s">
        <v>25</v>
      </c>
      <c r="K1091">
        <v>3.8</v>
      </c>
      <c r="L1091" t="s">
        <v>140</v>
      </c>
      <c r="M1091" t="s">
        <v>33</v>
      </c>
      <c r="N1091" t="s">
        <v>14</v>
      </c>
      <c r="O1091">
        <v>33</v>
      </c>
      <c r="P1091" t="s">
        <v>34</v>
      </c>
      <c r="Q1091" t="s">
        <v>64</v>
      </c>
      <c r="R1091" t="str" cm="1">
        <f t="array" ref="R1091">_xlfn.IFS(B1091&lt;31,"Young-Adult",B1091&lt;41,"Adult",B1091&lt;61,"Middle-aged",B1091&gt;=61,"Senior")</f>
        <v>Adult</v>
      </c>
      <c r="S1091" cm="1">
        <f t="array" ref="S1091">_xlfn.IFS(Q1091 ="Fortnightly",14,Q1091="Weekly",7,Q1091="Monthly",30,Q1091="Quarterly",90,Q1091="Bi-Weekly",14,Q1091="Annually",365,Q1091="Every 3 Months",90,TRUE,"NOT FOUND")</f>
        <v>14</v>
      </c>
    </row>
    <row r="1092" spans="1:19" x14ac:dyDescent="0.35">
      <c r="A1092">
        <v>1091</v>
      </c>
      <c r="B1092">
        <v>38</v>
      </c>
      <c r="C1092" t="s">
        <v>7</v>
      </c>
      <c r="D1092" t="s">
        <v>107</v>
      </c>
      <c r="E1092" t="s">
        <v>55</v>
      </c>
      <c r="F1092">
        <v>58</v>
      </c>
      <c r="G1092" t="s">
        <v>127</v>
      </c>
      <c r="H1092" t="s">
        <v>32</v>
      </c>
      <c r="I1092" t="s">
        <v>71</v>
      </c>
      <c r="J1092" t="s">
        <v>25</v>
      </c>
      <c r="K1092">
        <v>4.2</v>
      </c>
      <c r="L1092" t="s">
        <v>140</v>
      </c>
      <c r="M1092" t="s">
        <v>62</v>
      </c>
      <c r="N1092" t="s">
        <v>14</v>
      </c>
      <c r="O1092">
        <v>27</v>
      </c>
      <c r="P1092" t="s">
        <v>21</v>
      </c>
      <c r="Q1092" t="s">
        <v>17</v>
      </c>
      <c r="R1092" t="str" cm="1">
        <f t="array" ref="R1092">_xlfn.IFS(B1092&lt;31,"Young-Adult",B1092&lt;41,"Adult",B1092&lt;61,"Middle-aged",B1092&gt;=61,"Senior")</f>
        <v>Adult</v>
      </c>
      <c r="S1092" cm="1">
        <f t="array" ref="S1092">_xlfn.IFS(Q1092 ="Fortnightly",14,Q1092="Weekly",7,Q1092="Monthly",30,Q1092="Quarterly",90,Q1092="Bi-Weekly",14,Q1092="Annually",365,Q1092="Every 3 Months",90,TRUE,"NOT FOUND")</f>
        <v>14</v>
      </c>
    </row>
    <row r="1093" spans="1:19" x14ac:dyDescent="0.35">
      <c r="A1093">
        <v>1092</v>
      </c>
      <c r="B1093">
        <v>44</v>
      </c>
      <c r="C1093" t="s">
        <v>7</v>
      </c>
      <c r="D1093" t="s">
        <v>18</v>
      </c>
      <c r="E1093" t="s">
        <v>9</v>
      </c>
      <c r="F1093">
        <v>80</v>
      </c>
      <c r="G1093" t="s">
        <v>86</v>
      </c>
      <c r="H1093" t="s">
        <v>11</v>
      </c>
      <c r="I1093" t="s">
        <v>81</v>
      </c>
      <c r="J1093" t="s">
        <v>25</v>
      </c>
      <c r="K1093">
        <v>4.7</v>
      </c>
      <c r="L1093" t="s">
        <v>140</v>
      </c>
      <c r="M1093" t="s">
        <v>62</v>
      </c>
      <c r="N1093" t="s">
        <v>14</v>
      </c>
      <c r="O1093">
        <v>6</v>
      </c>
      <c r="P1093" t="s">
        <v>27</v>
      </c>
      <c r="Q1093" t="s">
        <v>17</v>
      </c>
      <c r="R1093" t="str" cm="1">
        <f t="array" ref="R1093">_xlfn.IFS(B1093&lt;31,"Young-Adult",B1093&lt;41,"Adult",B1093&lt;61,"Middle-aged",B1093&gt;=61,"Senior")</f>
        <v>Middle-aged</v>
      </c>
      <c r="S1093" cm="1">
        <f t="array" ref="S1093">_xlfn.IFS(Q1093 ="Fortnightly",14,Q1093="Weekly",7,Q1093="Monthly",30,Q1093="Quarterly",90,Q1093="Bi-Weekly",14,Q1093="Annually",365,Q1093="Every 3 Months",90,TRUE,"NOT FOUND")</f>
        <v>14</v>
      </c>
    </row>
    <row r="1094" spans="1:19" x14ac:dyDescent="0.35">
      <c r="A1094">
        <v>1093</v>
      </c>
      <c r="B1094">
        <v>68</v>
      </c>
      <c r="C1094" t="s">
        <v>7</v>
      </c>
      <c r="D1094" t="s">
        <v>94</v>
      </c>
      <c r="E1094" t="s">
        <v>55</v>
      </c>
      <c r="F1094">
        <v>50</v>
      </c>
      <c r="G1094" t="s">
        <v>135</v>
      </c>
      <c r="H1094" t="s">
        <v>11</v>
      </c>
      <c r="I1094" t="s">
        <v>124</v>
      </c>
      <c r="J1094" t="s">
        <v>25</v>
      </c>
      <c r="K1094">
        <v>4.0999999999999996</v>
      </c>
      <c r="L1094" t="s">
        <v>140</v>
      </c>
      <c r="M1094" t="s">
        <v>58</v>
      </c>
      <c r="N1094" t="s">
        <v>14</v>
      </c>
      <c r="O1094">
        <v>20</v>
      </c>
      <c r="P1094" t="s">
        <v>16</v>
      </c>
      <c r="Q1094" t="s">
        <v>46</v>
      </c>
      <c r="R1094" t="str" cm="1">
        <f t="array" ref="R1094">_xlfn.IFS(B1094&lt;31,"Young-Adult",B1094&lt;41,"Adult",B1094&lt;61,"Middle-aged",B1094&gt;=61,"Senior")</f>
        <v>Senior</v>
      </c>
      <c r="S1094" cm="1">
        <f t="array" ref="S1094">_xlfn.IFS(Q1094 ="Fortnightly",14,Q1094="Weekly",7,Q1094="Monthly",30,Q1094="Quarterly",90,Q1094="Bi-Weekly",14,Q1094="Annually",365,Q1094="Every 3 Months",90,TRUE,"NOT FOUND")</f>
        <v>90</v>
      </c>
    </row>
    <row r="1095" spans="1:19" x14ac:dyDescent="0.35">
      <c r="A1095">
        <v>1094</v>
      </c>
      <c r="B1095">
        <v>60</v>
      </c>
      <c r="C1095" t="s">
        <v>7</v>
      </c>
      <c r="D1095" t="s">
        <v>38</v>
      </c>
      <c r="E1095" t="s">
        <v>30</v>
      </c>
      <c r="F1095">
        <v>48</v>
      </c>
      <c r="G1095" t="s">
        <v>67</v>
      </c>
      <c r="H1095" t="s">
        <v>24</v>
      </c>
      <c r="I1095" t="s">
        <v>114</v>
      </c>
      <c r="J1095" t="s">
        <v>13</v>
      </c>
      <c r="K1095">
        <v>4.2</v>
      </c>
      <c r="L1095" t="s">
        <v>140</v>
      </c>
      <c r="M1095" t="s">
        <v>58</v>
      </c>
      <c r="N1095" t="s">
        <v>14</v>
      </c>
      <c r="O1095">
        <v>46</v>
      </c>
      <c r="P1095" t="s">
        <v>16</v>
      </c>
      <c r="Q1095" t="s">
        <v>85</v>
      </c>
      <c r="R1095" t="str" cm="1">
        <f t="array" ref="R1095">_xlfn.IFS(B1095&lt;31,"Young-Adult",B1095&lt;41,"Adult",B1095&lt;61,"Middle-aged",B1095&gt;=61,"Senior")</f>
        <v>Middle-aged</v>
      </c>
      <c r="S1095" cm="1">
        <f t="array" ref="S1095">_xlfn.IFS(Q1095 ="Fortnightly",14,Q1095="Weekly",7,Q1095="Monthly",30,Q1095="Quarterly",90,Q1095="Bi-Weekly",14,Q1095="Annually",365,Q1095="Every 3 Months",90,TRUE,"NOT FOUND")</f>
        <v>90</v>
      </c>
    </row>
    <row r="1096" spans="1:19" x14ac:dyDescent="0.35">
      <c r="A1096">
        <v>1095</v>
      </c>
      <c r="B1096">
        <v>25</v>
      </c>
      <c r="C1096" t="s">
        <v>7</v>
      </c>
      <c r="D1096" t="s">
        <v>94</v>
      </c>
      <c r="E1096" t="s">
        <v>55</v>
      </c>
      <c r="F1096">
        <v>40</v>
      </c>
      <c r="G1096" t="s">
        <v>127</v>
      </c>
      <c r="H1096" t="s">
        <v>32</v>
      </c>
      <c r="I1096" t="s">
        <v>82</v>
      </c>
      <c r="J1096" t="s">
        <v>13</v>
      </c>
      <c r="K1096">
        <v>4.8</v>
      </c>
      <c r="L1096" t="s">
        <v>140</v>
      </c>
      <c r="M1096" t="s">
        <v>33</v>
      </c>
      <c r="N1096" t="s">
        <v>14</v>
      </c>
      <c r="O1096">
        <v>25</v>
      </c>
      <c r="P1096" t="s">
        <v>21</v>
      </c>
      <c r="Q1096" t="s">
        <v>46</v>
      </c>
      <c r="R1096" t="str" cm="1">
        <f t="array" ref="R1096">_xlfn.IFS(B1096&lt;31,"Young-Adult",B1096&lt;41,"Adult",B1096&lt;61,"Middle-aged",B1096&gt;=61,"Senior")</f>
        <v>Young-Adult</v>
      </c>
      <c r="S1096" cm="1">
        <f t="array" ref="S1096">_xlfn.IFS(Q1096 ="Fortnightly",14,Q1096="Weekly",7,Q1096="Monthly",30,Q1096="Quarterly",90,Q1096="Bi-Weekly",14,Q1096="Annually",365,Q1096="Every 3 Months",90,TRUE,"NOT FOUND")</f>
        <v>90</v>
      </c>
    </row>
    <row r="1097" spans="1:19" x14ac:dyDescent="0.35">
      <c r="A1097">
        <v>1096</v>
      </c>
      <c r="B1097">
        <v>19</v>
      </c>
      <c r="C1097" t="s">
        <v>7</v>
      </c>
      <c r="D1097" t="s">
        <v>50</v>
      </c>
      <c r="E1097" t="s">
        <v>51</v>
      </c>
      <c r="F1097">
        <v>34</v>
      </c>
      <c r="G1097" t="s">
        <v>110</v>
      </c>
      <c r="H1097" t="s">
        <v>24</v>
      </c>
      <c r="I1097" t="s">
        <v>88</v>
      </c>
      <c r="J1097" t="s">
        <v>41</v>
      </c>
      <c r="K1097">
        <v>3</v>
      </c>
      <c r="L1097" t="s">
        <v>140</v>
      </c>
      <c r="M1097" t="s">
        <v>26</v>
      </c>
      <c r="N1097" t="s">
        <v>14</v>
      </c>
      <c r="O1097">
        <v>30</v>
      </c>
      <c r="P1097" t="s">
        <v>63</v>
      </c>
      <c r="Q1097" t="s">
        <v>46</v>
      </c>
      <c r="R1097" t="str" cm="1">
        <f t="array" ref="R1097">_xlfn.IFS(B1097&lt;31,"Young-Adult",B1097&lt;41,"Adult",B1097&lt;61,"Middle-aged",B1097&gt;=61,"Senior")</f>
        <v>Young-Adult</v>
      </c>
      <c r="S1097" cm="1">
        <f t="array" ref="S1097">_xlfn.IFS(Q1097 ="Fortnightly",14,Q1097="Weekly",7,Q1097="Monthly",30,Q1097="Quarterly",90,Q1097="Bi-Weekly",14,Q1097="Annually",365,Q1097="Every 3 Months",90,TRUE,"NOT FOUND")</f>
        <v>90</v>
      </c>
    </row>
    <row r="1098" spans="1:19" x14ac:dyDescent="0.35">
      <c r="A1098">
        <v>1097</v>
      </c>
      <c r="B1098">
        <v>57</v>
      </c>
      <c r="C1098" t="s">
        <v>7</v>
      </c>
      <c r="D1098" t="s">
        <v>50</v>
      </c>
      <c r="E1098" t="s">
        <v>51</v>
      </c>
      <c r="F1098">
        <v>46</v>
      </c>
      <c r="G1098" t="s">
        <v>70</v>
      </c>
      <c r="H1098" t="s">
        <v>24</v>
      </c>
      <c r="I1098" t="s">
        <v>106</v>
      </c>
      <c r="J1098" t="s">
        <v>45</v>
      </c>
      <c r="K1098">
        <v>2.6</v>
      </c>
      <c r="L1098" t="s">
        <v>140</v>
      </c>
      <c r="M1098" t="s">
        <v>42</v>
      </c>
      <c r="N1098" t="s">
        <v>14</v>
      </c>
      <c r="O1098">
        <v>48</v>
      </c>
      <c r="P1098" t="s">
        <v>27</v>
      </c>
      <c r="Q1098" t="s">
        <v>37</v>
      </c>
      <c r="R1098" t="str" cm="1">
        <f t="array" ref="R1098">_xlfn.IFS(B1098&lt;31,"Young-Adult",B1098&lt;41,"Adult",B1098&lt;61,"Middle-aged",B1098&gt;=61,"Senior")</f>
        <v>Middle-aged</v>
      </c>
      <c r="S1098" cm="1">
        <f t="array" ref="S1098">_xlfn.IFS(Q1098 ="Fortnightly",14,Q1098="Weekly",7,Q1098="Monthly",30,Q1098="Quarterly",90,Q1098="Bi-Weekly",14,Q1098="Annually",365,Q1098="Every 3 Months",90,TRUE,"NOT FOUND")</f>
        <v>365</v>
      </c>
    </row>
    <row r="1099" spans="1:19" x14ac:dyDescent="0.35">
      <c r="A1099">
        <v>1098</v>
      </c>
      <c r="B1099">
        <v>58</v>
      </c>
      <c r="C1099" t="s">
        <v>7</v>
      </c>
      <c r="D1099" t="s">
        <v>77</v>
      </c>
      <c r="E1099" t="s">
        <v>55</v>
      </c>
      <c r="F1099">
        <v>27</v>
      </c>
      <c r="G1099" t="s">
        <v>117</v>
      </c>
      <c r="H1099" t="s">
        <v>32</v>
      </c>
      <c r="I1099" t="s">
        <v>82</v>
      </c>
      <c r="J1099" t="s">
        <v>41</v>
      </c>
      <c r="K1099">
        <v>3.2</v>
      </c>
      <c r="L1099" t="s">
        <v>140</v>
      </c>
      <c r="M1099" t="s">
        <v>62</v>
      </c>
      <c r="N1099" t="s">
        <v>14</v>
      </c>
      <c r="O1099">
        <v>47</v>
      </c>
      <c r="P1099" t="s">
        <v>63</v>
      </c>
      <c r="Q1099" t="s">
        <v>28</v>
      </c>
      <c r="R1099" t="str" cm="1">
        <f t="array" ref="R1099">_xlfn.IFS(B1099&lt;31,"Young-Adult",B1099&lt;41,"Adult",B1099&lt;61,"Middle-aged",B1099&gt;=61,"Senior")</f>
        <v>Middle-aged</v>
      </c>
      <c r="S1099" cm="1">
        <f t="array" ref="S1099">_xlfn.IFS(Q1099 ="Fortnightly",14,Q1099="Weekly",7,Q1099="Monthly",30,Q1099="Quarterly",90,Q1099="Bi-Weekly",14,Q1099="Annually",365,Q1099="Every 3 Months",90,TRUE,"NOT FOUND")</f>
        <v>7</v>
      </c>
    </row>
    <row r="1100" spans="1:19" x14ac:dyDescent="0.35">
      <c r="A1100">
        <v>1099</v>
      </c>
      <c r="B1100">
        <v>49</v>
      </c>
      <c r="C1100" t="s">
        <v>7</v>
      </c>
      <c r="D1100" t="s">
        <v>54</v>
      </c>
      <c r="E1100" t="s">
        <v>55</v>
      </c>
      <c r="F1100">
        <v>98</v>
      </c>
      <c r="G1100" t="s">
        <v>123</v>
      </c>
      <c r="H1100" t="s">
        <v>24</v>
      </c>
      <c r="I1100" t="s">
        <v>36</v>
      </c>
      <c r="J1100" t="s">
        <v>25</v>
      </c>
      <c r="K1100">
        <v>3.6</v>
      </c>
      <c r="L1100" t="s">
        <v>140</v>
      </c>
      <c r="M1100" t="s">
        <v>33</v>
      </c>
      <c r="N1100" t="s">
        <v>14</v>
      </c>
      <c r="O1100">
        <v>27</v>
      </c>
      <c r="P1100" t="s">
        <v>27</v>
      </c>
      <c r="Q1100" t="s">
        <v>28</v>
      </c>
      <c r="R1100" t="str" cm="1">
        <f t="array" ref="R1100">_xlfn.IFS(B1100&lt;31,"Young-Adult",B1100&lt;41,"Adult",B1100&lt;61,"Middle-aged",B1100&gt;=61,"Senior")</f>
        <v>Middle-aged</v>
      </c>
      <c r="S1100" cm="1">
        <f t="array" ref="S1100">_xlfn.IFS(Q1100 ="Fortnightly",14,Q1100="Weekly",7,Q1100="Monthly",30,Q1100="Quarterly",90,Q1100="Bi-Weekly",14,Q1100="Annually",365,Q1100="Every 3 Months",90,TRUE,"NOT FOUND")</f>
        <v>7</v>
      </c>
    </row>
    <row r="1101" spans="1:19" x14ac:dyDescent="0.35">
      <c r="A1101">
        <v>1100</v>
      </c>
      <c r="B1101">
        <v>19</v>
      </c>
      <c r="C1101" t="s">
        <v>7</v>
      </c>
      <c r="D1101" t="s">
        <v>18</v>
      </c>
      <c r="E1101" t="s">
        <v>9</v>
      </c>
      <c r="F1101">
        <v>73</v>
      </c>
      <c r="G1101" t="s">
        <v>86</v>
      </c>
      <c r="H1101" t="s">
        <v>32</v>
      </c>
      <c r="I1101" t="s">
        <v>88</v>
      </c>
      <c r="J1101" t="s">
        <v>45</v>
      </c>
      <c r="K1101">
        <v>2.6</v>
      </c>
      <c r="L1101" t="s">
        <v>140</v>
      </c>
      <c r="M1101" t="s">
        <v>33</v>
      </c>
      <c r="N1101" t="s">
        <v>14</v>
      </c>
      <c r="O1101">
        <v>45</v>
      </c>
      <c r="P1101" t="s">
        <v>63</v>
      </c>
      <c r="Q1101" t="s">
        <v>17</v>
      </c>
      <c r="R1101" t="str" cm="1">
        <f t="array" ref="R1101">_xlfn.IFS(B1101&lt;31,"Young-Adult",B1101&lt;41,"Adult",B1101&lt;61,"Middle-aged",B1101&gt;=61,"Senior")</f>
        <v>Young-Adult</v>
      </c>
      <c r="S1101" cm="1">
        <f t="array" ref="S1101">_xlfn.IFS(Q1101 ="Fortnightly",14,Q1101="Weekly",7,Q1101="Monthly",30,Q1101="Quarterly",90,Q1101="Bi-Weekly",14,Q1101="Annually",365,Q1101="Every 3 Months",90,TRUE,"NOT FOUND")</f>
        <v>14</v>
      </c>
    </row>
    <row r="1102" spans="1:19" x14ac:dyDescent="0.35">
      <c r="A1102">
        <v>1101</v>
      </c>
      <c r="B1102">
        <v>50</v>
      </c>
      <c r="C1102" t="s">
        <v>7</v>
      </c>
      <c r="D1102" t="s">
        <v>83</v>
      </c>
      <c r="E1102" t="s">
        <v>9</v>
      </c>
      <c r="F1102">
        <v>28</v>
      </c>
      <c r="G1102" t="s">
        <v>95</v>
      </c>
      <c r="H1102" t="s">
        <v>11</v>
      </c>
      <c r="I1102" t="s">
        <v>68</v>
      </c>
      <c r="J1102" t="s">
        <v>25</v>
      </c>
      <c r="K1102">
        <v>4.4000000000000004</v>
      </c>
      <c r="L1102" t="s">
        <v>140</v>
      </c>
      <c r="M1102" t="s">
        <v>15</v>
      </c>
      <c r="N1102" t="s">
        <v>14</v>
      </c>
      <c r="O1102">
        <v>2</v>
      </c>
      <c r="P1102" t="s">
        <v>27</v>
      </c>
      <c r="Q1102" t="s">
        <v>28</v>
      </c>
      <c r="R1102" t="str" cm="1">
        <f t="array" ref="R1102">_xlfn.IFS(B1102&lt;31,"Young-Adult",B1102&lt;41,"Adult",B1102&lt;61,"Middle-aged",B1102&gt;=61,"Senior")</f>
        <v>Middle-aged</v>
      </c>
      <c r="S1102" cm="1">
        <f t="array" ref="S1102">_xlfn.IFS(Q1102 ="Fortnightly",14,Q1102="Weekly",7,Q1102="Monthly",30,Q1102="Quarterly",90,Q1102="Bi-Weekly",14,Q1102="Annually",365,Q1102="Every 3 Months",90,TRUE,"NOT FOUND")</f>
        <v>7</v>
      </c>
    </row>
    <row r="1103" spans="1:19" x14ac:dyDescent="0.35">
      <c r="A1103">
        <v>1102</v>
      </c>
      <c r="B1103">
        <v>30</v>
      </c>
      <c r="C1103" t="s">
        <v>7</v>
      </c>
      <c r="D1103" t="s">
        <v>131</v>
      </c>
      <c r="E1103" t="s">
        <v>55</v>
      </c>
      <c r="F1103">
        <v>76</v>
      </c>
      <c r="G1103" t="s">
        <v>67</v>
      </c>
      <c r="H1103" t="s">
        <v>80</v>
      </c>
      <c r="I1103" t="s">
        <v>53</v>
      </c>
      <c r="J1103" t="s">
        <v>45</v>
      </c>
      <c r="K1103">
        <v>3</v>
      </c>
      <c r="L1103" t="s">
        <v>140</v>
      </c>
      <c r="M1103" t="s">
        <v>26</v>
      </c>
      <c r="N1103" t="s">
        <v>14</v>
      </c>
      <c r="O1103">
        <v>39</v>
      </c>
      <c r="P1103" t="s">
        <v>21</v>
      </c>
      <c r="Q1103" t="s">
        <v>17</v>
      </c>
      <c r="R1103" t="str" cm="1">
        <f t="array" ref="R1103">_xlfn.IFS(B1103&lt;31,"Young-Adult",B1103&lt;41,"Adult",B1103&lt;61,"Middle-aged",B1103&gt;=61,"Senior")</f>
        <v>Young-Adult</v>
      </c>
      <c r="S1103" cm="1">
        <f t="array" ref="S1103">_xlfn.IFS(Q1103 ="Fortnightly",14,Q1103="Weekly",7,Q1103="Monthly",30,Q1103="Quarterly",90,Q1103="Bi-Weekly",14,Q1103="Annually",365,Q1103="Every 3 Months",90,TRUE,"NOT FOUND")</f>
        <v>14</v>
      </c>
    </row>
    <row r="1104" spans="1:19" x14ac:dyDescent="0.35">
      <c r="A1104">
        <v>1103</v>
      </c>
      <c r="B1104">
        <v>52</v>
      </c>
      <c r="C1104" t="s">
        <v>7</v>
      </c>
      <c r="D1104" t="s">
        <v>18</v>
      </c>
      <c r="E1104" t="s">
        <v>9</v>
      </c>
      <c r="F1104">
        <v>83</v>
      </c>
      <c r="G1104" t="s">
        <v>93</v>
      </c>
      <c r="H1104" t="s">
        <v>32</v>
      </c>
      <c r="I1104" t="s">
        <v>88</v>
      </c>
      <c r="J1104" t="s">
        <v>45</v>
      </c>
      <c r="K1104">
        <v>2.9</v>
      </c>
      <c r="L1104" t="s">
        <v>140</v>
      </c>
      <c r="M1104" t="s">
        <v>15</v>
      </c>
      <c r="N1104" t="s">
        <v>14</v>
      </c>
      <c r="O1104">
        <v>24</v>
      </c>
      <c r="P1104" t="s">
        <v>21</v>
      </c>
      <c r="Q1104" t="s">
        <v>17</v>
      </c>
      <c r="R1104" t="str" cm="1">
        <f t="array" ref="R1104">_xlfn.IFS(B1104&lt;31,"Young-Adult",B1104&lt;41,"Adult",B1104&lt;61,"Middle-aged",B1104&gt;=61,"Senior")</f>
        <v>Middle-aged</v>
      </c>
      <c r="S1104" cm="1">
        <f t="array" ref="S1104">_xlfn.IFS(Q1104 ="Fortnightly",14,Q1104="Weekly",7,Q1104="Monthly",30,Q1104="Quarterly",90,Q1104="Bi-Weekly",14,Q1104="Annually",365,Q1104="Every 3 Months",90,TRUE,"NOT FOUND")</f>
        <v>14</v>
      </c>
    </row>
    <row r="1105" spans="1:19" x14ac:dyDescent="0.35">
      <c r="A1105">
        <v>1104</v>
      </c>
      <c r="B1105">
        <v>35</v>
      </c>
      <c r="C1105" t="s">
        <v>7</v>
      </c>
      <c r="D1105" t="s">
        <v>92</v>
      </c>
      <c r="E1105" t="s">
        <v>9</v>
      </c>
      <c r="F1105">
        <v>23</v>
      </c>
      <c r="G1105" t="s">
        <v>110</v>
      </c>
      <c r="H1105" t="s">
        <v>24</v>
      </c>
      <c r="I1105" t="s">
        <v>49</v>
      </c>
      <c r="J1105" t="s">
        <v>25</v>
      </c>
      <c r="K1105">
        <v>4.3</v>
      </c>
      <c r="L1105" t="s">
        <v>140</v>
      </c>
      <c r="M1105" t="s">
        <v>26</v>
      </c>
      <c r="N1105" t="s">
        <v>14</v>
      </c>
      <c r="O1105">
        <v>8</v>
      </c>
      <c r="P1105" t="s">
        <v>74</v>
      </c>
      <c r="Q1105" t="s">
        <v>64</v>
      </c>
      <c r="R1105" t="str" cm="1">
        <f t="array" ref="R1105">_xlfn.IFS(B1105&lt;31,"Young-Adult",B1105&lt;41,"Adult",B1105&lt;61,"Middle-aged",B1105&gt;=61,"Senior")</f>
        <v>Adult</v>
      </c>
      <c r="S1105" cm="1">
        <f t="array" ref="S1105">_xlfn.IFS(Q1105 ="Fortnightly",14,Q1105="Weekly",7,Q1105="Monthly",30,Q1105="Quarterly",90,Q1105="Bi-Weekly",14,Q1105="Annually",365,Q1105="Every 3 Months",90,TRUE,"NOT FOUND")</f>
        <v>14</v>
      </c>
    </row>
    <row r="1106" spans="1:19" x14ac:dyDescent="0.35">
      <c r="A1106">
        <v>1105</v>
      </c>
      <c r="B1106">
        <v>35</v>
      </c>
      <c r="C1106" t="s">
        <v>7</v>
      </c>
      <c r="D1106" t="s">
        <v>112</v>
      </c>
      <c r="E1106" t="s">
        <v>55</v>
      </c>
      <c r="F1106">
        <v>28</v>
      </c>
      <c r="G1106" t="s">
        <v>67</v>
      </c>
      <c r="H1106" t="s">
        <v>32</v>
      </c>
      <c r="I1106" t="s">
        <v>106</v>
      </c>
      <c r="J1106" t="s">
        <v>45</v>
      </c>
      <c r="K1106">
        <v>3.1</v>
      </c>
      <c r="L1106" t="s">
        <v>140</v>
      </c>
      <c r="M1106" t="s">
        <v>15</v>
      </c>
      <c r="N1106" t="s">
        <v>14</v>
      </c>
      <c r="O1106">
        <v>8</v>
      </c>
      <c r="P1106" t="s">
        <v>63</v>
      </c>
      <c r="Q1106" t="s">
        <v>46</v>
      </c>
      <c r="R1106" t="str" cm="1">
        <f t="array" ref="R1106">_xlfn.IFS(B1106&lt;31,"Young-Adult",B1106&lt;41,"Adult",B1106&lt;61,"Middle-aged",B1106&gt;=61,"Senior")</f>
        <v>Adult</v>
      </c>
      <c r="S1106" cm="1">
        <f t="array" ref="S1106">_xlfn.IFS(Q1106 ="Fortnightly",14,Q1106="Weekly",7,Q1106="Monthly",30,Q1106="Quarterly",90,Q1106="Bi-Weekly",14,Q1106="Annually",365,Q1106="Every 3 Months",90,TRUE,"NOT FOUND")</f>
        <v>90</v>
      </c>
    </row>
    <row r="1107" spans="1:19" x14ac:dyDescent="0.35">
      <c r="A1107">
        <v>1106</v>
      </c>
      <c r="B1107">
        <v>33</v>
      </c>
      <c r="C1107" t="s">
        <v>7</v>
      </c>
      <c r="D1107" t="s">
        <v>101</v>
      </c>
      <c r="E1107" t="s">
        <v>9</v>
      </c>
      <c r="F1107">
        <v>83</v>
      </c>
      <c r="G1107" t="s">
        <v>23</v>
      </c>
      <c r="H1107" t="s">
        <v>24</v>
      </c>
      <c r="I1107" t="s">
        <v>66</v>
      </c>
      <c r="J1107" t="s">
        <v>25</v>
      </c>
      <c r="K1107">
        <v>3</v>
      </c>
      <c r="L1107" t="s">
        <v>140</v>
      </c>
      <c r="M1107" t="s">
        <v>33</v>
      </c>
      <c r="N1107" t="s">
        <v>14</v>
      </c>
      <c r="O1107">
        <v>6</v>
      </c>
      <c r="P1107" t="s">
        <v>16</v>
      </c>
      <c r="Q1107" t="s">
        <v>85</v>
      </c>
      <c r="R1107" t="str" cm="1">
        <f t="array" ref="R1107">_xlfn.IFS(B1107&lt;31,"Young-Adult",B1107&lt;41,"Adult",B1107&lt;61,"Middle-aged",B1107&gt;=61,"Senior")</f>
        <v>Adult</v>
      </c>
      <c r="S1107" cm="1">
        <f t="array" ref="S1107">_xlfn.IFS(Q1107 ="Fortnightly",14,Q1107="Weekly",7,Q1107="Monthly",30,Q1107="Quarterly",90,Q1107="Bi-Weekly",14,Q1107="Annually",365,Q1107="Every 3 Months",90,TRUE,"NOT FOUND")</f>
        <v>90</v>
      </c>
    </row>
    <row r="1108" spans="1:19" x14ac:dyDescent="0.35">
      <c r="A1108">
        <v>1107</v>
      </c>
      <c r="B1108">
        <v>52</v>
      </c>
      <c r="C1108" t="s">
        <v>7</v>
      </c>
      <c r="D1108" t="s">
        <v>75</v>
      </c>
      <c r="E1108" t="s">
        <v>9</v>
      </c>
      <c r="F1108">
        <v>96</v>
      </c>
      <c r="G1108" t="s">
        <v>136</v>
      </c>
      <c r="H1108" t="s">
        <v>11</v>
      </c>
      <c r="I1108" t="s">
        <v>71</v>
      </c>
      <c r="J1108" t="s">
        <v>13</v>
      </c>
      <c r="K1108">
        <v>3.6</v>
      </c>
      <c r="L1108" t="s">
        <v>140</v>
      </c>
      <c r="M1108" t="s">
        <v>62</v>
      </c>
      <c r="N1108" t="s">
        <v>14</v>
      </c>
      <c r="O1108">
        <v>12</v>
      </c>
      <c r="P1108" t="s">
        <v>16</v>
      </c>
      <c r="Q1108" t="s">
        <v>17</v>
      </c>
      <c r="R1108" t="str" cm="1">
        <f t="array" ref="R1108">_xlfn.IFS(B1108&lt;31,"Young-Adult",B1108&lt;41,"Adult",B1108&lt;61,"Middle-aged",B1108&gt;=61,"Senior")</f>
        <v>Middle-aged</v>
      </c>
      <c r="S1108" cm="1">
        <f t="array" ref="S1108">_xlfn.IFS(Q1108 ="Fortnightly",14,Q1108="Weekly",7,Q1108="Monthly",30,Q1108="Quarterly",90,Q1108="Bi-Weekly",14,Q1108="Annually",365,Q1108="Every 3 Months",90,TRUE,"NOT FOUND")</f>
        <v>14</v>
      </c>
    </row>
    <row r="1109" spans="1:19" x14ac:dyDescent="0.35">
      <c r="A1109">
        <v>1108</v>
      </c>
      <c r="B1109">
        <v>69</v>
      </c>
      <c r="C1109" t="s">
        <v>7</v>
      </c>
      <c r="D1109" t="s">
        <v>38</v>
      </c>
      <c r="E1109" t="s">
        <v>30</v>
      </c>
      <c r="F1109">
        <v>62</v>
      </c>
      <c r="G1109" t="s">
        <v>93</v>
      </c>
      <c r="H1109" t="s">
        <v>32</v>
      </c>
      <c r="I1109" t="s">
        <v>88</v>
      </c>
      <c r="J1109" t="s">
        <v>45</v>
      </c>
      <c r="K1109">
        <v>2.8</v>
      </c>
      <c r="L1109" t="s">
        <v>140</v>
      </c>
      <c r="M1109" t="s">
        <v>62</v>
      </c>
      <c r="N1109" t="s">
        <v>14</v>
      </c>
      <c r="O1109">
        <v>26</v>
      </c>
      <c r="P1109" t="s">
        <v>63</v>
      </c>
      <c r="Q1109" t="s">
        <v>28</v>
      </c>
      <c r="R1109" t="str" cm="1">
        <f t="array" ref="R1109">_xlfn.IFS(B1109&lt;31,"Young-Adult",B1109&lt;41,"Adult",B1109&lt;61,"Middle-aged",B1109&gt;=61,"Senior")</f>
        <v>Senior</v>
      </c>
      <c r="S1109" cm="1">
        <f t="array" ref="S1109">_xlfn.IFS(Q1109 ="Fortnightly",14,Q1109="Weekly",7,Q1109="Monthly",30,Q1109="Quarterly",90,Q1109="Bi-Weekly",14,Q1109="Annually",365,Q1109="Every 3 Months",90,TRUE,"NOT FOUND")</f>
        <v>7</v>
      </c>
    </row>
    <row r="1110" spans="1:19" x14ac:dyDescent="0.35">
      <c r="A1110">
        <v>1109</v>
      </c>
      <c r="B1110">
        <v>27</v>
      </c>
      <c r="C1110" t="s">
        <v>7</v>
      </c>
      <c r="D1110" t="s">
        <v>47</v>
      </c>
      <c r="E1110" t="s">
        <v>9</v>
      </c>
      <c r="F1110">
        <v>25</v>
      </c>
      <c r="G1110" t="s">
        <v>133</v>
      </c>
      <c r="H1110" t="s">
        <v>32</v>
      </c>
      <c r="I1110" t="s">
        <v>73</v>
      </c>
      <c r="J1110" t="s">
        <v>45</v>
      </c>
      <c r="K1110">
        <v>2.8</v>
      </c>
      <c r="L1110" t="s">
        <v>140</v>
      </c>
      <c r="M1110" t="s">
        <v>42</v>
      </c>
      <c r="N1110" t="s">
        <v>14</v>
      </c>
      <c r="O1110">
        <v>50</v>
      </c>
      <c r="P1110" t="s">
        <v>21</v>
      </c>
      <c r="Q1110" t="s">
        <v>17</v>
      </c>
      <c r="R1110" t="str" cm="1">
        <f t="array" ref="R1110">_xlfn.IFS(B1110&lt;31,"Young-Adult",B1110&lt;41,"Adult",B1110&lt;61,"Middle-aged",B1110&gt;=61,"Senior")</f>
        <v>Young-Adult</v>
      </c>
      <c r="S1110" cm="1">
        <f t="array" ref="S1110">_xlfn.IFS(Q1110 ="Fortnightly",14,Q1110="Weekly",7,Q1110="Monthly",30,Q1110="Quarterly",90,Q1110="Bi-Weekly",14,Q1110="Annually",365,Q1110="Every 3 Months",90,TRUE,"NOT FOUND")</f>
        <v>14</v>
      </c>
    </row>
    <row r="1111" spans="1:19" x14ac:dyDescent="0.35">
      <c r="A1111">
        <v>1110</v>
      </c>
      <c r="B1111">
        <v>66</v>
      </c>
      <c r="C1111" t="s">
        <v>7</v>
      </c>
      <c r="D1111" t="s">
        <v>92</v>
      </c>
      <c r="E1111" t="s">
        <v>9</v>
      </c>
      <c r="F1111">
        <v>97</v>
      </c>
      <c r="G1111" t="s">
        <v>89</v>
      </c>
      <c r="H1111" t="s">
        <v>11</v>
      </c>
      <c r="I1111" t="s">
        <v>71</v>
      </c>
      <c r="J1111" t="s">
        <v>13</v>
      </c>
      <c r="K1111">
        <v>3.8</v>
      </c>
      <c r="L1111" t="s">
        <v>140</v>
      </c>
      <c r="M1111" t="s">
        <v>33</v>
      </c>
      <c r="N1111" t="s">
        <v>14</v>
      </c>
      <c r="O1111">
        <v>2</v>
      </c>
      <c r="P1111" t="s">
        <v>16</v>
      </c>
      <c r="Q1111" t="s">
        <v>28</v>
      </c>
      <c r="R1111" t="str" cm="1">
        <f t="array" ref="R1111">_xlfn.IFS(B1111&lt;31,"Young-Adult",B1111&lt;41,"Adult",B1111&lt;61,"Middle-aged",B1111&gt;=61,"Senior")</f>
        <v>Senior</v>
      </c>
      <c r="S1111" cm="1">
        <f t="array" ref="S1111">_xlfn.IFS(Q1111 ="Fortnightly",14,Q1111="Weekly",7,Q1111="Monthly",30,Q1111="Quarterly",90,Q1111="Bi-Weekly",14,Q1111="Annually",365,Q1111="Every 3 Months",90,TRUE,"NOT FOUND")</f>
        <v>7</v>
      </c>
    </row>
    <row r="1112" spans="1:19" x14ac:dyDescent="0.35">
      <c r="A1112">
        <v>1111</v>
      </c>
      <c r="B1112">
        <v>28</v>
      </c>
      <c r="C1112" t="s">
        <v>7</v>
      </c>
      <c r="D1112" t="s">
        <v>92</v>
      </c>
      <c r="E1112" t="s">
        <v>9</v>
      </c>
      <c r="F1112">
        <v>61</v>
      </c>
      <c r="G1112" t="s">
        <v>93</v>
      </c>
      <c r="H1112" t="s">
        <v>11</v>
      </c>
      <c r="I1112" t="s">
        <v>97</v>
      </c>
      <c r="J1112" t="s">
        <v>45</v>
      </c>
      <c r="K1112">
        <v>3</v>
      </c>
      <c r="L1112" t="s">
        <v>140</v>
      </c>
      <c r="M1112" t="s">
        <v>42</v>
      </c>
      <c r="N1112" t="s">
        <v>14</v>
      </c>
      <c r="O1112">
        <v>31</v>
      </c>
      <c r="P1112" t="s">
        <v>21</v>
      </c>
      <c r="Q1112" t="s">
        <v>64</v>
      </c>
      <c r="R1112" t="str" cm="1">
        <f t="array" ref="R1112">_xlfn.IFS(B1112&lt;31,"Young-Adult",B1112&lt;41,"Adult",B1112&lt;61,"Middle-aged",B1112&gt;=61,"Senior")</f>
        <v>Young-Adult</v>
      </c>
      <c r="S1112" cm="1">
        <f t="array" ref="S1112">_xlfn.IFS(Q1112 ="Fortnightly",14,Q1112="Weekly",7,Q1112="Monthly",30,Q1112="Quarterly",90,Q1112="Bi-Weekly",14,Q1112="Annually",365,Q1112="Every 3 Months",90,TRUE,"NOT FOUND")</f>
        <v>14</v>
      </c>
    </row>
    <row r="1113" spans="1:19" x14ac:dyDescent="0.35">
      <c r="A1113">
        <v>1112</v>
      </c>
      <c r="B1113">
        <v>22</v>
      </c>
      <c r="C1113" t="s">
        <v>7</v>
      </c>
      <c r="D1113" t="s">
        <v>59</v>
      </c>
      <c r="E1113" t="s">
        <v>30</v>
      </c>
      <c r="F1113">
        <v>66</v>
      </c>
      <c r="G1113" t="s">
        <v>72</v>
      </c>
      <c r="H1113" t="s">
        <v>24</v>
      </c>
      <c r="I1113" t="s">
        <v>66</v>
      </c>
      <c r="J1113" t="s">
        <v>41</v>
      </c>
      <c r="K1113">
        <v>4.0999999999999996</v>
      </c>
      <c r="L1113" t="s">
        <v>140</v>
      </c>
      <c r="M1113" t="s">
        <v>33</v>
      </c>
      <c r="N1113" t="s">
        <v>14</v>
      </c>
      <c r="O1113">
        <v>4</v>
      </c>
      <c r="P1113" t="s">
        <v>27</v>
      </c>
      <c r="Q1113" t="s">
        <v>64</v>
      </c>
      <c r="R1113" t="str" cm="1">
        <f t="array" ref="R1113">_xlfn.IFS(B1113&lt;31,"Young-Adult",B1113&lt;41,"Adult",B1113&lt;61,"Middle-aged",B1113&gt;=61,"Senior")</f>
        <v>Young-Adult</v>
      </c>
      <c r="S1113" cm="1">
        <f t="array" ref="S1113">_xlfn.IFS(Q1113 ="Fortnightly",14,Q1113="Weekly",7,Q1113="Monthly",30,Q1113="Quarterly",90,Q1113="Bi-Weekly",14,Q1113="Annually",365,Q1113="Every 3 Months",90,TRUE,"NOT FOUND")</f>
        <v>14</v>
      </c>
    </row>
    <row r="1114" spans="1:19" x14ac:dyDescent="0.35">
      <c r="A1114">
        <v>1113</v>
      </c>
      <c r="B1114">
        <v>69</v>
      </c>
      <c r="C1114" t="s">
        <v>7</v>
      </c>
      <c r="D1114" t="s">
        <v>92</v>
      </c>
      <c r="E1114" t="s">
        <v>9</v>
      </c>
      <c r="F1114">
        <v>67</v>
      </c>
      <c r="G1114" t="s">
        <v>137</v>
      </c>
      <c r="H1114" t="s">
        <v>80</v>
      </c>
      <c r="I1114" t="s">
        <v>57</v>
      </c>
      <c r="J1114" t="s">
        <v>25</v>
      </c>
      <c r="K1114">
        <v>4.5999999999999996</v>
      </c>
      <c r="L1114" t="s">
        <v>140</v>
      </c>
      <c r="M1114" t="s">
        <v>26</v>
      </c>
      <c r="N1114" t="s">
        <v>14</v>
      </c>
      <c r="O1114">
        <v>32</v>
      </c>
      <c r="P1114" t="s">
        <v>34</v>
      </c>
      <c r="Q1114" t="s">
        <v>46</v>
      </c>
      <c r="R1114" t="str" cm="1">
        <f t="array" ref="R1114">_xlfn.IFS(B1114&lt;31,"Young-Adult",B1114&lt;41,"Adult",B1114&lt;61,"Middle-aged",B1114&gt;=61,"Senior")</f>
        <v>Senior</v>
      </c>
      <c r="S1114" cm="1">
        <f t="array" ref="S1114">_xlfn.IFS(Q1114 ="Fortnightly",14,Q1114="Weekly",7,Q1114="Monthly",30,Q1114="Quarterly",90,Q1114="Bi-Weekly",14,Q1114="Annually",365,Q1114="Every 3 Months",90,TRUE,"NOT FOUND")</f>
        <v>90</v>
      </c>
    </row>
    <row r="1115" spans="1:19" x14ac:dyDescent="0.35">
      <c r="A1115">
        <v>1114</v>
      </c>
      <c r="B1115">
        <v>28</v>
      </c>
      <c r="C1115" t="s">
        <v>7</v>
      </c>
      <c r="D1115" t="s">
        <v>77</v>
      </c>
      <c r="E1115" t="s">
        <v>55</v>
      </c>
      <c r="F1115">
        <v>80</v>
      </c>
      <c r="G1115" t="s">
        <v>116</v>
      </c>
      <c r="H1115" t="s">
        <v>32</v>
      </c>
      <c r="I1115" t="s">
        <v>61</v>
      </c>
      <c r="J1115" t="s">
        <v>41</v>
      </c>
      <c r="K1115">
        <v>4.8</v>
      </c>
      <c r="L1115" t="s">
        <v>140</v>
      </c>
      <c r="M1115" t="s">
        <v>33</v>
      </c>
      <c r="N1115" t="s">
        <v>14</v>
      </c>
      <c r="O1115">
        <v>11</v>
      </c>
      <c r="P1115" t="s">
        <v>34</v>
      </c>
      <c r="Q1115" t="s">
        <v>64</v>
      </c>
      <c r="R1115" t="str" cm="1">
        <f t="array" ref="R1115">_xlfn.IFS(B1115&lt;31,"Young-Adult",B1115&lt;41,"Adult",B1115&lt;61,"Middle-aged",B1115&gt;=61,"Senior")</f>
        <v>Young-Adult</v>
      </c>
      <c r="S1115" cm="1">
        <f t="array" ref="S1115">_xlfn.IFS(Q1115 ="Fortnightly",14,Q1115="Weekly",7,Q1115="Monthly",30,Q1115="Quarterly",90,Q1115="Bi-Weekly",14,Q1115="Annually",365,Q1115="Every 3 Months",90,TRUE,"NOT FOUND")</f>
        <v>14</v>
      </c>
    </row>
    <row r="1116" spans="1:19" x14ac:dyDescent="0.35">
      <c r="A1116">
        <v>1115</v>
      </c>
      <c r="B1116">
        <v>55</v>
      </c>
      <c r="C1116" t="s">
        <v>7</v>
      </c>
      <c r="D1116" t="s">
        <v>75</v>
      </c>
      <c r="E1116" t="s">
        <v>9</v>
      </c>
      <c r="F1116">
        <v>25</v>
      </c>
      <c r="G1116" t="s">
        <v>70</v>
      </c>
      <c r="H1116" t="s">
        <v>11</v>
      </c>
      <c r="I1116" t="s">
        <v>71</v>
      </c>
      <c r="J1116" t="s">
        <v>45</v>
      </c>
      <c r="K1116">
        <v>2.6</v>
      </c>
      <c r="L1116" t="s">
        <v>140</v>
      </c>
      <c r="M1116" t="s">
        <v>33</v>
      </c>
      <c r="N1116" t="s">
        <v>14</v>
      </c>
      <c r="O1116">
        <v>47</v>
      </c>
      <c r="P1116" t="s">
        <v>63</v>
      </c>
      <c r="Q1116" t="s">
        <v>85</v>
      </c>
      <c r="R1116" t="str" cm="1">
        <f t="array" ref="R1116">_xlfn.IFS(B1116&lt;31,"Young-Adult",B1116&lt;41,"Adult",B1116&lt;61,"Middle-aged",B1116&gt;=61,"Senior")</f>
        <v>Middle-aged</v>
      </c>
      <c r="S1116" cm="1">
        <f t="array" ref="S1116">_xlfn.IFS(Q1116 ="Fortnightly",14,Q1116="Weekly",7,Q1116="Monthly",30,Q1116="Quarterly",90,Q1116="Bi-Weekly",14,Q1116="Annually",365,Q1116="Every 3 Months",90,TRUE,"NOT FOUND")</f>
        <v>90</v>
      </c>
    </row>
    <row r="1117" spans="1:19" x14ac:dyDescent="0.35">
      <c r="A1117">
        <v>1116</v>
      </c>
      <c r="B1117">
        <v>30</v>
      </c>
      <c r="C1117" t="s">
        <v>7</v>
      </c>
      <c r="D1117" t="s">
        <v>112</v>
      </c>
      <c r="E1117" t="s">
        <v>55</v>
      </c>
      <c r="F1117">
        <v>58</v>
      </c>
      <c r="G1117" t="s">
        <v>72</v>
      </c>
      <c r="H1117" t="s">
        <v>24</v>
      </c>
      <c r="I1117" t="s">
        <v>88</v>
      </c>
      <c r="J1117" t="s">
        <v>45</v>
      </c>
      <c r="K1117">
        <v>4</v>
      </c>
      <c r="L1117" t="s">
        <v>140</v>
      </c>
      <c r="M1117" t="s">
        <v>58</v>
      </c>
      <c r="N1117" t="s">
        <v>14</v>
      </c>
      <c r="O1117">
        <v>37</v>
      </c>
      <c r="P1117" t="s">
        <v>21</v>
      </c>
      <c r="Q1117" t="s">
        <v>28</v>
      </c>
      <c r="R1117" t="str" cm="1">
        <f t="array" ref="R1117">_xlfn.IFS(B1117&lt;31,"Young-Adult",B1117&lt;41,"Adult",B1117&lt;61,"Middle-aged",B1117&gt;=61,"Senior")</f>
        <v>Young-Adult</v>
      </c>
      <c r="S1117" cm="1">
        <f t="array" ref="S1117">_xlfn.IFS(Q1117 ="Fortnightly",14,Q1117="Weekly",7,Q1117="Monthly",30,Q1117="Quarterly",90,Q1117="Bi-Weekly",14,Q1117="Annually",365,Q1117="Every 3 Months",90,TRUE,"NOT FOUND")</f>
        <v>7</v>
      </c>
    </row>
    <row r="1118" spans="1:19" x14ac:dyDescent="0.35">
      <c r="A1118">
        <v>1117</v>
      </c>
      <c r="B1118">
        <v>67</v>
      </c>
      <c r="C1118" t="s">
        <v>7</v>
      </c>
      <c r="D1118" t="s">
        <v>120</v>
      </c>
      <c r="E1118" t="s">
        <v>55</v>
      </c>
      <c r="F1118">
        <v>96</v>
      </c>
      <c r="G1118" t="s">
        <v>65</v>
      </c>
      <c r="H1118" t="s">
        <v>32</v>
      </c>
      <c r="I1118" t="s">
        <v>49</v>
      </c>
      <c r="J1118" t="s">
        <v>13</v>
      </c>
      <c r="K1118">
        <v>4.2</v>
      </c>
      <c r="L1118" t="s">
        <v>140</v>
      </c>
      <c r="M1118" t="s">
        <v>15</v>
      </c>
      <c r="N1118" t="s">
        <v>14</v>
      </c>
      <c r="O1118">
        <v>39</v>
      </c>
      <c r="P1118" t="s">
        <v>34</v>
      </c>
      <c r="Q1118" t="s">
        <v>17</v>
      </c>
      <c r="R1118" t="str" cm="1">
        <f t="array" ref="R1118">_xlfn.IFS(B1118&lt;31,"Young-Adult",B1118&lt;41,"Adult",B1118&lt;61,"Middle-aged",B1118&gt;=61,"Senior")</f>
        <v>Senior</v>
      </c>
      <c r="S1118" cm="1">
        <f t="array" ref="S1118">_xlfn.IFS(Q1118 ="Fortnightly",14,Q1118="Weekly",7,Q1118="Monthly",30,Q1118="Quarterly",90,Q1118="Bi-Weekly",14,Q1118="Annually",365,Q1118="Every 3 Months",90,TRUE,"NOT FOUND")</f>
        <v>14</v>
      </c>
    </row>
    <row r="1119" spans="1:19" x14ac:dyDescent="0.35">
      <c r="A1119">
        <v>1118</v>
      </c>
      <c r="B1119">
        <v>25</v>
      </c>
      <c r="C1119" t="s">
        <v>7</v>
      </c>
      <c r="D1119" t="s">
        <v>77</v>
      </c>
      <c r="E1119" t="s">
        <v>55</v>
      </c>
      <c r="F1119">
        <v>77</v>
      </c>
      <c r="G1119" t="s">
        <v>87</v>
      </c>
      <c r="H1119" t="s">
        <v>11</v>
      </c>
      <c r="I1119" t="s">
        <v>81</v>
      </c>
      <c r="J1119" t="s">
        <v>25</v>
      </c>
      <c r="K1119">
        <v>4.5</v>
      </c>
      <c r="L1119" t="s">
        <v>140</v>
      </c>
      <c r="M1119" t="s">
        <v>62</v>
      </c>
      <c r="N1119" t="s">
        <v>14</v>
      </c>
      <c r="O1119">
        <v>24</v>
      </c>
      <c r="P1119" t="s">
        <v>27</v>
      </c>
      <c r="Q1119" t="s">
        <v>76</v>
      </c>
      <c r="R1119" t="str" cm="1">
        <f t="array" ref="R1119">_xlfn.IFS(B1119&lt;31,"Young-Adult",B1119&lt;41,"Adult",B1119&lt;61,"Middle-aged",B1119&gt;=61,"Senior")</f>
        <v>Young-Adult</v>
      </c>
      <c r="S1119" cm="1">
        <f t="array" ref="S1119">_xlfn.IFS(Q1119 ="Fortnightly",14,Q1119="Weekly",7,Q1119="Monthly",30,Q1119="Quarterly",90,Q1119="Bi-Weekly",14,Q1119="Annually",365,Q1119="Every 3 Months",90,TRUE,"NOT FOUND")</f>
        <v>30</v>
      </c>
    </row>
    <row r="1120" spans="1:19" x14ac:dyDescent="0.35">
      <c r="A1120">
        <v>1119</v>
      </c>
      <c r="B1120">
        <v>49</v>
      </c>
      <c r="C1120" t="s">
        <v>7</v>
      </c>
      <c r="D1120" t="s">
        <v>121</v>
      </c>
      <c r="E1120" t="s">
        <v>55</v>
      </c>
      <c r="F1120">
        <v>65</v>
      </c>
      <c r="G1120" t="s">
        <v>104</v>
      </c>
      <c r="H1120" t="s">
        <v>32</v>
      </c>
      <c r="I1120" t="s">
        <v>61</v>
      </c>
      <c r="J1120" t="s">
        <v>41</v>
      </c>
      <c r="K1120">
        <v>4.9000000000000004</v>
      </c>
      <c r="L1120" t="s">
        <v>140</v>
      </c>
      <c r="M1120" t="s">
        <v>42</v>
      </c>
      <c r="N1120" t="s">
        <v>14</v>
      </c>
      <c r="O1120">
        <v>11</v>
      </c>
      <c r="P1120" t="s">
        <v>34</v>
      </c>
      <c r="Q1120" t="s">
        <v>85</v>
      </c>
      <c r="R1120" t="str" cm="1">
        <f t="array" ref="R1120">_xlfn.IFS(B1120&lt;31,"Young-Adult",B1120&lt;41,"Adult",B1120&lt;61,"Middle-aged",B1120&gt;=61,"Senior")</f>
        <v>Middle-aged</v>
      </c>
      <c r="S1120" cm="1">
        <f t="array" ref="S1120">_xlfn.IFS(Q1120 ="Fortnightly",14,Q1120="Weekly",7,Q1120="Monthly",30,Q1120="Quarterly",90,Q1120="Bi-Weekly",14,Q1120="Annually",365,Q1120="Every 3 Months",90,TRUE,"NOT FOUND")</f>
        <v>90</v>
      </c>
    </row>
    <row r="1121" spans="1:19" x14ac:dyDescent="0.35">
      <c r="A1121">
        <v>1120</v>
      </c>
      <c r="B1121">
        <v>34</v>
      </c>
      <c r="C1121" t="s">
        <v>7</v>
      </c>
      <c r="D1121" t="s">
        <v>94</v>
      </c>
      <c r="E1121" t="s">
        <v>55</v>
      </c>
      <c r="F1121">
        <v>36</v>
      </c>
      <c r="G1121" t="s">
        <v>48</v>
      </c>
      <c r="H1121" t="s">
        <v>32</v>
      </c>
      <c r="I1121" t="s">
        <v>114</v>
      </c>
      <c r="J1121" t="s">
        <v>25</v>
      </c>
      <c r="K1121">
        <v>3.1</v>
      </c>
      <c r="L1121" t="s">
        <v>140</v>
      </c>
      <c r="M1121" t="s">
        <v>42</v>
      </c>
      <c r="N1121" t="s">
        <v>14</v>
      </c>
      <c r="O1121">
        <v>36</v>
      </c>
      <c r="P1121" t="s">
        <v>27</v>
      </c>
      <c r="Q1121" t="s">
        <v>28</v>
      </c>
      <c r="R1121" t="str" cm="1">
        <f t="array" ref="R1121">_xlfn.IFS(B1121&lt;31,"Young-Adult",B1121&lt;41,"Adult",B1121&lt;61,"Middle-aged",B1121&gt;=61,"Senior")</f>
        <v>Adult</v>
      </c>
      <c r="S1121" cm="1">
        <f t="array" ref="S1121">_xlfn.IFS(Q1121 ="Fortnightly",14,Q1121="Weekly",7,Q1121="Monthly",30,Q1121="Quarterly",90,Q1121="Bi-Weekly",14,Q1121="Annually",365,Q1121="Every 3 Months",90,TRUE,"NOT FOUND")</f>
        <v>7</v>
      </c>
    </row>
    <row r="1122" spans="1:19" x14ac:dyDescent="0.35">
      <c r="A1122">
        <v>1121</v>
      </c>
      <c r="B1122">
        <v>22</v>
      </c>
      <c r="C1122" t="s">
        <v>7</v>
      </c>
      <c r="D1122" t="s">
        <v>38</v>
      </c>
      <c r="E1122" t="s">
        <v>30</v>
      </c>
      <c r="F1122">
        <v>84</v>
      </c>
      <c r="G1122" t="s">
        <v>126</v>
      </c>
      <c r="H1122" t="s">
        <v>32</v>
      </c>
      <c r="I1122" t="s">
        <v>124</v>
      </c>
      <c r="J1122" t="s">
        <v>13</v>
      </c>
      <c r="K1122">
        <v>4</v>
      </c>
      <c r="L1122" t="s">
        <v>140</v>
      </c>
      <c r="M1122" t="s">
        <v>33</v>
      </c>
      <c r="N1122" t="s">
        <v>14</v>
      </c>
      <c r="O1122">
        <v>40</v>
      </c>
      <c r="P1122" t="s">
        <v>74</v>
      </c>
      <c r="Q1122" t="s">
        <v>76</v>
      </c>
      <c r="R1122" t="str" cm="1">
        <f t="array" ref="R1122">_xlfn.IFS(B1122&lt;31,"Young-Adult",B1122&lt;41,"Adult",B1122&lt;61,"Middle-aged",B1122&gt;=61,"Senior")</f>
        <v>Young-Adult</v>
      </c>
      <c r="S1122" cm="1">
        <f t="array" ref="S1122">_xlfn.IFS(Q1122 ="Fortnightly",14,Q1122="Weekly",7,Q1122="Monthly",30,Q1122="Quarterly",90,Q1122="Bi-Weekly",14,Q1122="Annually",365,Q1122="Every 3 Months",90,TRUE,"NOT FOUND")</f>
        <v>30</v>
      </c>
    </row>
    <row r="1123" spans="1:19" x14ac:dyDescent="0.35">
      <c r="A1123">
        <v>1122</v>
      </c>
      <c r="B1123">
        <v>63</v>
      </c>
      <c r="C1123" t="s">
        <v>7</v>
      </c>
      <c r="D1123" t="s">
        <v>101</v>
      </c>
      <c r="E1123" t="s">
        <v>9</v>
      </c>
      <c r="F1123">
        <v>58</v>
      </c>
      <c r="G1123" t="s">
        <v>91</v>
      </c>
      <c r="H1123" t="s">
        <v>80</v>
      </c>
      <c r="I1123" t="s">
        <v>88</v>
      </c>
      <c r="J1123" t="s">
        <v>45</v>
      </c>
      <c r="K1123">
        <v>3.2</v>
      </c>
      <c r="L1123" t="s">
        <v>140</v>
      </c>
      <c r="M1123" t="s">
        <v>15</v>
      </c>
      <c r="N1123" t="s">
        <v>14</v>
      </c>
      <c r="O1123">
        <v>25</v>
      </c>
      <c r="P1123" t="s">
        <v>21</v>
      </c>
      <c r="Q1123" t="s">
        <v>46</v>
      </c>
      <c r="R1123" t="str" cm="1">
        <f t="array" ref="R1123">_xlfn.IFS(B1123&lt;31,"Young-Adult",B1123&lt;41,"Adult",B1123&lt;61,"Middle-aged",B1123&gt;=61,"Senior")</f>
        <v>Senior</v>
      </c>
      <c r="S1123" cm="1">
        <f t="array" ref="S1123">_xlfn.IFS(Q1123 ="Fortnightly",14,Q1123="Weekly",7,Q1123="Monthly",30,Q1123="Quarterly",90,Q1123="Bi-Weekly",14,Q1123="Annually",365,Q1123="Every 3 Months",90,TRUE,"NOT FOUND")</f>
        <v>90</v>
      </c>
    </row>
    <row r="1124" spans="1:19" x14ac:dyDescent="0.35">
      <c r="A1124">
        <v>1123</v>
      </c>
      <c r="B1124">
        <v>70</v>
      </c>
      <c r="C1124" t="s">
        <v>7</v>
      </c>
      <c r="D1124" t="s">
        <v>54</v>
      </c>
      <c r="E1124" t="s">
        <v>55</v>
      </c>
      <c r="F1124">
        <v>62</v>
      </c>
      <c r="G1124" t="s">
        <v>86</v>
      </c>
      <c r="H1124" t="s">
        <v>24</v>
      </c>
      <c r="I1124" t="s">
        <v>49</v>
      </c>
      <c r="J1124" t="s">
        <v>25</v>
      </c>
      <c r="K1124">
        <v>4.3</v>
      </c>
      <c r="L1124" t="s">
        <v>140</v>
      </c>
      <c r="M1124" t="s">
        <v>58</v>
      </c>
      <c r="N1124" t="s">
        <v>14</v>
      </c>
      <c r="O1124">
        <v>12</v>
      </c>
      <c r="P1124" t="s">
        <v>27</v>
      </c>
      <c r="Q1124" t="s">
        <v>37</v>
      </c>
      <c r="R1124" t="str" cm="1">
        <f t="array" ref="R1124">_xlfn.IFS(B1124&lt;31,"Young-Adult",B1124&lt;41,"Adult",B1124&lt;61,"Middle-aged",B1124&gt;=61,"Senior")</f>
        <v>Senior</v>
      </c>
      <c r="S1124" cm="1">
        <f t="array" ref="S1124">_xlfn.IFS(Q1124 ="Fortnightly",14,Q1124="Weekly",7,Q1124="Monthly",30,Q1124="Quarterly",90,Q1124="Bi-Weekly",14,Q1124="Annually",365,Q1124="Every 3 Months",90,TRUE,"NOT FOUND")</f>
        <v>365</v>
      </c>
    </row>
    <row r="1125" spans="1:19" x14ac:dyDescent="0.35">
      <c r="A1125">
        <v>1124</v>
      </c>
      <c r="B1125">
        <v>36</v>
      </c>
      <c r="C1125" t="s">
        <v>7</v>
      </c>
      <c r="D1125" t="s">
        <v>112</v>
      </c>
      <c r="E1125" t="s">
        <v>55</v>
      </c>
      <c r="F1125">
        <v>67</v>
      </c>
      <c r="G1125" t="s">
        <v>23</v>
      </c>
      <c r="H1125" t="s">
        <v>24</v>
      </c>
      <c r="I1125" t="s">
        <v>61</v>
      </c>
      <c r="J1125" t="s">
        <v>45</v>
      </c>
      <c r="K1125">
        <v>2.5</v>
      </c>
      <c r="L1125" t="s">
        <v>140</v>
      </c>
      <c r="M1125" t="s">
        <v>62</v>
      </c>
      <c r="N1125" t="s">
        <v>14</v>
      </c>
      <c r="O1125">
        <v>38</v>
      </c>
      <c r="P1125" t="s">
        <v>21</v>
      </c>
      <c r="Q1125" t="s">
        <v>76</v>
      </c>
      <c r="R1125" t="str" cm="1">
        <f t="array" ref="R1125">_xlfn.IFS(B1125&lt;31,"Young-Adult",B1125&lt;41,"Adult",B1125&lt;61,"Middle-aged",B1125&gt;=61,"Senior")</f>
        <v>Adult</v>
      </c>
      <c r="S1125" cm="1">
        <f t="array" ref="S1125">_xlfn.IFS(Q1125 ="Fortnightly",14,Q1125="Weekly",7,Q1125="Monthly",30,Q1125="Quarterly",90,Q1125="Bi-Weekly",14,Q1125="Annually",365,Q1125="Every 3 Months",90,TRUE,"NOT FOUND")</f>
        <v>30</v>
      </c>
    </row>
    <row r="1126" spans="1:19" x14ac:dyDescent="0.35">
      <c r="A1126">
        <v>1125</v>
      </c>
      <c r="B1126">
        <v>42</v>
      </c>
      <c r="C1126" t="s">
        <v>7</v>
      </c>
      <c r="D1126" t="s">
        <v>18</v>
      </c>
      <c r="E1126" t="s">
        <v>9</v>
      </c>
      <c r="F1126">
        <v>20</v>
      </c>
      <c r="G1126" t="s">
        <v>134</v>
      </c>
      <c r="H1126" t="s">
        <v>32</v>
      </c>
      <c r="I1126" t="s">
        <v>109</v>
      </c>
      <c r="J1126" t="s">
        <v>25</v>
      </c>
      <c r="K1126">
        <v>3.8</v>
      </c>
      <c r="L1126" t="s">
        <v>140</v>
      </c>
      <c r="M1126" t="s">
        <v>15</v>
      </c>
      <c r="N1126" t="s">
        <v>14</v>
      </c>
      <c r="O1126">
        <v>40</v>
      </c>
      <c r="P1126" t="s">
        <v>21</v>
      </c>
      <c r="Q1126" t="s">
        <v>46</v>
      </c>
      <c r="R1126" t="str" cm="1">
        <f t="array" ref="R1126">_xlfn.IFS(B1126&lt;31,"Young-Adult",B1126&lt;41,"Adult",B1126&lt;61,"Middle-aged",B1126&gt;=61,"Senior")</f>
        <v>Middle-aged</v>
      </c>
      <c r="S1126" cm="1">
        <f t="array" ref="S1126">_xlfn.IFS(Q1126 ="Fortnightly",14,Q1126="Weekly",7,Q1126="Monthly",30,Q1126="Quarterly",90,Q1126="Bi-Weekly",14,Q1126="Annually",365,Q1126="Every 3 Months",90,TRUE,"NOT FOUND")</f>
        <v>90</v>
      </c>
    </row>
    <row r="1127" spans="1:19" x14ac:dyDescent="0.35">
      <c r="A1127">
        <v>1126</v>
      </c>
      <c r="B1127">
        <v>27</v>
      </c>
      <c r="C1127" t="s">
        <v>7</v>
      </c>
      <c r="D1127" t="s">
        <v>29</v>
      </c>
      <c r="E1127" t="s">
        <v>30</v>
      </c>
      <c r="F1127">
        <v>90</v>
      </c>
      <c r="G1127" t="s">
        <v>102</v>
      </c>
      <c r="H1127" t="s">
        <v>32</v>
      </c>
      <c r="I1127" t="s">
        <v>81</v>
      </c>
      <c r="J1127" t="s">
        <v>41</v>
      </c>
      <c r="K1127">
        <v>2.7</v>
      </c>
      <c r="L1127" t="s">
        <v>140</v>
      </c>
      <c r="M1127" t="s">
        <v>58</v>
      </c>
      <c r="N1127" t="s">
        <v>14</v>
      </c>
      <c r="O1127">
        <v>10</v>
      </c>
      <c r="P1127" t="s">
        <v>63</v>
      </c>
      <c r="Q1127" t="s">
        <v>28</v>
      </c>
      <c r="R1127" t="str" cm="1">
        <f t="array" ref="R1127">_xlfn.IFS(B1127&lt;31,"Young-Adult",B1127&lt;41,"Adult",B1127&lt;61,"Middle-aged",B1127&gt;=61,"Senior")</f>
        <v>Young-Adult</v>
      </c>
      <c r="S1127" cm="1">
        <f t="array" ref="S1127">_xlfn.IFS(Q1127 ="Fortnightly",14,Q1127="Weekly",7,Q1127="Monthly",30,Q1127="Quarterly",90,Q1127="Bi-Weekly",14,Q1127="Annually",365,Q1127="Every 3 Months",90,TRUE,"NOT FOUND")</f>
        <v>7</v>
      </c>
    </row>
    <row r="1128" spans="1:19" x14ac:dyDescent="0.35">
      <c r="A1128">
        <v>1127</v>
      </c>
      <c r="B1128">
        <v>23</v>
      </c>
      <c r="C1128" t="s">
        <v>7</v>
      </c>
      <c r="D1128" t="s">
        <v>107</v>
      </c>
      <c r="E1128" t="s">
        <v>55</v>
      </c>
      <c r="F1128">
        <v>58</v>
      </c>
      <c r="G1128" t="s">
        <v>134</v>
      </c>
      <c r="H1128" t="s">
        <v>11</v>
      </c>
      <c r="I1128" t="s">
        <v>106</v>
      </c>
      <c r="J1128" t="s">
        <v>13</v>
      </c>
      <c r="K1128">
        <v>3.4</v>
      </c>
      <c r="L1128" t="s">
        <v>140</v>
      </c>
      <c r="M1128" t="s">
        <v>42</v>
      </c>
      <c r="N1128" t="s">
        <v>14</v>
      </c>
      <c r="O1128">
        <v>47</v>
      </c>
      <c r="P1128" t="s">
        <v>16</v>
      </c>
      <c r="Q1128" t="s">
        <v>17</v>
      </c>
      <c r="R1128" t="str" cm="1">
        <f t="array" ref="R1128">_xlfn.IFS(B1128&lt;31,"Young-Adult",B1128&lt;41,"Adult",B1128&lt;61,"Middle-aged",B1128&gt;=61,"Senior")</f>
        <v>Young-Adult</v>
      </c>
      <c r="S1128" cm="1">
        <f t="array" ref="S1128">_xlfn.IFS(Q1128 ="Fortnightly",14,Q1128="Weekly",7,Q1128="Monthly",30,Q1128="Quarterly",90,Q1128="Bi-Weekly",14,Q1128="Annually",365,Q1128="Every 3 Months",90,TRUE,"NOT FOUND")</f>
        <v>14</v>
      </c>
    </row>
    <row r="1129" spans="1:19" x14ac:dyDescent="0.35">
      <c r="A1129">
        <v>1128</v>
      </c>
      <c r="B1129">
        <v>50</v>
      </c>
      <c r="C1129" t="s">
        <v>7</v>
      </c>
      <c r="D1129" t="s">
        <v>43</v>
      </c>
      <c r="E1129" t="s">
        <v>9</v>
      </c>
      <c r="F1129">
        <v>53</v>
      </c>
      <c r="G1129" t="s">
        <v>67</v>
      </c>
      <c r="H1129" t="s">
        <v>80</v>
      </c>
      <c r="I1129" t="s">
        <v>20</v>
      </c>
      <c r="J1129" t="s">
        <v>25</v>
      </c>
      <c r="K1129">
        <v>4.8</v>
      </c>
      <c r="L1129" t="s">
        <v>140</v>
      </c>
      <c r="M1129" t="s">
        <v>62</v>
      </c>
      <c r="N1129" t="s">
        <v>14</v>
      </c>
      <c r="O1129">
        <v>22</v>
      </c>
      <c r="P1129" t="s">
        <v>74</v>
      </c>
      <c r="Q1129" t="s">
        <v>76</v>
      </c>
      <c r="R1129" t="str" cm="1">
        <f t="array" ref="R1129">_xlfn.IFS(B1129&lt;31,"Young-Adult",B1129&lt;41,"Adult",B1129&lt;61,"Middle-aged",B1129&gt;=61,"Senior")</f>
        <v>Middle-aged</v>
      </c>
      <c r="S1129" cm="1">
        <f t="array" ref="S1129">_xlfn.IFS(Q1129 ="Fortnightly",14,Q1129="Weekly",7,Q1129="Monthly",30,Q1129="Quarterly",90,Q1129="Bi-Weekly",14,Q1129="Annually",365,Q1129="Every 3 Months",90,TRUE,"NOT FOUND")</f>
        <v>30</v>
      </c>
    </row>
    <row r="1130" spans="1:19" x14ac:dyDescent="0.35">
      <c r="A1130">
        <v>1129</v>
      </c>
      <c r="B1130">
        <v>56</v>
      </c>
      <c r="C1130" t="s">
        <v>7</v>
      </c>
      <c r="D1130" t="s">
        <v>131</v>
      </c>
      <c r="E1130" t="s">
        <v>55</v>
      </c>
      <c r="F1130">
        <v>30</v>
      </c>
      <c r="G1130" t="s">
        <v>72</v>
      </c>
      <c r="H1130" t="s">
        <v>11</v>
      </c>
      <c r="I1130" t="s">
        <v>49</v>
      </c>
      <c r="J1130" t="s">
        <v>13</v>
      </c>
      <c r="K1130">
        <v>4.7</v>
      </c>
      <c r="L1130" t="s">
        <v>140</v>
      </c>
      <c r="M1130" t="s">
        <v>33</v>
      </c>
      <c r="N1130" t="s">
        <v>14</v>
      </c>
      <c r="O1130">
        <v>35</v>
      </c>
      <c r="P1130" t="s">
        <v>74</v>
      </c>
      <c r="Q1130" t="s">
        <v>76</v>
      </c>
      <c r="R1130" t="str" cm="1">
        <f t="array" ref="R1130">_xlfn.IFS(B1130&lt;31,"Young-Adult",B1130&lt;41,"Adult",B1130&lt;61,"Middle-aged",B1130&gt;=61,"Senior")</f>
        <v>Middle-aged</v>
      </c>
      <c r="S1130" cm="1">
        <f t="array" ref="S1130">_xlfn.IFS(Q1130 ="Fortnightly",14,Q1130="Weekly",7,Q1130="Monthly",30,Q1130="Quarterly",90,Q1130="Bi-Weekly",14,Q1130="Annually",365,Q1130="Every 3 Months",90,TRUE,"NOT FOUND")</f>
        <v>30</v>
      </c>
    </row>
    <row r="1131" spans="1:19" x14ac:dyDescent="0.35">
      <c r="A1131">
        <v>1130</v>
      </c>
      <c r="B1131">
        <v>37</v>
      </c>
      <c r="C1131" t="s">
        <v>7</v>
      </c>
      <c r="D1131" t="s">
        <v>92</v>
      </c>
      <c r="E1131" t="s">
        <v>9</v>
      </c>
      <c r="F1131">
        <v>65</v>
      </c>
      <c r="G1131" t="s">
        <v>70</v>
      </c>
      <c r="H1131" t="s">
        <v>80</v>
      </c>
      <c r="I1131" t="s">
        <v>40</v>
      </c>
      <c r="J1131" t="s">
        <v>13</v>
      </c>
      <c r="K1131">
        <v>4.7</v>
      </c>
      <c r="L1131" t="s">
        <v>140</v>
      </c>
      <c r="M1131" t="s">
        <v>15</v>
      </c>
      <c r="N1131" t="s">
        <v>14</v>
      </c>
      <c r="O1131">
        <v>46</v>
      </c>
      <c r="P1131" t="s">
        <v>16</v>
      </c>
      <c r="Q1131" t="s">
        <v>17</v>
      </c>
      <c r="R1131" t="str" cm="1">
        <f t="array" ref="R1131">_xlfn.IFS(B1131&lt;31,"Young-Adult",B1131&lt;41,"Adult",B1131&lt;61,"Middle-aged",B1131&gt;=61,"Senior")</f>
        <v>Adult</v>
      </c>
      <c r="S1131" cm="1">
        <f t="array" ref="S1131">_xlfn.IFS(Q1131 ="Fortnightly",14,Q1131="Weekly",7,Q1131="Monthly",30,Q1131="Quarterly",90,Q1131="Bi-Weekly",14,Q1131="Annually",365,Q1131="Every 3 Months",90,TRUE,"NOT FOUND")</f>
        <v>14</v>
      </c>
    </row>
    <row r="1132" spans="1:19" x14ac:dyDescent="0.35">
      <c r="A1132">
        <v>1131</v>
      </c>
      <c r="B1132">
        <v>67</v>
      </c>
      <c r="C1132" t="s">
        <v>7</v>
      </c>
      <c r="D1132" t="s">
        <v>94</v>
      </c>
      <c r="E1132" t="s">
        <v>55</v>
      </c>
      <c r="F1132">
        <v>41</v>
      </c>
      <c r="G1132" t="s">
        <v>10</v>
      </c>
      <c r="H1132" t="s">
        <v>32</v>
      </c>
      <c r="I1132" t="s">
        <v>81</v>
      </c>
      <c r="J1132" t="s">
        <v>41</v>
      </c>
      <c r="K1132">
        <v>3.9</v>
      </c>
      <c r="L1132" t="s">
        <v>140</v>
      </c>
      <c r="M1132" t="s">
        <v>42</v>
      </c>
      <c r="N1132" t="s">
        <v>14</v>
      </c>
      <c r="O1132">
        <v>30</v>
      </c>
      <c r="P1132" t="s">
        <v>34</v>
      </c>
      <c r="Q1132" t="s">
        <v>64</v>
      </c>
      <c r="R1132" t="str" cm="1">
        <f t="array" ref="R1132">_xlfn.IFS(B1132&lt;31,"Young-Adult",B1132&lt;41,"Adult",B1132&lt;61,"Middle-aged",B1132&gt;=61,"Senior")</f>
        <v>Senior</v>
      </c>
      <c r="S1132" cm="1">
        <f t="array" ref="S1132">_xlfn.IFS(Q1132 ="Fortnightly",14,Q1132="Weekly",7,Q1132="Monthly",30,Q1132="Quarterly",90,Q1132="Bi-Weekly",14,Q1132="Annually",365,Q1132="Every 3 Months",90,TRUE,"NOT FOUND")</f>
        <v>14</v>
      </c>
    </row>
    <row r="1133" spans="1:19" x14ac:dyDescent="0.35">
      <c r="A1133">
        <v>1132</v>
      </c>
      <c r="B1133">
        <v>67</v>
      </c>
      <c r="C1133" t="s">
        <v>7</v>
      </c>
      <c r="D1133" t="s">
        <v>43</v>
      </c>
      <c r="E1133" t="s">
        <v>9</v>
      </c>
      <c r="F1133">
        <v>73</v>
      </c>
      <c r="G1133" t="s">
        <v>103</v>
      </c>
      <c r="H1133" t="s">
        <v>32</v>
      </c>
      <c r="I1133" t="s">
        <v>82</v>
      </c>
      <c r="J1133" t="s">
        <v>25</v>
      </c>
      <c r="K1133">
        <v>3.7</v>
      </c>
      <c r="L1133" t="s">
        <v>140</v>
      </c>
      <c r="M1133" t="s">
        <v>15</v>
      </c>
      <c r="N1133" t="s">
        <v>14</v>
      </c>
      <c r="O1133">
        <v>20</v>
      </c>
      <c r="P1133" t="s">
        <v>63</v>
      </c>
      <c r="Q1133" t="s">
        <v>76</v>
      </c>
      <c r="R1133" t="str" cm="1">
        <f t="array" ref="R1133">_xlfn.IFS(B1133&lt;31,"Young-Adult",B1133&lt;41,"Adult",B1133&lt;61,"Middle-aged",B1133&gt;=61,"Senior")</f>
        <v>Senior</v>
      </c>
      <c r="S1133" cm="1">
        <f t="array" ref="S1133">_xlfn.IFS(Q1133 ="Fortnightly",14,Q1133="Weekly",7,Q1133="Monthly",30,Q1133="Quarterly",90,Q1133="Bi-Weekly",14,Q1133="Annually",365,Q1133="Every 3 Months",90,TRUE,"NOT FOUND")</f>
        <v>30</v>
      </c>
    </row>
    <row r="1134" spans="1:19" x14ac:dyDescent="0.35">
      <c r="A1134">
        <v>1133</v>
      </c>
      <c r="B1134">
        <v>50</v>
      </c>
      <c r="C1134" t="s">
        <v>7</v>
      </c>
      <c r="D1134" t="s">
        <v>92</v>
      </c>
      <c r="E1134" t="s">
        <v>9</v>
      </c>
      <c r="F1134">
        <v>98</v>
      </c>
      <c r="G1134" t="s">
        <v>86</v>
      </c>
      <c r="H1134" t="s">
        <v>24</v>
      </c>
      <c r="I1134" t="s">
        <v>73</v>
      </c>
      <c r="J1134" t="s">
        <v>25</v>
      </c>
      <c r="K1134">
        <v>4.3</v>
      </c>
      <c r="L1134" t="s">
        <v>140</v>
      </c>
      <c r="M1134" t="s">
        <v>62</v>
      </c>
      <c r="N1134" t="s">
        <v>14</v>
      </c>
      <c r="O1134">
        <v>25</v>
      </c>
      <c r="P1134" t="s">
        <v>21</v>
      </c>
      <c r="Q1134" t="s">
        <v>17</v>
      </c>
      <c r="R1134" t="str" cm="1">
        <f t="array" ref="R1134">_xlfn.IFS(B1134&lt;31,"Young-Adult",B1134&lt;41,"Adult",B1134&lt;61,"Middle-aged",B1134&gt;=61,"Senior")</f>
        <v>Middle-aged</v>
      </c>
      <c r="S1134" cm="1">
        <f t="array" ref="S1134">_xlfn.IFS(Q1134 ="Fortnightly",14,Q1134="Weekly",7,Q1134="Monthly",30,Q1134="Quarterly",90,Q1134="Bi-Weekly",14,Q1134="Annually",365,Q1134="Every 3 Months",90,TRUE,"NOT FOUND")</f>
        <v>14</v>
      </c>
    </row>
    <row r="1135" spans="1:19" x14ac:dyDescent="0.35">
      <c r="A1135">
        <v>1134</v>
      </c>
      <c r="B1135">
        <v>36</v>
      </c>
      <c r="C1135" t="s">
        <v>7</v>
      </c>
      <c r="D1135" t="s">
        <v>59</v>
      </c>
      <c r="E1135" t="s">
        <v>30</v>
      </c>
      <c r="F1135">
        <v>36</v>
      </c>
      <c r="G1135" t="s">
        <v>127</v>
      </c>
      <c r="H1135" t="s">
        <v>80</v>
      </c>
      <c r="I1135" t="s">
        <v>124</v>
      </c>
      <c r="J1135" t="s">
        <v>13</v>
      </c>
      <c r="K1135">
        <v>4.0999999999999996</v>
      </c>
      <c r="L1135" t="s">
        <v>140</v>
      </c>
      <c r="M1135" t="s">
        <v>58</v>
      </c>
      <c r="N1135" t="s">
        <v>14</v>
      </c>
      <c r="O1135">
        <v>29</v>
      </c>
      <c r="P1135" t="s">
        <v>21</v>
      </c>
      <c r="Q1135" t="s">
        <v>28</v>
      </c>
      <c r="R1135" t="str" cm="1">
        <f t="array" ref="R1135">_xlfn.IFS(B1135&lt;31,"Young-Adult",B1135&lt;41,"Adult",B1135&lt;61,"Middle-aged",B1135&gt;=61,"Senior")</f>
        <v>Adult</v>
      </c>
      <c r="S1135" cm="1">
        <f t="array" ref="S1135">_xlfn.IFS(Q1135 ="Fortnightly",14,Q1135="Weekly",7,Q1135="Monthly",30,Q1135="Quarterly",90,Q1135="Bi-Weekly",14,Q1135="Annually",365,Q1135="Every 3 Months",90,TRUE,"NOT FOUND")</f>
        <v>7</v>
      </c>
    </row>
    <row r="1136" spans="1:19" x14ac:dyDescent="0.35">
      <c r="A1136">
        <v>1135</v>
      </c>
      <c r="B1136">
        <v>62</v>
      </c>
      <c r="C1136" t="s">
        <v>7</v>
      </c>
      <c r="D1136" t="s">
        <v>101</v>
      </c>
      <c r="E1136" t="s">
        <v>9</v>
      </c>
      <c r="F1136">
        <v>81</v>
      </c>
      <c r="G1136" t="s">
        <v>138</v>
      </c>
      <c r="H1136" t="s">
        <v>32</v>
      </c>
      <c r="I1136" t="s">
        <v>98</v>
      </c>
      <c r="J1136" t="s">
        <v>41</v>
      </c>
      <c r="K1136">
        <v>3.8</v>
      </c>
      <c r="L1136" t="s">
        <v>140</v>
      </c>
      <c r="M1136" t="s">
        <v>15</v>
      </c>
      <c r="N1136" t="s">
        <v>14</v>
      </c>
      <c r="O1136">
        <v>2</v>
      </c>
      <c r="P1136" t="s">
        <v>16</v>
      </c>
      <c r="Q1136" t="s">
        <v>85</v>
      </c>
      <c r="R1136" t="str" cm="1">
        <f t="array" ref="R1136">_xlfn.IFS(B1136&lt;31,"Young-Adult",B1136&lt;41,"Adult",B1136&lt;61,"Middle-aged",B1136&gt;=61,"Senior")</f>
        <v>Senior</v>
      </c>
      <c r="S1136" cm="1">
        <f t="array" ref="S1136">_xlfn.IFS(Q1136 ="Fortnightly",14,Q1136="Weekly",7,Q1136="Monthly",30,Q1136="Quarterly",90,Q1136="Bi-Weekly",14,Q1136="Annually",365,Q1136="Every 3 Months",90,TRUE,"NOT FOUND")</f>
        <v>90</v>
      </c>
    </row>
    <row r="1137" spans="1:19" x14ac:dyDescent="0.35">
      <c r="A1137">
        <v>1136</v>
      </c>
      <c r="B1137">
        <v>65</v>
      </c>
      <c r="C1137" t="s">
        <v>7</v>
      </c>
      <c r="D1137" t="s">
        <v>75</v>
      </c>
      <c r="E1137" t="s">
        <v>9</v>
      </c>
      <c r="F1137">
        <v>90</v>
      </c>
      <c r="G1137" t="s">
        <v>23</v>
      </c>
      <c r="H1137" t="s">
        <v>11</v>
      </c>
      <c r="I1137" t="s">
        <v>88</v>
      </c>
      <c r="J1137" t="s">
        <v>13</v>
      </c>
      <c r="K1137">
        <v>3.6</v>
      </c>
      <c r="L1137" t="s">
        <v>140</v>
      </c>
      <c r="M1137" t="s">
        <v>58</v>
      </c>
      <c r="N1137" t="s">
        <v>14</v>
      </c>
      <c r="O1137">
        <v>32</v>
      </c>
      <c r="P1137" t="s">
        <v>63</v>
      </c>
      <c r="Q1137" t="s">
        <v>46</v>
      </c>
      <c r="R1137" t="str" cm="1">
        <f t="array" ref="R1137">_xlfn.IFS(B1137&lt;31,"Young-Adult",B1137&lt;41,"Adult",B1137&lt;61,"Middle-aged",B1137&gt;=61,"Senior")</f>
        <v>Senior</v>
      </c>
      <c r="S1137" cm="1">
        <f t="array" ref="S1137">_xlfn.IFS(Q1137 ="Fortnightly",14,Q1137="Weekly",7,Q1137="Monthly",30,Q1137="Quarterly",90,Q1137="Bi-Weekly",14,Q1137="Annually",365,Q1137="Every 3 Months",90,TRUE,"NOT FOUND")</f>
        <v>90</v>
      </c>
    </row>
    <row r="1138" spans="1:19" x14ac:dyDescent="0.35">
      <c r="A1138">
        <v>1137</v>
      </c>
      <c r="B1138">
        <v>23</v>
      </c>
      <c r="C1138" t="s">
        <v>7</v>
      </c>
      <c r="D1138" t="s">
        <v>54</v>
      </c>
      <c r="E1138" t="s">
        <v>55</v>
      </c>
      <c r="F1138">
        <v>83</v>
      </c>
      <c r="G1138" t="s">
        <v>103</v>
      </c>
      <c r="H1138" t="s">
        <v>24</v>
      </c>
      <c r="I1138" t="s">
        <v>97</v>
      </c>
      <c r="J1138" t="s">
        <v>41</v>
      </c>
      <c r="K1138">
        <v>4.8</v>
      </c>
      <c r="L1138" t="s">
        <v>140</v>
      </c>
      <c r="M1138" t="s">
        <v>26</v>
      </c>
      <c r="N1138" t="s">
        <v>14</v>
      </c>
      <c r="O1138">
        <v>37</v>
      </c>
      <c r="P1138" t="s">
        <v>21</v>
      </c>
      <c r="Q1138" t="s">
        <v>76</v>
      </c>
      <c r="R1138" t="str" cm="1">
        <f t="array" ref="R1138">_xlfn.IFS(B1138&lt;31,"Young-Adult",B1138&lt;41,"Adult",B1138&lt;61,"Middle-aged",B1138&gt;=61,"Senior")</f>
        <v>Young-Adult</v>
      </c>
      <c r="S1138" cm="1">
        <f t="array" ref="S1138">_xlfn.IFS(Q1138 ="Fortnightly",14,Q1138="Weekly",7,Q1138="Monthly",30,Q1138="Quarterly",90,Q1138="Bi-Weekly",14,Q1138="Annually",365,Q1138="Every 3 Months",90,TRUE,"NOT FOUND")</f>
        <v>30</v>
      </c>
    </row>
    <row r="1139" spans="1:19" x14ac:dyDescent="0.35">
      <c r="A1139">
        <v>1138</v>
      </c>
      <c r="B1139">
        <v>46</v>
      </c>
      <c r="C1139" t="s">
        <v>7</v>
      </c>
      <c r="D1139" t="s">
        <v>43</v>
      </c>
      <c r="E1139" t="s">
        <v>9</v>
      </c>
      <c r="F1139">
        <v>91</v>
      </c>
      <c r="G1139" t="s">
        <v>118</v>
      </c>
      <c r="H1139" t="s">
        <v>80</v>
      </c>
      <c r="I1139" t="s">
        <v>57</v>
      </c>
      <c r="J1139" t="s">
        <v>13</v>
      </c>
      <c r="K1139">
        <v>2.8</v>
      </c>
      <c r="L1139" t="s">
        <v>140</v>
      </c>
      <c r="M1139" t="s">
        <v>58</v>
      </c>
      <c r="N1139" t="s">
        <v>14</v>
      </c>
      <c r="O1139">
        <v>16</v>
      </c>
      <c r="P1139" t="s">
        <v>63</v>
      </c>
      <c r="Q1139" t="s">
        <v>85</v>
      </c>
      <c r="R1139" t="str" cm="1">
        <f t="array" ref="R1139">_xlfn.IFS(B1139&lt;31,"Young-Adult",B1139&lt;41,"Adult",B1139&lt;61,"Middle-aged",B1139&gt;=61,"Senior")</f>
        <v>Middle-aged</v>
      </c>
      <c r="S1139" cm="1">
        <f t="array" ref="S1139">_xlfn.IFS(Q1139 ="Fortnightly",14,Q1139="Weekly",7,Q1139="Monthly",30,Q1139="Quarterly",90,Q1139="Bi-Weekly",14,Q1139="Annually",365,Q1139="Every 3 Months",90,TRUE,"NOT FOUND")</f>
        <v>90</v>
      </c>
    </row>
    <row r="1140" spans="1:19" x14ac:dyDescent="0.35">
      <c r="A1140">
        <v>1139</v>
      </c>
      <c r="B1140">
        <v>18</v>
      </c>
      <c r="C1140" t="s">
        <v>7</v>
      </c>
      <c r="D1140" t="s">
        <v>83</v>
      </c>
      <c r="E1140" t="s">
        <v>9</v>
      </c>
      <c r="F1140">
        <v>36</v>
      </c>
      <c r="G1140" t="s">
        <v>134</v>
      </c>
      <c r="H1140" t="s">
        <v>32</v>
      </c>
      <c r="I1140" t="s">
        <v>61</v>
      </c>
      <c r="J1140" t="s">
        <v>41</v>
      </c>
      <c r="K1140">
        <v>4.7</v>
      </c>
      <c r="L1140" t="s">
        <v>140</v>
      </c>
      <c r="M1140" t="s">
        <v>15</v>
      </c>
      <c r="N1140" t="s">
        <v>14</v>
      </c>
      <c r="O1140">
        <v>32</v>
      </c>
      <c r="P1140" t="s">
        <v>16</v>
      </c>
      <c r="Q1140" t="s">
        <v>17</v>
      </c>
      <c r="R1140" t="str" cm="1">
        <f t="array" ref="R1140">_xlfn.IFS(B1140&lt;31,"Young-Adult",B1140&lt;41,"Adult",B1140&lt;61,"Middle-aged",B1140&gt;=61,"Senior")</f>
        <v>Young-Adult</v>
      </c>
      <c r="S1140" cm="1">
        <f t="array" ref="S1140">_xlfn.IFS(Q1140 ="Fortnightly",14,Q1140="Weekly",7,Q1140="Monthly",30,Q1140="Quarterly",90,Q1140="Bi-Weekly",14,Q1140="Annually",365,Q1140="Every 3 Months",90,TRUE,"NOT FOUND")</f>
        <v>14</v>
      </c>
    </row>
    <row r="1141" spans="1:19" x14ac:dyDescent="0.35">
      <c r="A1141">
        <v>1140</v>
      </c>
      <c r="B1141">
        <v>58</v>
      </c>
      <c r="C1141" t="s">
        <v>7</v>
      </c>
      <c r="D1141" t="s">
        <v>50</v>
      </c>
      <c r="E1141" t="s">
        <v>51</v>
      </c>
      <c r="F1141">
        <v>53</v>
      </c>
      <c r="G1141" t="s">
        <v>78</v>
      </c>
      <c r="H1141" t="s">
        <v>11</v>
      </c>
      <c r="I1141" t="s">
        <v>61</v>
      </c>
      <c r="J1141" t="s">
        <v>25</v>
      </c>
      <c r="K1141">
        <v>3.9</v>
      </c>
      <c r="L1141" t="s">
        <v>140</v>
      </c>
      <c r="M1141" t="s">
        <v>42</v>
      </c>
      <c r="N1141" t="s">
        <v>14</v>
      </c>
      <c r="O1141">
        <v>42</v>
      </c>
      <c r="P1141" t="s">
        <v>74</v>
      </c>
      <c r="Q1141" t="s">
        <v>64</v>
      </c>
      <c r="R1141" t="str" cm="1">
        <f t="array" ref="R1141">_xlfn.IFS(B1141&lt;31,"Young-Adult",B1141&lt;41,"Adult",B1141&lt;61,"Middle-aged",B1141&gt;=61,"Senior")</f>
        <v>Middle-aged</v>
      </c>
      <c r="S1141" cm="1">
        <f t="array" ref="S1141">_xlfn.IFS(Q1141 ="Fortnightly",14,Q1141="Weekly",7,Q1141="Monthly",30,Q1141="Quarterly",90,Q1141="Bi-Weekly",14,Q1141="Annually",365,Q1141="Every 3 Months",90,TRUE,"NOT FOUND")</f>
        <v>14</v>
      </c>
    </row>
    <row r="1142" spans="1:19" x14ac:dyDescent="0.35">
      <c r="A1142">
        <v>1141</v>
      </c>
      <c r="B1142">
        <v>31</v>
      </c>
      <c r="C1142" t="s">
        <v>7</v>
      </c>
      <c r="D1142" t="s">
        <v>22</v>
      </c>
      <c r="E1142" t="s">
        <v>9</v>
      </c>
      <c r="F1142">
        <v>39</v>
      </c>
      <c r="G1142" t="s">
        <v>116</v>
      </c>
      <c r="H1142" t="s">
        <v>32</v>
      </c>
      <c r="I1142" t="s">
        <v>40</v>
      </c>
      <c r="J1142" t="s">
        <v>13</v>
      </c>
      <c r="K1142">
        <v>2.6</v>
      </c>
      <c r="L1142" t="s">
        <v>140</v>
      </c>
      <c r="M1142" t="s">
        <v>62</v>
      </c>
      <c r="N1142" t="s">
        <v>14</v>
      </c>
      <c r="O1142">
        <v>6</v>
      </c>
      <c r="P1142" t="s">
        <v>27</v>
      </c>
      <c r="Q1142" t="s">
        <v>85</v>
      </c>
      <c r="R1142" t="str" cm="1">
        <f t="array" ref="R1142">_xlfn.IFS(B1142&lt;31,"Young-Adult",B1142&lt;41,"Adult",B1142&lt;61,"Middle-aged",B1142&gt;=61,"Senior")</f>
        <v>Adult</v>
      </c>
      <c r="S1142" cm="1">
        <f t="array" ref="S1142">_xlfn.IFS(Q1142 ="Fortnightly",14,Q1142="Weekly",7,Q1142="Monthly",30,Q1142="Quarterly",90,Q1142="Bi-Weekly",14,Q1142="Annually",365,Q1142="Every 3 Months",90,TRUE,"NOT FOUND")</f>
        <v>90</v>
      </c>
    </row>
    <row r="1143" spans="1:19" x14ac:dyDescent="0.35">
      <c r="A1143">
        <v>1142</v>
      </c>
      <c r="B1143">
        <v>39</v>
      </c>
      <c r="C1143" t="s">
        <v>7</v>
      </c>
      <c r="D1143" t="s">
        <v>131</v>
      </c>
      <c r="E1143" t="s">
        <v>55</v>
      </c>
      <c r="F1143">
        <v>33</v>
      </c>
      <c r="G1143" t="s">
        <v>111</v>
      </c>
      <c r="H1143" t="s">
        <v>24</v>
      </c>
      <c r="I1143" t="s">
        <v>53</v>
      </c>
      <c r="J1143" t="s">
        <v>13</v>
      </c>
      <c r="K1143">
        <v>4.7</v>
      </c>
      <c r="L1143" t="s">
        <v>140</v>
      </c>
      <c r="M1143" t="s">
        <v>33</v>
      </c>
      <c r="N1143" t="s">
        <v>14</v>
      </c>
      <c r="O1143">
        <v>23</v>
      </c>
      <c r="P1143" t="s">
        <v>34</v>
      </c>
      <c r="Q1143" t="s">
        <v>17</v>
      </c>
      <c r="R1143" t="str" cm="1">
        <f t="array" ref="R1143">_xlfn.IFS(B1143&lt;31,"Young-Adult",B1143&lt;41,"Adult",B1143&lt;61,"Middle-aged",B1143&gt;=61,"Senior")</f>
        <v>Adult</v>
      </c>
      <c r="S1143" cm="1">
        <f t="array" ref="S1143">_xlfn.IFS(Q1143 ="Fortnightly",14,Q1143="Weekly",7,Q1143="Monthly",30,Q1143="Quarterly",90,Q1143="Bi-Weekly",14,Q1143="Annually",365,Q1143="Every 3 Months",90,TRUE,"NOT FOUND")</f>
        <v>14</v>
      </c>
    </row>
    <row r="1144" spans="1:19" x14ac:dyDescent="0.35">
      <c r="A1144">
        <v>1143</v>
      </c>
      <c r="B1144">
        <v>69</v>
      </c>
      <c r="C1144" t="s">
        <v>7</v>
      </c>
      <c r="D1144" t="s">
        <v>101</v>
      </c>
      <c r="E1144" t="s">
        <v>9</v>
      </c>
      <c r="F1144">
        <v>76</v>
      </c>
      <c r="G1144" t="s">
        <v>111</v>
      </c>
      <c r="H1144" t="s">
        <v>11</v>
      </c>
      <c r="I1144" t="s">
        <v>84</v>
      </c>
      <c r="J1144" t="s">
        <v>25</v>
      </c>
      <c r="K1144">
        <v>3.5</v>
      </c>
      <c r="L1144" t="s">
        <v>140</v>
      </c>
      <c r="M1144" t="s">
        <v>62</v>
      </c>
      <c r="N1144" t="s">
        <v>14</v>
      </c>
      <c r="O1144">
        <v>27</v>
      </c>
      <c r="P1144" t="s">
        <v>16</v>
      </c>
      <c r="Q1144" t="s">
        <v>64</v>
      </c>
      <c r="R1144" t="str" cm="1">
        <f t="array" ref="R1144">_xlfn.IFS(B1144&lt;31,"Young-Adult",B1144&lt;41,"Adult",B1144&lt;61,"Middle-aged",B1144&gt;=61,"Senior")</f>
        <v>Senior</v>
      </c>
      <c r="S1144" cm="1">
        <f t="array" ref="S1144">_xlfn.IFS(Q1144 ="Fortnightly",14,Q1144="Weekly",7,Q1144="Monthly",30,Q1144="Quarterly",90,Q1144="Bi-Weekly",14,Q1144="Annually",365,Q1144="Every 3 Months",90,TRUE,"NOT FOUND")</f>
        <v>14</v>
      </c>
    </row>
    <row r="1145" spans="1:19" x14ac:dyDescent="0.35">
      <c r="A1145">
        <v>1144</v>
      </c>
      <c r="B1145">
        <v>68</v>
      </c>
      <c r="C1145" t="s">
        <v>7</v>
      </c>
      <c r="D1145" t="s">
        <v>125</v>
      </c>
      <c r="E1145" t="s">
        <v>30</v>
      </c>
      <c r="F1145">
        <v>23</v>
      </c>
      <c r="G1145" t="s">
        <v>95</v>
      </c>
      <c r="H1145" t="s">
        <v>11</v>
      </c>
      <c r="I1145" t="s">
        <v>73</v>
      </c>
      <c r="J1145" t="s">
        <v>13</v>
      </c>
      <c r="K1145">
        <v>4.4000000000000004</v>
      </c>
      <c r="L1145" t="s">
        <v>140</v>
      </c>
      <c r="M1145" t="s">
        <v>42</v>
      </c>
      <c r="N1145" t="s">
        <v>14</v>
      </c>
      <c r="O1145">
        <v>43</v>
      </c>
      <c r="P1145" t="s">
        <v>34</v>
      </c>
      <c r="Q1145" t="s">
        <v>46</v>
      </c>
      <c r="R1145" t="str" cm="1">
        <f t="array" ref="R1145">_xlfn.IFS(B1145&lt;31,"Young-Adult",B1145&lt;41,"Adult",B1145&lt;61,"Middle-aged",B1145&gt;=61,"Senior")</f>
        <v>Senior</v>
      </c>
      <c r="S1145" cm="1">
        <f t="array" ref="S1145">_xlfn.IFS(Q1145 ="Fortnightly",14,Q1145="Weekly",7,Q1145="Monthly",30,Q1145="Quarterly",90,Q1145="Bi-Weekly",14,Q1145="Annually",365,Q1145="Every 3 Months",90,TRUE,"NOT FOUND")</f>
        <v>90</v>
      </c>
    </row>
    <row r="1146" spans="1:19" x14ac:dyDescent="0.35">
      <c r="A1146">
        <v>1145</v>
      </c>
      <c r="B1146">
        <v>41</v>
      </c>
      <c r="C1146" t="s">
        <v>7</v>
      </c>
      <c r="D1146" t="s">
        <v>22</v>
      </c>
      <c r="E1146" t="s">
        <v>9</v>
      </c>
      <c r="F1146">
        <v>54</v>
      </c>
      <c r="G1146" t="s">
        <v>119</v>
      </c>
      <c r="H1146" t="s">
        <v>24</v>
      </c>
      <c r="I1146" t="s">
        <v>114</v>
      </c>
      <c r="J1146" t="s">
        <v>45</v>
      </c>
      <c r="K1146">
        <v>4.4000000000000004</v>
      </c>
      <c r="L1146" t="s">
        <v>140</v>
      </c>
      <c r="M1146" t="s">
        <v>58</v>
      </c>
      <c r="N1146" t="s">
        <v>14</v>
      </c>
      <c r="O1146">
        <v>25</v>
      </c>
      <c r="P1146" t="s">
        <v>63</v>
      </c>
      <c r="Q1146" t="s">
        <v>17</v>
      </c>
      <c r="R1146" t="str" cm="1">
        <f t="array" ref="R1146">_xlfn.IFS(B1146&lt;31,"Young-Adult",B1146&lt;41,"Adult",B1146&lt;61,"Middle-aged",B1146&gt;=61,"Senior")</f>
        <v>Middle-aged</v>
      </c>
      <c r="S1146" cm="1">
        <f t="array" ref="S1146">_xlfn.IFS(Q1146 ="Fortnightly",14,Q1146="Weekly",7,Q1146="Monthly",30,Q1146="Quarterly",90,Q1146="Bi-Weekly",14,Q1146="Annually",365,Q1146="Every 3 Months",90,TRUE,"NOT FOUND")</f>
        <v>14</v>
      </c>
    </row>
    <row r="1147" spans="1:19" x14ac:dyDescent="0.35">
      <c r="A1147">
        <v>1146</v>
      </c>
      <c r="B1147">
        <v>31</v>
      </c>
      <c r="C1147" t="s">
        <v>7</v>
      </c>
      <c r="D1147" t="s">
        <v>38</v>
      </c>
      <c r="E1147" t="s">
        <v>30</v>
      </c>
      <c r="F1147">
        <v>89</v>
      </c>
      <c r="G1147" t="s">
        <v>95</v>
      </c>
      <c r="H1147" t="s">
        <v>11</v>
      </c>
      <c r="I1147" t="s">
        <v>57</v>
      </c>
      <c r="J1147" t="s">
        <v>41</v>
      </c>
      <c r="K1147">
        <v>3</v>
      </c>
      <c r="L1147" t="s">
        <v>140</v>
      </c>
      <c r="M1147" t="s">
        <v>15</v>
      </c>
      <c r="N1147" t="s">
        <v>14</v>
      </c>
      <c r="O1147">
        <v>30</v>
      </c>
      <c r="P1147" t="s">
        <v>21</v>
      </c>
      <c r="Q1147" t="s">
        <v>85</v>
      </c>
      <c r="R1147" t="str" cm="1">
        <f t="array" ref="R1147">_xlfn.IFS(B1147&lt;31,"Young-Adult",B1147&lt;41,"Adult",B1147&lt;61,"Middle-aged",B1147&gt;=61,"Senior")</f>
        <v>Adult</v>
      </c>
      <c r="S1147" cm="1">
        <f t="array" ref="S1147">_xlfn.IFS(Q1147 ="Fortnightly",14,Q1147="Weekly",7,Q1147="Monthly",30,Q1147="Quarterly",90,Q1147="Bi-Weekly",14,Q1147="Annually",365,Q1147="Every 3 Months",90,TRUE,"NOT FOUND")</f>
        <v>90</v>
      </c>
    </row>
    <row r="1148" spans="1:19" x14ac:dyDescent="0.35">
      <c r="A1148">
        <v>1147</v>
      </c>
      <c r="B1148">
        <v>48</v>
      </c>
      <c r="C1148" t="s">
        <v>7</v>
      </c>
      <c r="D1148" t="s">
        <v>38</v>
      </c>
      <c r="E1148" t="s">
        <v>30</v>
      </c>
      <c r="F1148">
        <v>38</v>
      </c>
      <c r="G1148" t="s">
        <v>138</v>
      </c>
      <c r="H1148" t="s">
        <v>32</v>
      </c>
      <c r="I1148" t="s">
        <v>114</v>
      </c>
      <c r="J1148" t="s">
        <v>41</v>
      </c>
      <c r="K1148">
        <v>4.2</v>
      </c>
      <c r="L1148" t="s">
        <v>140</v>
      </c>
      <c r="M1148" t="s">
        <v>42</v>
      </c>
      <c r="N1148" t="s">
        <v>14</v>
      </c>
      <c r="O1148">
        <v>7</v>
      </c>
      <c r="P1148" t="s">
        <v>63</v>
      </c>
      <c r="Q1148" t="s">
        <v>85</v>
      </c>
      <c r="R1148" t="str" cm="1">
        <f t="array" ref="R1148">_xlfn.IFS(B1148&lt;31,"Young-Adult",B1148&lt;41,"Adult",B1148&lt;61,"Middle-aged",B1148&gt;=61,"Senior")</f>
        <v>Middle-aged</v>
      </c>
      <c r="S1148" cm="1">
        <f t="array" ref="S1148">_xlfn.IFS(Q1148 ="Fortnightly",14,Q1148="Weekly",7,Q1148="Monthly",30,Q1148="Quarterly",90,Q1148="Bi-Weekly",14,Q1148="Annually",365,Q1148="Every 3 Months",90,TRUE,"NOT FOUND")</f>
        <v>90</v>
      </c>
    </row>
    <row r="1149" spans="1:19" x14ac:dyDescent="0.35">
      <c r="A1149">
        <v>1148</v>
      </c>
      <c r="B1149">
        <v>59</v>
      </c>
      <c r="C1149" t="s">
        <v>7</v>
      </c>
      <c r="D1149" t="s">
        <v>112</v>
      </c>
      <c r="E1149" t="s">
        <v>55</v>
      </c>
      <c r="F1149">
        <v>36</v>
      </c>
      <c r="G1149" t="s">
        <v>110</v>
      </c>
      <c r="H1149" t="s">
        <v>80</v>
      </c>
      <c r="I1149" t="s">
        <v>96</v>
      </c>
      <c r="J1149" t="s">
        <v>13</v>
      </c>
      <c r="K1149">
        <v>4.3</v>
      </c>
      <c r="L1149" t="s">
        <v>140</v>
      </c>
      <c r="M1149" t="s">
        <v>33</v>
      </c>
      <c r="N1149" t="s">
        <v>14</v>
      </c>
      <c r="O1149">
        <v>17</v>
      </c>
      <c r="P1149" t="s">
        <v>74</v>
      </c>
      <c r="Q1149" t="s">
        <v>37</v>
      </c>
      <c r="R1149" t="str" cm="1">
        <f t="array" ref="R1149">_xlfn.IFS(B1149&lt;31,"Young-Adult",B1149&lt;41,"Adult",B1149&lt;61,"Middle-aged",B1149&gt;=61,"Senior")</f>
        <v>Middle-aged</v>
      </c>
      <c r="S1149" cm="1">
        <f t="array" ref="S1149">_xlfn.IFS(Q1149 ="Fortnightly",14,Q1149="Weekly",7,Q1149="Monthly",30,Q1149="Quarterly",90,Q1149="Bi-Weekly",14,Q1149="Annually",365,Q1149="Every 3 Months",90,TRUE,"NOT FOUND")</f>
        <v>365</v>
      </c>
    </row>
    <row r="1150" spans="1:19" x14ac:dyDescent="0.35">
      <c r="A1150">
        <v>1149</v>
      </c>
      <c r="B1150">
        <v>34</v>
      </c>
      <c r="C1150" t="s">
        <v>7</v>
      </c>
      <c r="D1150" t="s">
        <v>83</v>
      </c>
      <c r="E1150" t="s">
        <v>9</v>
      </c>
      <c r="F1150">
        <v>66</v>
      </c>
      <c r="G1150" t="s">
        <v>91</v>
      </c>
      <c r="H1150" t="s">
        <v>32</v>
      </c>
      <c r="I1150" t="s">
        <v>71</v>
      </c>
      <c r="J1150" t="s">
        <v>25</v>
      </c>
      <c r="K1150">
        <v>2.6</v>
      </c>
      <c r="L1150" t="s">
        <v>140</v>
      </c>
      <c r="M1150" t="s">
        <v>62</v>
      </c>
      <c r="N1150" t="s">
        <v>14</v>
      </c>
      <c r="O1150">
        <v>10</v>
      </c>
      <c r="P1150" t="s">
        <v>34</v>
      </c>
      <c r="Q1150" t="s">
        <v>17</v>
      </c>
      <c r="R1150" t="str" cm="1">
        <f t="array" ref="R1150">_xlfn.IFS(B1150&lt;31,"Young-Adult",B1150&lt;41,"Adult",B1150&lt;61,"Middle-aged",B1150&gt;=61,"Senior")</f>
        <v>Adult</v>
      </c>
      <c r="S1150" cm="1">
        <f t="array" ref="S1150">_xlfn.IFS(Q1150 ="Fortnightly",14,Q1150="Weekly",7,Q1150="Monthly",30,Q1150="Quarterly",90,Q1150="Bi-Weekly",14,Q1150="Annually",365,Q1150="Every 3 Months",90,TRUE,"NOT FOUND")</f>
        <v>14</v>
      </c>
    </row>
    <row r="1151" spans="1:19" x14ac:dyDescent="0.35">
      <c r="A1151">
        <v>1150</v>
      </c>
      <c r="B1151">
        <v>21</v>
      </c>
      <c r="C1151" t="s">
        <v>7</v>
      </c>
      <c r="D1151" t="s">
        <v>94</v>
      </c>
      <c r="E1151" t="s">
        <v>55</v>
      </c>
      <c r="F1151">
        <v>42</v>
      </c>
      <c r="G1151" t="s">
        <v>130</v>
      </c>
      <c r="H1151" t="s">
        <v>11</v>
      </c>
      <c r="I1151" t="s">
        <v>97</v>
      </c>
      <c r="J1151" t="s">
        <v>25</v>
      </c>
      <c r="K1151">
        <v>3.3</v>
      </c>
      <c r="L1151" t="s">
        <v>140</v>
      </c>
      <c r="M1151" t="s">
        <v>62</v>
      </c>
      <c r="N1151" t="s">
        <v>14</v>
      </c>
      <c r="O1151">
        <v>40</v>
      </c>
      <c r="P1151" t="s">
        <v>16</v>
      </c>
      <c r="Q1151" t="s">
        <v>37</v>
      </c>
      <c r="R1151" t="str" cm="1">
        <f t="array" ref="R1151">_xlfn.IFS(B1151&lt;31,"Young-Adult",B1151&lt;41,"Adult",B1151&lt;61,"Middle-aged",B1151&gt;=61,"Senior")</f>
        <v>Young-Adult</v>
      </c>
      <c r="S1151" cm="1">
        <f t="array" ref="S1151">_xlfn.IFS(Q1151 ="Fortnightly",14,Q1151="Weekly",7,Q1151="Monthly",30,Q1151="Quarterly",90,Q1151="Bi-Weekly",14,Q1151="Annually",365,Q1151="Every 3 Months",90,TRUE,"NOT FOUND")</f>
        <v>365</v>
      </c>
    </row>
    <row r="1152" spans="1:19" x14ac:dyDescent="0.35">
      <c r="A1152">
        <v>1151</v>
      </c>
      <c r="B1152">
        <v>29</v>
      </c>
      <c r="C1152" t="s">
        <v>7</v>
      </c>
      <c r="D1152" t="s">
        <v>94</v>
      </c>
      <c r="E1152" t="s">
        <v>55</v>
      </c>
      <c r="F1152">
        <v>36</v>
      </c>
      <c r="G1152" t="s">
        <v>10</v>
      </c>
      <c r="H1152" t="s">
        <v>24</v>
      </c>
      <c r="I1152" t="s">
        <v>96</v>
      </c>
      <c r="J1152" t="s">
        <v>13</v>
      </c>
      <c r="K1152">
        <v>2.7</v>
      </c>
      <c r="L1152" t="s">
        <v>140</v>
      </c>
      <c r="M1152" t="s">
        <v>33</v>
      </c>
      <c r="N1152" t="s">
        <v>14</v>
      </c>
      <c r="O1152">
        <v>50</v>
      </c>
      <c r="P1152" t="s">
        <v>16</v>
      </c>
      <c r="Q1152" t="s">
        <v>64</v>
      </c>
      <c r="R1152" t="str" cm="1">
        <f t="array" ref="R1152">_xlfn.IFS(B1152&lt;31,"Young-Adult",B1152&lt;41,"Adult",B1152&lt;61,"Middle-aged",B1152&gt;=61,"Senior")</f>
        <v>Young-Adult</v>
      </c>
      <c r="S1152" cm="1">
        <f t="array" ref="S1152">_xlfn.IFS(Q1152 ="Fortnightly",14,Q1152="Weekly",7,Q1152="Monthly",30,Q1152="Quarterly",90,Q1152="Bi-Weekly",14,Q1152="Annually",365,Q1152="Every 3 Months",90,TRUE,"NOT FOUND")</f>
        <v>14</v>
      </c>
    </row>
    <row r="1153" spans="1:19" x14ac:dyDescent="0.35">
      <c r="A1153">
        <v>1152</v>
      </c>
      <c r="B1153">
        <v>41</v>
      </c>
      <c r="C1153" t="s">
        <v>7</v>
      </c>
      <c r="D1153" t="s">
        <v>8</v>
      </c>
      <c r="E1153" t="s">
        <v>9</v>
      </c>
      <c r="F1153">
        <v>86</v>
      </c>
      <c r="G1153" t="s">
        <v>111</v>
      </c>
      <c r="H1153" t="s">
        <v>32</v>
      </c>
      <c r="I1153" t="s">
        <v>12</v>
      </c>
      <c r="J1153" t="s">
        <v>25</v>
      </c>
      <c r="K1153">
        <v>3.8</v>
      </c>
      <c r="L1153" t="s">
        <v>140</v>
      </c>
      <c r="M1153" t="s">
        <v>15</v>
      </c>
      <c r="N1153" t="s">
        <v>14</v>
      </c>
      <c r="O1153">
        <v>24</v>
      </c>
      <c r="P1153" t="s">
        <v>27</v>
      </c>
      <c r="Q1153" t="s">
        <v>28</v>
      </c>
      <c r="R1153" t="str" cm="1">
        <f t="array" ref="R1153">_xlfn.IFS(B1153&lt;31,"Young-Adult",B1153&lt;41,"Adult",B1153&lt;61,"Middle-aged",B1153&gt;=61,"Senior")</f>
        <v>Middle-aged</v>
      </c>
      <c r="S1153" cm="1">
        <f t="array" ref="S1153">_xlfn.IFS(Q1153 ="Fortnightly",14,Q1153="Weekly",7,Q1153="Monthly",30,Q1153="Quarterly",90,Q1153="Bi-Weekly",14,Q1153="Annually",365,Q1153="Every 3 Months",90,TRUE,"NOT FOUND")</f>
        <v>7</v>
      </c>
    </row>
    <row r="1154" spans="1:19" x14ac:dyDescent="0.35">
      <c r="A1154">
        <v>1153</v>
      </c>
      <c r="B1154">
        <v>62</v>
      </c>
      <c r="C1154" t="s">
        <v>7</v>
      </c>
      <c r="D1154" t="s">
        <v>54</v>
      </c>
      <c r="E1154" t="s">
        <v>55</v>
      </c>
      <c r="F1154">
        <v>49</v>
      </c>
      <c r="G1154" t="s">
        <v>127</v>
      </c>
      <c r="H1154" t="s">
        <v>32</v>
      </c>
      <c r="I1154" t="s">
        <v>68</v>
      </c>
      <c r="J1154" t="s">
        <v>45</v>
      </c>
      <c r="K1154">
        <v>4</v>
      </c>
      <c r="L1154" t="s">
        <v>140</v>
      </c>
      <c r="M1154" t="s">
        <v>42</v>
      </c>
      <c r="N1154" t="s">
        <v>14</v>
      </c>
      <c r="O1154">
        <v>8</v>
      </c>
      <c r="P1154" t="s">
        <v>34</v>
      </c>
      <c r="Q1154" t="s">
        <v>85</v>
      </c>
      <c r="R1154" t="str" cm="1">
        <f t="array" ref="R1154">_xlfn.IFS(B1154&lt;31,"Young-Adult",B1154&lt;41,"Adult",B1154&lt;61,"Middle-aged",B1154&gt;=61,"Senior")</f>
        <v>Senior</v>
      </c>
      <c r="S1154" cm="1">
        <f t="array" ref="S1154">_xlfn.IFS(Q1154 ="Fortnightly",14,Q1154="Weekly",7,Q1154="Monthly",30,Q1154="Quarterly",90,Q1154="Bi-Weekly",14,Q1154="Annually",365,Q1154="Every 3 Months",90,TRUE,"NOT FOUND")</f>
        <v>90</v>
      </c>
    </row>
    <row r="1155" spans="1:19" x14ac:dyDescent="0.35">
      <c r="A1155">
        <v>1154</v>
      </c>
      <c r="B1155">
        <v>27</v>
      </c>
      <c r="C1155" t="s">
        <v>7</v>
      </c>
      <c r="D1155" t="s">
        <v>43</v>
      </c>
      <c r="E1155" t="s">
        <v>9</v>
      </c>
      <c r="F1155">
        <v>41</v>
      </c>
      <c r="G1155" t="s">
        <v>123</v>
      </c>
      <c r="H1155" t="s">
        <v>32</v>
      </c>
      <c r="I1155" t="s">
        <v>57</v>
      </c>
      <c r="J1155" t="s">
        <v>41</v>
      </c>
      <c r="K1155">
        <v>4</v>
      </c>
      <c r="L1155" t="s">
        <v>140</v>
      </c>
      <c r="M1155" t="s">
        <v>26</v>
      </c>
      <c r="N1155" t="s">
        <v>14</v>
      </c>
      <c r="O1155">
        <v>6</v>
      </c>
      <c r="P1155" t="s">
        <v>63</v>
      </c>
      <c r="Q1155" t="s">
        <v>46</v>
      </c>
      <c r="R1155" t="str" cm="1">
        <f t="array" ref="R1155">_xlfn.IFS(B1155&lt;31,"Young-Adult",B1155&lt;41,"Adult",B1155&lt;61,"Middle-aged",B1155&gt;=61,"Senior")</f>
        <v>Young-Adult</v>
      </c>
      <c r="S1155" cm="1">
        <f t="array" ref="S1155">_xlfn.IFS(Q1155 ="Fortnightly",14,Q1155="Weekly",7,Q1155="Monthly",30,Q1155="Quarterly",90,Q1155="Bi-Weekly",14,Q1155="Annually",365,Q1155="Every 3 Months",90,TRUE,"NOT FOUND")</f>
        <v>90</v>
      </c>
    </row>
    <row r="1156" spans="1:19" x14ac:dyDescent="0.35">
      <c r="A1156">
        <v>1155</v>
      </c>
      <c r="B1156">
        <v>49</v>
      </c>
      <c r="C1156" t="s">
        <v>7</v>
      </c>
      <c r="D1156" t="s">
        <v>69</v>
      </c>
      <c r="E1156" t="s">
        <v>9</v>
      </c>
      <c r="F1156">
        <v>82</v>
      </c>
      <c r="G1156" t="s">
        <v>130</v>
      </c>
      <c r="H1156" t="s">
        <v>11</v>
      </c>
      <c r="I1156" t="s">
        <v>97</v>
      </c>
      <c r="J1156" t="s">
        <v>25</v>
      </c>
      <c r="K1156">
        <v>2.9</v>
      </c>
      <c r="L1156" t="s">
        <v>140</v>
      </c>
      <c r="M1156" t="s">
        <v>58</v>
      </c>
      <c r="N1156" t="s">
        <v>14</v>
      </c>
      <c r="O1156">
        <v>44</v>
      </c>
      <c r="P1156" t="s">
        <v>27</v>
      </c>
      <c r="Q1156" t="s">
        <v>64</v>
      </c>
      <c r="R1156" t="str" cm="1">
        <f t="array" ref="R1156">_xlfn.IFS(B1156&lt;31,"Young-Adult",B1156&lt;41,"Adult",B1156&lt;61,"Middle-aged",B1156&gt;=61,"Senior")</f>
        <v>Middle-aged</v>
      </c>
      <c r="S1156" cm="1">
        <f t="array" ref="S1156">_xlfn.IFS(Q1156 ="Fortnightly",14,Q1156="Weekly",7,Q1156="Monthly",30,Q1156="Quarterly",90,Q1156="Bi-Weekly",14,Q1156="Annually",365,Q1156="Every 3 Months",90,TRUE,"NOT FOUND")</f>
        <v>14</v>
      </c>
    </row>
    <row r="1157" spans="1:19" x14ac:dyDescent="0.35">
      <c r="A1157">
        <v>1156</v>
      </c>
      <c r="B1157">
        <v>67</v>
      </c>
      <c r="C1157" t="s">
        <v>7</v>
      </c>
      <c r="D1157" t="s">
        <v>101</v>
      </c>
      <c r="E1157" t="s">
        <v>9</v>
      </c>
      <c r="F1157">
        <v>53</v>
      </c>
      <c r="G1157" t="s">
        <v>110</v>
      </c>
      <c r="H1157" t="s">
        <v>24</v>
      </c>
      <c r="I1157" t="s">
        <v>96</v>
      </c>
      <c r="J1157" t="s">
        <v>45</v>
      </c>
      <c r="K1157">
        <v>2.6</v>
      </c>
      <c r="L1157" t="s">
        <v>140</v>
      </c>
      <c r="M1157" t="s">
        <v>15</v>
      </c>
      <c r="N1157" t="s">
        <v>14</v>
      </c>
      <c r="O1157">
        <v>47</v>
      </c>
      <c r="P1157" t="s">
        <v>34</v>
      </c>
      <c r="Q1157" t="s">
        <v>46</v>
      </c>
      <c r="R1157" t="str" cm="1">
        <f t="array" ref="R1157">_xlfn.IFS(B1157&lt;31,"Young-Adult",B1157&lt;41,"Adult",B1157&lt;61,"Middle-aged",B1157&gt;=61,"Senior")</f>
        <v>Senior</v>
      </c>
      <c r="S1157" cm="1">
        <f t="array" ref="S1157">_xlfn.IFS(Q1157 ="Fortnightly",14,Q1157="Weekly",7,Q1157="Monthly",30,Q1157="Quarterly",90,Q1157="Bi-Weekly",14,Q1157="Annually",365,Q1157="Every 3 Months",90,TRUE,"NOT FOUND")</f>
        <v>90</v>
      </c>
    </row>
    <row r="1158" spans="1:19" x14ac:dyDescent="0.35">
      <c r="A1158">
        <v>1157</v>
      </c>
      <c r="B1158">
        <v>20</v>
      </c>
      <c r="C1158" t="s">
        <v>7</v>
      </c>
      <c r="D1158" t="s">
        <v>59</v>
      </c>
      <c r="E1158" t="s">
        <v>30</v>
      </c>
      <c r="F1158">
        <v>21</v>
      </c>
      <c r="G1158" t="s">
        <v>65</v>
      </c>
      <c r="H1158" t="s">
        <v>32</v>
      </c>
      <c r="I1158" t="s">
        <v>68</v>
      </c>
      <c r="J1158" t="s">
        <v>41</v>
      </c>
      <c r="K1158">
        <v>4.8</v>
      </c>
      <c r="L1158" t="s">
        <v>140</v>
      </c>
      <c r="M1158" t="s">
        <v>15</v>
      </c>
      <c r="N1158" t="s">
        <v>14</v>
      </c>
      <c r="O1158">
        <v>6</v>
      </c>
      <c r="P1158" t="s">
        <v>16</v>
      </c>
      <c r="Q1158" t="s">
        <v>85</v>
      </c>
      <c r="R1158" t="str" cm="1">
        <f t="array" ref="R1158">_xlfn.IFS(B1158&lt;31,"Young-Adult",B1158&lt;41,"Adult",B1158&lt;61,"Middle-aged",B1158&gt;=61,"Senior")</f>
        <v>Young-Adult</v>
      </c>
      <c r="S1158" cm="1">
        <f t="array" ref="S1158">_xlfn.IFS(Q1158 ="Fortnightly",14,Q1158="Weekly",7,Q1158="Monthly",30,Q1158="Quarterly",90,Q1158="Bi-Weekly",14,Q1158="Annually",365,Q1158="Every 3 Months",90,TRUE,"NOT FOUND")</f>
        <v>90</v>
      </c>
    </row>
    <row r="1159" spans="1:19" x14ac:dyDescent="0.35">
      <c r="A1159">
        <v>1158</v>
      </c>
      <c r="B1159">
        <v>37</v>
      </c>
      <c r="C1159" t="s">
        <v>7</v>
      </c>
      <c r="D1159" t="s">
        <v>121</v>
      </c>
      <c r="E1159" t="s">
        <v>55</v>
      </c>
      <c r="F1159">
        <v>66</v>
      </c>
      <c r="G1159" t="s">
        <v>116</v>
      </c>
      <c r="H1159" t="s">
        <v>32</v>
      </c>
      <c r="I1159" t="s">
        <v>49</v>
      </c>
      <c r="J1159" t="s">
        <v>45</v>
      </c>
      <c r="K1159">
        <v>4.4000000000000004</v>
      </c>
      <c r="L1159" t="s">
        <v>140</v>
      </c>
      <c r="M1159" t="s">
        <v>42</v>
      </c>
      <c r="N1159" t="s">
        <v>14</v>
      </c>
      <c r="O1159">
        <v>11</v>
      </c>
      <c r="P1159" t="s">
        <v>21</v>
      </c>
      <c r="Q1159" t="s">
        <v>46</v>
      </c>
      <c r="R1159" t="str" cm="1">
        <f t="array" ref="R1159">_xlfn.IFS(B1159&lt;31,"Young-Adult",B1159&lt;41,"Adult",B1159&lt;61,"Middle-aged",B1159&gt;=61,"Senior")</f>
        <v>Adult</v>
      </c>
      <c r="S1159" cm="1">
        <f t="array" ref="S1159">_xlfn.IFS(Q1159 ="Fortnightly",14,Q1159="Weekly",7,Q1159="Monthly",30,Q1159="Quarterly",90,Q1159="Bi-Weekly",14,Q1159="Annually",365,Q1159="Every 3 Months",90,TRUE,"NOT FOUND")</f>
        <v>90</v>
      </c>
    </row>
    <row r="1160" spans="1:19" x14ac:dyDescent="0.35">
      <c r="A1160">
        <v>1159</v>
      </c>
      <c r="B1160">
        <v>69</v>
      </c>
      <c r="C1160" t="s">
        <v>7</v>
      </c>
      <c r="D1160" t="s">
        <v>121</v>
      </c>
      <c r="E1160" t="s">
        <v>55</v>
      </c>
      <c r="F1160">
        <v>89</v>
      </c>
      <c r="G1160" t="s">
        <v>95</v>
      </c>
      <c r="H1160" t="s">
        <v>11</v>
      </c>
      <c r="I1160" t="s">
        <v>109</v>
      </c>
      <c r="J1160" t="s">
        <v>41</v>
      </c>
      <c r="K1160">
        <v>4</v>
      </c>
      <c r="L1160" t="s">
        <v>140</v>
      </c>
      <c r="M1160" t="s">
        <v>58</v>
      </c>
      <c r="N1160" t="s">
        <v>14</v>
      </c>
      <c r="O1160">
        <v>41</v>
      </c>
      <c r="P1160" t="s">
        <v>63</v>
      </c>
      <c r="Q1160" t="s">
        <v>37</v>
      </c>
      <c r="R1160" t="str" cm="1">
        <f t="array" ref="R1160">_xlfn.IFS(B1160&lt;31,"Young-Adult",B1160&lt;41,"Adult",B1160&lt;61,"Middle-aged",B1160&gt;=61,"Senior")</f>
        <v>Senior</v>
      </c>
      <c r="S1160" cm="1">
        <f t="array" ref="S1160">_xlfn.IFS(Q1160 ="Fortnightly",14,Q1160="Weekly",7,Q1160="Monthly",30,Q1160="Quarterly",90,Q1160="Bi-Weekly",14,Q1160="Annually",365,Q1160="Every 3 Months",90,TRUE,"NOT FOUND")</f>
        <v>365</v>
      </c>
    </row>
    <row r="1161" spans="1:19" x14ac:dyDescent="0.35">
      <c r="A1161">
        <v>1160</v>
      </c>
      <c r="B1161">
        <v>66</v>
      </c>
      <c r="C1161" t="s">
        <v>7</v>
      </c>
      <c r="D1161" t="s">
        <v>54</v>
      </c>
      <c r="E1161" t="s">
        <v>55</v>
      </c>
      <c r="F1161">
        <v>55</v>
      </c>
      <c r="G1161" t="s">
        <v>70</v>
      </c>
      <c r="H1161" t="s">
        <v>11</v>
      </c>
      <c r="I1161" t="s">
        <v>132</v>
      </c>
      <c r="J1161" t="s">
        <v>45</v>
      </c>
      <c r="K1161">
        <v>3.6</v>
      </c>
      <c r="L1161" t="s">
        <v>140</v>
      </c>
      <c r="M1161" t="s">
        <v>58</v>
      </c>
      <c r="N1161" t="s">
        <v>14</v>
      </c>
      <c r="O1161">
        <v>46</v>
      </c>
      <c r="P1161" t="s">
        <v>16</v>
      </c>
      <c r="Q1161" t="s">
        <v>85</v>
      </c>
      <c r="R1161" t="str" cm="1">
        <f t="array" ref="R1161">_xlfn.IFS(B1161&lt;31,"Young-Adult",B1161&lt;41,"Adult",B1161&lt;61,"Middle-aged",B1161&gt;=61,"Senior")</f>
        <v>Senior</v>
      </c>
      <c r="S1161" cm="1">
        <f t="array" ref="S1161">_xlfn.IFS(Q1161 ="Fortnightly",14,Q1161="Weekly",7,Q1161="Monthly",30,Q1161="Quarterly",90,Q1161="Bi-Weekly",14,Q1161="Annually",365,Q1161="Every 3 Months",90,TRUE,"NOT FOUND")</f>
        <v>90</v>
      </c>
    </row>
    <row r="1162" spans="1:19" x14ac:dyDescent="0.35">
      <c r="A1162">
        <v>1161</v>
      </c>
      <c r="B1162">
        <v>37</v>
      </c>
      <c r="C1162" t="s">
        <v>7</v>
      </c>
      <c r="D1162" t="s">
        <v>107</v>
      </c>
      <c r="E1162" t="s">
        <v>55</v>
      </c>
      <c r="F1162">
        <v>42</v>
      </c>
      <c r="G1162" t="s">
        <v>102</v>
      </c>
      <c r="H1162" t="s">
        <v>24</v>
      </c>
      <c r="I1162" t="s">
        <v>132</v>
      </c>
      <c r="J1162" t="s">
        <v>41</v>
      </c>
      <c r="K1162">
        <v>3.2</v>
      </c>
      <c r="L1162" t="s">
        <v>140</v>
      </c>
      <c r="M1162" t="s">
        <v>33</v>
      </c>
      <c r="N1162" t="s">
        <v>14</v>
      </c>
      <c r="O1162">
        <v>9</v>
      </c>
      <c r="P1162" t="s">
        <v>16</v>
      </c>
      <c r="Q1162" t="s">
        <v>64</v>
      </c>
      <c r="R1162" t="str" cm="1">
        <f t="array" ref="R1162">_xlfn.IFS(B1162&lt;31,"Young-Adult",B1162&lt;41,"Adult",B1162&lt;61,"Middle-aged",B1162&gt;=61,"Senior")</f>
        <v>Adult</v>
      </c>
      <c r="S1162" cm="1">
        <f t="array" ref="S1162">_xlfn.IFS(Q1162 ="Fortnightly",14,Q1162="Weekly",7,Q1162="Monthly",30,Q1162="Quarterly",90,Q1162="Bi-Weekly",14,Q1162="Annually",365,Q1162="Every 3 Months",90,TRUE,"NOT FOUND")</f>
        <v>14</v>
      </c>
    </row>
    <row r="1163" spans="1:19" x14ac:dyDescent="0.35">
      <c r="A1163">
        <v>1162</v>
      </c>
      <c r="B1163">
        <v>63</v>
      </c>
      <c r="C1163" t="s">
        <v>7</v>
      </c>
      <c r="D1163" t="s">
        <v>47</v>
      </c>
      <c r="E1163" t="s">
        <v>9</v>
      </c>
      <c r="F1163">
        <v>52</v>
      </c>
      <c r="G1163" t="s">
        <v>89</v>
      </c>
      <c r="H1163" t="s">
        <v>24</v>
      </c>
      <c r="I1163" t="s">
        <v>109</v>
      </c>
      <c r="J1163" t="s">
        <v>45</v>
      </c>
      <c r="K1163">
        <v>3.1</v>
      </c>
      <c r="L1163" t="s">
        <v>140</v>
      </c>
      <c r="M1163" t="s">
        <v>58</v>
      </c>
      <c r="N1163" t="s">
        <v>14</v>
      </c>
      <c r="O1163">
        <v>37</v>
      </c>
      <c r="P1163" t="s">
        <v>34</v>
      </c>
      <c r="Q1163" t="s">
        <v>76</v>
      </c>
      <c r="R1163" t="str" cm="1">
        <f t="array" ref="R1163">_xlfn.IFS(B1163&lt;31,"Young-Adult",B1163&lt;41,"Adult",B1163&lt;61,"Middle-aged",B1163&gt;=61,"Senior")</f>
        <v>Senior</v>
      </c>
      <c r="S1163" cm="1">
        <f t="array" ref="S1163">_xlfn.IFS(Q1163 ="Fortnightly",14,Q1163="Weekly",7,Q1163="Monthly",30,Q1163="Quarterly",90,Q1163="Bi-Weekly",14,Q1163="Annually",365,Q1163="Every 3 Months",90,TRUE,"NOT FOUND")</f>
        <v>30</v>
      </c>
    </row>
    <row r="1164" spans="1:19" x14ac:dyDescent="0.35">
      <c r="A1164">
        <v>1163</v>
      </c>
      <c r="B1164">
        <v>47</v>
      </c>
      <c r="C1164" t="s">
        <v>7</v>
      </c>
      <c r="D1164" t="s">
        <v>29</v>
      </c>
      <c r="E1164" t="s">
        <v>30</v>
      </c>
      <c r="F1164">
        <v>92</v>
      </c>
      <c r="G1164" t="s">
        <v>86</v>
      </c>
      <c r="H1164" t="s">
        <v>32</v>
      </c>
      <c r="I1164" t="s">
        <v>132</v>
      </c>
      <c r="J1164" t="s">
        <v>13</v>
      </c>
      <c r="K1164">
        <v>4.2</v>
      </c>
      <c r="L1164" t="s">
        <v>140</v>
      </c>
      <c r="M1164" t="s">
        <v>15</v>
      </c>
      <c r="N1164" t="s">
        <v>14</v>
      </c>
      <c r="O1164">
        <v>13</v>
      </c>
      <c r="P1164" t="s">
        <v>34</v>
      </c>
      <c r="Q1164" t="s">
        <v>28</v>
      </c>
      <c r="R1164" t="str" cm="1">
        <f t="array" ref="R1164">_xlfn.IFS(B1164&lt;31,"Young-Adult",B1164&lt;41,"Adult",B1164&lt;61,"Middle-aged",B1164&gt;=61,"Senior")</f>
        <v>Middle-aged</v>
      </c>
      <c r="S1164" cm="1">
        <f t="array" ref="S1164">_xlfn.IFS(Q1164 ="Fortnightly",14,Q1164="Weekly",7,Q1164="Monthly",30,Q1164="Quarterly",90,Q1164="Bi-Weekly",14,Q1164="Annually",365,Q1164="Every 3 Months",90,TRUE,"NOT FOUND")</f>
        <v>7</v>
      </c>
    </row>
    <row r="1165" spans="1:19" x14ac:dyDescent="0.35">
      <c r="A1165">
        <v>1164</v>
      </c>
      <c r="B1165">
        <v>26</v>
      </c>
      <c r="C1165" t="s">
        <v>7</v>
      </c>
      <c r="D1165" t="s">
        <v>83</v>
      </c>
      <c r="E1165" t="s">
        <v>9</v>
      </c>
      <c r="F1165">
        <v>56</v>
      </c>
      <c r="G1165" t="s">
        <v>110</v>
      </c>
      <c r="H1165" t="s">
        <v>11</v>
      </c>
      <c r="I1165" t="s">
        <v>40</v>
      </c>
      <c r="J1165" t="s">
        <v>41</v>
      </c>
      <c r="K1165">
        <v>3</v>
      </c>
      <c r="L1165" t="s">
        <v>140</v>
      </c>
      <c r="M1165" t="s">
        <v>58</v>
      </c>
      <c r="N1165" t="s">
        <v>14</v>
      </c>
      <c r="O1165">
        <v>24</v>
      </c>
      <c r="P1165" t="s">
        <v>74</v>
      </c>
      <c r="Q1165" t="s">
        <v>76</v>
      </c>
      <c r="R1165" t="str" cm="1">
        <f t="array" ref="R1165">_xlfn.IFS(B1165&lt;31,"Young-Adult",B1165&lt;41,"Adult",B1165&lt;61,"Middle-aged",B1165&gt;=61,"Senior")</f>
        <v>Young-Adult</v>
      </c>
      <c r="S1165" cm="1">
        <f t="array" ref="S1165">_xlfn.IFS(Q1165 ="Fortnightly",14,Q1165="Weekly",7,Q1165="Monthly",30,Q1165="Quarterly",90,Q1165="Bi-Weekly",14,Q1165="Annually",365,Q1165="Every 3 Months",90,TRUE,"NOT FOUND")</f>
        <v>30</v>
      </c>
    </row>
    <row r="1166" spans="1:19" x14ac:dyDescent="0.35">
      <c r="A1166">
        <v>1165</v>
      </c>
      <c r="B1166">
        <v>68</v>
      </c>
      <c r="C1166" t="s">
        <v>7</v>
      </c>
      <c r="D1166" t="s">
        <v>69</v>
      </c>
      <c r="E1166" t="s">
        <v>9</v>
      </c>
      <c r="F1166">
        <v>96</v>
      </c>
      <c r="G1166" t="s">
        <v>44</v>
      </c>
      <c r="H1166" t="s">
        <v>32</v>
      </c>
      <c r="I1166" t="s">
        <v>84</v>
      </c>
      <c r="J1166" t="s">
        <v>13</v>
      </c>
      <c r="K1166">
        <v>4.2</v>
      </c>
      <c r="L1166" t="s">
        <v>140</v>
      </c>
      <c r="M1166" t="s">
        <v>42</v>
      </c>
      <c r="N1166" t="s">
        <v>14</v>
      </c>
      <c r="O1166">
        <v>47</v>
      </c>
      <c r="P1166" t="s">
        <v>34</v>
      </c>
      <c r="Q1166" t="s">
        <v>46</v>
      </c>
      <c r="R1166" t="str" cm="1">
        <f t="array" ref="R1166">_xlfn.IFS(B1166&lt;31,"Young-Adult",B1166&lt;41,"Adult",B1166&lt;61,"Middle-aged",B1166&gt;=61,"Senior")</f>
        <v>Senior</v>
      </c>
      <c r="S1166" cm="1">
        <f t="array" ref="S1166">_xlfn.IFS(Q1166 ="Fortnightly",14,Q1166="Weekly",7,Q1166="Monthly",30,Q1166="Quarterly",90,Q1166="Bi-Weekly",14,Q1166="Annually",365,Q1166="Every 3 Months",90,TRUE,"NOT FOUND")</f>
        <v>90</v>
      </c>
    </row>
    <row r="1167" spans="1:19" x14ac:dyDescent="0.35">
      <c r="A1167">
        <v>1166</v>
      </c>
      <c r="B1167">
        <v>51</v>
      </c>
      <c r="C1167" t="s">
        <v>7</v>
      </c>
      <c r="D1167" t="s">
        <v>101</v>
      </c>
      <c r="E1167" t="s">
        <v>9</v>
      </c>
      <c r="F1167">
        <v>64</v>
      </c>
      <c r="G1167" t="s">
        <v>138</v>
      </c>
      <c r="H1167" t="s">
        <v>32</v>
      </c>
      <c r="I1167" t="s">
        <v>53</v>
      </c>
      <c r="J1167" t="s">
        <v>13</v>
      </c>
      <c r="K1167">
        <v>2.9</v>
      </c>
      <c r="L1167" t="s">
        <v>140</v>
      </c>
      <c r="M1167" t="s">
        <v>33</v>
      </c>
      <c r="N1167" t="s">
        <v>14</v>
      </c>
      <c r="O1167">
        <v>21</v>
      </c>
      <c r="P1167" t="s">
        <v>16</v>
      </c>
      <c r="Q1167" t="s">
        <v>85</v>
      </c>
      <c r="R1167" t="str" cm="1">
        <f t="array" ref="R1167">_xlfn.IFS(B1167&lt;31,"Young-Adult",B1167&lt;41,"Adult",B1167&lt;61,"Middle-aged",B1167&gt;=61,"Senior")</f>
        <v>Middle-aged</v>
      </c>
      <c r="S1167" cm="1">
        <f t="array" ref="S1167">_xlfn.IFS(Q1167 ="Fortnightly",14,Q1167="Weekly",7,Q1167="Monthly",30,Q1167="Quarterly",90,Q1167="Bi-Weekly",14,Q1167="Annually",365,Q1167="Every 3 Months",90,TRUE,"NOT FOUND")</f>
        <v>90</v>
      </c>
    </row>
    <row r="1168" spans="1:19" x14ac:dyDescent="0.35">
      <c r="A1168">
        <v>1167</v>
      </c>
      <c r="B1168">
        <v>48</v>
      </c>
      <c r="C1168" t="s">
        <v>7</v>
      </c>
      <c r="D1168" t="s">
        <v>69</v>
      </c>
      <c r="E1168" t="s">
        <v>9</v>
      </c>
      <c r="F1168">
        <v>48</v>
      </c>
      <c r="G1168" t="s">
        <v>127</v>
      </c>
      <c r="H1168" t="s">
        <v>24</v>
      </c>
      <c r="I1168" t="s">
        <v>81</v>
      </c>
      <c r="J1168" t="s">
        <v>13</v>
      </c>
      <c r="K1168">
        <v>3.7</v>
      </c>
      <c r="L1168" t="s">
        <v>140</v>
      </c>
      <c r="M1168" t="s">
        <v>62</v>
      </c>
      <c r="N1168" t="s">
        <v>14</v>
      </c>
      <c r="O1168">
        <v>22</v>
      </c>
      <c r="P1168" t="s">
        <v>16</v>
      </c>
      <c r="Q1168" t="s">
        <v>17</v>
      </c>
      <c r="R1168" t="str" cm="1">
        <f t="array" ref="R1168">_xlfn.IFS(B1168&lt;31,"Young-Adult",B1168&lt;41,"Adult",B1168&lt;61,"Middle-aged",B1168&gt;=61,"Senior")</f>
        <v>Middle-aged</v>
      </c>
      <c r="S1168" cm="1">
        <f t="array" ref="S1168">_xlfn.IFS(Q1168 ="Fortnightly",14,Q1168="Weekly",7,Q1168="Monthly",30,Q1168="Quarterly",90,Q1168="Bi-Weekly",14,Q1168="Annually",365,Q1168="Every 3 Months",90,TRUE,"NOT FOUND")</f>
        <v>14</v>
      </c>
    </row>
    <row r="1169" spans="1:19" x14ac:dyDescent="0.35">
      <c r="A1169">
        <v>1168</v>
      </c>
      <c r="B1169">
        <v>60</v>
      </c>
      <c r="C1169" t="s">
        <v>7</v>
      </c>
      <c r="D1169" t="s">
        <v>113</v>
      </c>
      <c r="E1169" t="s">
        <v>9</v>
      </c>
      <c r="F1169">
        <v>83</v>
      </c>
      <c r="G1169" t="s">
        <v>115</v>
      </c>
      <c r="H1169" t="s">
        <v>80</v>
      </c>
      <c r="I1169" t="s">
        <v>106</v>
      </c>
      <c r="J1169" t="s">
        <v>41</v>
      </c>
      <c r="K1169">
        <v>3.6</v>
      </c>
      <c r="L1169" t="s">
        <v>140</v>
      </c>
      <c r="M1169" t="s">
        <v>26</v>
      </c>
      <c r="N1169" t="s">
        <v>14</v>
      </c>
      <c r="O1169">
        <v>16</v>
      </c>
      <c r="P1169" t="s">
        <v>34</v>
      </c>
      <c r="Q1169" t="s">
        <v>46</v>
      </c>
      <c r="R1169" t="str" cm="1">
        <f t="array" ref="R1169">_xlfn.IFS(B1169&lt;31,"Young-Adult",B1169&lt;41,"Adult",B1169&lt;61,"Middle-aged",B1169&gt;=61,"Senior")</f>
        <v>Middle-aged</v>
      </c>
      <c r="S1169" cm="1">
        <f t="array" ref="S1169">_xlfn.IFS(Q1169 ="Fortnightly",14,Q1169="Weekly",7,Q1169="Monthly",30,Q1169="Quarterly",90,Q1169="Bi-Weekly",14,Q1169="Annually",365,Q1169="Every 3 Months",90,TRUE,"NOT FOUND")</f>
        <v>90</v>
      </c>
    </row>
    <row r="1170" spans="1:19" x14ac:dyDescent="0.35">
      <c r="A1170">
        <v>1169</v>
      </c>
      <c r="B1170">
        <v>68</v>
      </c>
      <c r="C1170" t="s">
        <v>7</v>
      </c>
      <c r="D1170" t="s">
        <v>107</v>
      </c>
      <c r="E1170" t="s">
        <v>55</v>
      </c>
      <c r="F1170">
        <v>91</v>
      </c>
      <c r="G1170" t="s">
        <v>79</v>
      </c>
      <c r="H1170" t="s">
        <v>11</v>
      </c>
      <c r="I1170" t="s">
        <v>71</v>
      </c>
      <c r="J1170" t="s">
        <v>41</v>
      </c>
      <c r="K1170">
        <v>3.6</v>
      </c>
      <c r="L1170" t="s">
        <v>140</v>
      </c>
      <c r="M1170" t="s">
        <v>42</v>
      </c>
      <c r="N1170" t="s">
        <v>14</v>
      </c>
      <c r="O1170">
        <v>37</v>
      </c>
      <c r="P1170" t="s">
        <v>74</v>
      </c>
      <c r="Q1170" t="s">
        <v>17</v>
      </c>
      <c r="R1170" t="str" cm="1">
        <f t="array" ref="R1170">_xlfn.IFS(B1170&lt;31,"Young-Adult",B1170&lt;41,"Adult",B1170&lt;61,"Middle-aged",B1170&gt;=61,"Senior")</f>
        <v>Senior</v>
      </c>
      <c r="S1170" cm="1">
        <f t="array" ref="S1170">_xlfn.IFS(Q1170 ="Fortnightly",14,Q1170="Weekly",7,Q1170="Monthly",30,Q1170="Quarterly",90,Q1170="Bi-Weekly",14,Q1170="Annually",365,Q1170="Every 3 Months",90,TRUE,"NOT FOUND")</f>
        <v>14</v>
      </c>
    </row>
    <row r="1171" spans="1:19" x14ac:dyDescent="0.35">
      <c r="A1171">
        <v>1170</v>
      </c>
      <c r="B1171">
        <v>25</v>
      </c>
      <c r="C1171" t="s">
        <v>7</v>
      </c>
      <c r="D1171" t="s">
        <v>120</v>
      </c>
      <c r="E1171" t="s">
        <v>55</v>
      </c>
      <c r="F1171">
        <v>94</v>
      </c>
      <c r="G1171" t="s">
        <v>39</v>
      </c>
      <c r="H1171" t="s">
        <v>24</v>
      </c>
      <c r="I1171" t="s">
        <v>12</v>
      </c>
      <c r="J1171" t="s">
        <v>45</v>
      </c>
      <c r="K1171">
        <v>4.5</v>
      </c>
      <c r="L1171" t="s">
        <v>140</v>
      </c>
      <c r="M1171" t="s">
        <v>58</v>
      </c>
      <c r="N1171" t="s">
        <v>14</v>
      </c>
      <c r="O1171">
        <v>3</v>
      </c>
      <c r="P1171" t="s">
        <v>21</v>
      </c>
      <c r="Q1171" t="s">
        <v>37</v>
      </c>
      <c r="R1171" t="str" cm="1">
        <f t="array" ref="R1171">_xlfn.IFS(B1171&lt;31,"Young-Adult",B1171&lt;41,"Adult",B1171&lt;61,"Middle-aged",B1171&gt;=61,"Senior")</f>
        <v>Young-Adult</v>
      </c>
      <c r="S1171" cm="1">
        <f t="array" ref="S1171">_xlfn.IFS(Q1171 ="Fortnightly",14,Q1171="Weekly",7,Q1171="Monthly",30,Q1171="Quarterly",90,Q1171="Bi-Weekly",14,Q1171="Annually",365,Q1171="Every 3 Months",90,TRUE,"NOT FOUND")</f>
        <v>365</v>
      </c>
    </row>
    <row r="1172" spans="1:19" x14ac:dyDescent="0.35">
      <c r="A1172">
        <v>1171</v>
      </c>
      <c r="B1172">
        <v>57</v>
      </c>
      <c r="C1172" t="s">
        <v>7</v>
      </c>
      <c r="D1172" t="s">
        <v>75</v>
      </c>
      <c r="E1172" t="s">
        <v>9</v>
      </c>
      <c r="F1172">
        <v>62</v>
      </c>
      <c r="G1172" t="s">
        <v>103</v>
      </c>
      <c r="H1172" t="s">
        <v>24</v>
      </c>
      <c r="I1172" t="s">
        <v>96</v>
      </c>
      <c r="J1172" t="s">
        <v>25</v>
      </c>
      <c r="K1172">
        <v>3.2</v>
      </c>
      <c r="L1172" t="s">
        <v>140</v>
      </c>
      <c r="M1172" t="s">
        <v>15</v>
      </c>
      <c r="N1172" t="s">
        <v>14</v>
      </c>
      <c r="O1172">
        <v>33</v>
      </c>
      <c r="P1172" t="s">
        <v>21</v>
      </c>
      <c r="Q1172" t="s">
        <v>64</v>
      </c>
      <c r="R1172" t="str" cm="1">
        <f t="array" ref="R1172">_xlfn.IFS(B1172&lt;31,"Young-Adult",B1172&lt;41,"Adult",B1172&lt;61,"Middle-aged",B1172&gt;=61,"Senior")</f>
        <v>Middle-aged</v>
      </c>
      <c r="S1172" cm="1">
        <f t="array" ref="S1172">_xlfn.IFS(Q1172 ="Fortnightly",14,Q1172="Weekly",7,Q1172="Monthly",30,Q1172="Quarterly",90,Q1172="Bi-Weekly",14,Q1172="Annually",365,Q1172="Every 3 Months",90,TRUE,"NOT FOUND")</f>
        <v>14</v>
      </c>
    </row>
    <row r="1173" spans="1:19" x14ac:dyDescent="0.35">
      <c r="A1173">
        <v>1172</v>
      </c>
      <c r="B1173">
        <v>41</v>
      </c>
      <c r="C1173" t="s">
        <v>7</v>
      </c>
      <c r="D1173" t="s">
        <v>113</v>
      </c>
      <c r="E1173" t="s">
        <v>9</v>
      </c>
      <c r="F1173">
        <v>55</v>
      </c>
      <c r="G1173" t="s">
        <v>48</v>
      </c>
      <c r="H1173" t="s">
        <v>32</v>
      </c>
      <c r="I1173" t="s">
        <v>81</v>
      </c>
      <c r="J1173" t="s">
        <v>25</v>
      </c>
      <c r="K1173">
        <v>3.9</v>
      </c>
      <c r="L1173" t="s">
        <v>140</v>
      </c>
      <c r="M1173" t="s">
        <v>33</v>
      </c>
      <c r="N1173" t="s">
        <v>14</v>
      </c>
      <c r="O1173">
        <v>15</v>
      </c>
      <c r="P1173" t="s">
        <v>74</v>
      </c>
      <c r="Q1173" t="s">
        <v>37</v>
      </c>
      <c r="R1173" t="str" cm="1">
        <f t="array" ref="R1173">_xlfn.IFS(B1173&lt;31,"Young-Adult",B1173&lt;41,"Adult",B1173&lt;61,"Middle-aged",B1173&gt;=61,"Senior")</f>
        <v>Middle-aged</v>
      </c>
      <c r="S1173" cm="1">
        <f t="array" ref="S1173">_xlfn.IFS(Q1173 ="Fortnightly",14,Q1173="Weekly",7,Q1173="Monthly",30,Q1173="Quarterly",90,Q1173="Bi-Weekly",14,Q1173="Annually",365,Q1173="Every 3 Months",90,TRUE,"NOT FOUND")</f>
        <v>365</v>
      </c>
    </row>
    <row r="1174" spans="1:19" x14ac:dyDescent="0.35">
      <c r="A1174">
        <v>1173</v>
      </c>
      <c r="B1174">
        <v>59</v>
      </c>
      <c r="C1174" t="s">
        <v>7</v>
      </c>
      <c r="D1174" t="s">
        <v>50</v>
      </c>
      <c r="E1174" t="s">
        <v>51</v>
      </c>
      <c r="F1174">
        <v>68</v>
      </c>
      <c r="G1174" t="s">
        <v>35</v>
      </c>
      <c r="H1174" t="s">
        <v>11</v>
      </c>
      <c r="I1174" t="s">
        <v>88</v>
      </c>
      <c r="J1174" t="s">
        <v>25</v>
      </c>
      <c r="K1174">
        <v>4.5999999999999996</v>
      </c>
      <c r="L1174" t="s">
        <v>140</v>
      </c>
      <c r="M1174" t="s">
        <v>62</v>
      </c>
      <c r="N1174" t="s">
        <v>14</v>
      </c>
      <c r="O1174">
        <v>42</v>
      </c>
      <c r="P1174" t="s">
        <v>63</v>
      </c>
      <c r="Q1174" t="s">
        <v>64</v>
      </c>
      <c r="R1174" t="str" cm="1">
        <f t="array" ref="R1174">_xlfn.IFS(B1174&lt;31,"Young-Adult",B1174&lt;41,"Adult",B1174&lt;61,"Middle-aged",B1174&gt;=61,"Senior")</f>
        <v>Middle-aged</v>
      </c>
      <c r="S1174" cm="1">
        <f t="array" ref="S1174">_xlfn.IFS(Q1174 ="Fortnightly",14,Q1174="Weekly",7,Q1174="Monthly",30,Q1174="Quarterly",90,Q1174="Bi-Weekly",14,Q1174="Annually",365,Q1174="Every 3 Months",90,TRUE,"NOT FOUND")</f>
        <v>14</v>
      </c>
    </row>
    <row r="1175" spans="1:19" x14ac:dyDescent="0.35">
      <c r="A1175">
        <v>1174</v>
      </c>
      <c r="B1175">
        <v>44</v>
      </c>
      <c r="C1175" t="s">
        <v>7</v>
      </c>
      <c r="D1175" t="s">
        <v>94</v>
      </c>
      <c r="E1175" t="s">
        <v>55</v>
      </c>
      <c r="F1175">
        <v>76</v>
      </c>
      <c r="G1175" t="s">
        <v>135</v>
      </c>
      <c r="H1175" t="s">
        <v>32</v>
      </c>
      <c r="I1175" t="s">
        <v>114</v>
      </c>
      <c r="J1175" t="s">
        <v>13</v>
      </c>
      <c r="K1175">
        <v>2.5</v>
      </c>
      <c r="L1175" t="s">
        <v>140</v>
      </c>
      <c r="M1175" t="s">
        <v>15</v>
      </c>
      <c r="N1175" t="s">
        <v>14</v>
      </c>
      <c r="O1175">
        <v>42</v>
      </c>
      <c r="P1175" t="s">
        <v>21</v>
      </c>
      <c r="Q1175" t="s">
        <v>64</v>
      </c>
      <c r="R1175" t="str" cm="1">
        <f t="array" ref="R1175">_xlfn.IFS(B1175&lt;31,"Young-Adult",B1175&lt;41,"Adult",B1175&lt;61,"Middle-aged",B1175&gt;=61,"Senior")</f>
        <v>Middle-aged</v>
      </c>
      <c r="S1175" cm="1">
        <f t="array" ref="S1175">_xlfn.IFS(Q1175 ="Fortnightly",14,Q1175="Weekly",7,Q1175="Monthly",30,Q1175="Quarterly",90,Q1175="Bi-Weekly",14,Q1175="Annually",365,Q1175="Every 3 Months",90,TRUE,"NOT FOUND")</f>
        <v>14</v>
      </c>
    </row>
    <row r="1176" spans="1:19" x14ac:dyDescent="0.35">
      <c r="A1176">
        <v>1175</v>
      </c>
      <c r="B1176">
        <v>42</v>
      </c>
      <c r="C1176" t="s">
        <v>7</v>
      </c>
      <c r="D1176" t="s">
        <v>120</v>
      </c>
      <c r="E1176" t="s">
        <v>55</v>
      </c>
      <c r="F1176">
        <v>31</v>
      </c>
      <c r="G1176" t="s">
        <v>139</v>
      </c>
      <c r="H1176" t="s">
        <v>32</v>
      </c>
      <c r="I1176" t="s">
        <v>82</v>
      </c>
      <c r="J1176" t="s">
        <v>13</v>
      </c>
      <c r="K1176">
        <v>4.3</v>
      </c>
      <c r="L1176" t="s">
        <v>140</v>
      </c>
      <c r="M1176" t="s">
        <v>15</v>
      </c>
      <c r="N1176" t="s">
        <v>14</v>
      </c>
      <c r="O1176">
        <v>19</v>
      </c>
      <c r="P1176" t="s">
        <v>63</v>
      </c>
      <c r="Q1176" t="s">
        <v>64</v>
      </c>
      <c r="R1176" t="str" cm="1">
        <f t="array" ref="R1176">_xlfn.IFS(B1176&lt;31,"Young-Adult",B1176&lt;41,"Adult",B1176&lt;61,"Middle-aged",B1176&gt;=61,"Senior")</f>
        <v>Middle-aged</v>
      </c>
      <c r="S1176" cm="1">
        <f t="array" ref="S1176">_xlfn.IFS(Q1176 ="Fortnightly",14,Q1176="Weekly",7,Q1176="Monthly",30,Q1176="Quarterly",90,Q1176="Bi-Weekly",14,Q1176="Annually",365,Q1176="Every 3 Months",90,TRUE,"NOT FOUND")</f>
        <v>14</v>
      </c>
    </row>
    <row r="1177" spans="1:19" x14ac:dyDescent="0.35">
      <c r="A1177">
        <v>1176</v>
      </c>
      <c r="B1177">
        <v>35</v>
      </c>
      <c r="C1177" t="s">
        <v>7</v>
      </c>
      <c r="D1177" t="s">
        <v>121</v>
      </c>
      <c r="E1177" t="s">
        <v>55</v>
      </c>
      <c r="F1177">
        <v>81</v>
      </c>
      <c r="G1177" t="s">
        <v>115</v>
      </c>
      <c r="H1177" t="s">
        <v>32</v>
      </c>
      <c r="I1177" t="s">
        <v>106</v>
      </c>
      <c r="J1177" t="s">
        <v>25</v>
      </c>
      <c r="K1177">
        <v>4.0999999999999996</v>
      </c>
      <c r="L1177" t="s">
        <v>140</v>
      </c>
      <c r="M1177" t="s">
        <v>62</v>
      </c>
      <c r="N1177" t="s">
        <v>14</v>
      </c>
      <c r="O1177">
        <v>26</v>
      </c>
      <c r="P1177" t="s">
        <v>34</v>
      </c>
      <c r="Q1177" t="s">
        <v>46</v>
      </c>
      <c r="R1177" t="str" cm="1">
        <f t="array" ref="R1177">_xlfn.IFS(B1177&lt;31,"Young-Adult",B1177&lt;41,"Adult",B1177&lt;61,"Middle-aged",B1177&gt;=61,"Senior")</f>
        <v>Adult</v>
      </c>
      <c r="S1177" cm="1">
        <f t="array" ref="S1177">_xlfn.IFS(Q1177 ="Fortnightly",14,Q1177="Weekly",7,Q1177="Monthly",30,Q1177="Quarterly",90,Q1177="Bi-Weekly",14,Q1177="Annually",365,Q1177="Every 3 Months",90,TRUE,"NOT FOUND")</f>
        <v>90</v>
      </c>
    </row>
    <row r="1178" spans="1:19" x14ac:dyDescent="0.35">
      <c r="A1178">
        <v>1177</v>
      </c>
      <c r="B1178">
        <v>36</v>
      </c>
      <c r="C1178" t="s">
        <v>7</v>
      </c>
      <c r="D1178" t="s">
        <v>69</v>
      </c>
      <c r="E1178" t="s">
        <v>9</v>
      </c>
      <c r="F1178">
        <v>83</v>
      </c>
      <c r="G1178" t="s">
        <v>35</v>
      </c>
      <c r="H1178" t="s">
        <v>32</v>
      </c>
      <c r="I1178" t="s">
        <v>96</v>
      </c>
      <c r="J1178" t="s">
        <v>13</v>
      </c>
      <c r="K1178">
        <v>3.8</v>
      </c>
      <c r="L1178" t="s">
        <v>140</v>
      </c>
      <c r="M1178" t="s">
        <v>26</v>
      </c>
      <c r="N1178" t="s">
        <v>14</v>
      </c>
      <c r="O1178">
        <v>39</v>
      </c>
      <c r="P1178" t="s">
        <v>34</v>
      </c>
      <c r="Q1178" t="s">
        <v>46</v>
      </c>
      <c r="R1178" t="str" cm="1">
        <f t="array" ref="R1178">_xlfn.IFS(B1178&lt;31,"Young-Adult",B1178&lt;41,"Adult",B1178&lt;61,"Middle-aged",B1178&gt;=61,"Senior")</f>
        <v>Adult</v>
      </c>
      <c r="S1178" cm="1">
        <f t="array" ref="S1178">_xlfn.IFS(Q1178 ="Fortnightly",14,Q1178="Weekly",7,Q1178="Monthly",30,Q1178="Quarterly",90,Q1178="Bi-Weekly",14,Q1178="Annually",365,Q1178="Every 3 Months",90,TRUE,"NOT FOUND")</f>
        <v>90</v>
      </c>
    </row>
    <row r="1179" spans="1:19" x14ac:dyDescent="0.35">
      <c r="A1179">
        <v>1178</v>
      </c>
      <c r="B1179">
        <v>54</v>
      </c>
      <c r="C1179" t="s">
        <v>7</v>
      </c>
      <c r="D1179" t="s">
        <v>75</v>
      </c>
      <c r="E1179" t="s">
        <v>9</v>
      </c>
      <c r="F1179">
        <v>21</v>
      </c>
      <c r="G1179" t="s">
        <v>134</v>
      </c>
      <c r="H1179" t="s">
        <v>32</v>
      </c>
      <c r="I1179" t="s">
        <v>82</v>
      </c>
      <c r="J1179" t="s">
        <v>25</v>
      </c>
      <c r="K1179">
        <v>4.8</v>
      </c>
      <c r="L1179" t="s">
        <v>140</v>
      </c>
      <c r="M1179" t="s">
        <v>42</v>
      </c>
      <c r="N1179" t="s">
        <v>14</v>
      </c>
      <c r="O1179">
        <v>24</v>
      </c>
      <c r="P1179" t="s">
        <v>74</v>
      </c>
      <c r="Q1179" t="s">
        <v>76</v>
      </c>
      <c r="R1179" t="str" cm="1">
        <f t="array" ref="R1179">_xlfn.IFS(B1179&lt;31,"Young-Adult",B1179&lt;41,"Adult",B1179&lt;61,"Middle-aged",B1179&gt;=61,"Senior")</f>
        <v>Middle-aged</v>
      </c>
      <c r="S1179" cm="1">
        <f t="array" ref="S1179">_xlfn.IFS(Q1179 ="Fortnightly",14,Q1179="Weekly",7,Q1179="Monthly",30,Q1179="Quarterly",90,Q1179="Bi-Weekly",14,Q1179="Annually",365,Q1179="Every 3 Months",90,TRUE,"NOT FOUND")</f>
        <v>30</v>
      </c>
    </row>
    <row r="1180" spans="1:19" x14ac:dyDescent="0.35">
      <c r="A1180">
        <v>1179</v>
      </c>
      <c r="B1180">
        <v>37</v>
      </c>
      <c r="C1180" t="s">
        <v>7</v>
      </c>
      <c r="D1180" t="s">
        <v>69</v>
      </c>
      <c r="E1180" t="s">
        <v>9</v>
      </c>
      <c r="F1180">
        <v>22</v>
      </c>
      <c r="G1180" t="s">
        <v>119</v>
      </c>
      <c r="H1180" t="s">
        <v>32</v>
      </c>
      <c r="I1180" t="s">
        <v>73</v>
      </c>
      <c r="J1180" t="s">
        <v>25</v>
      </c>
      <c r="K1180">
        <v>4.9000000000000004</v>
      </c>
      <c r="L1180" t="s">
        <v>140</v>
      </c>
      <c r="M1180" t="s">
        <v>15</v>
      </c>
      <c r="N1180" t="s">
        <v>14</v>
      </c>
      <c r="O1180">
        <v>23</v>
      </c>
      <c r="P1180" t="s">
        <v>74</v>
      </c>
      <c r="Q1180" t="s">
        <v>37</v>
      </c>
      <c r="R1180" t="str" cm="1">
        <f t="array" ref="R1180">_xlfn.IFS(B1180&lt;31,"Young-Adult",B1180&lt;41,"Adult",B1180&lt;61,"Middle-aged",B1180&gt;=61,"Senior")</f>
        <v>Adult</v>
      </c>
      <c r="S1180" cm="1">
        <f t="array" ref="S1180">_xlfn.IFS(Q1180 ="Fortnightly",14,Q1180="Weekly",7,Q1180="Monthly",30,Q1180="Quarterly",90,Q1180="Bi-Weekly",14,Q1180="Annually",365,Q1180="Every 3 Months",90,TRUE,"NOT FOUND")</f>
        <v>365</v>
      </c>
    </row>
    <row r="1181" spans="1:19" x14ac:dyDescent="0.35">
      <c r="A1181">
        <v>1180</v>
      </c>
      <c r="B1181">
        <v>20</v>
      </c>
      <c r="C1181" t="s">
        <v>7</v>
      </c>
      <c r="D1181" t="s">
        <v>101</v>
      </c>
      <c r="E1181" t="s">
        <v>9</v>
      </c>
      <c r="F1181">
        <v>33</v>
      </c>
      <c r="G1181" t="s">
        <v>104</v>
      </c>
      <c r="H1181" t="s">
        <v>32</v>
      </c>
      <c r="I1181" t="s">
        <v>132</v>
      </c>
      <c r="J1181" t="s">
        <v>41</v>
      </c>
      <c r="K1181">
        <v>2.8</v>
      </c>
      <c r="L1181" t="s">
        <v>140</v>
      </c>
      <c r="M1181" t="s">
        <v>26</v>
      </c>
      <c r="N1181" t="s">
        <v>14</v>
      </c>
      <c r="O1181">
        <v>44</v>
      </c>
      <c r="P1181" t="s">
        <v>63</v>
      </c>
      <c r="Q1181" t="s">
        <v>37</v>
      </c>
      <c r="R1181" t="str" cm="1">
        <f t="array" ref="R1181">_xlfn.IFS(B1181&lt;31,"Young-Adult",B1181&lt;41,"Adult",B1181&lt;61,"Middle-aged",B1181&gt;=61,"Senior")</f>
        <v>Young-Adult</v>
      </c>
      <c r="S1181" cm="1">
        <f t="array" ref="S1181">_xlfn.IFS(Q1181 ="Fortnightly",14,Q1181="Weekly",7,Q1181="Monthly",30,Q1181="Quarterly",90,Q1181="Bi-Weekly",14,Q1181="Annually",365,Q1181="Every 3 Months",90,TRUE,"NOT FOUND")</f>
        <v>365</v>
      </c>
    </row>
    <row r="1182" spans="1:19" x14ac:dyDescent="0.35">
      <c r="A1182">
        <v>1181</v>
      </c>
      <c r="B1182">
        <v>23</v>
      </c>
      <c r="C1182" t="s">
        <v>7</v>
      </c>
      <c r="D1182" t="s">
        <v>75</v>
      </c>
      <c r="E1182" t="s">
        <v>9</v>
      </c>
      <c r="F1182">
        <v>23</v>
      </c>
      <c r="G1182" t="s">
        <v>35</v>
      </c>
      <c r="H1182" t="s">
        <v>24</v>
      </c>
      <c r="I1182" t="s">
        <v>106</v>
      </c>
      <c r="J1182" t="s">
        <v>25</v>
      </c>
      <c r="K1182">
        <v>4.9000000000000004</v>
      </c>
      <c r="L1182" t="s">
        <v>140</v>
      </c>
      <c r="M1182" t="s">
        <v>42</v>
      </c>
      <c r="N1182" t="s">
        <v>14</v>
      </c>
      <c r="O1182">
        <v>34</v>
      </c>
      <c r="P1182" t="s">
        <v>21</v>
      </c>
      <c r="Q1182" t="s">
        <v>76</v>
      </c>
      <c r="R1182" t="str" cm="1">
        <f t="array" ref="R1182">_xlfn.IFS(B1182&lt;31,"Young-Adult",B1182&lt;41,"Adult",B1182&lt;61,"Middle-aged",B1182&gt;=61,"Senior")</f>
        <v>Young-Adult</v>
      </c>
      <c r="S1182" cm="1">
        <f t="array" ref="S1182">_xlfn.IFS(Q1182 ="Fortnightly",14,Q1182="Weekly",7,Q1182="Monthly",30,Q1182="Quarterly",90,Q1182="Bi-Weekly",14,Q1182="Annually",365,Q1182="Every 3 Months",90,TRUE,"NOT FOUND")</f>
        <v>30</v>
      </c>
    </row>
    <row r="1183" spans="1:19" x14ac:dyDescent="0.35">
      <c r="A1183">
        <v>1182</v>
      </c>
      <c r="B1183">
        <v>61</v>
      </c>
      <c r="C1183" t="s">
        <v>7</v>
      </c>
      <c r="D1183" t="s">
        <v>47</v>
      </c>
      <c r="E1183" t="s">
        <v>9</v>
      </c>
      <c r="F1183">
        <v>96</v>
      </c>
      <c r="G1183" t="s">
        <v>72</v>
      </c>
      <c r="H1183" t="s">
        <v>11</v>
      </c>
      <c r="I1183" t="s">
        <v>73</v>
      </c>
      <c r="J1183" t="s">
        <v>41</v>
      </c>
      <c r="K1183">
        <v>3.5</v>
      </c>
      <c r="L1183" t="s">
        <v>140</v>
      </c>
      <c r="M1183" t="s">
        <v>26</v>
      </c>
      <c r="N1183" t="s">
        <v>14</v>
      </c>
      <c r="O1183">
        <v>43</v>
      </c>
      <c r="P1183" t="s">
        <v>63</v>
      </c>
      <c r="Q1183" t="s">
        <v>46</v>
      </c>
      <c r="R1183" t="str" cm="1">
        <f t="array" ref="R1183">_xlfn.IFS(B1183&lt;31,"Young-Adult",B1183&lt;41,"Adult",B1183&lt;61,"Middle-aged",B1183&gt;=61,"Senior")</f>
        <v>Senior</v>
      </c>
      <c r="S1183" cm="1">
        <f t="array" ref="S1183">_xlfn.IFS(Q1183 ="Fortnightly",14,Q1183="Weekly",7,Q1183="Monthly",30,Q1183="Quarterly",90,Q1183="Bi-Weekly",14,Q1183="Annually",365,Q1183="Every 3 Months",90,TRUE,"NOT FOUND")</f>
        <v>90</v>
      </c>
    </row>
    <row r="1184" spans="1:19" x14ac:dyDescent="0.35">
      <c r="A1184">
        <v>1183</v>
      </c>
      <c r="B1184">
        <v>37</v>
      </c>
      <c r="C1184" t="s">
        <v>7</v>
      </c>
      <c r="D1184" t="s">
        <v>94</v>
      </c>
      <c r="E1184" t="s">
        <v>55</v>
      </c>
      <c r="F1184">
        <v>21</v>
      </c>
      <c r="G1184" t="s">
        <v>118</v>
      </c>
      <c r="H1184" t="s">
        <v>32</v>
      </c>
      <c r="I1184" t="s">
        <v>20</v>
      </c>
      <c r="J1184" t="s">
        <v>25</v>
      </c>
      <c r="K1184">
        <v>3.8</v>
      </c>
      <c r="L1184" t="s">
        <v>140</v>
      </c>
      <c r="M1184" t="s">
        <v>15</v>
      </c>
      <c r="N1184" t="s">
        <v>14</v>
      </c>
      <c r="O1184">
        <v>45</v>
      </c>
      <c r="P1184" t="s">
        <v>34</v>
      </c>
      <c r="Q1184" t="s">
        <v>46</v>
      </c>
      <c r="R1184" t="str" cm="1">
        <f t="array" ref="R1184">_xlfn.IFS(B1184&lt;31,"Young-Adult",B1184&lt;41,"Adult",B1184&lt;61,"Middle-aged",B1184&gt;=61,"Senior")</f>
        <v>Adult</v>
      </c>
      <c r="S1184" cm="1">
        <f t="array" ref="S1184">_xlfn.IFS(Q1184 ="Fortnightly",14,Q1184="Weekly",7,Q1184="Monthly",30,Q1184="Quarterly",90,Q1184="Bi-Weekly",14,Q1184="Annually",365,Q1184="Every 3 Months",90,TRUE,"NOT FOUND")</f>
        <v>90</v>
      </c>
    </row>
    <row r="1185" spans="1:19" x14ac:dyDescent="0.35">
      <c r="A1185">
        <v>1184</v>
      </c>
      <c r="B1185">
        <v>23</v>
      </c>
      <c r="C1185" t="s">
        <v>7</v>
      </c>
      <c r="D1185" t="s">
        <v>83</v>
      </c>
      <c r="E1185" t="s">
        <v>9</v>
      </c>
      <c r="F1185">
        <v>39</v>
      </c>
      <c r="G1185" t="s">
        <v>48</v>
      </c>
      <c r="H1185" t="s">
        <v>32</v>
      </c>
      <c r="I1185" t="s">
        <v>122</v>
      </c>
      <c r="J1185" t="s">
        <v>25</v>
      </c>
      <c r="K1185">
        <v>4.5</v>
      </c>
      <c r="L1185" t="s">
        <v>140</v>
      </c>
      <c r="M1185" t="s">
        <v>58</v>
      </c>
      <c r="N1185" t="s">
        <v>14</v>
      </c>
      <c r="O1185">
        <v>4</v>
      </c>
      <c r="P1185" t="s">
        <v>27</v>
      </c>
      <c r="Q1185" t="s">
        <v>28</v>
      </c>
      <c r="R1185" t="str" cm="1">
        <f t="array" ref="R1185">_xlfn.IFS(B1185&lt;31,"Young-Adult",B1185&lt;41,"Adult",B1185&lt;61,"Middle-aged",B1185&gt;=61,"Senior")</f>
        <v>Young-Adult</v>
      </c>
      <c r="S1185" cm="1">
        <f t="array" ref="S1185">_xlfn.IFS(Q1185 ="Fortnightly",14,Q1185="Weekly",7,Q1185="Monthly",30,Q1185="Quarterly",90,Q1185="Bi-Weekly",14,Q1185="Annually",365,Q1185="Every 3 Months",90,TRUE,"NOT FOUND")</f>
        <v>7</v>
      </c>
    </row>
    <row r="1186" spans="1:19" x14ac:dyDescent="0.35">
      <c r="A1186">
        <v>1185</v>
      </c>
      <c r="B1186">
        <v>63</v>
      </c>
      <c r="C1186" t="s">
        <v>7</v>
      </c>
      <c r="D1186" t="s">
        <v>121</v>
      </c>
      <c r="E1186" t="s">
        <v>55</v>
      </c>
      <c r="F1186">
        <v>73</v>
      </c>
      <c r="G1186" t="s">
        <v>119</v>
      </c>
      <c r="H1186" t="s">
        <v>24</v>
      </c>
      <c r="I1186" t="s">
        <v>114</v>
      </c>
      <c r="J1186" t="s">
        <v>45</v>
      </c>
      <c r="K1186">
        <v>3.4</v>
      </c>
      <c r="L1186" t="s">
        <v>140</v>
      </c>
      <c r="M1186" t="s">
        <v>15</v>
      </c>
      <c r="N1186" t="s">
        <v>14</v>
      </c>
      <c r="O1186">
        <v>19</v>
      </c>
      <c r="P1186" t="s">
        <v>27</v>
      </c>
      <c r="Q1186" t="s">
        <v>37</v>
      </c>
      <c r="R1186" t="str" cm="1">
        <f t="array" ref="R1186">_xlfn.IFS(B1186&lt;31,"Young-Adult",B1186&lt;41,"Adult",B1186&lt;61,"Middle-aged",B1186&gt;=61,"Senior")</f>
        <v>Senior</v>
      </c>
      <c r="S1186" cm="1">
        <f t="array" ref="S1186">_xlfn.IFS(Q1186 ="Fortnightly",14,Q1186="Weekly",7,Q1186="Monthly",30,Q1186="Quarterly",90,Q1186="Bi-Weekly",14,Q1186="Annually",365,Q1186="Every 3 Months",90,TRUE,"NOT FOUND")</f>
        <v>365</v>
      </c>
    </row>
    <row r="1187" spans="1:19" x14ac:dyDescent="0.35">
      <c r="A1187">
        <v>1186</v>
      </c>
      <c r="B1187">
        <v>47</v>
      </c>
      <c r="C1187" t="s">
        <v>7</v>
      </c>
      <c r="D1187" t="s">
        <v>22</v>
      </c>
      <c r="E1187" t="s">
        <v>9</v>
      </c>
      <c r="F1187">
        <v>64</v>
      </c>
      <c r="G1187" t="s">
        <v>19</v>
      </c>
      <c r="H1187" t="s">
        <v>32</v>
      </c>
      <c r="I1187" t="s">
        <v>124</v>
      </c>
      <c r="J1187" t="s">
        <v>25</v>
      </c>
      <c r="K1187">
        <v>3.9</v>
      </c>
      <c r="L1187" t="s">
        <v>140</v>
      </c>
      <c r="M1187" t="s">
        <v>42</v>
      </c>
      <c r="N1187" t="s">
        <v>14</v>
      </c>
      <c r="O1187">
        <v>29</v>
      </c>
      <c r="P1187" t="s">
        <v>27</v>
      </c>
      <c r="Q1187" t="s">
        <v>76</v>
      </c>
      <c r="R1187" t="str" cm="1">
        <f t="array" ref="R1187">_xlfn.IFS(B1187&lt;31,"Young-Adult",B1187&lt;41,"Adult",B1187&lt;61,"Middle-aged",B1187&gt;=61,"Senior")</f>
        <v>Middle-aged</v>
      </c>
      <c r="S1187" cm="1">
        <f t="array" ref="S1187">_xlfn.IFS(Q1187 ="Fortnightly",14,Q1187="Weekly",7,Q1187="Monthly",30,Q1187="Quarterly",90,Q1187="Bi-Weekly",14,Q1187="Annually",365,Q1187="Every 3 Months",90,TRUE,"NOT FOUND")</f>
        <v>30</v>
      </c>
    </row>
    <row r="1188" spans="1:19" x14ac:dyDescent="0.35">
      <c r="A1188">
        <v>1187</v>
      </c>
      <c r="B1188">
        <v>63</v>
      </c>
      <c r="C1188" t="s">
        <v>7</v>
      </c>
      <c r="D1188" t="s">
        <v>22</v>
      </c>
      <c r="E1188" t="s">
        <v>9</v>
      </c>
      <c r="F1188">
        <v>68</v>
      </c>
      <c r="G1188" t="s">
        <v>104</v>
      </c>
      <c r="H1188" t="s">
        <v>32</v>
      </c>
      <c r="I1188" t="s">
        <v>106</v>
      </c>
      <c r="J1188" t="s">
        <v>41</v>
      </c>
      <c r="K1188">
        <v>4.0999999999999996</v>
      </c>
      <c r="L1188" t="s">
        <v>140</v>
      </c>
      <c r="M1188" t="s">
        <v>58</v>
      </c>
      <c r="N1188" t="s">
        <v>14</v>
      </c>
      <c r="O1188">
        <v>27</v>
      </c>
      <c r="P1188" t="s">
        <v>27</v>
      </c>
      <c r="Q1188" t="s">
        <v>37</v>
      </c>
      <c r="R1188" t="str" cm="1">
        <f t="array" ref="R1188">_xlfn.IFS(B1188&lt;31,"Young-Adult",B1188&lt;41,"Adult",B1188&lt;61,"Middle-aged",B1188&gt;=61,"Senior")</f>
        <v>Senior</v>
      </c>
      <c r="S1188" cm="1">
        <f t="array" ref="S1188">_xlfn.IFS(Q1188 ="Fortnightly",14,Q1188="Weekly",7,Q1188="Monthly",30,Q1188="Quarterly",90,Q1188="Bi-Weekly",14,Q1188="Annually",365,Q1188="Every 3 Months",90,TRUE,"NOT FOUND")</f>
        <v>365</v>
      </c>
    </row>
    <row r="1189" spans="1:19" x14ac:dyDescent="0.35">
      <c r="A1189">
        <v>1188</v>
      </c>
      <c r="B1189">
        <v>56</v>
      </c>
      <c r="C1189" t="s">
        <v>7</v>
      </c>
      <c r="D1189" t="s">
        <v>112</v>
      </c>
      <c r="E1189" t="s">
        <v>55</v>
      </c>
      <c r="F1189">
        <v>89</v>
      </c>
      <c r="G1189" t="s">
        <v>134</v>
      </c>
      <c r="H1189" t="s">
        <v>11</v>
      </c>
      <c r="I1189" t="s">
        <v>20</v>
      </c>
      <c r="J1189" t="s">
        <v>45</v>
      </c>
      <c r="K1189">
        <v>3</v>
      </c>
      <c r="L1189" t="s">
        <v>140</v>
      </c>
      <c r="M1189" t="s">
        <v>15</v>
      </c>
      <c r="N1189" t="s">
        <v>14</v>
      </c>
      <c r="O1189">
        <v>37</v>
      </c>
      <c r="P1189" t="s">
        <v>27</v>
      </c>
      <c r="Q1189" t="s">
        <v>85</v>
      </c>
      <c r="R1189" t="str" cm="1">
        <f t="array" ref="R1189">_xlfn.IFS(B1189&lt;31,"Young-Adult",B1189&lt;41,"Adult",B1189&lt;61,"Middle-aged",B1189&gt;=61,"Senior")</f>
        <v>Middle-aged</v>
      </c>
      <c r="S1189" cm="1">
        <f t="array" ref="S1189">_xlfn.IFS(Q1189 ="Fortnightly",14,Q1189="Weekly",7,Q1189="Monthly",30,Q1189="Quarterly",90,Q1189="Bi-Weekly",14,Q1189="Annually",365,Q1189="Every 3 Months",90,TRUE,"NOT FOUND")</f>
        <v>90</v>
      </c>
    </row>
    <row r="1190" spans="1:19" x14ac:dyDescent="0.35">
      <c r="A1190">
        <v>1189</v>
      </c>
      <c r="B1190">
        <v>68</v>
      </c>
      <c r="C1190" t="s">
        <v>7</v>
      </c>
      <c r="D1190" t="s">
        <v>8</v>
      </c>
      <c r="E1190" t="s">
        <v>9</v>
      </c>
      <c r="F1190">
        <v>29</v>
      </c>
      <c r="G1190" t="s">
        <v>79</v>
      </c>
      <c r="H1190" t="s">
        <v>32</v>
      </c>
      <c r="I1190" t="s">
        <v>124</v>
      </c>
      <c r="J1190" t="s">
        <v>41</v>
      </c>
      <c r="K1190">
        <v>3.3</v>
      </c>
      <c r="L1190" t="s">
        <v>140</v>
      </c>
      <c r="M1190" t="s">
        <v>33</v>
      </c>
      <c r="N1190" t="s">
        <v>14</v>
      </c>
      <c r="O1190">
        <v>11</v>
      </c>
      <c r="P1190" t="s">
        <v>27</v>
      </c>
      <c r="Q1190" t="s">
        <v>28</v>
      </c>
      <c r="R1190" t="str" cm="1">
        <f t="array" ref="R1190">_xlfn.IFS(B1190&lt;31,"Young-Adult",B1190&lt;41,"Adult",B1190&lt;61,"Middle-aged",B1190&gt;=61,"Senior")</f>
        <v>Senior</v>
      </c>
      <c r="S1190" cm="1">
        <f t="array" ref="S1190">_xlfn.IFS(Q1190 ="Fortnightly",14,Q1190="Weekly",7,Q1190="Monthly",30,Q1190="Quarterly",90,Q1190="Bi-Weekly",14,Q1190="Annually",365,Q1190="Every 3 Months",90,TRUE,"NOT FOUND")</f>
        <v>7</v>
      </c>
    </row>
    <row r="1191" spans="1:19" x14ac:dyDescent="0.35">
      <c r="A1191">
        <v>1190</v>
      </c>
      <c r="B1191">
        <v>64</v>
      </c>
      <c r="C1191" t="s">
        <v>7</v>
      </c>
      <c r="D1191" t="s">
        <v>43</v>
      </c>
      <c r="E1191" t="s">
        <v>9</v>
      </c>
      <c r="F1191">
        <v>97</v>
      </c>
      <c r="G1191" t="s">
        <v>60</v>
      </c>
      <c r="H1191" t="s">
        <v>80</v>
      </c>
      <c r="I1191" t="s">
        <v>73</v>
      </c>
      <c r="J1191" t="s">
        <v>41</v>
      </c>
      <c r="K1191">
        <v>3.8</v>
      </c>
      <c r="L1191" t="s">
        <v>140</v>
      </c>
      <c r="M1191" t="s">
        <v>26</v>
      </c>
      <c r="N1191" t="s">
        <v>14</v>
      </c>
      <c r="O1191">
        <v>28</v>
      </c>
      <c r="P1191" t="s">
        <v>74</v>
      </c>
      <c r="Q1191" t="s">
        <v>37</v>
      </c>
      <c r="R1191" t="str" cm="1">
        <f t="array" ref="R1191">_xlfn.IFS(B1191&lt;31,"Young-Adult",B1191&lt;41,"Adult",B1191&lt;61,"Middle-aged",B1191&gt;=61,"Senior")</f>
        <v>Senior</v>
      </c>
      <c r="S1191" cm="1">
        <f t="array" ref="S1191">_xlfn.IFS(Q1191 ="Fortnightly",14,Q1191="Weekly",7,Q1191="Monthly",30,Q1191="Quarterly",90,Q1191="Bi-Weekly",14,Q1191="Annually",365,Q1191="Every 3 Months",90,TRUE,"NOT FOUND")</f>
        <v>365</v>
      </c>
    </row>
    <row r="1192" spans="1:19" x14ac:dyDescent="0.35">
      <c r="A1192">
        <v>1191</v>
      </c>
      <c r="B1192">
        <v>62</v>
      </c>
      <c r="C1192" t="s">
        <v>7</v>
      </c>
      <c r="D1192" t="s">
        <v>43</v>
      </c>
      <c r="E1192" t="s">
        <v>9</v>
      </c>
      <c r="F1192">
        <v>45</v>
      </c>
      <c r="G1192" t="s">
        <v>119</v>
      </c>
      <c r="H1192" t="s">
        <v>32</v>
      </c>
      <c r="I1192" t="s">
        <v>109</v>
      </c>
      <c r="J1192" t="s">
        <v>13</v>
      </c>
      <c r="K1192">
        <v>4.3</v>
      </c>
      <c r="L1192" t="s">
        <v>140</v>
      </c>
      <c r="M1192" t="s">
        <v>33</v>
      </c>
      <c r="N1192" t="s">
        <v>14</v>
      </c>
      <c r="O1192">
        <v>31</v>
      </c>
      <c r="P1192" t="s">
        <v>27</v>
      </c>
      <c r="Q1192" t="s">
        <v>28</v>
      </c>
      <c r="R1192" t="str" cm="1">
        <f t="array" ref="R1192">_xlfn.IFS(B1192&lt;31,"Young-Adult",B1192&lt;41,"Adult",B1192&lt;61,"Middle-aged",B1192&gt;=61,"Senior")</f>
        <v>Senior</v>
      </c>
      <c r="S1192" cm="1">
        <f t="array" ref="S1192">_xlfn.IFS(Q1192 ="Fortnightly",14,Q1192="Weekly",7,Q1192="Monthly",30,Q1192="Quarterly",90,Q1192="Bi-Weekly",14,Q1192="Annually",365,Q1192="Every 3 Months",90,TRUE,"NOT FOUND")</f>
        <v>7</v>
      </c>
    </row>
    <row r="1193" spans="1:19" x14ac:dyDescent="0.35">
      <c r="A1193">
        <v>1192</v>
      </c>
      <c r="B1193">
        <v>34</v>
      </c>
      <c r="C1193" t="s">
        <v>7</v>
      </c>
      <c r="D1193" t="s">
        <v>101</v>
      </c>
      <c r="E1193" t="s">
        <v>9</v>
      </c>
      <c r="F1193">
        <v>70</v>
      </c>
      <c r="G1193" t="s">
        <v>104</v>
      </c>
      <c r="H1193" t="s">
        <v>11</v>
      </c>
      <c r="I1193" t="s">
        <v>49</v>
      </c>
      <c r="J1193" t="s">
        <v>13</v>
      </c>
      <c r="K1193">
        <v>4.0999999999999996</v>
      </c>
      <c r="L1193" t="s">
        <v>140</v>
      </c>
      <c r="M1193" t="s">
        <v>26</v>
      </c>
      <c r="N1193" t="s">
        <v>14</v>
      </c>
      <c r="O1193">
        <v>50</v>
      </c>
      <c r="P1193" t="s">
        <v>16</v>
      </c>
      <c r="Q1193" t="s">
        <v>46</v>
      </c>
      <c r="R1193" t="str" cm="1">
        <f t="array" ref="R1193">_xlfn.IFS(B1193&lt;31,"Young-Adult",B1193&lt;41,"Adult",B1193&lt;61,"Middle-aged",B1193&gt;=61,"Senior")</f>
        <v>Adult</v>
      </c>
      <c r="S1193" cm="1">
        <f t="array" ref="S1193">_xlfn.IFS(Q1193 ="Fortnightly",14,Q1193="Weekly",7,Q1193="Monthly",30,Q1193="Quarterly",90,Q1193="Bi-Weekly",14,Q1193="Annually",365,Q1193="Every 3 Months",90,TRUE,"NOT FOUND")</f>
        <v>90</v>
      </c>
    </row>
    <row r="1194" spans="1:19" x14ac:dyDescent="0.35">
      <c r="A1194">
        <v>1193</v>
      </c>
      <c r="B1194">
        <v>49</v>
      </c>
      <c r="C1194" t="s">
        <v>7</v>
      </c>
      <c r="D1194" t="s">
        <v>50</v>
      </c>
      <c r="E1194" t="s">
        <v>51</v>
      </c>
      <c r="F1194">
        <v>56</v>
      </c>
      <c r="G1194" t="s">
        <v>91</v>
      </c>
      <c r="H1194" t="s">
        <v>32</v>
      </c>
      <c r="I1194" t="s">
        <v>36</v>
      </c>
      <c r="J1194" t="s">
        <v>41</v>
      </c>
      <c r="K1194">
        <v>4</v>
      </c>
      <c r="L1194" t="s">
        <v>140</v>
      </c>
      <c r="M1194" t="s">
        <v>58</v>
      </c>
      <c r="N1194" t="s">
        <v>14</v>
      </c>
      <c r="O1194">
        <v>42</v>
      </c>
      <c r="P1194" t="s">
        <v>16</v>
      </c>
      <c r="Q1194" t="s">
        <v>46</v>
      </c>
      <c r="R1194" t="str" cm="1">
        <f t="array" ref="R1194">_xlfn.IFS(B1194&lt;31,"Young-Adult",B1194&lt;41,"Adult",B1194&lt;61,"Middle-aged",B1194&gt;=61,"Senior")</f>
        <v>Middle-aged</v>
      </c>
      <c r="S1194" cm="1">
        <f t="array" ref="S1194">_xlfn.IFS(Q1194 ="Fortnightly",14,Q1194="Weekly",7,Q1194="Monthly",30,Q1194="Quarterly",90,Q1194="Bi-Weekly",14,Q1194="Annually",365,Q1194="Every 3 Months",90,TRUE,"NOT FOUND")</f>
        <v>90</v>
      </c>
    </row>
    <row r="1195" spans="1:19" x14ac:dyDescent="0.35">
      <c r="A1195">
        <v>1194</v>
      </c>
      <c r="B1195">
        <v>40</v>
      </c>
      <c r="C1195" t="s">
        <v>7</v>
      </c>
      <c r="D1195" t="s">
        <v>90</v>
      </c>
      <c r="E1195" t="s">
        <v>51</v>
      </c>
      <c r="F1195">
        <v>55</v>
      </c>
      <c r="G1195" t="s">
        <v>108</v>
      </c>
      <c r="H1195" t="s">
        <v>11</v>
      </c>
      <c r="I1195" t="s">
        <v>57</v>
      </c>
      <c r="J1195" t="s">
        <v>45</v>
      </c>
      <c r="K1195">
        <v>5</v>
      </c>
      <c r="L1195" t="s">
        <v>140</v>
      </c>
      <c r="M1195" t="s">
        <v>58</v>
      </c>
      <c r="N1195" t="s">
        <v>14</v>
      </c>
      <c r="O1195">
        <v>18</v>
      </c>
      <c r="P1195" t="s">
        <v>27</v>
      </c>
      <c r="Q1195" t="s">
        <v>17</v>
      </c>
      <c r="R1195" t="str" cm="1">
        <f t="array" ref="R1195">_xlfn.IFS(B1195&lt;31,"Young-Adult",B1195&lt;41,"Adult",B1195&lt;61,"Middle-aged",B1195&gt;=61,"Senior")</f>
        <v>Adult</v>
      </c>
      <c r="S1195" cm="1">
        <f t="array" ref="S1195">_xlfn.IFS(Q1195 ="Fortnightly",14,Q1195="Weekly",7,Q1195="Monthly",30,Q1195="Quarterly",90,Q1195="Bi-Weekly",14,Q1195="Annually",365,Q1195="Every 3 Months",90,TRUE,"NOT FOUND")</f>
        <v>14</v>
      </c>
    </row>
    <row r="1196" spans="1:19" x14ac:dyDescent="0.35">
      <c r="A1196">
        <v>1195</v>
      </c>
      <c r="B1196">
        <v>50</v>
      </c>
      <c r="C1196" t="s">
        <v>7</v>
      </c>
      <c r="D1196" t="s">
        <v>92</v>
      </c>
      <c r="E1196" t="s">
        <v>9</v>
      </c>
      <c r="F1196">
        <v>46</v>
      </c>
      <c r="G1196" t="s">
        <v>72</v>
      </c>
      <c r="H1196" t="s">
        <v>24</v>
      </c>
      <c r="I1196" t="s">
        <v>73</v>
      </c>
      <c r="J1196" t="s">
        <v>13</v>
      </c>
      <c r="K1196">
        <v>3.1</v>
      </c>
      <c r="L1196" t="s">
        <v>140</v>
      </c>
      <c r="M1196" t="s">
        <v>58</v>
      </c>
      <c r="N1196" t="s">
        <v>14</v>
      </c>
      <c r="O1196">
        <v>6</v>
      </c>
      <c r="P1196" t="s">
        <v>27</v>
      </c>
      <c r="Q1196" t="s">
        <v>17</v>
      </c>
      <c r="R1196" t="str" cm="1">
        <f t="array" ref="R1196">_xlfn.IFS(B1196&lt;31,"Young-Adult",B1196&lt;41,"Adult",B1196&lt;61,"Middle-aged",B1196&gt;=61,"Senior")</f>
        <v>Middle-aged</v>
      </c>
      <c r="S1196" cm="1">
        <f t="array" ref="S1196">_xlfn.IFS(Q1196 ="Fortnightly",14,Q1196="Weekly",7,Q1196="Monthly",30,Q1196="Quarterly",90,Q1196="Bi-Weekly",14,Q1196="Annually",365,Q1196="Every 3 Months",90,TRUE,"NOT FOUND")</f>
        <v>14</v>
      </c>
    </row>
    <row r="1197" spans="1:19" x14ac:dyDescent="0.35">
      <c r="A1197">
        <v>1196</v>
      </c>
      <c r="B1197">
        <v>25</v>
      </c>
      <c r="C1197" t="s">
        <v>7</v>
      </c>
      <c r="D1197" t="s">
        <v>107</v>
      </c>
      <c r="E1197" t="s">
        <v>55</v>
      </c>
      <c r="F1197">
        <v>95</v>
      </c>
      <c r="G1197" t="s">
        <v>93</v>
      </c>
      <c r="H1197" t="s">
        <v>32</v>
      </c>
      <c r="I1197" t="s">
        <v>40</v>
      </c>
      <c r="J1197" t="s">
        <v>13</v>
      </c>
      <c r="K1197">
        <v>4</v>
      </c>
      <c r="L1197" t="s">
        <v>140</v>
      </c>
      <c r="M1197" t="s">
        <v>58</v>
      </c>
      <c r="N1197" t="s">
        <v>14</v>
      </c>
      <c r="O1197">
        <v>33</v>
      </c>
      <c r="P1197" t="s">
        <v>16</v>
      </c>
      <c r="Q1197" t="s">
        <v>76</v>
      </c>
      <c r="R1197" t="str" cm="1">
        <f t="array" ref="R1197">_xlfn.IFS(B1197&lt;31,"Young-Adult",B1197&lt;41,"Adult",B1197&lt;61,"Middle-aged",B1197&gt;=61,"Senior")</f>
        <v>Young-Adult</v>
      </c>
      <c r="S1197" cm="1">
        <f t="array" ref="S1197">_xlfn.IFS(Q1197 ="Fortnightly",14,Q1197="Weekly",7,Q1197="Monthly",30,Q1197="Quarterly",90,Q1197="Bi-Weekly",14,Q1197="Annually",365,Q1197="Every 3 Months",90,TRUE,"NOT FOUND")</f>
        <v>30</v>
      </c>
    </row>
    <row r="1198" spans="1:19" x14ac:dyDescent="0.35">
      <c r="A1198">
        <v>1197</v>
      </c>
      <c r="B1198">
        <v>30</v>
      </c>
      <c r="C1198" t="s">
        <v>7</v>
      </c>
      <c r="D1198" t="s">
        <v>121</v>
      </c>
      <c r="E1198" t="s">
        <v>55</v>
      </c>
      <c r="F1198">
        <v>88</v>
      </c>
      <c r="G1198" t="s">
        <v>102</v>
      </c>
      <c r="H1198" t="s">
        <v>32</v>
      </c>
      <c r="I1198" t="s">
        <v>20</v>
      </c>
      <c r="J1198" t="s">
        <v>13</v>
      </c>
      <c r="K1198">
        <v>3.2</v>
      </c>
      <c r="L1198" t="s">
        <v>140</v>
      </c>
      <c r="M1198" t="s">
        <v>58</v>
      </c>
      <c r="N1198" t="s">
        <v>14</v>
      </c>
      <c r="O1198">
        <v>13</v>
      </c>
      <c r="P1198" t="s">
        <v>63</v>
      </c>
      <c r="Q1198" t="s">
        <v>64</v>
      </c>
      <c r="R1198" t="str" cm="1">
        <f t="array" ref="R1198">_xlfn.IFS(B1198&lt;31,"Young-Adult",B1198&lt;41,"Adult",B1198&lt;61,"Middle-aged",B1198&gt;=61,"Senior")</f>
        <v>Young-Adult</v>
      </c>
      <c r="S1198" cm="1">
        <f t="array" ref="S1198">_xlfn.IFS(Q1198 ="Fortnightly",14,Q1198="Weekly",7,Q1198="Monthly",30,Q1198="Quarterly",90,Q1198="Bi-Weekly",14,Q1198="Annually",365,Q1198="Every 3 Months",90,TRUE,"NOT FOUND")</f>
        <v>14</v>
      </c>
    </row>
    <row r="1199" spans="1:19" x14ac:dyDescent="0.35">
      <c r="A1199">
        <v>1198</v>
      </c>
      <c r="B1199">
        <v>54</v>
      </c>
      <c r="C1199" t="s">
        <v>7</v>
      </c>
      <c r="D1199" t="s">
        <v>38</v>
      </c>
      <c r="E1199" t="s">
        <v>30</v>
      </c>
      <c r="F1199">
        <v>92</v>
      </c>
      <c r="G1199" t="s">
        <v>117</v>
      </c>
      <c r="H1199" t="s">
        <v>11</v>
      </c>
      <c r="I1199" t="s">
        <v>71</v>
      </c>
      <c r="J1199" t="s">
        <v>45</v>
      </c>
      <c r="K1199">
        <v>3.9</v>
      </c>
      <c r="L1199" t="s">
        <v>140</v>
      </c>
      <c r="M1199" t="s">
        <v>42</v>
      </c>
      <c r="N1199" t="s">
        <v>14</v>
      </c>
      <c r="O1199">
        <v>26</v>
      </c>
      <c r="P1199" t="s">
        <v>34</v>
      </c>
      <c r="Q1199" t="s">
        <v>37</v>
      </c>
      <c r="R1199" t="str" cm="1">
        <f t="array" ref="R1199">_xlfn.IFS(B1199&lt;31,"Young-Adult",B1199&lt;41,"Adult",B1199&lt;61,"Middle-aged",B1199&gt;=61,"Senior")</f>
        <v>Middle-aged</v>
      </c>
      <c r="S1199" cm="1">
        <f t="array" ref="S1199">_xlfn.IFS(Q1199 ="Fortnightly",14,Q1199="Weekly",7,Q1199="Monthly",30,Q1199="Quarterly",90,Q1199="Bi-Weekly",14,Q1199="Annually",365,Q1199="Every 3 Months",90,TRUE,"NOT FOUND")</f>
        <v>365</v>
      </c>
    </row>
    <row r="1200" spans="1:19" x14ac:dyDescent="0.35">
      <c r="A1200">
        <v>1199</v>
      </c>
      <c r="B1200">
        <v>40</v>
      </c>
      <c r="C1200" t="s">
        <v>7</v>
      </c>
      <c r="D1200" t="s">
        <v>113</v>
      </c>
      <c r="E1200" t="s">
        <v>9</v>
      </c>
      <c r="F1200">
        <v>49</v>
      </c>
      <c r="G1200" t="s">
        <v>115</v>
      </c>
      <c r="H1200" t="s">
        <v>32</v>
      </c>
      <c r="I1200" t="s">
        <v>98</v>
      </c>
      <c r="J1200" t="s">
        <v>41</v>
      </c>
      <c r="K1200">
        <v>3.9</v>
      </c>
      <c r="L1200" t="s">
        <v>140</v>
      </c>
      <c r="M1200" t="s">
        <v>58</v>
      </c>
      <c r="N1200" t="s">
        <v>14</v>
      </c>
      <c r="O1200">
        <v>17</v>
      </c>
      <c r="P1200" t="s">
        <v>21</v>
      </c>
      <c r="Q1200" t="s">
        <v>37</v>
      </c>
      <c r="R1200" t="str" cm="1">
        <f t="array" ref="R1200">_xlfn.IFS(B1200&lt;31,"Young-Adult",B1200&lt;41,"Adult",B1200&lt;61,"Middle-aged",B1200&gt;=61,"Senior")</f>
        <v>Adult</v>
      </c>
      <c r="S1200" cm="1">
        <f t="array" ref="S1200">_xlfn.IFS(Q1200 ="Fortnightly",14,Q1200="Weekly",7,Q1200="Monthly",30,Q1200="Quarterly",90,Q1200="Bi-Weekly",14,Q1200="Annually",365,Q1200="Every 3 Months",90,TRUE,"NOT FOUND")</f>
        <v>365</v>
      </c>
    </row>
    <row r="1201" spans="1:19" x14ac:dyDescent="0.35">
      <c r="A1201">
        <v>1200</v>
      </c>
      <c r="B1201">
        <v>49</v>
      </c>
      <c r="C1201" t="s">
        <v>7</v>
      </c>
      <c r="D1201" t="s">
        <v>29</v>
      </c>
      <c r="E1201" t="s">
        <v>30</v>
      </c>
      <c r="F1201">
        <v>89</v>
      </c>
      <c r="G1201" t="s">
        <v>116</v>
      </c>
      <c r="H1201" t="s">
        <v>32</v>
      </c>
      <c r="I1201" t="s">
        <v>114</v>
      </c>
      <c r="J1201" t="s">
        <v>45</v>
      </c>
      <c r="K1201">
        <v>4.5</v>
      </c>
      <c r="L1201" t="s">
        <v>140</v>
      </c>
      <c r="M1201" t="s">
        <v>26</v>
      </c>
      <c r="N1201" t="s">
        <v>14</v>
      </c>
      <c r="O1201">
        <v>3</v>
      </c>
      <c r="P1201" t="s">
        <v>74</v>
      </c>
      <c r="Q1201" t="s">
        <v>28</v>
      </c>
      <c r="R1201" t="str" cm="1">
        <f t="array" ref="R1201">_xlfn.IFS(B1201&lt;31,"Young-Adult",B1201&lt;41,"Adult",B1201&lt;61,"Middle-aged",B1201&gt;=61,"Senior")</f>
        <v>Middle-aged</v>
      </c>
      <c r="S1201" cm="1">
        <f t="array" ref="S1201">_xlfn.IFS(Q1201 ="Fortnightly",14,Q1201="Weekly",7,Q1201="Monthly",30,Q1201="Quarterly",90,Q1201="Bi-Weekly",14,Q1201="Annually",365,Q1201="Every 3 Months",90,TRUE,"NOT FOUND")</f>
        <v>7</v>
      </c>
    </row>
    <row r="1202" spans="1:19" x14ac:dyDescent="0.35">
      <c r="A1202">
        <v>1201</v>
      </c>
      <c r="B1202">
        <v>27</v>
      </c>
      <c r="C1202" t="s">
        <v>7</v>
      </c>
      <c r="D1202" t="s">
        <v>50</v>
      </c>
      <c r="E1202" t="s">
        <v>51</v>
      </c>
      <c r="F1202">
        <v>22</v>
      </c>
      <c r="G1202" t="s">
        <v>127</v>
      </c>
      <c r="H1202" t="s">
        <v>80</v>
      </c>
      <c r="I1202" t="s">
        <v>82</v>
      </c>
      <c r="J1202" t="s">
        <v>13</v>
      </c>
      <c r="K1202">
        <v>4.4000000000000004</v>
      </c>
      <c r="L1202" t="s">
        <v>140</v>
      </c>
      <c r="M1202" t="s">
        <v>62</v>
      </c>
      <c r="N1202" t="s">
        <v>14</v>
      </c>
      <c r="O1202">
        <v>7</v>
      </c>
      <c r="P1202" t="s">
        <v>34</v>
      </c>
      <c r="Q1202" t="s">
        <v>28</v>
      </c>
      <c r="R1202" t="str" cm="1">
        <f t="array" ref="R1202">_xlfn.IFS(B1202&lt;31,"Young-Adult",B1202&lt;41,"Adult",B1202&lt;61,"Middle-aged",B1202&gt;=61,"Senior")</f>
        <v>Young-Adult</v>
      </c>
      <c r="S1202" cm="1">
        <f t="array" ref="S1202">_xlfn.IFS(Q1202 ="Fortnightly",14,Q1202="Weekly",7,Q1202="Monthly",30,Q1202="Quarterly",90,Q1202="Bi-Weekly",14,Q1202="Annually",365,Q1202="Every 3 Months",90,TRUE,"NOT FOUND")</f>
        <v>7</v>
      </c>
    </row>
    <row r="1203" spans="1:19" x14ac:dyDescent="0.35">
      <c r="A1203">
        <v>1202</v>
      </c>
      <c r="B1203">
        <v>27</v>
      </c>
      <c r="C1203" t="s">
        <v>7</v>
      </c>
      <c r="D1203" t="s">
        <v>59</v>
      </c>
      <c r="E1203" t="s">
        <v>30</v>
      </c>
      <c r="F1203">
        <v>61</v>
      </c>
      <c r="G1203" t="s">
        <v>103</v>
      </c>
      <c r="H1203" t="s">
        <v>80</v>
      </c>
      <c r="I1203" t="s">
        <v>82</v>
      </c>
      <c r="J1203" t="s">
        <v>41</v>
      </c>
      <c r="K1203">
        <v>3.1</v>
      </c>
      <c r="L1203" t="s">
        <v>140</v>
      </c>
      <c r="M1203" t="s">
        <v>58</v>
      </c>
      <c r="N1203" t="s">
        <v>14</v>
      </c>
      <c r="O1203">
        <v>46</v>
      </c>
      <c r="P1203" t="s">
        <v>16</v>
      </c>
      <c r="Q1203" t="s">
        <v>17</v>
      </c>
      <c r="R1203" t="str" cm="1">
        <f t="array" ref="R1203">_xlfn.IFS(B1203&lt;31,"Young-Adult",B1203&lt;41,"Adult",B1203&lt;61,"Middle-aged",B1203&gt;=61,"Senior")</f>
        <v>Young-Adult</v>
      </c>
      <c r="S1203" cm="1">
        <f t="array" ref="S1203">_xlfn.IFS(Q1203 ="Fortnightly",14,Q1203="Weekly",7,Q1203="Monthly",30,Q1203="Quarterly",90,Q1203="Bi-Weekly",14,Q1203="Annually",365,Q1203="Every 3 Months",90,TRUE,"NOT FOUND")</f>
        <v>14</v>
      </c>
    </row>
    <row r="1204" spans="1:19" x14ac:dyDescent="0.35">
      <c r="A1204">
        <v>1203</v>
      </c>
      <c r="B1204">
        <v>48</v>
      </c>
      <c r="C1204" t="s">
        <v>7</v>
      </c>
      <c r="D1204" t="s">
        <v>107</v>
      </c>
      <c r="E1204" t="s">
        <v>55</v>
      </c>
      <c r="F1204">
        <v>29</v>
      </c>
      <c r="G1204" t="s">
        <v>116</v>
      </c>
      <c r="H1204" t="s">
        <v>24</v>
      </c>
      <c r="I1204" t="s">
        <v>66</v>
      </c>
      <c r="J1204" t="s">
        <v>25</v>
      </c>
      <c r="K1204">
        <v>2.9</v>
      </c>
      <c r="L1204" t="s">
        <v>140</v>
      </c>
      <c r="M1204" t="s">
        <v>42</v>
      </c>
      <c r="N1204" t="s">
        <v>14</v>
      </c>
      <c r="O1204">
        <v>14</v>
      </c>
      <c r="P1204" t="s">
        <v>16</v>
      </c>
      <c r="Q1204" t="s">
        <v>85</v>
      </c>
      <c r="R1204" t="str" cm="1">
        <f t="array" ref="R1204">_xlfn.IFS(B1204&lt;31,"Young-Adult",B1204&lt;41,"Adult",B1204&lt;61,"Middle-aged",B1204&gt;=61,"Senior")</f>
        <v>Middle-aged</v>
      </c>
      <c r="S1204" cm="1">
        <f t="array" ref="S1204">_xlfn.IFS(Q1204 ="Fortnightly",14,Q1204="Weekly",7,Q1204="Monthly",30,Q1204="Quarterly",90,Q1204="Bi-Weekly",14,Q1204="Annually",365,Q1204="Every 3 Months",90,TRUE,"NOT FOUND")</f>
        <v>90</v>
      </c>
    </row>
    <row r="1205" spans="1:19" x14ac:dyDescent="0.35">
      <c r="A1205">
        <v>1204</v>
      </c>
      <c r="B1205">
        <v>40</v>
      </c>
      <c r="C1205" t="s">
        <v>7</v>
      </c>
      <c r="D1205" t="s">
        <v>38</v>
      </c>
      <c r="E1205" t="s">
        <v>30</v>
      </c>
      <c r="F1205">
        <v>82</v>
      </c>
      <c r="G1205" t="s">
        <v>136</v>
      </c>
      <c r="H1205" t="s">
        <v>32</v>
      </c>
      <c r="I1205" t="s">
        <v>109</v>
      </c>
      <c r="J1205" t="s">
        <v>13</v>
      </c>
      <c r="K1205">
        <v>3.7</v>
      </c>
      <c r="L1205" t="s">
        <v>140</v>
      </c>
      <c r="M1205" t="s">
        <v>26</v>
      </c>
      <c r="N1205" t="s">
        <v>14</v>
      </c>
      <c r="O1205">
        <v>23</v>
      </c>
      <c r="P1205" t="s">
        <v>63</v>
      </c>
      <c r="Q1205" t="s">
        <v>37</v>
      </c>
      <c r="R1205" t="str" cm="1">
        <f t="array" ref="R1205">_xlfn.IFS(B1205&lt;31,"Young-Adult",B1205&lt;41,"Adult",B1205&lt;61,"Middle-aged",B1205&gt;=61,"Senior")</f>
        <v>Adult</v>
      </c>
      <c r="S1205" cm="1">
        <f t="array" ref="S1205">_xlfn.IFS(Q1205 ="Fortnightly",14,Q1205="Weekly",7,Q1205="Monthly",30,Q1205="Quarterly",90,Q1205="Bi-Weekly",14,Q1205="Annually",365,Q1205="Every 3 Months",90,TRUE,"NOT FOUND")</f>
        <v>365</v>
      </c>
    </row>
    <row r="1206" spans="1:19" x14ac:dyDescent="0.35">
      <c r="A1206">
        <v>1205</v>
      </c>
      <c r="B1206">
        <v>67</v>
      </c>
      <c r="C1206" t="s">
        <v>7</v>
      </c>
      <c r="D1206" t="s">
        <v>121</v>
      </c>
      <c r="E1206" t="s">
        <v>55</v>
      </c>
      <c r="F1206">
        <v>94</v>
      </c>
      <c r="G1206" t="s">
        <v>91</v>
      </c>
      <c r="H1206" t="s">
        <v>32</v>
      </c>
      <c r="I1206" t="s">
        <v>57</v>
      </c>
      <c r="J1206" t="s">
        <v>25</v>
      </c>
      <c r="K1206">
        <v>3.2</v>
      </c>
      <c r="L1206" t="s">
        <v>140</v>
      </c>
      <c r="M1206" t="s">
        <v>58</v>
      </c>
      <c r="N1206" t="s">
        <v>14</v>
      </c>
      <c r="O1206">
        <v>20</v>
      </c>
      <c r="P1206" t="s">
        <v>27</v>
      </c>
      <c r="Q1206" t="s">
        <v>85</v>
      </c>
      <c r="R1206" t="str" cm="1">
        <f t="array" ref="R1206">_xlfn.IFS(B1206&lt;31,"Young-Adult",B1206&lt;41,"Adult",B1206&lt;61,"Middle-aged",B1206&gt;=61,"Senior")</f>
        <v>Senior</v>
      </c>
      <c r="S1206" cm="1">
        <f t="array" ref="S1206">_xlfn.IFS(Q1206 ="Fortnightly",14,Q1206="Weekly",7,Q1206="Monthly",30,Q1206="Quarterly",90,Q1206="Bi-Weekly",14,Q1206="Annually",365,Q1206="Every 3 Months",90,TRUE,"NOT FOUND")</f>
        <v>90</v>
      </c>
    </row>
    <row r="1207" spans="1:19" x14ac:dyDescent="0.35">
      <c r="A1207">
        <v>1206</v>
      </c>
      <c r="B1207">
        <v>52</v>
      </c>
      <c r="C1207" t="s">
        <v>7</v>
      </c>
      <c r="D1207" t="s">
        <v>54</v>
      </c>
      <c r="E1207" t="s">
        <v>55</v>
      </c>
      <c r="F1207">
        <v>99</v>
      </c>
      <c r="G1207" t="s">
        <v>87</v>
      </c>
      <c r="H1207" t="s">
        <v>32</v>
      </c>
      <c r="I1207" t="s">
        <v>66</v>
      </c>
      <c r="J1207" t="s">
        <v>25</v>
      </c>
      <c r="K1207">
        <v>3.5</v>
      </c>
      <c r="L1207" t="s">
        <v>140</v>
      </c>
      <c r="M1207" t="s">
        <v>42</v>
      </c>
      <c r="N1207" t="s">
        <v>14</v>
      </c>
      <c r="O1207">
        <v>38</v>
      </c>
      <c r="P1207" t="s">
        <v>63</v>
      </c>
      <c r="Q1207" t="s">
        <v>17</v>
      </c>
      <c r="R1207" t="str" cm="1">
        <f t="array" ref="R1207">_xlfn.IFS(B1207&lt;31,"Young-Adult",B1207&lt;41,"Adult",B1207&lt;61,"Middle-aged",B1207&gt;=61,"Senior")</f>
        <v>Middle-aged</v>
      </c>
      <c r="S1207" cm="1">
        <f t="array" ref="S1207">_xlfn.IFS(Q1207 ="Fortnightly",14,Q1207="Weekly",7,Q1207="Monthly",30,Q1207="Quarterly",90,Q1207="Bi-Weekly",14,Q1207="Annually",365,Q1207="Every 3 Months",90,TRUE,"NOT FOUND")</f>
        <v>14</v>
      </c>
    </row>
    <row r="1208" spans="1:19" x14ac:dyDescent="0.35">
      <c r="A1208">
        <v>1207</v>
      </c>
      <c r="B1208">
        <v>22</v>
      </c>
      <c r="C1208" t="s">
        <v>7</v>
      </c>
      <c r="D1208" t="s">
        <v>54</v>
      </c>
      <c r="E1208" t="s">
        <v>55</v>
      </c>
      <c r="F1208">
        <v>59</v>
      </c>
      <c r="G1208" t="s">
        <v>79</v>
      </c>
      <c r="H1208" t="s">
        <v>24</v>
      </c>
      <c r="I1208" t="s">
        <v>97</v>
      </c>
      <c r="J1208" t="s">
        <v>45</v>
      </c>
      <c r="K1208">
        <v>3</v>
      </c>
      <c r="L1208" t="s">
        <v>140</v>
      </c>
      <c r="M1208" t="s">
        <v>26</v>
      </c>
      <c r="N1208" t="s">
        <v>14</v>
      </c>
      <c r="O1208">
        <v>16</v>
      </c>
      <c r="P1208" t="s">
        <v>16</v>
      </c>
      <c r="Q1208" t="s">
        <v>85</v>
      </c>
      <c r="R1208" t="str" cm="1">
        <f t="array" ref="R1208">_xlfn.IFS(B1208&lt;31,"Young-Adult",B1208&lt;41,"Adult",B1208&lt;61,"Middle-aged",B1208&gt;=61,"Senior")</f>
        <v>Young-Adult</v>
      </c>
      <c r="S1208" cm="1">
        <f t="array" ref="S1208">_xlfn.IFS(Q1208 ="Fortnightly",14,Q1208="Weekly",7,Q1208="Monthly",30,Q1208="Quarterly",90,Q1208="Bi-Weekly",14,Q1208="Annually",365,Q1208="Every 3 Months",90,TRUE,"NOT FOUND")</f>
        <v>90</v>
      </c>
    </row>
    <row r="1209" spans="1:19" x14ac:dyDescent="0.35">
      <c r="A1209">
        <v>1208</v>
      </c>
      <c r="B1209">
        <v>62</v>
      </c>
      <c r="C1209" t="s">
        <v>7</v>
      </c>
      <c r="D1209" t="s">
        <v>125</v>
      </c>
      <c r="E1209" t="s">
        <v>30</v>
      </c>
      <c r="F1209">
        <v>90</v>
      </c>
      <c r="G1209" t="s">
        <v>137</v>
      </c>
      <c r="H1209" t="s">
        <v>32</v>
      </c>
      <c r="I1209" t="s">
        <v>40</v>
      </c>
      <c r="J1209" t="s">
        <v>41</v>
      </c>
      <c r="K1209">
        <v>4.0999999999999996</v>
      </c>
      <c r="L1209" t="s">
        <v>140</v>
      </c>
      <c r="M1209" t="s">
        <v>33</v>
      </c>
      <c r="N1209" t="s">
        <v>14</v>
      </c>
      <c r="O1209">
        <v>48</v>
      </c>
      <c r="P1209" t="s">
        <v>27</v>
      </c>
      <c r="Q1209" t="s">
        <v>85</v>
      </c>
      <c r="R1209" t="str" cm="1">
        <f t="array" ref="R1209">_xlfn.IFS(B1209&lt;31,"Young-Adult",B1209&lt;41,"Adult",B1209&lt;61,"Middle-aged",B1209&gt;=61,"Senior")</f>
        <v>Senior</v>
      </c>
      <c r="S1209" cm="1">
        <f t="array" ref="S1209">_xlfn.IFS(Q1209 ="Fortnightly",14,Q1209="Weekly",7,Q1209="Monthly",30,Q1209="Quarterly",90,Q1209="Bi-Weekly",14,Q1209="Annually",365,Q1209="Every 3 Months",90,TRUE,"NOT FOUND")</f>
        <v>90</v>
      </c>
    </row>
    <row r="1210" spans="1:19" x14ac:dyDescent="0.35">
      <c r="A1210">
        <v>1209</v>
      </c>
      <c r="B1210">
        <v>20</v>
      </c>
      <c r="C1210" t="s">
        <v>7</v>
      </c>
      <c r="D1210" t="s">
        <v>125</v>
      </c>
      <c r="E1210" t="s">
        <v>30</v>
      </c>
      <c r="F1210">
        <v>100</v>
      </c>
      <c r="G1210" t="s">
        <v>138</v>
      </c>
      <c r="H1210" t="s">
        <v>24</v>
      </c>
      <c r="I1210" t="s">
        <v>96</v>
      </c>
      <c r="J1210" t="s">
        <v>13</v>
      </c>
      <c r="K1210">
        <v>3.8</v>
      </c>
      <c r="L1210" t="s">
        <v>140</v>
      </c>
      <c r="M1210" t="s">
        <v>58</v>
      </c>
      <c r="N1210" t="s">
        <v>14</v>
      </c>
      <c r="O1210">
        <v>8</v>
      </c>
      <c r="P1210" t="s">
        <v>74</v>
      </c>
      <c r="Q1210" t="s">
        <v>37</v>
      </c>
      <c r="R1210" t="str" cm="1">
        <f t="array" ref="R1210">_xlfn.IFS(B1210&lt;31,"Young-Adult",B1210&lt;41,"Adult",B1210&lt;61,"Middle-aged",B1210&gt;=61,"Senior")</f>
        <v>Young-Adult</v>
      </c>
      <c r="S1210" cm="1">
        <f t="array" ref="S1210">_xlfn.IFS(Q1210 ="Fortnightly",14,Q1210="Weekly",7,Q1210="Monthly",30,Q1210="Quarterly",90,Q1210="Bi-Weekly",14,Q1210="Annually",365,Q1210="Every 3 Months",90,TRUE,"NOT FOUND")</f>
        <v>365</v>
      </c>
    </row>
    <row r="1211" spans="1:19" x14ac:dyDescent="0.35">
      <c r="A1211">
        <v>1210</v>
      </c>
      <c r="B1211">
        <v>41</v>
      </c>
      <c r="C1211" t="s">
        <v>7</v>
      </c>
      <c r="D1211" t="s">
        <v>83</v>
      </c>
      <c r="E1211" t="s">
        <v>9</v>
      </c>
      <c r="F1211">
        <v>62</v>
      </c>
      <c r="G1211" t="s">
        <v>126</v>
      </c>
      <c r="H1211" t="s">
        <v>32</v>
      </c>
      <c r="I1211" t="s">
        <v>132</v>
      </c>
      <c r="J1211" t="s">
        <v>13</v>
      </c>
      <c r="K1211">
        <v>3.8</v>
      </c>
      <c r="L1211" t="s">
        <v>140</v>
      </c>
      <c r="M1211" t="s">
        <v>33</v>
      </c>
      <c r="N1211" t="s">
        <v>14</v>
      </c>
      <c r="O1211">
        <v>16</v>
      </c>
      <c r="P1211" t="s">
        <v>63</v>
      </c>
      <c r="Q1211" t="s">
        <v>76</v>
      </c>
      <c r="R1211" t="str" cm="1">
        <f t="array" ref="R1211">_xlfn.IFS(B1211&lt;31,"Young-Adult",B1211&lt;41,"Adult",B1211&lt;61,"Middle-aged",B1211&gt;=61,"Senior")</f>
        <v>Middle-aged</v>
      </c>
      <c r="S1211" cm="1">
        <f t="array" ref="S1211">_xlfn.IFS(Q1211 ="Fortnightly",14,Q1211="Weekly",7,Q1211="Monthly",30,Q1211="Quarterly",90,Q1211="Bi-Weekly",14,Q1211="Annually",365,Q1211="Every 3 Months",90,TRUE,"NOT FOUND")</f>
        <v>30</v>
      </c>
    </row>
    <row r="1212" spans="1:19" x14ac:dyDescent="0.35">
      <c r="A1212">
        <v>1211</v>
      </c>
      <c r="B1212">
        <v>34</v>
      </c>
      <c r="C1212" t="s">
        <v>7</v>
      </c>
      <c r="D1212" t="s">
        <v>77</v>
      </c>
      <c r="E1212" t="s">
        <v>55</v>
      </c>
      <c r="F1212">
        <v>78</v>
      </c>
      <c r="G1212" t="s">
        <v>56</v>
      </c>
      <c r="H1212" t="s">
        <v>32</v>
      </c>
      <c r="I1212" t="s">
        <v>66</v>
      </c>
      <c r="J1212" t="s">
        <v>45</v>
      </c>
      <c r="K1212">
        <v>4.0999999999999996</v>
      </c>
      <c r="L1212" t="s">
        <v>140</v>
      </c>
      <c r="M1212" t="s">
        <v>33</v>
      </c>
      <c r="N1212" t="s">
        <v>14</v>
      </c>
      <c r="O1212">
        <v>5</v>
      </c>
      <c r="P1212" t="s">
        <v>21</v>
      </c>
      <c r="Q1212" t="s">
        <v>46</v>
      </c>
      <c r="R1212" t="str" cm="1">
        <f t="array" ref="R1212">_xlfn.IFS(B1212&lt;31,"Young-Adult",B1212&lt;41,"Adult",B1212&lt;61,"Middle-aged",B1212&gt;=61,"Senior")</f>
        <v>Adult</v>
      </c>
      <c r="S1212" cm="1">
        <f t="array" ref="S1212">_xlfn.IFS(Q1212 ="Fortnightly",14,Q1212="Weekly",7,Q1212="Monthly",30,Q1212="Quarterly",90,Q1212="Bi-Weekly",14,Q1212="Annually",365,Q1212="Every 3 Months",90,TRUE,"NOT FOUND")</f>
        <v>90</v>
      </c>
    </row>
    <row r="1213" spans="1:19" x14ac:dyDescent="0.35">
      <c r="A1213">
        <v>1212</v>
      </c>
      <c r="B1213">
        <v>23</v>
      </c>
      <c r="C1213" t="s">
        <v>7</v>
      </c>
      <c r="D1213" t="s">
        <v>92</v>
      </c>
      <c r="E1213" t="s">
        <v>9</v>
      </c>
      <c r="F1213">
        <v>94</v>
      </c>
      <c r="G1213" t="s">
        <v>89</v>
      </c>
      <c r="H1213" t="s">
        <v>32</v>
      </c>
      <c r="I1213" t="s">
        <v>84</v>
      </c>
      <c r="J1213" t="s">
        <v>25</v>
      </c>
      <c r="K1213">
        <v>4.5999999999999996</v>
      </c>
      <c r="L1213" t="s">
        <v>140</v>
      </c>
      <c r="M1213" t="s">
        <v>62</v>
      </c>
      <c r="N1213" t="s">
        <v>14</v>
      </c>
      <c r="O1213">
        <v>14</v>
      </c>
      <c r="P1213" t="s">
        <v>16</v>
      </c>
      <c r="Q1213" t="s">
        <v>85</v>
      </c>
      <c r="R1213" t="str" cm="1">
        <f t="array" ref="R1213">_xlfn.IFS(B1213&lt;31,"Young-Adult",B1213&lt;41,"Adult",B1213&lt;61,"Middle-aged",B1213&gt;=61,"Senior")</f>
        <v>Young-Adult</v>
      </c>
      <c r="S1213" cm="1">
        <f t="array" ref="S1213">_xlfn.IFS(Q1213 ="Fortnightly",14,Q1213="Weekly",7,Q1213="Monthly",30,Q1213="Quarterly",90,Q1213="Bi-Weekly",14,Q1213="Annually",365,Q1213="Every 3 Months",90,TRUE,"NOT FOUND")</f>
        <v>90</v>
      </c>
    </row>
    <row r="1214" spans="1:19" x14ac:dyDescent="0.35">
      <c r="A1214">
        <v>1213</v>
      </c>
      <c r="B1214">
        <v>32</v>
      </c>
      <c r="C1214" t="s">
        <v>7</v>
      </c>
      <c r="D1214" t="s">
        <v>59</v>
      </c>
      <c r="E1214" t="s">
        <v>30</v>
      </c>
      <c r="F1214">
        <v>74</v>
      </c>
      <c r="G1214" t="s">
        <v>126</v>
      </c>
      <c r="H1214" t="s">
        <v>32</v>
      </c>
      <c r="I1214" t="s">
        <v>122</v>
      </c>
      <c r="J1214" t="s">
        <v>41</v>
      </c>
      <c r="K1214">
        <v>2.5</v>
      </c>
      <c r="L1214" t="s">
        <v>140</v>
      </c>
      <c r="M1214" t="s">
        <v>26</v>
      </c>
      <c r="N1214" t="s">
        <v>14</v>
      </c>
      <c r="O1214">
        <v>18</v>
      </c>
      <c r="P1214" t="s">
        <v>27</v>
      </c>
      <c r="Q1214" t="s">
        <v>28</v>
      </c>
      <c r="R1214" t="str" cm="1">
        <f t="array" ref="R1214">_xlfn.IFS(B1214&lt;31,"Young-Adult",B1214&lt;41,"Adult",B1214&lt;61,"Middle-aged",B1214&gt;=61,"Senior")</f>
        <v>Adult</v>
      </c>
      <c r="S1214" cm="1">
        <f t="array" ref="S1214">_xlfn.IFS(Q1214 ="Fortnightly",14,Q1214="Weekly",7,Q1214="Monthly",30,Q1214="Quarterly",90,Q1214="Bi-Weekly",14,Q1214="Annually",365,Q1214="Every 3 Months",90,TRUE,"NOT FOUND")</f>
        <v>7</v>
      </c>
    </row>
    <row r="1215" spans="1:19" x14ac:dyDescent="0.35">
      <c r="A1215">
        <v>1214</v>
      </c>
      <c r="B1215">
        <v>68</v>
      </c>
      <c r="C1215" t="s">
        <v>7</v>
      </c>
      <c r="D1215" t="s">
        <v>54</v>
      </c>
      <c r="E1215" t="s">
        <v>55</v>
      </c>
      <c r="F1215">
        <v>52</v>
      </c>
      <c r="G1215" t="s">
        <v>10</v>
      </c>
      <c r="H1215" t="s">
        <v>80</v>
      </c>
      <c r="I1215" t="s">
        <v>82</v>
      </c>
      <c r="J1215" t="s">
        <v>25</v>
      </c>
      <c r="K1215">
        <v>3.7</v>
      </c>
      <c r="L1215" t="s">
        <v>140</v>
      </c>
      <c r="M1215" t="s">
        <v>15</v>
      </c>
      <c r="N1215" t="s">
        <v>14</v>
      </c>
      <c r="O1215">
        <v>14</v>
      </c>
      <c r="P1215" t="s">
        <v>74</v>
      </c>
      <c r="Q1215" t="s">
        <v>85</v>
      </c>
      <c r="R1215" t="str" cm="1">
        <f t="array" ref="R1215">_xlfn.IFS(B1215&lt;31,"Young-Adult",B1215&lt;41,"Adult",B1215&lt;61,"Middle-aged",B1215&gt;=61,"Senior")</f>
        <v>Senior</v>
      </c>
      <c r="S1215" cm="1">
        <f t="array" ref="S1215">_xlfn.IFS(Q1215 ="Fortnightly",14,Q1215="Weekly",7,Q1215="Monthly",30,Q1215="Quarterly",90,Q1215="Bi-Weekly",14,Q1215="Annually",365,Q1215="Every 3 Months",90,TRUE,"NOT FOUND")</f>
        <v>90</v>
      </c>
    </row>
    <row r="1216" spans="1:19" x14ac:dyDescent="0.35">
      <c r="A1216">
        <v>1215</v>
      </c>
      <c r="B1216">
        <v>30</v>
      </c>
      <c r="C1216" t="s">
        <v>7</v>
      </c>
      <c r="D1216" t="s">
        <v>90</v>
      </c>
      <c r="E1216" t="s">
        <v>51</v>
      </c>
      <c r="F1216">
        <v>81</v>
      </c>
      <c r="G1216" t="s">
        <v>117</v>
      </c>
      <c r="H1216" t="s">
        <v>32</v>
      </c>
      <c r="I1216" t="s">
        <v>132</v>
      </c>
      <c r="J1216" t="s">
        <v>45</v>
      </c>
      <c r="K1216">
        <v>3.8</v>
      </c>
      <c r="L1216" t="s">
        <v>140</v>
      </c>
      <c r="M1216" t="s">
        <v>26</v>
      </c>
      <c r="N1216" t="s">
        <v>14</v>
      </c>
      <c r="O1216">
        <v>5</v>
      </c>
      <c r="P1216" t="s">
        <v>21</v>
      </c>
      <c r="Q1216" t="s">
        <v>85</v>
      </c>
      <c r="R1216" t="str" cm="1">
        <f t="array" ref="R1216">_xlfn.IFS(B1216&lt;31,"Young-Adult",B1216&lt;41,"Adult",B1216&lt;61,"Middle-aged",B1216&gt;=61,"Senior")</f>
        <v>Young-Adult</v>
      </c>
      <c r="S1216" cm="1">
        <f t="array" ref="S1216">_xlfn.IFS(Q1216 ="Fortnightly",14,Q1216="Weekly",7,Q1216="Monthly",30,Q1216="Quarterly",90,Q1216="Bi-Weekly",14,Q1216="Annually",365,Q1216="Every 3 Months",90,TRUE,"NOT FOUND")</f>
        <v>90</v>
      </c>
    </row>
    <row r="1217" spans="1:19" x14ac:dyDescent="0.35">
      <c r="A1217">
        <v>1216</v>
      </c>
      <c r="B1217">
        <v>66</v>
      </c>
      <c r="C1217" t="s">
        <v>7</v>
      </c>
      <c r="D1217" t="s">
        <v>8</v>
      </c>
      <c r="E1217" t="s">
        <v>9</v>
      </c>
      <c r="F1217">
        <v>20</v>
      </c>
      <c r="G1217" t="s">
        <v>35</v>
      </c>
      <c r="H1217" t="s">
        <v>11</v>
      </c>
      <c r="I1217" t="s">
        <v>57</v>
      </c>
      <c r="J1217" t="s">
        <v>13</v>
      </c>
      <c r="K1217">
        <v>2.6</v>
      </c>
      <c r="L1217" t="s">
        <v>140</v>
      </c>
      <c r="M1217" t="s">
        <v>58</v>
      </c>
      <c r="N1217" t="s">
        <v>14</v>
      </c>
      <c r="O1217">
        <v>15</v>
      </c>
      <c r="P1217" t="s">
        <v>27</v>
      </c>
      <c r="Q1217" t="s">
        <v>85</v>
      </c>
      <c r="R1217" t="str" cm="1">
        <f t="array" ref="R1217">_xlfn.IFS(B1217&lt;31,"Young-Adult",B1217&lt;41,"Adult",B1217&lt;61,"Middle-aged",B1217&gt;=61,"Senior")</f>
        <v>Senior</v>
      </c>
      <c r="S1217" cm="1">
        <f t="array" ref="S1217">_xlfn.IFS(Q1217 ="Fortnightly",14,Q1217="Weekly",7,Q1217="Monthly",30,Q1217="Quarterly",90,Q1217="Bi-Weekly",14,Q1217="Annually",365,Q1217="Every 3 Months",90,TRUE,"NOT FOUND")</f>
        <v>90</v>
      </c>
    </row>
    <row r="1218" spans="1:19" x14ac:dyDescent="0.35">
      <c r="A1218">
        <v>1217</v>
      </c>
      <c r="B1218">
        <v>62</v>
      </c>
      <c r="C1218" t="s">
        <v>7</v>
      </c>
      <c r="D1218" t="s">
        <v>83</v>
      </c>
      <c r="E1218" t="s">
        <v>9</v>
      </c>
      <c r="F1218">
        <v>32</v>
      </c>
      <c r="G1218" t="s">
        <v>128</v>
      </c>
      <c r="H1218" t="s">
        <v>80</v>
      </c>
      <c r="I1218" t="s">
        <v>81</v>
      </c>
      <c r="J1218" t="s">
        <v>41</v>
      </c>
      <c r="K1218">
        <v>3.7</v>
      </c>
      <c r="L1218" t="s">
        <v>140</v>
      </c>
      <c r="M1218" t="s">
        <v>26</v>
      </c>
      <c r="N1218" t="s">
        <v>14</v>
      </c>
      <c r="O1218">
        <v>3</v>
      </c>
      <c r="P1218" t="s">
        <v>16</v>
      </c>
      <c r="Q1218" t="s">
        <v>85</v>
      </c>
      <c r="R1218" t="str" cm="1">
        <f t="array" ref="R1218">_xlfn.IFS(B1218&lt;31,"Young-Adult",B1218&lt;41,"Adult",B1218&lt;61,"Middle-aged",B1218&gt;=61,"Senior")</f>
        <v>Senior</v>
      </c>
      <c r="S1218" cm="1">
        <f t="array" ref="S1218">_xlfn.IFS(Q1218 ="Fortnightly",14,Q1218="Weekly",7,Q1218="Monthly",30,Q1218="Quarterly",90,Q1218="Bi-Weekly",14,Q1218="Annually",365,Q1218="Every 3 Months",90,TRUE,"NOT FOUND")</f>
        <v>90</v>
      </c>
    </row>
    <row r="1219" spans="1:19" x14ac:dyDescent="0.35">
      <c r="A1219">
        <v>1218</v>
      </c>
      <c r="B1219">
        <v>50</v>
      </c>
      <c r="C1219" t="s">
        <v>7</v>
      </c>
      <c r="D1219" t="s">
        <v>125</v>
      </c>
      <c r="E1219" t="s">
        <v>30</v>
      </c>
      <c r="F1219">
        <v>63</v>
      </c>
      <c r="G1219" t="s">
        <v>133</v>
      </c>
      <c r="H1219" t="s">
        <v>80</v>
      </c>
      <c r="I1219" t="s">
        <v>97</v>
      </c>
      <c r="J1219" t="s">
        <v>45</v>
      </c>
      <c r="K1219">
        <v>2.6</v>
      </c>
      <c r="L1219" t="s">
        <v>140</v>
      </c>
      <c r="M1219" t="s">
        <v>26</v>
      </c>
      <c r="N1219" t="s">
        <v>14</v>
      </c>
      <c r="O1219">
        <v>12</v>
      </c>
      <c r="P1219" t="s">
        <v>21</v>
      </c>
      <c r="Q1219" t="s">
        <v>85</v>
      </c>
      <c r="R1219" t="str" cm="1">
        <f t="array" ref="R1219">_xlfn.IFS(B1219&lt;31,"Young-Adult",B1219&lt;41,"Adult",B1219&lt;61,"Middle-aged",B1219&gt;=61,"Senior")</f>
        <v>Middle-aged</v>
      </c>
      <c r="S1219" cm="1">
        <f t="array" ref="S1219">_xlfn.IFS(Q1219 ="Fortnightly",14,Q1219="Weekly",7,Q1219="Monthly",30,Q1219="Quarterly",90,Q1219="Bi-Weekly",14,Q1219="Annually",365,Q1219="Every 3 Months",90,TRUE,"NOT FOUND")</f>
        <v>90</v>
      </c>
    </row>
    <row r="1220" spans="1:19" x14ac:dyDescent="0.35">
      <c r="A1220">
        <v>1219</v>
      </c>
      <c r="B1220">
        <v>55</v>
      </c>
      <c r="C1220" t="s">
        <v>7</v>
      </c>
      <c r="D1220" t="s">
        <v>125</v>
      </c>
      <c r="E1220" t="s">
        <v>30</v>
      </c>
      <c r="F1220">
        <v>79</v>
      </c>
      <c r="G1220" t="s">
        <v>126</v>
      </c>
      <c r="H1220" t="s">
        <v>32</v>
      </c>
      <c r="I1220" t="s">
        <v>97</v>
      </c>
      <c r="J1220" t="s">
        <v>25</v>
      </c>
      <c r="K1220">
        <v>3.1</v>
      </c>
      <c r="L1220" t="s">
        <v>140</v>
      </c>
      <c r="M1220" t="s">
        <v>62</v>
      </c>
      <c r="N1220" t="s">
        <v>14</v>
      </c>
      <c r="O1220">
        <v>43</v>
      </c>
      <c r="P1220" t="s">
        <v>21</v>
      </c>
      <c r="Q1220" t="s">
        <v>85</v>
      </c>
      <c r="R1220" t="str" cm="1">
        <f t="array" ref="R1220">_xlfn.IFS(B1220&lt;31,"Young-Adult",B1220&lt;41,"Adult",B1220&lt;61,"Middle-aged",B1220&gt;=61,"Senior")</f>
        <v>Middle-aged</v>
      </c>
      <c r="S1220" cm="1">
        <f t="array" ref="S1220">_xlfn.IFS(Q1220 ="Fortnightly",14,Q1220="Weekly",7,Q1220="Monthly",30,Q1220="Quarterly",90,Q1220="Bi-Weekly",14,Q1220="Annually",365,Q1220="Every 3 Months",90,TRUE,"NOT FOUND")</f>
        <v>90</v>
      </c>
    </row>
    <row r="1221" spans="1:19" x14ac:dyDescent="0.35">
      <c r="A1221">
        <v>1220</v>
      </c>
      <c r="B1221">
        <v>19</v>
      </c>
      <c r="C1221" t="s">
        <v>7</v>
      </c>
      <c r="D1221" t="s">
        <v>18</v>
      </c>
      <c r="E1221" t="s">
        <v>9</v>
      </c>
      <c r="F1221">
        <v>23</v>
      </c>
      <c r="G1221" t="s">
        <v>117</v>
      </c>
      <c r="H1221" t="s">
        <v>32</v>
      </c>
      <c r="I1221" t="s">
        <v>68</v>
      </c>
      <c r="J1221" t="s">
        <v>13</v>
      </c>
      <c r="K1221">
        <v>2.5</v>
      </c>
      <c r="L1221" t="s">
        <v>140</v>
      </c>
      <c r="M1221" t="s">
        <v>33</v>
      </c>
      <c r="N1221" t="s">
        <v>14</v>
      </c>
      <c r="O1221">
        <v>35</v>
      </c>
      <c r="P1221" t="s">
        <v>27</v>
      </c>
      <c r="Q1221" t="s">
        <v>64</v>
      </c>
      <c r="R1221" t="str" cm="1">
        <f t="array" ref="R1221">_xlfn.IFS(B1221&lt;31,"Young-Adult",B1221&lt;41,"Adult",B1221&lt;61,"Middle-aged",B1221&gt;=61,"Senior")</f>
        <v>Young-Adult</v>
      </c>
      <c r="S1221" cm="1">
        <f t="array" ref="S1221">_xlfn.IFS(Q1221 ="Fortnightly",14,Q1221="Weekly",7,Q1221="Monthly",30,Q1221="Quarterly",90,Q1221="Bi-Weekly",14,Q1221="Annually",365,Q1221="Every 3 Months",90,TRUE,"NOT FOUND")</f>
        <v>14</v>
      </c>
    </row>
    <row r="1222" spans="1:19" x14ac:dyDescent="0.35">
      <c r="A1222">
        <v>1221</v>
      </c>
      <c r="B1222">
        <v>67</v>
      </c>
      <c r="C1222" t="s">
        <v>7</v>
      </c>
      <c r="D1222" t="s">
        <v>131</v>
      </c>
      <c r="E1222" t="s">
        <v>55</v>
      </c>
      <c r="F1222">
        <v>64</v>
      </c>
      <c r="G1222" t="s">
        <v>10</v>
      </c>
      <c r="H1222" t="s">
        <v>32</v>
      </c>
      <c r="I1222" t="s">
        <v>84</v>
      </c>
      <c r="J1222" t="s">
        <v>13</v>
      </c>
      <c r="K1222">
        <v>3.8</v>
      </c>
      <c r="L1222" t="s">
        <v>140</v>
      </c>
      <c r="M1222" t="s">
        <v>15</v>
      </c>
      <c r="N1222" t="s">
        <v>14</v>
      </c>
      <c r="O1222">
        <v>36</v>
      </c>
      <c r="P1222" t="s">
        <v>63</v>
      </c>
      <c r="Q1222" t="s">
        <v>46</v>
      </c>
      <c r="R1222" t="str" cm="1">
        <f t="array" ref="R1222">_xlfn.IFS(B1222&lt;31,"Young-Adult",B1222&lt;41,"Adult",B1222&lt;61,"Middle-aged",B1222&gt;=61,"Senior")</f>
        <v>Senior</v>
      </c>
      <c r="S1222" cm="1">
        <f t="array" ref="S1222">_xlfn.IFS(Q1222 ="Fortnightly",14,Q1222="Weekly",7,Q1222="Monthly",30,Q1222="Quarterly",90,Q1222="Bi-Weekly",14,Q1222="Annually",365,Q1222="Every 3 Months",90,TRUE,"NOT FOUND")</f>
        <v>90</v>
      </c>
    </row>
    <row r="1223" spans="1:19" x14ac:dyDescent="0.35">
      <c r="A1223">
        <v>1222</v>
      </c>
      <c r="B1223">
        <v>18</v>
      </c>
      <c r="C1223" t="s">
        <v>7</v>
      </c>
      <c r="D1223" t="s">
        <v>113</v>
      </c>
      <c r="E1223" t="s">
        <v>9</v>
      </c>
      <c r="F1223">
        <v>69</v>
      </c>
      <c r="G1223" t="s">
        <v>134</v>
      </c>
      <c r="H1223" t="s">
        <v>32</v>
      </c>
      <c r="I1223" t="s">
        <v>96</v>
      </c>
      <c r="J1223" t="s">
        <v>13</v>
      </c>
      <c r="K1223">
        <v>4.5</v>
      </c>
      <c r="L1223" t="s">
        <v>140</v>
      </c>
      <c r="M1223" t="s">
        <v>42</v>
      </c>
      <c r="N1223" t="s">
        <v>14</v>
      </c>
      <c r="O1223">
        <v>3</v>
      </c>
      <c r="P1223" t="s">
        <v>21</v>
      </c>
      <c r="Q1223" t="s">
        <v>46</v>
      </c>
      <c r="R1223" t="str" cm="1">
        <f t="array" ref="R1223">_xlfn.IFS(B1223&lt;31,"Young-Adult",B1223&lt;41,"Adult",B1223&lt;61,"Middle-aged",B1223&gt;=61,"Senior")</f>
        <v>Young-Adult</v>
      </c>
      <c r="S1223" cm="1">
        <f t="array" ref="S1223">_xlfn.IFS(Q1223 ="Fortnightly",14,Q1223="Weekly",7,Q1223="Monthly",30,Q1223="Quarterly",90,Q1223="Bi-Weekly",14,Q1223="Annually",365,Q1223="Every 3 Months",90,TRUE,"NOT FOUND")</f>
        <v>90</v>
      </c>
    </row>
    <row r="1224" spans="1:19" x14ac:dyDescent="0.35">
      <c r="A1224">
        <v>1223</v>
      </c>
      <c r="B1224">
        <v>58</v>
      </c>
      <c r="C1224" t="s">
        <v>7</v>
      </c>
      <c r="D1224" t="s">
        <v>22</v>
      </c>
      <c r="E1224" t="s">
        <v>9</v>
      </c>
      <c r="F1224">
        <v>69</v>
      </c>
      <c r="G1224" t="s">
        <v>104</v>
      </c>
      <c r="H1224" t="s">
        <v>11</v>
      </c>
      <c r="I1224" t="s">
        <v>124</v>
      </c>
      <c r="J1224" t="s">
        <v>45</v>
      </c>
      <c r="K1224">
        <v>3.4</v>
      </c>
      <c r="L1224" t="s">
        <v>140</v>
      </c>
      <c r="M1224" t="s">
        <v>62</v>
      </c>
      <c r="N1224" t="s">
        <v>14</v>
      </c>
      <c r="O1224">
        <v>27</v>
      </c>
      <c r="P1224" t="s">
        <v>63</v>
      </c>
      <c r="Q1224" t="s">
        <v>37</v>
      </c>
      <c r="R1224" t="str" cm="1">
        <f t="array" ref="R1224">_xlfn.IFS(B1224&lt;31,"Young-Adult",B1224&lt;41,"Adult",B1224&lt;61,"Middle-aged",B1224&gt;=61,"Senior")</f>
        <v>Middle-aged</v>
      </c>
      <c r="S1224" cm="1">
        <f t="array" ref="S1224">_xlfn.IFS(Q1224 ="Fortnightly",14,Q1224="Weekly",7,Q1224="Monthly",30,Q1224="Quarterly",90,Q1224="Bi-Weekly",14,Q1224="Annually",365,Q1224="Every 3 Months",90,TRUE,"NOT FOUND")</f>
        <v>365</v>
      </c>
    </row>
    <row r="1225" spans="1:19" x14ac:dyDescent="0.35">
      <c r="A1225">
        <v>1224</v>
      </c>
      <c r="B1225">
        <v>69</v>
      </c>
      <c r="C1225" t="s">
        <v>7</v>
      </c>
      <c r="D1225" t="s">
        <v>83</v>
      </c>
      <c r="E1225" t="s">
        <v>9</v>
      </c>
      <c r="F1225">
        <v>24</v>
      </c>
      <c r="G1225" t="s">
        <v>99</v>
      </c>
      <c r="H1225" t="s">
        <v>11</v>
      </c>
      <c r="I1225" t="s">
        <v>96</v>
      </c>
      <c r="J1225" t="s">
        <v>13</v>
      </c>
      <c r="K1225">
        <v>3.9</v>
      </c>
      <c r="L1225" t="s">
        <v>140</v>
      </c>
      <c r="M1225" t="s">
        <v>26</v>
      </c>
      <c r="N1225" t="s">
        <v>14</v>
      </c>
      <c r="O1225">
        <v>21</v>
      </c>
      <c r="P1225" t="s">
        <v>63</v>
      </c>
      <c r="Q1225" t="s">
        <v>28</v>
      </c>
      <c r="R1225" t="str" cm="1">
        <f t="array" ref="R1225">_xlfn.IFS(B1225&lt;31,"Young-Adult",B1225&lt;41,"Adult",B1225&lt;61,"Middle-aged",B1225&gt;=61,"Senior")</f>
        <v>Senior</v>
      </c>
      <c r="S1225" cm="1">
        <f t="array" ref="S1225">_xlfn.IFS(Q1225 ="Fortnightly",14,Q1225="Weekly",7,Q1225="Monthly",30,Q1225="Quarterly",90,Q1225="Bi-Weekly",14,Q1225="Annually",365,Q1225="Every 3 Months",90,TRUE,"NOT FOUND")</f>
        <v>7</v>
      </c>
    </row>
    <row r="1226" spans="1:19" x14ac:dyDescent="0.35">
      <c r="A1226">
        <v>1225</v>
      </c>
      <c r="B1226">
        <v>62</v>
      </c>
      <c r="C1226" t="s">
        <v>7</v>
      </c>
      <c r="D1226" t="s">
        <v>47</v>
      </c>
      <c r="E1226" t="s">
        <v>9</v>
      </c>
      <c r="F1226">
        <v>50</v>
      </c>
      <c r="G1226" t="s">
        <v>103</v>
      </c>
      <c r="H1226" t="s">
        <v>32</v>
      </c>
      <c r="I1226" t="s">
        <v>122</v>
      </c>
      <c r="J1226" t="s">
        <v>41</v>
      </c>
      <c r="K1226">
        <v>3.7</v>
      </c>
      <c r="L1226" t="s">
        <v>140</v>
      </c>
      <c r="M1226" t="s">
        <v>62</v>
      </c>
      <c r="N1226" t="s">
        <v>14</v>
      </c>
      <c r="O1226">
        <v>18</v>
      </c>
      <c r="P1226" t="s">
        <v>16</v>
      </c>
      <c r="Q1226" t="s">
        <v>28</v>
      </c>
      <c r="R1226" t="str" cm="1">
        <f t="array" ref="R1226">_xlfn.IFS(B1226&lt;31,"Young-Adult",B1226&lt;41,"Adult",B1226&lt;61,"Middle-aged",B1226&gt;=61,"Senior")</f>
        <v>Senior</v>
      </c>
      <c r="S1226" cm="1">
        <f t="array" ref="S1226">_xlfn.IFS(Q1226 ="Fortnightly",14,Q1226="Weekly",7,Q1226="Monthly",30,Q1226="Quarterly",90,Q1226="Bi-Weekly",14,Q1226="Annually",365,Q1226="Every 3 Months",90,TRUE,"NOT FOUND")</f>
        <v>7</v>
      </c>
    </row>
    <row r="1227" spans="1:19" x14ac:dyDescent="0.35">
      <c r="A1227">
        <v>1226</v>
      </c>
      <c r="B1227">
        <v>28</v>
      </c>
      <c r="C1227" t="s">
        <v>7</v>
      </c>
      <c r="D1227" t="s">
        <v>131</v>
      </c>
      <c r="E1227" t="s">
        <v>55</v>
      </c>
      <c r="F1227">
        <v>97</v>
      </c>
      <c r="G1227" t="s">
        <v>86</v>
      </c>
      <c r="H1227" t="s">
        <v>24</v>
      </c>
      <c r="I1227" t="s">
        <v>36</v>
      </c>
      <c r="J1227" t="s">
        <v>45</v>
      </c>
      <c r="K1227">
        <v>2.6</v>
      </c>
      <c r="L1227" t="s">
        <v>140</v>
      </c>
      <c r="M1227" t="s">
        <v>26</v>
      </c>
      <c r="N1227" t="s">
        <v>14</v>
      </c>
      <c r="O1227">
        <v>16</v>
      </c>
      <c r="P1227" t="s">
        <v>74</v>
      </c>
      <c r="Q1227" t="s">
        <v>28</v>
      </c>
      <c r="R1227" t="str" cm="1">
        <f t="array" ref="R1227">_xlfn.IFS(B1227&lt;31,"Young-Adult",B1227&lt;41,"Adult",B1227&lt;61,"Middle-aged",B1227&gt;=61,"Senior")</f>
        <v>Young-Adult</v>
      </c>
      <c r="S1227" cm="1">
        <f t="array" ref="S1227">_xlfn.IFS(Q1227 ="Fortnightly",14,Q1227="Weekly",7,Q1227="Monthly",30,Q1227="Quarterly",90,Q1227="Bi-Weekly",14,Q1227="Annually",365,Q1227="Every 3 Months",90,TRUE,"NOT FOUND")</f>
        <v>7</v>
      </c>
    </row>
    <row r="1228" spans="1:19" x14ac:dyDescent="0.35">
      <c r="A1228">
        <v>1227</v>
      </c>
      <c r="B1228">
        <v>53</v>
      </c>
      <c r="C1228" t="s">
        <v>7</v>
      </c>
      <c r="D1228" t="s">
        <v>29</v>
      </c>
      <c r="E1228" t="s">
        <v>30</v>
      </c>
      <c r="F1228">
        <v>91</v>
      </c>
      <c r="G1228" t="s">
        <v>111</v>
      </c>
      <c r="H1228" t="s">
        <v>24</v>
      </c>
      <c r="I1228" t="s">
        <v>97</v>
      </c>
      <c r="J1228" t="s">
        <v>45</v>
      </c>
      <c r="K1228">
        <v>3.4</v>
      </c>
      <c r="L1228" t="s">
        <v>140</v>
      </c>
      <c r="M1228" t="s">
        <v>62</v>
      </c>
      <c r="N1228" t="s">
        <v>14</v>
      </c>
      <c r="O1228">
        <v>18</v>
      </c>
      <c r="P1228" t="s">
        <v>16</v>
      </c>
      <c r="Q1228" t="s">
        <v>64</v>
      </c>
      <c r="R1228" t="str" cm="1">
        <f t="array" ref="R1228">_xlfn.IFS(B1228&lt;31,"Young-Adult",B1228&lt;41,"Adult",B1228&lt;61,"Middle-aged",B1228&gt;=61,"Senior")</f>
        <v>Middle-aged</v>
      </c>
      <c r="S1228" cm="1">
        <f t="array" ref="S1228">_xlfn.IFS(Q1228 ="Fortnightly",14,Q1228="Weekly",7,Q1228="Monthly",30,Q1228="Quarterly",90,Q1228="Bi-Weekly",14,Q1228="Annually",365,Q1228="Every 3 Months",90,TRUE,"NOT FOUND")</f>
        <v>14</v>
      </c>
    </row>
    <row r="1229" spans="1:19" x14ac:dyDescent="0.35">
      <c r="A1229">
        <v>1228</v>
      </c>
      <c r="B1229">
        <v>27</v>
      </c>
      <c r="C1229" t="s">
        <v>7</v>
      </c>
      <c r="D1229" t="s">
        <v>8</v>
      </c>
      <c r="E1229" t="s">
        <v>9</v>
      </c>
      <c r="F1229">
        <v>37</v>
      </c>
      <c r="G1229" t="s">
        <v>103</v>
      </c>
      <c r="H1229" t="s">
        <v>11</v>
      </c>
      <c r="I1229" t="s">
        <v>122</v>
      </c>
      <c r="J1229" t="s">
        <v>25</v>
      </c>
      <c r="K1229">
        <v>4.9000000000000004</v>
      </c>
      <c r="L1229" t="s">
        <v>140</v>
      </c>
      <c r="M1229" t="s">
        <v>62</v>
      </c>
      <c r="N1229" t="s">
        <v>14</v>
      </c>
      <c r="O1229">
        <v>19</v>
      </c>
      <c r="P1229" t="s">
        <v>63</v>
      </c>
      <c r="Q1229" t="s">
        <v>64</v>
      </c>
      <c r="R1229" t="str" cm="1">
        <f t="array" ref="R1229">_xlfn.IFS(B1229&lt;31,"Young-Adult",B1229&lt;41,"Adult",B1229&lt;61,"Middle-aged",B1229&gt;=61,"Senior")</f>
        <v>Young-Adult</v>
      </c>
      <c r="S1229" cm="1">
        <f t="array" ref="S1229">_xlfn.IFS(Q1229 ="Fortnightly",14,Q1229="Weekly",7,Q1229="Monthly",30,Q1229="Quarterly",90,Q1229="Bi-Weekly",14,Q1229="Annually",365,Q1229="Every 3 Months",90,TRUE,"NOT FOUND")</f>
        <v>14</v>
      </c>
    </row>
    <row r="1230" spans="1:19" x14ac:dyDescent="0.35">
      <c r="A1230">
        <v>1229</v>
      </c>
      <c r="B1230">
        <v>55</v>
      </c>
      <c r="C1230" t="s">
        <v>7</v>
      </c>
      <c r="D1230" t="s">
        <v>90</v>
      </c>
      <c r="E1230" t="s">
        <v>51</v>
      </c>
      <c r="F1230">
        <v>55</v>
      </c>
      <c r="G1230" t="s">
        <v>104</v>
      </c>
      <c r="H1230" t="s">
        <v>24</v>
      </c>
      <c r="I1230" t="s">
        <v>122</v>
      </c>
      <c r="J1230" t="s">
        <v>13</v>
      </c>
      <c r="K1230">
        <v>3.9</v>
      </c>
      <c r="L1230" t="s">
        <v>140</v>
      </c>
      <c r="M1230" t="s">
        <v>15</v>
      </c>
      <c r="N1230" t="s">
        <v>14</v>
      </c>
      <c r="O1230">
        <v>1</v>
      </c>
      <c r="P1230" t="s">
        <v>21</v>
      </c>
      <c r="Q1230" t="s">
        <v>37</v>
      </c>
      <c r="R1230" t="str" cm="1">
        <f t="array" ref="R1230">_xlfn.IFS(B1230&lt;31,"Young-Adult",B1230&lt;41,"Adult",B1230&lt;61,"Middle-aged",B1230&gt;=61,"Senior")</f>
        <v>Middle-aged</v>
      </c>
      <c r="S1230" cm="1">
        <f t="array" ref="S1230">_xlfn.IFS(Q1230 ="Fortnightly",14,Q1230="Weekly",7,Q1230="Monthly",30,Q1230="Quarterly",90,Q1230="Bi-Weekly",14,Q1230="Annually",365,Q1230="Every 3 Months",90,TRUE,"NOT FOUND")</f>
        <v>365</v>
      </c>
    </row>
    <row r="1231" spans="1:19" x14ac:dyDescent="0.35">
      <c r="A1231">
        <v>1230</v>
      </c>
      <c r="B1231">
        <v>34</v>
      </c>
      <c r="C1231" t="s">
        <v>7</v>
      </c>
      <c r="D1231" t="s">
        <v>94</v>
      </c>
      <c r="E1231" t="s">
        <v>55</v>
      </c>
      <c r="F1231">
        <v>52</v>
      </c>
      <c r="G1231" t="s">
        <v>99</v>
      </c>
      <c r="H1231" t="s">
        <v>80</v>
      </c>
      <c r="I1231" t="s">
        <v>20</v>
      </c>
      <c r="J1231" t="s">
        <v>13</v>
      </c>
      <c r="K1231">
        <v>3.6</v>
      </c>
      <c r="L1231" t="s">
        <v>140</v>
      </c>
      <c r="M1231" t="s">
        <v>15</v>
      </c>
      <c r="N1231" t="s">
        <v>14</v>
      </c>
      <c r="O1231">
        <v>39</v>
      </c>
      <c r="P1231" t="s">
        <v>63</v>
      </c>
      <c r="Q1231" t="s">
        <v>37</v>
      </c>
      <c r="R1231" t="str" cm="1">
        <f t="array" ref="R1231">_xlfn.IFS(B1231&lt;31,"Young-Adult",B1231&lt;41,"Adult",B1231&lt;61,"Middle-aged",B1231&gt;=61,"Senior")</f>
        <v>Adult</v>
      </c>
      <c r="S1231" cm="1">
        <f t="array" ref="S1231">_xlfn.IFS(Q1231 ="Fortnightly",14,Q1231="Weekly",7,Q1231="Monthly",30,Q1231="Quarterly",90,Q1231="Bi-Weekly",14,Q1231="Annually",365,Q1231="Every 3 Months",90,TRUE,"NOT FOUND")</f>
        <v>365</v>
      </c>
    </row>
    <row r="1232" spans="1:19" x14ac:dyDescent="0.35">
      <c r="A1232">
        <v>1231</v>
      </c>
      <c r="B1232">
        <v>25</v>
      </c>
      <c r="C1232" t="s">
        <v>7</v>
      </c>
      <c r="D1232" t="s">
        <v>112</v>
      </c>
      <c r="E1232" t="s">
        <v>55</v>
      </c>
      <c r="F1232">
        <v>80</v>
      </c>
      <c r="G1232" t="s">
        <v>103</v>
      </c>
      <c r="H1232" t="s">
        <v>11</v>
      </c>
      <c r="I1232" t="s">
        <v>98</v>
      </c>
      <c r="J1232" t="s">
        <v>25</v>
      </c>
      <c r="K1232">
        <v>3.8</v>
      </c>
      <c r="L1232" t="s">
        <v>140</v>
      </c>
      <c r="M1232" t="s">
        <v>42</v>
      </c>
      <c r="N1232" t="s">
        <v>14</v>
      </c>
      <c r="O1232">
        <v>49</v>
      </c>
      <c r="P1232" t="s">
        <v>16</v>
      </c>
      <c r="Q1232" t="s">
        <v>76</v>
      </c>
      <c r="R1232" t="str" cm="1">
        <f t="array" ref="R1232">_xlfn.IFS(B1232&lt;31,"Young-Adult",B1232&lt;41,"Adult",B1232&lt;61,"Middle-aged",B1232&gt;=61,"Senior")</f>
        <v>Young-Adult</v>
      </c>
      <c r="S1232" cm="1">
        <f t="array" ref="S1232">_xlfn.IFS(Q1232 ="Fortnightly",14,Q1232="Weekly",7,Q1232="Monthly",30,Q1232="Quarterly",90,Q1232="Bi-Weekly",14,Q1232="Annually",365,Q1232="Every 3 Months",90,TRUE,"NOT FOUND")</f>
        <v>30</v>
      </c>
    </row>
    <row r="1233" spans="1:19" x14ac:dyDescent="0.35">
      <c r="A1233">
        <v>1232</v>
      </c>
      <c r="B1233">
        <v>66</v>
      </c>
      <c r="C1233" t="s">
        <v>7</v>
      </c>
      <c r="D1233" t="s">
        <v>113</v>
      </c>
      <c r="E1233" t="s">
        <v>9</v>
      </c>
      <c r="F1233">
        <v>79</v>
      </c>
      <c r="G1233" t="s">
        <v>126</v>
      </c>
      <c r="H1233" t="s">
        <v>32</v>
      </c>
      <c r="I1233" t="s">
        <v>68</v>
      </c>
      <c r="J1233" t="s">
        <v>25</v>
      </c>
      <c r="K1233">
        <v>4</v>
      </c>
      <c r="L1233" t="s">
        <v>140</v>
      </c>
      <c r="M1233" t="s">
        <v>58</v>
      </c>
      <c r="N1233" t="s">
        <v>14</v>
      </c>
      <c r="O1233">
        <v>43</v>
      </c>
      <c r="P1233" t="s">
        <v>27</v>
      </c>
      <c r="Q1233" t="s">
        <v>17</v>
      </c>
      <c r="R1233" t="str" cm="1">
        <f t="array" ref="R1233">_xlfn.IFS(B1233&lt;31,"Young-Adult",B1233&lt;41,"Adult",B1233&lt;61,"Middle-aged",B1233&gt;=61,"Senior")</f>
        <v>Senior</v>
      </c>
      <c r="S1233" cm="1">
        <f t="array" ref="S1233">_xlfn.IFS(Q1233 ="Fortnightly",14,Q1233="Weekly",7,Q1233="Monthly",30,Q1233="Quarterly",90,Q1233="Bi-Weekly",14,Q1233="Annually",365,Q1233="Every 3 Months",90,TRUE,"NOT FOUND")</f>
        <v>14</v>
      </c>
    </row>
    <row r="1234" spans="1:19" x14ac:dyDescent="0.35">
      <c r="A1234">
        <v>1233</v>
      </c>
      <c r="B1234">
        <v>57</v>
      </c>
      <c r="C1234" t="s">
        <v>7</v>
      </c>
      <c r="D1234" t="s">
        <v>54</v>
      </c>
      <c r="E1234" t="s">
        <v>55</v>
      </c>
      <c r="F1234">
        <v>23</v>
      </c>
      <c r="G1234" t="s">
        <v>72</v>
      </c>
      <c r="H1234" t="s">
        <v>32</v>
      </c>
      <c r="I1234" t="s">
        <v>49</v>
      </c>
      <c r="J1234" t="s">
        <v>41</v>
      </c>
      <c r="K1234">
        <v>3.6</v>
      </c>
      <c r="L1234" t="s">
        <v>140</v>
      </c>
      <c r="M1234" t="s">
        <v>26</v>
      </c>
      <c r="N1234" t="s">
        <v>14</v>
      </c>
      <c r="O1234">
        <v>31</v>
      </c>
      <c r="P1234" t="s">
        <v>74</v>
      </c>
      <c r="Q1234" t="s">
        <v>85</v>
      </c>
      <c r="R1234" t="str" cm="1">
        <f t="array" ref="R1234">_xlfn.IFS(B1234&lt;31,"Young-Adult",B1234&lt;41,"Adult",B1234&lt;61,"Middle-aged",B1234&gt;=61,"Senior")</f>
        <v>Middle-aged</v>
      </c>
      <c r="S1234" cm="1">
        <f t="array" ref="S1234">_xlfn.IFS(Q1234 ="Fortnightly",14,Q1234="Weekly",7,Q1234="Monthly",30,Q1234="Quarterly",90,Q1234="Bi-Weekly",14,Q1234="Annually",365,Q1234="Every 3 Months",90,TRUE,"NOT FOUND")</f>
        <v>90</v>
      </c>
    </row>
    <row r="1235" spans="1:19" x14ac:dyDescent="0.35">
      <c r="A1235">
        <v>1234</v>
      </c>
      <c r="B1235">
        <v>46</v>
      </c>
      <c r="C1235" t="s">
        <v>7</v>
      </c>
      <c r="D1235" t="s">
        <v>83</v>
      </c>
      <c r="E1235" t="s">
        <v>9</v>
      </c>
      <c r="F1235">
        <v>73</v>
      </c>
      <c r="G1235" t="s">
        <v>128</v>
      </c>
      <c r="H1235" t="s">
        <v>11</v>
      </c>
      <c r="I1235" t="s">
        <v>106</v>
      </c>
      <c r="J1235" t="s">
        <v>13</v>
      </c>
      <c r="K1235">
        <v>3.5</v>
      </c>
      <c r="L1235" t="s">
        <v>140</v>
      </c>
      <c r="M1235" t="s">
        <v>33</v>
      </c>
      <c r="N1235" t="s">
        <v>14</v>
      </c>
      <c r="O1235">
        <v>40</v>
      </c>
      <c r="P1235" t="s">
        <v>16</v>
      </c>
      <c r="Q1235" t="s">
        <v>85</v>
      </c>
      <c r="R1235" t="str" cm="1">
        <f t="array" ref="R1235">_xlfn.IFS(B1235&lt;31,"Young-Adult",B1235&lt;41,"Adult",B1235&lt;61,"Middle-aged",B1235&gt;=61,"Senior")</f>
        <v>Middle-aged</v>
      </c>
      <c r="S1235" cm="1">
        <f t="array" ref="S1235">_xlfn.IFS(Q1235 ="Fortnightly",14,Q1235="Weekly",7,Q1235="Monthly",30,Q1235="Quarterly",90,Q1235="Bi-Weekly",14,Q1235="Annually",365,Q1235="Every 3 Months",90,TRUE,"NOT FOUND")</f>
        <v>90</v>
      </c>
    </row>
    <row r="1236" spans="1:19" x14ac:dyDescent="0.35">
      <c r="A1236">
        <v>1235</v>
      </c>
      <c r="B1236">
        <v>38</v>
      </c>
      <c r="C1236" t="s">
        <v>7</v>
      </c>
      <c r="D1236" t="s">
        <v>131</v>
      </c>
      <c r="E1236" t="s">
        <v>55</v>
      </c>
      <c r="F1236">
        <v>99</v>
      </c>
      <c r="G1236" t="s">
        <v>115</v>
      </c>
      <c r="H1236" t="s">
        <v>32</v>
      </c>
      <c r="I1236" t="s">
        <v>114</v>
      </c>
      <c r="J1236" t="s">
        <v>45</v>
      </c>
      <c r="K1236">
        <v>4.0999999999999996</v>
      </c>
      <c r="L1236" t="s">
        <v>140</v>
      </c>
      <c r="M1236" t="s">
        <v>62</v>
      </c>
      <c r="N1236" t="s">
        <v>14</v>
      </c>
      <c r="O1236">
        <v>2</v>
      </c>
      <c r="P1236" t="s">
        <v>63</v>
      </c>
      <c r="Q1236" t="s">
        <v>64</v>
      </c>
      <c r="R1236" t="str" cm="1">
        <f t="array" ref="R1236">_xlfn.IFS(B1236&lt;31,"Young-Adult",B1236&lt;41,"Adult",B1236&lt;61,"Middle-aged",B1236&gt;=61,"Senior")</f>
        <v>Adult</v>
      </c>
      <c r="S1236" cm="1">
        <f t="array" ref="S1236">_xlfn.IFS(Q1236 ="Fortnightly",14,Q1236="Weekly",7,Q1236="Monthly",30,Q1236="Quarterly",90,Q1236="Bi-Weekly",14,Q1236="Annually",365,Q1236="Every 3 Months",90,TRUE,"NOT FOUND")</f>
        <v>14</v>
      </c>
    </row>
    <row r="1237" spans="1:19" x14ac:dyDescent="0.35">
      <c r="A1237">
        <v>1236</v>
      </c>
      <c r="B1237">
        <v>23</v>
      </c>
      <c r="C1237" t="s">
        <v>7</v>
      </c>
      <c r="D1237" t="s">
        <v>18</v>
      </c>
      <c r="E1237" t="s">
        <v>9</v>
      </c>
      <c r="F1237">
        <v>22</v>
      </c>
      <c r="G1237" t="s">
        <v>123</v>
      </c>
      <c r="H1237" t="s">
        <v>32</v>
      </c>
      <c r="I1237" t="s">
        <v>96</v>
      </c>
      <c r="J1237" t="s">
        <v>25</v>
      </c>
      <c r="K1237">
        <v>3</v>
      </c>
      <c r="L1237" t="s">
        <v>140</v>
      </c>
      <c r="M1237" t="s">
        <v>62</v>
      </c>
      <c r="N1237" t="s">
        <v>14</v>
      </c>
      <c r="O1237">
        <v>46</v>
      </c>
      <c r="P1237" t="s">
        <v>34</v>
      </c>
      <c r="Q1237" t="s">
        <v>85</v>
      </c>
      <c r="R1237" t="str" cm="1">
        <f t="array" ref="R1237">_xlfn.IFS(B1237&lt;31,"Young-Adult",B1237&lt;41,"Adult",B1237&lt;61,"Middle-aged",B1237&gt;=61,"Senior")</f>
        <v>Young-Adult</v>
      </c>
      <c r="S1237" cm="1">
        <f t="array" ref="S1237">_xlfn.IFS(Q1237 ="Fortnightly",14,Q1237="Weekly",7,Q1237="Monthly",30,Q1237="Quarterly",90,Q1237="Bi-Weekly",14,Q1237="Annually",365,Q1237="Every 3 Months",90,TRUE,"NOT FOUND")</f>
        <v>90</v>
      </c>
    </row>
    <row r="1238" spans="1:19" x14ac:dyDescent="0.35">
      <c r="A1238">
        <v>1237</v>
      </c>
      <c r="B1238">
        <v>42</v>
      </c>
      <c r="C1238" t="s">
        <v>7</v>
      </c>
      <c r="D1238" t="s">
        <v>112</v>
      </c>
      <c r="E1238" t="s">
        <v>55</v>
      </c>
      <c r="F1238">
        <v>68</v>
      </c>
      <c r="G1238" t="s">
        <v>118</v>
      </c>
      <c r="H1238" t="s">
        <v>32</v>
      </c>
      <c r="I1238" t="s">
        <v>40</v>
      </c>
      <c r="J1238" t="s">
        <v>41</v>
      </c>
      <c r="K1238">
        <v>4.4000000000000004</v>
      </c>
      <c r="L1238" t="s">
        <v>140</v>
      </c>
      <c r="M1238" t="s">
        <v>62</v>
      </c>
      <c r="N1238" t="s">
        <v>14</v>
      </c>
      <c r="O1238">
        <v>35</v>
      </c>
      <c r="P1238" t="s">
        <v>74</v>
      </c>
      <c r="Q1238" t="s">
        <v>85</v>
      </c>
      <c r="R1238" t="str" cm="1">
        <f t="array" ref="R1238">_xlfn.IFS(B1238&lt;31,"Young-Adult",B1238&lt;41,"Adult",B1238&lt;61,"Middle-aged",B1238&gt;=61,"Senior")</f>
        <v>Middle-aged</v>
      </c>
      <c r="S1238" cm="1">
        <f t="array" ref="S1238">_xlfn.IFS(Q1238 ="Fortnightly",14,Q1238="Weekly",7,Q1238="Monthly",30,Q1238="Quarterly",90,Q1238="Bi-Weekly",14,Q1238="Annually",365,Q1238="Every 3 Months",90,TRUE,"NOT FOUND")</f>
        <v>90</v>
      </c>
    </row>
    <row r="1239" spans="1:19" x14ac:dyDescent="0.35">
      <c r="A1239">
        <v>1238</v>
      </c>
      <c r="B1239">
        <v>25</v>
      </c>
      <c r="C1239" t="s">
        <v>7</v>
      </c>
      <c r="D1239" t="s">
        <v>69</v>
      </c>
      <c r="E1239" t="s">
        <v>9</v>
      </c>
      <c r="F1239">
        <v>92</v>
      </c>
      <c r="G1239" t="s">
        <v>139</v>
      </c>
      <c r="H1239" t="s">
        <v>24</v>
      </c>
      <c r="I1239" t="s">
        <v>49</v>
      </c>
      <c r="J1239" t="s">
        <v>25</v>
      </c>
      <c r="K1239">
        <v>4.4000000000000004</v>
      </c>
      <c r="L1239" t="s">
        <v>140</v>
      </c>
      <c r="M1239" t="s">
        <v>58</v>
      </c>
      <c r="N1239" t="s">
        <v>14</v>
      </c>
      <c r="O1239">
        <v>42</v>
      </c>
      <c r="P1239" t="s">
        <v>27</v>
      </c>
      <c r="Q1239" t="s">
        <v>46</v>
      </c>
      <c r="R1239" t="str" cm="1">
        <f t="array" ref="R1239">_xlfn.IFS(B1239&lt;31,"Young-Adult",B1239&lt;41,"Adult",B1239&lt;61,"Middle-aged",B1239&gt;=61,"Senior")</f>
        <v>Young-Adult</v>
      </c>
      <c r="S1239" cm="1">
        <f t="array" ref="S1239">_xlfn.IFS(Q1239 ="Fortnightly",14,Q1239="Weekly",7,Q1239="Monthly",30,Q1239="Quarterly",90,Q1239="Bi-Weekly",14,Q1239="Annually",365,Q1239="Every 3 Months",90,TRUE,"NOT FOUND")</f>
        <v>90</v>
      </c>
    </row>
    <row r="1240" spans="1:19" x14ac:dyDescent="0.35">
      <c r="A1240">
        <v>1239</v>
      </c>
      <c r="B1240">
        <v>55</v>
      </c>
      <c r="C1240" t="s">
        <v>7</v>
      </c>
      <c r="D1240" t="s">
        <v>83</v>
      </c>
      <c r="E1240" t="s">
        <v>9</v>
      </c>
      <c r="F1240">
        <v>77</v>
      </c>
      <c r="G1240" t="s">
        <v>39</v>
      </c>
      <c r="H1240" t="s">
        <v>32</v>
      </c>
      <c r="I1240" t="s">
        <v>71</v>
      </c>
      <c r="J1240" t="s">
        <v>13</v>
      </c>
      <c r="K1240">
        <v>3.7</v>
      </c>
      <c r="L1240" t="s">
        <v>140</v>
      </c>
      <c r="M1240" t="s">
        <v>15</v>
      </c>
      <c r="N1240" t="s">
        <v>14</v>
      </c>
      <c r="O1240">
        <v>3</v>
      </c>
      <c r="P1240" t="s">
        <v>16</v>
      </c>
      <c r="Q1240" t="s">
        <v>17</v>
      </c>
      <c r="R1240" t="str" cm="1">
        <f t="array" ref="R1240">_xlfn.IFS(B1240&lt;31,"Young-Adult",B1240&lt;41,"Adult",B1240&lt;61,"Middle-aged",B1240&gt;=61,"Senior")</f>
        <v>Middle-aged</v>
      </c>
      <c r="S1240" cm="1">
        <f t="array" ref="S1240">_xlfn.IFS(Q1240 ="Fortnightly",14,Q1240="Weekly",7,Q1240="Monthly",30,Q1240="Quarterly",90,Q1240="Bi-Weekly",14,Q1240="Annually",365,Q1240="Every 3 Months",90,TRUE,"NOT FOUND")</f>
        <v>14</v>
      </c>
    </row>
    <row r="1241" spans="1:19" x14ac:dyDescent="0.35">
      <c r="A1241">
        <v>1240</v>
      </c>
      <c r="B1241">
        <v>62</v>
      </c>
      <c r="C1241" t="s">
        <v>7</v>
      </c>
      <c r="D1241" t="s">
        <v>50</v>
      </c>
      <c r="E1241" t="s">
        <v>51</v>
      </c>
      <c r="F1241">
        <v>37</v>
      </c>
      <c r="G1241" t="s">
        <v>115</v>
      </c>
      <c r="H1241" t="s">
        <v>80</v>
      </c>
      <c r="I1241" t="s">
        <v>124</v>
      </c>
      <c r="J1241" t="s">
        <v>25</v>
      </c>
      <c r="K1241">
        <v>4.8</v>
      </c>
      <c r="L1241" t="s">
        <v>140</v>
      </c>
      <c r="M1241" t="s">
        <v>42</v>
      </c>
      <c r="N1241" t="s">
        <v>14</v>
      </c>
      <c r="O1241">
        <v>32</v>
      </c>
      <c r="P1241" t="s">
        <v>74</v>
      </c>
      <c r="Q1241" t="s">
        <v>85</v>
      </c>
      <c r="R1241" t="str" cm="1">
        <f t="array" ref="R1241">_xlfn.IFS(B1241&lt;31,"Young-Adult",B1241&lt;41,"Adult",B1241&lt;61,"Middle-aged",B1241&gt;=61,"Senior")</f>
        <v>Senior</v>
      </c>
      <c r="S1241" cm="1">
        <f t="array" ref="S1241">_xlfn.IFS(Q1241 ="Fortnightly",14,Q1241="Weekly",7,Q1241="Monthly",30,Q1241="Quarterly",90,Q1241="Bi-Weekly",14,Q1241="Annually",365,Q1241="Every 3 Months",90,TRUE,"NOT FOUND")</f>
        <v>90</v>
      </c>
    </row>
    <row r="1242" spans="1:19" x14ac:dyDescent="0.35">
      <c r="A1242">
        <v>1241</v>
      </c>
      <c r="B1242">
        <v>41</v>
      </c>
      <c r="C1242" t="s">
        <v>7</v>
      </c>
      <c r="D1242" t="s">
        <v>107</v>
      </c>
      <c r="E1242" t="s">
        <v>55</v>
      </c>
      <c r="F1242">
        <v>79</v>
      </c>
      <c r="G1242" t="s">
        <v>115</v>
      </c>
      <c r="H1242" t="s">
        <v>11</v>
      </c>
      <c r="I1242" t="s">
        <v>40</v>
      </c>
      <c r="J1242" t="s">
        <v>13</v>
      </c>
      <c r="K1242">
        <v>2.9</v>
      </c>
      <c r="L1242" t="s">
        <v>140</v>
      </c>
      <c r="M1242" t="s">
        <v>62</v>
      </c>
      <c r="N1242" t="s">
        <v>14</v>
      </c>
      <c r="O1242">
        <v>48</v>
      </c>
      <c r="P1242" t="s">
        <v>74</v>
      </c>
      <c r="Q1242" t="s">
        <v>37</v>
      </c>
      <c r="R1242" t="str" cm="1">
        <f t="array" ref="R1242">_xlfn.IFS(B1242&lt;31,"Young-Adult",B1242&lt;41,"Adult",B1242&lt;61,"Middle-aged",B1242&gt;=61,"Senior")</f>
        <v>Middle-aged</v>
      </c>
      <c r="S1242" cm="1">
        <f t="array" ref="S1242">_xlfn.IFS(Q1242 ="Fortnightly",14,Q1242="Weekly",7,Q1242="Monthly",30,Q1242="Quarterly",90,Q1242="Bi-Weekly",14,Q1242="Annually",365,Q1242="Every 3 Months",90,TRUE,"NOT FOUND")</f>
        <v>365</v>
      </c>
    </row>
    <row r="1243" spans="1:19" x14ac:dyDescent="0.35">
      <c r="A1243">
        <v>1242</v>
      </c>
      <c r="B1243">
        <v>58</v>
      </c>
      <c r="C1243" t="s">
        <v>7</v>
      </c>
      <c r="D1243" t="s">
        <v>92</v>
      </c>
      <c r="E1243" t="s">
        <v>9</v>
      </c>
      <c r="F1243">
        <v>51</v>
      </c>
      <c r="G1243" t="s">
        <v>65</v>
      </c>
      <c r="H1243" t="s">
        <v>80</v>
      </c>
      <c r="I1243" t="s">
        <v>57</v>
      </c>
      <c r="J1243" t="s">
        <v>13</v>
      </c>
      <c r="K1243">
        <v>3.1</v>
      </c>
      <c r="L1243" t="s">
        <v>140</v>
      </c>
      <c r="M1243" t="s">
        <v>15</v>
      </c>
      <c r="N1243" t="s">
        <v>14</v>
      </c>
      <c r="O1243">
        <v>34</v>
      </c>
      <c r="P1243" t="s">
        <v>27</v>
      </c>
      <c r="Q1243" t="s">
        <v>28</v>
      </c>
      <c r="R1243" t="str" cm="1">
        <f t="array" ref="R1243">_xlfn.IFS(B1243&lt;31,"Young-Adult",B1243&lt;41,"Adult",B1243&lt;61,"Middle-aged",B1243&gt;=61,"Senior")</f>
        <v>Middle-aged</v>
      </c>
      <c r="S1243" cm="1">
        <f t="array" ref="S1243">_xlfn.IFS(Q1243 ="Fortnightly",14,Q1243="Weekly",7,Q1243="Monthly",30,Q1243="Quarterly",90,Q1243="Bi-Weekly",14,Q1243="Annually",365,Q1243="Every 3 Months",90,TRUE,"NOT FOUND")</f>
        <v>7</v>
      </c>
    </row>
    <row r="1244" spans="1:19" x14ac:dyDescent="0.35">
      <c r="A1244">
        <v>1243</v>
      </c>
      <c r="B1244">
        <v>56</v>
      </c>
      <c r="C1244" t="s">
        <v>7</v>
      </c>
      <c r="D1244" t="s">
        <v>113</v>
      </c>
      <c r="E1244" t="s">
        <v>9</v>
      </c>
      <c r="F1244">
        <v>27</v>
      </c>
      <c r="G1244" t="s">
        <v>95</v>
      </c>
      <c r="H1244" t="s">
        <v>32</v>
      </c>
      <c r="I1244" t="s">
        <v>81</v>
      </c>
      <c r="J1244" t="s">
        <v>41</v>
      </c>
      <c r="K1244">
        <v>4</v>
      </c>
      <c r="L1244" t="s">
        <v>140</v>
      </c>
      <c r="M1244" t="s">
        <v>33</v>
      </c>
      <c r="N1244" t="s">
        <v>14</v>
      </c>
      <c r="O1244">
        <v>15</v>
      </c>
      <c r="P1244" t="s">
        <v>63</v>
      </c>
      <c r="Q1244" t="s">
        <v>46</v>
      </c>
      <c r="R1244" t="str" cm="1">
        <f t="array" ref="R1244">_xlfn.IFS(B1244&lt;31,"Young-Adult",B1244&lt;41,"Adult",B1244&lt;61,"Middle-aged",B1244&gt;=61,"Senior")</f>
        <v>Middle-aged</v>
      </c>
      <c r="S1244" cm="1">
        <f t="array" ref="S1244">_xlfn.IFS(Q1244 ="Fortnightly",14,Q1244="Weekly",7,Q1244="Monthly",30,Q1244="Quarterly",90,Q1244="Bi-Weekly",14,Q1244="Annually",365,Q1244="Every 3 Months",90,TRUE,"NOT FOUND")</f>
        <v>90</v>
      </c>
    </row>
    <row r="1245" spans="1:19" x14ac:dyDescent="0.35">
      <c r="A1245">
        <v>1244</v>
      </c>
      <c r="B1245">
        <v>25</v>
      </c>
      <c r="C1245" t="s">
        <v>7</v>
      </c>
      <c r="D1245" t="s">
        <v>8</v>
      </c>
      <c r="E1245" t="s">
        <v>9</v>
      </c>
      <c r="F1245">
        <v>23</v>
      </c>
      <c r="G1245" t="s">
        <v>70</v>
      </c>
      <c r="H1245" t="s">
        <v>24</v>
      </c>
      <c r="I1245" t="s">
        <v>57</v>
      </c>
      <c r="J1245" t="s">
        <v>25</v>
      </c>
      <c r="K1245">
        <v>3</v>
      </c>
      <c r="L1245" t="s">
        <v>140</v>
      </c>
      <c r="M1245" t="s">
        <v>62</v>
      </c>
      <c r="N1245" t="s">
        <v>14</v>
      </c>
      <c r="O1245">
        <v>22</v>
      </c>
      <c r="P1245" t="s">
        <v>74</v>
      </c>
      <c r="Q1245" t="s">
        <v>37</v>
      </c>
      <c r="R1245" t="str" cm="1">
        <f t="array" ref="R1245">_xlfn.IFS(B1245&lt;31,"Young-Adult",B1245&lt;41,"Adult",B1245&lt;61,"Middle-aged",B1245&gt;=61,"Senior")</f>
        <v>Young-Adult</v>
      </c>
      <c r="S1245" cm="1">
        <f t="array" ref="S1245">_xlfn.IFS(Q1245 ="Fortnightly",14,Q1245="Weekly",7,Q1245="Monthly",30,Q1245="Quarterly",90,Q1245="Bi-Weekly",14,Q1245="Annually",365,Q1245="Every 3 Months",90,TRUE,"NOT FOUND")</f>
        <v>365</v>
      </c>
    </row>
    <row r="1246" spans="1:19" x14ac:dyDescent="0.35">
      <c r="A1246">
        <v>1245</v>
      </c>
      <c r="B1246">
        <v>70</v>
      </c>
      <c r="C1246" t="s">
        <v>7</v>
      </c>
      <c r="D1246" t="s">
        <v>113</v>
      </c>
      <c r="E1246" t="s">
        <v>9</v>
      </c>
      <c r="F1246">
        <v>76</v>
      </c>
      <c r="G1246" t="s">
        <v>104</v>
      </c>
      <c r="H1246" t="s">
        <v>24</v>
      </c>
      <c r="I1246" t="s">
        <v>53</v>
      </c>
      <c r="J1246" t="s">
        <v>41</v>
      </c>
      <c r="K1246">
        <v>3.9</v>
      </c>
      <c r="L1246" t="s">
        <v>140</v>
      </c>
      <c r="M1246" t="s">
        <v>58</v>
      </c>
      <c r="N1246" t="s">
        <v>14</v>
      </c>
      <c r="O1246">
        <v>2</v>
      </c>
      <c r="P1246" t="s">
        <v>21</v>
      </c>
      <c r="Q1246" t="s">
        <v>76</v>
      </c>
      <c r="R1246" t="str" cm="1">
        <f t="array" ref="R1246">_xlfn.IFS(B1246&lt;31,"Young-Adult",B1246&lt;41,"Adult",B1246&lt;61,"Middle-aged",B1246&gt;=61,"Senior")</f>
        <v>Senior</v>
      </c>
      <c r="S1246" cm="1">
        <f t="array" ref="S1246">_xlfn.IFS(Q1246 ="Fortnightly",14,Q1246="Weekly",7,Q1246="Monthly",30,Q1246="Quarterly",90,Q1246="Bi-Weekly",14,Q1246="Annually",365,Q1246="Every 3 Months",90,TRUE,"NOT FOUND")</f>
        <v>30</v>
      </c>
    </row>
    <row r="1247" spans="1:19" x14ac:dyDescent="0.35">
      <c r="A1247">
        <v>1246</v>
      </c>
      <c r="B1247">
        <v>42</v>
      </c>
      <c r="C1247" t="s">
        <v>7</v>
      </c>
      <c r="D1247" t="s">
        <v>69</v>
      </c>
      <c r="E1247" t="s">
        <v>9</v>
      </c>
      <c r="F1247">
        <v>31</v>
      </c>
      <c r="G1247" t="s">
        <v>72</v>
      </c>
      <c r="H1247" t="s">
        <v>32</v>
      </c>
      <c r="I1247" t="s">
        <v>71</v>
      </c>
      <c r="J1247" t="s">
        <v>45</v>
      </c>
      <c r="K1247">
        <v>3.4</v>
      </c>
      <c r="L1247" t="s">
        <v>140</v>
      </c>
      <c r="M1247" t="s">
        <v>42</v>
      </c>
      <c r="N1247" t="s">
        <v>14</v>
      </c>
      <c r="O1247">
        <v>30</v>
      </c>
      <c r="P1247" t="s">
        <v>63</v>
      </c>
      <c r="Q1247" t="s">
        <v>28</v>
      </c>
      <c r="R1247" t="str" cm="1">
        <f t="array" ref="R1247">_xlfn.IFS(B1247&lt;31,"Young-Adult",B1247&lt;41,"Adult",B1247&lt;61,"Middle-aged",B1247&gt;=61,"Senior")</f>
        <v>Middle-aged</v>
      </c>
      <c r="S1247" cm="1">
        <f t="array" ref="S1247">_xlfn.IFS(Q1247 ="Fortnightly",14,Q1247="Weekly",7,Q1247="Monthly",30,Q1247="Quarterly",90,Q1247="Bi-Weekly",14,Q1247="Annually",365,Q1247="Every 3 Months",90,TRUE,"NOT FOUND")</f>
        <v>7</v>
      </c>
    </row>
    <row r="1248" spans="1:19" x14ac:dyDescent="0.35">
      <c r="A1248">
        <v>1247</v>
      </c>
      <c r="B1248">
        <v>27</v>
      </c>
      <c r="C1248" t="s">
        <v>7</v>
      </c>
      <c r="D1248" t="s">
        <v>92</v>
      </c>
      <c r="E1248" t="s">
        <v>9</v>
      </c>
      <c r="F1248">
        <v>60</v>
      </c>
      <c r="G1248" t="s">
        <v>48</v>
      </c>
      <c r="H1248" t="s">
        <v>32</v>
      </c>
      <c r="I1248" t="s">
        <v>49</v>
      </c>
      <c r="J1248" t="s">
        <v>13</v>
      </c>
      <c r="K1248">
        <v>2.7</v>
      </c>
      <c r="L1248" t="s">
        <v>140</v>
      </c>
      <c r="M1248" t="s">
        <v>42</v>
      </c>
      <c r="N1248" t="s">
        <v>14</v>
      </c>
      <c r="O1248">
        <v>27</v>
      </c>
      <c r="P1248" t="s">
        <v>21</v>
      </c>
      <c r="Q1248" t="s">
        <v>76</v>
      </c>
      <c r="R1248" t="str" cm="1">
        <f t="array" ref="R1248">_xlfn.IFS(B1248&lt;31,"Young-Adult",B1248&lt;41,"Adult",B1248&lt;61,"Middle-aged",B1248&gt;=61,"Senior")</f>
        <v>Young-Adult</v>
      </c>
      <c r="S1248" cm="1">
        <f t="array" ref="S1248">_xlfn.IFS(Q1248 ="Fortnightly",14,Q1248="Weekly",7,Q1248="Monthly",30,Q1248="Quarterly",90,Q1248="Bi-Weekly",14,Q1248="Annually",365,Q1248="Every 3 Months",90,TRUE,"NOT FOUND")</f>
        <v>30</v>
      </c>
    </row>
    <row r="1249" spans="1:19" x14ac:dyDescent="0.35">
      <c r="A1249">
        <v>1248</v>
      </c>
      <c r="B1249">
        <v>65</v>
      </c>
      <c r="C1249" t="s">
        <v>7</v>
      </c>
      <c r="D1249" t="s">
        <v>101</v>
      </c>
      <c r="E1249" t="s">
        <v>9</v>
      </c>
      <c r="F1249">
        <v>99</v>
      </c>
      <c r="G1249" t="s">
        <v>129</v>
      </c>
      <c r="H1249" t="s">
        <v>32</v>
      </c>
      <c r="I1249" t="s">
        <v>49</v>
      </c>
      <c r="J1249" t="s">
        <v>25</v>
      </c>
      <c r="K1249">
        <v>3.8</v>
      </c>
      <c r="L1249" t="s">
        <v>140</v>
      </c>
      <c r="M1249" t="s">
        <v>15</v>
      </c>
      <c r="N1249" t="s">
        <v>14</v>
      </c>
      <c r="O1249">
        <v>18</v>
      </c>
      <c r="P1249" t="s">
        <v>16</v>
      </c>
      <c r="Q1249" t="s">
        <v>64</v>
      </c>
      <c r="R1249" t="str" cm="1">
        <f t="array" ref="R1249">_xlfn.IFS(B1249&lt;31,"Young-Adult",B1249&lt;41,"Adult",B1249&lt;61,"Middle-aged",B1249&gt;=61,"Senior")</f>
        <v>Senior</v>
      </c>
      <c r="S1249" cm="1">
        <f t="array" ref="S1249">_xlfn.IFS(Q1249 ="Fortnightly",14,Q1249="Weekly",7,Q1249="Monthly",30,Q1249="Quarterly",90,Q1249="Bi-Weekly",14,Q1249="Annually",365,Q1249="Every 3 Months",90,TRUE,"NOT FOUND")</f>
        <v>14</v>
      </c>
    </row>
    <row r="1250" spans="1:19" x14ac:dyDescent="0.35">
      <c r="A1250">
        <v>1249</v>
      </c>
      <c r="B1250">
        <v>62</v>
      </c>
      <c r="C1250" t="s">
        <v>7</v>
      </c>
      <c r="D1250" t="s">
        <v>112</v>
      </c>
      <c r="E1250" t="s">
        <v>55</v>
      </c>
      <c r="F1250">
        <v>37</v>
      </c>
      <c r="G1250" t="s">
        <v>138</v>
      </c>
      <c r="H1250" t="s">
        <v>80</v>
      </c>
      <c r="I1250" t="s">
        <v>96</v>
      </c>
      <c r="J1250" t="s">
        <v>13</v>
      </c>
      <c r="K1250">
        <v>3</v>
      </c>
      <c r="L1250" t="s">
        <v>140</v>
      </c>
      <c r="M1250" t="s">
        <v>26</v>
      </c>
      <c r="N1250" t="s">
        <v>14</v>
      </c>
      <c r="O1250">
        <v>8</v>
      </c>
      <c r="P1250" t="s">
        <v>27</v>
      </c>
      <c r="Q1250" t="s">
        <v>37</v>
      </c>
      <c r="R1250" t="str" cm="1">
        <f t="array" ref="R1250">_xlfn.IFS(B1250&lt;31,"Young-Adult",B1250&lt;41,"Adult",B1250&lt;61,"Middle-aged",B1250&gt;=61,"Senior")</f>
        <v>Senior</v>
      </c>
      <c r="S1250" cm="1">
        <f t="array" ref="S1250">_xlfn.IFS(Q1250 ="Fortnightly",14,Q1250="Weekly",7,Q1250="Monthly",30,Q1250="Quarterly",90,Q1250="Bi-Weekly",14,Q1250="Annually",365,Q1250="Every 3 Months",90,TRUE,"NOT FOUND")</f>
        <v>365</v>
      </c>
    </row>
    <row r="1251" spans="1:19" x14ac:dyDescent="0.35">
      <c r="A1251">
        <v>1250</v>
      </c>
      <c r="B1251">
        <v>62</v>
      </c>
      <c r="C1251" t="s">
        <v>7</v>
      </c>
      <c r="D1251" t="s">
        <v>125</v>
      </c>
      <c r="E1251" t="s">
        <v>30</v>
      </c>
      <c r="F1251">
        <v>50</v>
      </c>
      <c r="G1251" t="s">
        <v>35</v>
      </c>
      <c r="H1251" t="s">
        <v>32</v>
      </c>
      <c r="I1251" t="s">
        <v>88</v>
      </c>
      <c r="J1251" t="s">
        <v>13</v>
      </c>
      <c r="K1251">
        <v>4.5</v>
      </c>
      <c r="L1251" t="s">
        <v>140</v>
      </c>
      <c r="M1251" t="s">
        <v>15</v>
      </c>
      <c r="N1251" t="s">
        <v>14</v>
      </c>
      <c r="O1251">
        <v>48</v>
      </c>
      <c r="P1251" t="s">
        <v>16</v>
      </c>
      <c r="Q1251" t="s">
        <v>17</v>
      </c>
      <c r="R1251" t="str" cm="1">
        <f t="array" ref="R1251">_xlfn.IFS(B1251&lt;31,"Young-Adult",B1251&lt;41,"Adult",B1251&lt;61,"Middle-aged",B1251&gt;=61,"Senior")</f>
        <v>Senior</v>
      </c>
      <c r="S1251" cm="1">
        <f t="array" ref="S1251">_xlfn.IFS(Q1251 ="Fortnightly",14,Q1251="Weekly",7,Q1251="Monthly",30,Q1251="Quarterly",90,Q1251="Bi-Weekly",14,Q1251="Annually",365,Q1251="Every 3 Months",90,TRUE,"NOT FOUND")</f>
        <v>14</v>
      </c>
    </row>
    <row r="1252" spans="1:19" x14ac:dyDescent="0.35">
      <c r="A1252">
        <v>1251</v>
      </c>
      <c r="B1252">
        <v>52</v>
      </c>
      <c r="C1252" t="s">
        <v>7</v>
      </c>
      <c r="D1252" t="s">
        <v>22</v>
      </c>
      <c r="E1252" t="s">
        <v>9</v>
      </c>
      <c r="F1252">
        <v>26</v>
      </c>
      <c r="G1252" t="s">
        <v>70</v>
      </c>
      <c r="H1252" t="s">
        <v>80</v>
      </c>
      <c r="I1252" t="s">
        <v>61</v>
      </c>
      <c r="J1252" t="s">
        <v>13</v>
      </c>
      <c r="K1252">
        <v>4.0999999999999996</v>
      </c>
      <c r="L1252" t="s">
        <v>140</v>
      </c>
      <c r="M1252" t="s">
        <v>26</v>
      </c>
      <c r="N1252" t="s">
        <v>14</v>
      </c>
      <c r="O1252">
        <v>24</v>
      </c>
      <c r="P1252" t="s">
        <v>21</v>
      </c>
      <c r="Q1252" t="s">
        <v>76</v>
      </c>
      <c r="R1252" t="str" cm="1">
        <f t="array" ref="R1252">_xlfn.IFS(B1252&lt;31,"Young-Adult",B1252&lt;41,"Adult",B1252&lt;61,"Middle-aged",B1252&gt;=61,"Senior")</f>
        <v>Middle-aged</v>
      </c>
      <c r="S1252" cm="1">
        <f t="array" ref="S1252">_xlfn.IFS(Q1252 ="Fortnightly",14,Q1252="Weekly",7,Q1252="Monthly",30,Q1252="Quarterly",90,Q1252="Bi-Weekly",14,Q1252="Annually",365,Q1252="Every 3 Months",90,TRUE,"NOT FOUND")</f>
        <v>30</v>
      </c>
    </row>
    <row r="1253" spans="1:19" x14ac:dyDescent="0.35">
      <c r="A1253">
        <v>1252</v>
      </c>
      <c r="B1253">
        <v>56</v>
      </c>
      <c r="C1253" t="s">
        <v>7</v>
      </c>
      <c r="D1253" t="s">
        <v>47</v>
      </c>
      <c r="E1253" t="s">
        <v>9</v>
      </c>
      <c r="F1253">
        <v>86</v>
      </c>
      <c r="G1253" t="s">
        <v>104</v>
      </c>
      <c r="H1253" t="s">
        <v>80</v>
      </c>
      <c r="I1253" t="s">
        <v>109</v>
      </c>
      <c r="J1253" t="s">
        <v>25</v>
      </c>
      <c r="K1253">
        <v>5</v>
      </c>
      <c r="L1253" t="s">
        <v>140</v>
      </c>
      <c r="M1253" t="s">
        <v>33</v>
      </c>
      <c r="N1253" t="s">
        <v>14</v>
      </c>
      <c r="O1253">
        <v>43</v>
      </c>
      <c r="P1253" t="s">
        <v>27</v>
      </c>
      <c r="Q1253" t="s">
        <v>76</v>
      </c>
      <c r="R1253" t="str" cm="1">
        <f t="array" ref="R1253">_xlfn.IFS(B1253&lt;31,"Young-Adult",B1253&lt;41,"Adult",B1253&lt;61,"Middle-aged",B1253&gt;=61,"Senior")</f>
        <v>Middle-aged</v>
      </c>
      <c r="S1253" cm="1">
        <f t="array" ref="S1253">_xlfn.IFS(Q1253 ="Fortnightly",14,Q1253="Weekly",7,Q1253="Monthly",30,Q1253="Quarterly",90,Q1253="Bi-Weekly",14,Q1253="Annually",365,Q1253="Every 3 Months",90,TRUE,"NOT FOUND")</f>
        <v>30</v>
      </c>
    </row>
    <row r="1254" spans="1:19" x14ac:dyDescent="0.35">
      <c r="A1254">
        <v>1253</v>
      </c>
      <c r="B1254">
        <v>28</v>
      </c>
      <c r="C1254" t="s">
        <v>7</v>
      </c>
      <c r="D1254" t="s">
        <v>29</v>
      </c>
      <c r="E1254" t="s">
        <v>30</v>
      </c>
      <c r="F1254">
        <v>41</v>
      </c>
      <c r="G1254" t="s">
        <v>23</v>
      </c>
      <c r="H1254" t="s">
        <v>11</v>
      </c>
      <c r="I1254" t="s">
        <v>124</v>
      </c>
      <c r="J1254" t="s">
        <v>45</v>
      </c>
      <c r="K1254">
        <v>4</v>
      </c>
      <c r="L1254" t="s">
        <v>140</v>
      </c>
      <c r="M1254" t="s">
        <v>42</v>
      </c>
      <c r="N1254" t="s">
        <v>14</v>
      </c>
      <c r="O1254">
        <v>8</v>
      </c>
      <c r="P1254" t="s">
        <v>21</v>
      </c>
      <c r="Q1254" t="s">
        <v>46</v>
      </c>
      <c r="R1254" t="str" cm="1">
        <f t="array" ref="R1254">_xlfn.IFS(B1254&lt;31,"Young-Adult",B1254&lt;41,"Adult",B1254&lt;61,"Middle-aged",B1254&gt;=61,"Senior")</f>
        <v>Young-Adult</v>
      </c>
      <c r="S1254" cm="1">
        <f t="array" ref="S1254">_xlfn.IFS(Q1254 ="Fortnightly",14,Q1254="Weekly",7,Q1254="Monthly",30,Q1254="Quarterly",90,Q1254="Bi-Weekly",14,Q1254="Annually",365,Q1254="Every 3 Months",90,TRUE,"NOT FOUND")</f>
        <v>90</v>
      </c>
    </row>
    <row r="1255" spans="1:19" x14ac:dyDescent="0.35">
      <c r="A1255">
        <v>1254</v>
      </c>
      <c r="B1255">
        <v>39</v>
      </c>
      <c r="C1255" t="s">
        <v>7</v>
      </c>
      <c r="D1255" t="s">
        <v>29</v>
      </c>
      <c r="E1255" t="s">
        <v>30</v>
      </c>
      <c r="F1255">
        <v>23</v>
      </c>
      <c r="G1255" t="s">
        <v>44</v>
      </c>
      <c r="H1255" t="s">
        <v>80</v>
      </c>
      <c r="I1255" t="s">
        <v>96</v>
      </c>
      <c r="J1255" t="s">
        <v>13</v>
      </c>
      <c r="K1255">
        <v>4.9000000000000004</v>
      </c>
      <c r="L1255" t="s">
        <v>140</v>
      </c>
      <c r="M1255" t="s">
        <v>15</v>
      </c>
      <c r="N1255" t="s">
        <v>14</v>
      </c>
      <c r="O1255">
        <v>49</v>
      </c>
      <c r="P1255" t="s">
        <v>34</v>
      </c>
      <c r="Q1255" t="s">
        <v>37</v>
      </c>
      <c r="R1255" t="str" cm="1">
        <f t="array" ref="R1255">_xlfn.IFS(B1255&lt;31,"Young-Adult",B1255&lt;41,"Adult",B1255&lt;61,"Middle-aged",B1255&gt;=61,"Senior")</f>
        <v>Adult</v>
      </c>
      <c r="S1255" cm="1">
        <f t="array" ref="S1255">_xlfn.IFS(Q1255 ="Fortnightly",14,Q1255="Weekly",7,Q1255="Monthly",30,Q1255="Quarterly",90,Q1255="Bi-Weekly",14,Q1255="Annually",365,Q1255="Every 3 Months",90,TRUE,"NOT FOUND")</f>
        <v>365</v>
      </c>
    </row>
    <row r="1256" spans="1:19" x14ac:dyDescent="0.35">
      <c r="A1256">
        <v>1255</v>
      </c>
      <c r="B1256">
        <v>54</v>
      </c>
      <c r="C1256" t="s">
        <v>7</v>
      </c>
      <c r="D1256" t="s">
        <v>38</v>
      </c>
      <c r="E1256" t="s">
        <v>30</v>
      </c>
      <c r="F1256">
        <v>56</v>
      </c>
      <c r="G1256" t="s">
        <v>87</v>
      </c>
      <c r="H1256" t="s">
        <v>80</v>
      </c>
      <c r="I1256" t="s">
        <v>82</v>
      </c>
      <c r="J1256" t="s">
        <v>25</v>
      </c>
      <c r="K1256">
        <v>3.3</v>
      </c>
      <c r="L1256" t="s">
        <v>140</v>
      </c>
      <c r="M1256" t="s">
        <v>58</v>
      </c>
      <c r="N1256" t="s">
        <v>14</v>
      </c>
      <c r="O1256">
        <v>2</v>
      </c>
      <c r="P1256" t="s">
        <v>27</v>
      </c>
      <c r="Q1256" t="s">
        <v>64</v>
      </c>
      <c r="R1256" t="str" cm="1">
        <f t="array" ref="R1256">_xlfn.IFS(B1256&lt;31,"Young-Adult",B1256&lt;41,"Adult",B1256&lt;61,"Middle-aged",B1256&gt;=61,"Senior")</f>
        <v>Middle-aged</v>
      </c>
      <c r="S1256" cm="1">
        <f t="array" ref="S1256">_xlfn.IFS(Q1256 ="Fortnightly",14,Q1256="Weekly",7,Q1256="Monthly",30,Q1256="Quarterly",90,Q1256="Bi-Weekly",14,Q1256="Annually",365,Q1256="Every 3 Months",90,TRUE,"NOT FOUND")</f>
        <v>14</v>
      </c>
    </row>
    <row r="1257" spans="1:19" x14ac:dyDescent="0.35">
      <c r="A1257">
        <v>1256</v>
      </c>
      <c r="B1257">
        <v>30</v>
      </c>
      <c r="C1257" t="s">
        <v>7</v>
      </c>
      <c r="D1257" t="s">
        <v>112</v>
      </c>
      <c r="E1257" t="s">
        <v>55</v>
      </c>
      <c r="F1257">
        <v>68</v>
      </c>
      <c r="G1257" t="s">
        <v>104</v>
      </c>
      <c r="H1257" t="s">
        <v>32</v>
      </c>
      <c r="I1257" t="s">
        <v>88</v>
      </c>
      <c r="J1257" t="s">
        <v>45</v>
      </c>
      <c r="K1257">
        <v>4.0999999999999996</v>
      </c>
      <c r="L1257" t="s">
        <v>140</v>
      </c>
      <c r="M1257" t="s">
        <v>42</v>
      </c>
      <c r="N1257" t="s">
        <v>14</v>
      </c>
      <c r="O1257">
        <v>38</v>
      </c>
      <c r="P1257" t="s">
        <v>21</v>
      </c>
      <c r="Q1257" t="s">
        <v>17</v>
      </c>
      <c r="R1257" t="str" cm="1">
        <f t="array" ref="R1257">_xlfn.IFS(B1257&lt;31,"Young-Adult",B1257&lt;41,"Adult",B1257&lt;61,"Middle-aged",B1257&gt;=61,"Senior")</f>
        <v>Young-Adult</v>
      </c>
      <c r="S1257" cm="1">
        <f t="array" ref="S1257">_xlfn.IFS(Q1257 ="Fortnightly",14,Q1257="Weekly",7,Q1257="Monthly",30,Q1257="Quarterly",90,Q1257="Bi-Weekly",14,Q1257="Annually",365,Q1257="Every 3 Months",90,TRUE,"NOT FOUND")</f>
        <v>14</v>
      </c>
    </row>
    <row r="1258" spans="1:19" x14ac:dyDescent="0.35">
      <c r="A1258">
        <v>1257</v>
      </c>
      <c r="B1258">
        <v>45</v>
      </c>
      <c r="C1258" t="s">
        <v>7</v>
      </c>
      <c r="D1258" t="s">
        <v>50</v>
      </c>
      <c r="E1258" t="s">
        <v>51</v>
      </c>
      <c r="F1258">
        <v>48</v>
      </c>
      <c r="G1258" t="s">
        <v>52</v>
      </c>
      <c r="H1258" t="s">
        <v>24</v>
      </c>
      <c r="I1258" t="s">
        <v>66</v>
      </c>
      <c r="J1258" t="s">
        <v>13</v>
      </c>
      <c r="K1258">
        <v>3.6</v>
      </c>
      <c r="L1258" t="s">
        <v>140</v>
      </c>
      <c r="M1258" t="s">
        <v>15</v>
      </c>
      <c r="N1258" t="s">
        <v>14</v>
      </c>
      <c r="O1258">
        <v>4</v>
      </c>
      <c r="P1258" t="s">
        <v>21</v>
      </c>
      <c r="Q1258" t="s">
        <v>17</v>
      </c>
      <c r="R1258" t="str" cm="1">
        <f t="array" ref="R1258">_xlfn.IFS(B1258&lt;31,"Young-Adult",B1258&lt;41,"Adult",B1258&lt;61,"Middle-aged",B1258&gt;=61,"Senior")</f>
        <v>Middle-aged</v>
      </c>
      <c r="S1258" cm="1">
        <f t="array" ref="S1258">_xlfn.IFS(Q1258 ="Fortnightly",14,Q1258="Weekly",7,Q1258="Monthly",30,Q1258="Quarterly",90,Q1258="Bi-Weekly",14,Q1258="Annually",365,Q1258="Every 3 Months",90,TRUE,"NOT FOUND")</f>
        <v>14</v>
      </c>
    </row>
    <row r="1259" spans="1:19" x14ac:dyDescent="0.35">
      <c r="A1259">
        <v>1258</v>
      </c>
      <c r="B1259">
        <v>68</v>
      </c>
      <c r="C1259" t="s">
        <v>7</v>
      </c>
      <c r="D1259" t="s">
        <v>69</v>
      </c>
      <c r="E1259" t="s">
        <v>9</v>
      </c>
      <c r="F1259">
        <v>67</v>
      </c>
      <c r="G1259" t="s">
        <v>136</v>
      </c>
      <c r="H1259" t="s">
        <v>11</v>
      </c>
      <c r="I1259" t="s">
        <v>68</v>
      </c>
      <c r="J1259" t="s">
        <v>25</v>
      </c>
      <c r="K1259">
        <v>3</v>
      </c>
      <c r="L1259" t="s">
        <v>140</v>
      </c>
      <c r="M1259" t="s">
        <v>26</v>
      </c>
      <c r="N1259" t="s">
        <v>14</v>
      </c>
      <c r="O1259">
        <v>31</v>
      </c>
      <c r="P1259" t="s">
        <v>21</v>
      </c>
      <c r="Q1259" t="s">
        <v>85</v>
      </c>
      <c r="R1259" t="str" cm="1">
        <f t="array" ref="R1259">_xlfn.IFS(B1259&lt;31,"Young-Adult",B1259&lt;41,"Adult",B1259&lt;61,"Middle-aged",B1259&gt;=61,"Senior")</f>
        <v>Senior</v>
      </c>
      <c r="S1259" cm="1">
        <f t="array" ref="S1259">_xlfn.IFS(Q1259 ="Fortnightly",14,Q1259="Weekly",7,Q1259="Monthly",30,Q1259="Quarterly",90,Q1259="Bi-Weekly",14,Q1259="Annually",365,Q1259="Every 3 Months",90,TRUE,"NOT FOUND")</f>
        <v>90</v>
      </c>
    </row>
    <row r="1260" spans="1:19" x14ac:dyDescent="0.35">
      <c r="A1260">
        <v>1259</v>
      </c>
      <c r="B1260">
        <v>47</v>
      </c>
      <c r="C1260" t="s">
        <v>7</v>
      </c>
      <c r="D1260" t="s">
        <v>125</v>
      </c>
      <c r="E1260" t="s">
        <v>30</v>
      </c>
      <c r="F1260">
        <v>87</v>
      </c>
      <c r="G1260" t="s">
        <v>111</v>
      </c>
      <c r="H1260" t="s">
        <v>80</v>
      </c>
      <c r="I1260" t="s">
        <v>68</v>
      </c>
      <c r="J1260" t="s">
        <v>25</v>
      </c>
      <c r="K1260">
        <v>4.0999999999999996</v>
      </c>
      <c r="L1260" t="s">
        <v>140</v>
      </c>
      <c r="M1260" t="s">
        <v>58</v>
      </c>
      <c r="N1260" t="s">
        <v>14</v>
      </c>
      <c r="O1260">
        <v>34</v>
      </c>
      <c r="P1260" t="s">
        <v>74</v>
      </c>
      <c r="Q1260" t="s">
        <v>85</v>
      </c>
      <c r="R1260" t="str" cm="1">
        <f t="array" ref="R1260">_xlfn.IFS(B1260&lt;31,"Young-Adult",B1260&lt;41,"Adult",B1260&lt;61,"Middle-aged",B1260&gt;=61,"Senior")</f>
        <v>Middle-aged</v>
      </c>
      <c r="S1260" cm="1">
        <f t="array" ref="S1260">_xlfn.IFS(Q1260 ="Fortnightly",14,Q1260="Weekly",7,Q1260="Monthly",30,Q1260="Quarterly",90,Q1260="Bi-Weekly",14,Q1260="Annually",365,Q1260="Every 3 Months",90,TRUE,"NOT FOUND")</f>
        <v>90</v>
      </c>
    </row>
    <row r="1261" spans="1:19" x14ac:dyDescent="0.35">
      <c r="A1261">
        <v>1260</v>
      </c>
      <c r="B1261">
        <v>68</v>
      </c>
      <c r="C1261" t="s">
        <v>7</v>
      </c>
      <c r="D1261" t="s">
        <v>75</v>
      </c>
      <c r="E1261" t="s">
        <v>9</v>
      </c>
      <c r="F1261">
        <v>64</v>
      </c>
      <c r="G1261" t="s">
        <v>136</v>
      </c>
      <c r="H1261" t="s">
        <v>32</v>
      </c>
      <c r="I1261" t="s">
        <v>36</v>
      </c>
      <c r="J1261" t="s">
        <v>45</v>
      </c>
      <c r="K1261">
        <v>3.9</v>
      </c>
      <c r="L1261" t="s">
        <v>140</v>
      </c>
      <c r="M1261" t="s">
        <v>42</v>
      </c>
      <c r="N1261" t="s">
        <v>14</v>
      </c>
      <c r="O1261">
        <v>45</v>
      </c>
      <c r="P1261" t="s">
        <v>27</v>
      </c>
      <c r="Q1261" t="s">
        <v>76</v>
      </c>
      <c r="R1261" t="str" cm="1">
        <f t="array" ref="R1261">_xlfn.IFS(B1261&lt;31,"Young-Adult",B1261&lt;41,"Adult",B1261&lt;61,"Middle-aged",B1261&gt;=61,"Senior")</f>
        <v>Senior</v>
      </c>
      <c r="S1261" cm="1">
        <f t="array" ref="S1261">_xlfn.IFS(Q1261 ="Fortnightly",14,Q1261="Weekly",7,Q1261="Monthly",30,Q1261="Quarterly",90,Q1261="Bi-Weekly",14,Q1261="Annually",365,Q1261="Every 3 Months",90,TRUE,"NOT FOUND")</f>
        <v>30</v>
      </c>
    </row>
    <row r="1262" spans="1:19" x14ac:dyDescent="0.35">
      <c r="A1262">
        <v>1261</v>
      </c>
      <c r="B1262">
        <v>63</v>
      </c>
      <c r="C1262" t="s">
        <v>7</v>
      </c>
      <c r="D1262" t="s">
        <v>43</v>
      </c>
      <c r="E1262" t="s">
        <v>9</v>
      </c>
      <c r="F1262">
        <v>93</v>
      </c>
      <c r="G1262" t="s">
        <v>129</v>
      </c>
      <c r="H1262" t="s">
        <v>80</v>
      </c>
      <c r="I1262" t="s">
        <v>84</v>
      </c>
      <c r="J1262" t="s">
        <v>25</v>
      </c>
      <c r="K1262">
        <v>4.0999999999999996</v>
      </c>
      <c r="L1262" t="s">
        <v>140</v>
      </c>
      <c r="M1262" t="s">
        <v>62</v>
      </c>
      <c r="N1262" t="s">
        <v>14</v>
      </c>
      <c r="O1262">
        <v>30</v>
      </c>
      <c r="P1262" t="s">
        <v>74</v>
      </c>
      <c r="Q1262" t="s">
        <v>46</v>
      </c>
      <c r="R1262" t="str" cm="1">
        <f t="array" ref="R1262">_xlfn.IFS(B1262&lt;31,"Young-Adult",B1262&lt;41,"Adult",B1262&lt;61,"Middle-aged",B1262&gt;=61,"Senior")</f>
        <v>Senior</v>
      </c>
      <c r="S1262" cm="1">
        <f t="array" ref="S1262">_xlfn.IFS(Q1262 ="Fortnightly",14,Q1262="Weekly",7,Q1262="Monthly",30,Q1262="Quarterly",90,Q1262="Bi-Weekly",14,Q1262="Annually",365,Q1262="Every 3 Months",90,TRUE,"NOT FOUND")</f>
        <v>90</v>
      </c>
    </row>
    <row r="1263" spans="1:19" x14ac:dyDescent="0.35">
      <c r="A1263">
        <v>1262</v>
      </c>
      <c r="B1263">
        <v>20</v>
      </c>
      <c r="C1263" t="s">
        <v>7</v>
      </c>
      <c r="D1263" t="s">
        <v>43</v>
      </c>
      <c r="E1263" t="s">
        <v>9</v>
      </c>
      <c r="F1263">
        <v>29</v>
      </c>
      <c r="G1263" t="s">
        <v>127</v>
      </c>
      <c r="H1263" t="s">
        <v>11</v>
      </c>
      <c r="I1263" t="s">
        <v>20</v>
      </c>
      <c r="J1263" t="s">
        <v>41</v>
      </c>
      <c r="K1263">
        <v>2.8</v>
      </c>
      <c r="L1263" t="s">
        <v>140</v>
      </c>
      <c r="M1263" t="s">
        <v>33</v>
      </c>
      <c r="N1263" t="s">
        <v>14</v>
      </c>
      <c r="O1263">
        <v>2</v>
      </c>
      <c r="P1263" t="s">
        <v>27</v>
      </c>
      <c r="Q1263" t="s">
        <v>17</v>
      </c>
      <c r="R1263" t="str" cm="1">
        <f t="array" ref="R1263">_xlfn.IFS(B1263&lt;31,"Young-Adult",B1263&lt;41,"Adult",B1263&lt;61,"Middle-aged",B1263&gt;=61,"Senior")</f>
        <v>Young-Adult</v>
      </c>
      <c r="S1263" cm="1">
        <f t="array" ref="S1263">_xlfn.IFS(Q1263 ="Fortnightly",14,Q1263="Weekly",7,Q1263="Monthly",30,Q1263="Quarterly",90,Q1263="Bi-Weekly",14,Q1263="Annually",365,Q1263="Every 3 Months",90,TRUE,"NOT FOUND")</f>
        <v>14</v>
      </c>
    </row>
    <row r="1264" spans="1:19" x14ac:dyDescent="0.35">
      <c r="A1264">
        <v>1263</v>
      </c>
      <c r="B1264">
        <v>29</v>
      </c>
      <c r="C1264" t="s">
        <v>7</v>
      </c>
      <c r="D1264" t="s">
        <v>125</v>
      </c>
      <c r="E1264" t="s">
        <v>30</v>
      </c>
      <c r="F1264">
        <v>62</v>
      </c>
      <c r="G1264" t="s">
        <v>110</v>
      </c>
      <c r="H1264" t="s">
        <v>11</v>
      </c>
      <c r="I1264" t="s">
        <v>98</v>
      </c>
      <c r="J1264" t="s">
        <v>13</v>
      </c>
      <c r="K1264">
        <v>4.8</v>
      </c>
      <c r="L1264" t="s">
        <v>140</v>
      </c>
      <c r="M1264" t="s">
        <v>62</v>
      </c>
      <c r="N1264" t="s">
        <v>14</v>
      </c>
      <c r="O1264">
        <v>44</v>
      </c>
      <c r="P1264" t="s">
        <v>16</v>
      </c>
      <c r="Q1264" t="s">
        <v>76</v>
      </c>
      <c r="R1264" t="str" cm="1">
        <f t="array" ref="R1264">_xlfn.IFS(B1264&lt;31,"Young-Adult",B1264&lt;41,"Adult",B1264&lt;61,"Middle-aged",B1264&gt;=61,"Senior")</f>
        <v>Young-Adult</v>
      </c>
      <c r="S1264" cm="1">
        <f t="array" ref="S1264">_xlfn.IFS(Q1264 ="Fortnightly",14,Q1264="Weekly",7,Q1264="Monthly",30,Q1264="Quarterly",90,Q1264="Bi-Weekly",14,Q1264="Annually",365,Q1264="Every 3 Months",90,TRUE,"NOT FOUND")</f>
        <v>30</v>
      </c>
    </row>
    <row r="1265" spans="1:19" x14ac:dyDescent="0.35">
      <c r="A1265">
        <v>1264</v>
      </c>
      <c r="B1265">
        <v>41</v>
      </c>
      <c r="C1265" t="s">
        <v>7</v>
      </c>
      <c r="D1265" t="s">
        <v>92</v>
      </c>
      <c r="E1265" t="s">
        <v>9</v>
      </c>
      <c r="F1265">
        <v>70</v>
      </c>
      <c r="G1265" t="s">
        <v>67</v>
      </c>
      <c r="H1265" t="s">
        <v>11</v>
      </c>
      <c r="I1265" t="s">
        <v>98</v>
      </c>
      <c r="J1265" t="s">
        <v>13</v>
      </c>
      <c r="K1265">
        <v>4.5999999999999996</v>
      </c>
      <c r="L1265" t="s">
        <v>140</v>
      </c>
      <c r="M1265" t="s">
        <v>58</v>
      </c>
      <c r="N1265" t="s">
        <v>14</v>
      </c>
      <c r="O1265">
        <v>1</v>
      </c>
      <c r="P1265" t="s">
        <v>27</v>
      </c>
      <c r="Q1265" t="s">
        <v>64</v>
      </c>
      <c r="R1265" t="str" cm="1">
        <f t="array" ref="R1265">_xlfn.IFS(B1265&lt;31,"Young-Adult",B1265&lt;41,"Adult",B1265&lt;61,"Middle-aged",B1265&gt;=61,"Senior")</f>
        <v>Middle-aged</v>
      </c>
      <c r="S1265" cm="1">
        <f t="array" ref="S1265">_xlfn.IFS(Q1265 ="Fortnightly",14,Q1265="Weekly",7,Q1265="Monthly",30,Q1265="Quarterly",90,Q1265="Bi-Weekly",14,Q1265="Annually",365,Q1265="Every 3 Months",90,TRUE,"NOT FOUND")</f>
        <v>14</v>
      </c>
    </row>
    <row r="1266" spans="1:19" x14ac:dyDescent="0.35">
      <c r="A1266">
        <v>1265</v>
      </c>
      <c r="B1266">
        <v>52</v>
      </c>
      <c r="C1266" t="s">
        <v>7</v>
      </c>
      <c r="D1266" t="s">
        <v>18</v>
      </c>
      <c r="E1266" t="s">
        <v>9</v>
      </c>
      <c r="F1266">
        <v>92</v>
      </c>
      <c r="G1266" t="s">
        <v>117</v>
      </c>
      <c r="H1266" t="s">
        <v>24</v>
      </c>
      <c r="I1266" t="s">
        <v>132</v>
      </c>
      <c r="J1266" t="s">
        <v>13</v>
      </c>
      <c r="K1266">
        <v>2.5</v>
      </c>
      <c r="L1266" t="s">
        <v>140</v>
      </c>
      <c r="M1266" t="s">
        <v>33</v>
      </c>
      <c r="N1266" t="s">
        <v>14</v>
      </c>
      <c r="O1266">
        <v>1</v>
      </c>
      <c r="P1266" t="s">
        <v>16</v>
      </c>
      <c r="Q1266" t="s">
        <v>64</v>
      </c>
      <c r="R1266" t="str" cm="1">
        <f t="array" ref="R1266">_xlfn.IFS(B1266&lt;31,"Young-Adult",B1266&lt;41,"Adult",B1266&lt;61,"Middle-aged",B1266&gt;=61,"Senior")</f>
        <v>Middle-aged</v>
      </c>
      <c r="S1266" cm="1">
        <f t="array" ref="S1266">_xlfn.IFS(Q1266 ="Fortnightly",14,Q1266="Weekly",7,Q1266="Monthly",30,Q1266="Quarterly",90,Q1266="Bi-Weekly",14,Q1266="Annually",365,Q1266="Every 3 Months",90,TRUE,"NOT FOUND")</f>
        <v>14</v>
      </c>
    </row>
    <row r="1267" spans="1:19" x14ac:dyDescent="0.35">
      <c r="A1267">
        <v>1266</v>
      </c>
      <c r="B1267">
        <v>32</v>
      </c>
      <c r="C1267" t="s">
        <v>7</v>
      </c>
      <c r="D1267" t="s">
        <v>43</v>
      </c>
      <c r="E1267" t="s">
        <v>9</v>
      </c>
      <c r="F1267">
        <v>79</v>
      </c>
      <c r="G1267" t="s">
        <v>48</v>
      </c>
      <c r="H1267" t="s">
        <v>32</v>
      </c>
      <c r="I1267" t="s">
        <v>81</v>
      </c>
      <c r="J1267" t="s">
        <v>25</v>
      </c>
      <c r="K1267">
        <v>2.7</v>
      </c>
      <c r="L1267" t="s">
        <v>140</v>
      </c>
      <c r="M1267" t="s">
        <v>33</v>
      </c>
      <c r="N1267" t="s">
        <v>14</v>
      </c>
      <c r="O1267">
        <v>27</v>
      </c>
      <c r="P1267" t="s">
        <v>63</v>
      </c>
      <c r="Q1267" t="s">
        <v>28</v>
      </c>
      <c r="R1267" t="str" cm="1">
        <f t="array" ref="R1267">_xlfn.IFS(B1267&lt;31,"Young-Adult",B1267&lt;41,"Adult",B1267&lt;61,"Middle-aged",B1267&gt;=61,"Senior")</f>
        <v>Adult</v>
      </c>
      <c r="S1267" cm="1">
        <f t="array" ref="S1267">_xlfn.IFS(Q1267 ="Fortnightly",14,Q1267="Weekly",7,Q1267="Monthly",30,Q1267="Quarterly",90,Q1267="Bi-Weekly",14,Q1267="Annually",365,Q1267="Every 3 Months",90,TRUE,"NOT FOUND")</f>
        <v>7</v>
      </c>
    </row>
    <row r="1268" spans="1:19" x14ac:dyDescent="0.35">
      <c r="A1268">
        <v>1267</v>
      </c>
      <c r="B1268">
        <v>20</v>
      </c>
      <c r="C1268" t="s">
        <v>7</v>
      </c>
      <c r="D1268" t="s">
        <v>8</v>
      </c>
      <c r="E1268" t="s">
        <v>9</v>
      </c>
      <c r="F1268">
        <v>31</v>
      </c>
      <c r="G1268" t="s">
        <v>102</v>
      </c>
      <c r="H1268" t="s">
        <v>32</v>
      </c>
      <c r="I1268" t="s">
        <v>88</v>
      </c>
      <c r="J1268" t="s">
        <v>45</v>
      </c>
      <c r="K1268">
        <v>4</v>
      </c>
      <c r="L1268" t="s">
        <v>140</v>
      </c>
      <c r="M1268" t="s">
        <v>42</v>
      </c>
      <c r="N1268" t="s">
        <v>14</v>
      </c>
      <c r="O1268">
        <v>14</v>
      </c>
      <c r="P1268" t="s">
        <v>74</v>
      </c>
      <c r="Q1268" t="s">
        <v>85</v>
      </c>
      <c r="R1268" t="str" cm="1">
        <f t="array" ref="R1268">_xlfn.IFS(B1268&lt;31,"Young-Adult",B1268&lt;41,"Adult",B1268&lt;61,"Middle-aged",B1268&gt;=61,"Senior")</f>
        <v>Young-Adult</v>
      </c>
      <c r="S1268" cm="1">
        <f t="array" ref="S1268">_xlfn.IFS(Q1268 ="Fortnightly",14,Q1268="Weekly",7,Q1268="Monthly",30,Q1268="Quarterly",90,Q1268="Bi-Weekly",14,Q1268="Annually",365,Q1268="Every 3 Months",90,TRUE,"NOT FOUND")</f>
        <v>90</v>
      </c>
    </row>
    <row r="1269" spans="1:19" x14ac:dyDescent="0.35">
      <c r="A1269">
        <v>1268</v>
      </c>
      <c r="B1269">
        <v>47</v>
      </c>
      <c r="C1269" t="s">
        <v>7</v>
      </c>
      <c r="D1269" t="s">
        <v>101</v>
      </c>
      <c r="E1269" t="s">
        <v>9</v>
      </c>
      <c r="F1269">
        <v>83</v>
      </c>
      <c r="G1269" t="s">
        <v>35</v>
      </c>
      <c r="H1269" t="s">
        <v>24</v>
      </c>
      <c r="I1269" t="s">
        <v>12</v>
      </c>
      <c r="J1269" t="s">
        <v>25</v>
      </c>
      <c r="K1269">
        <v>2.7</v>
      </c>
      <c r="L1269" t="s">
        <v>140</v>
      </c>
      <c r="M1269" t="s">
        <v>42</v>
      </c>
      <c r="N1269" t="s">
        <v>14</v>
      </c>
      <c r="O1269">
        <v>41</v>
      </c>
      <c r="P1269" t="s">
        <v>21</v>
      </c>
      <c r="Q1269" t="s">
        <v>28</v>
      </c>
      <c r="R1269" t="str" cm="1">
        <f t="array" ref="R1269">_xlfn.IFS(B1269&lt;31,"Young-Adult",B1269&lt;41,"Adult",B1269&lt;61,"Middle-aged",B1269&gt;=61,"Senior")</f>
        <v>Middle-aged</v>
      </c>
      <c r="S1269" cm="1">
        <f t="array" ref="S1269">_xlfn.IFS(Q1269 ="Fortnightly",14,Q1269="Weekly",7,Q1269="Monthly",30,Q1269="Quarterly",90,Q1269="Bi-Weekly",14,Q1269="Annually",365,Q1269="Every 3 Months",90,TRUE,"NOT FOUND")</f>
        <v>7</v>
      </c>
    </row>
    <row r="1270" spans="1:19" x14ac:dyDescent="0.35">
      <c r="A1270">
        <v>1269</v>
      </c>
      <c r="B1270">
        <v>23</v>
      </c>
      <c r="C1270" t="s">
        <v>7</v>
      </c>
      <c r="D1270" t="s">
        <v>90</v>
      </c>
      <c r="E1270" t="s">
        <v>51</v>
      </c>
      <c r="F1270">
        <v>88</v>
      </c>
      <c r="G1270" t="s">
        <v>123</v>
      </c>
      <c r="H1270" t="s">
        <v>80</v>
      </c>
      <c r="I1270" t="s">
        <v>49</v>
      </c>
      <c r="J1270" t="s">
        <v>13</v>
      </c>
      <c r="K1270">
        <v>2.9</v>
      </c>
      <c r="L1270" t="s">
        <v>140</v>
      </c>
      <c r="M1270" t="s">
        <v>33</v>
      </c>
      <c r="N1270" t="s">
        <v>14</v>
      </c>
      <c r="O1270">
        <v>25</v>
      </c>
      <c r="P1270" t="s">
        <v>74</v>
      </c>
      <c r="Q1270" t="s">
        <v>64</v>
      </c>
      <c r="R1270" t="str" cm="1">
        <f t="array" ref="R1270">_xlfn.IFS(B1270&lt;31,"Young-Adult",B1270&lt;41,"Adult",B1270&lt;61,"Middle-aged",B1270&gt;=61,"Senior")</f>
        <v>Young-Adult</v>
      </c>
      <c r="S1270" cm="1">
        <f t="array" ref="S1270">_xlfn.IFS(Q1270 ="Fortnightly",14,Q1270="Weekly",7,Q1270="Monthly",30,Q1270="Quarterly",90,Q1270="Bi-Weekly",14,Q1270="Annually",365,Q1270="Every 3 Months",90,TRUE,"NOT FOUND")</f>
        <v>14</v>
      </c>
    </row>
    <row r="1271" spans="1:19" x14ac:dyDescent="0.35">
      <c r="A1271">
        <v>1270</v>
      </c>
      <c r="B1271">
        <v>43</v>
      </c>
      <c r="C1271" t="s">
        <v>7</v>
      </c>
      <c r="D1271" t="s">
        <v>94</v>
      </c>
      <c r="E1271" t="s">
        <v>55</v>
      </c>
      <c r="F1271">
        <v>53</v>
      </c>
      <c r="G1271" t="s">
        <v>117</v>
      </c>
      <c r="H1271" t="s">
        <v>32</v>
      </c>
      <c r="I1271" t="s">
        <v>81</v>
      </c>
      <c r="J1271" t="s">
        <v>25</v>
      </c>
      <c r="K1271">
        <v>3</v>
      </c>
      <c r="L1271" t="s">
        <v>140</v>
      </c>
      <c r="M1271" t="s">
        <v>42</v>
      </c>
      <c r="N1271" t="s">
        <v>14</v>
      </c>
      <c r="O1271">
        <v>47</v>
      </c>
      <c r="P1271" t="s">
        <v>34</v>
      </c>
      <c r="Q1271" t="s">
        <v>46</v>
      </c>
      <c r="R1271" t="str" cm="1">
        <f t="array" ref="R1271">_xlfn.IFS(B1271&lt;31,"Young-Adult",B1271&lt;41,"Adult",B1271&lt;61,"Middle-aged",B1271&gt;=61,"Senior")</f>
        <v>Middle-aged</v>
      </c>
      <c r="S1271" cm="1">
        <f t="array" ref="S1271">_xlfn.IFS(Q1271 ="Fortnightly",14,Q1271="Weekly",7,Q1271="Monthly",30,Q1271="Quarterly",90,Q1271="Bi-Weekly",14,Q1271="Annually",365,Q1271="Every 3 Months",90,TRUE,"NOT FOUND")</f>
        <v>90</v>
      </c>
    </row>
    <row r="1272" spans="1:19" x14ac:dyDescent="0.35">
      <c r="A1272">
        <v>1271</v>
      </c>
      <c r="B1272">
        <v>67</v>
      </c>
      <c r="C1272" t="s">
        <v>7</v>
      </c>
      <c r="D1272" t="s">
        <v>92</v>
      </c>
      <c r="E1272" t="s">
        <v>9</v>
      </c>
      <c r="F1272">
        <v>98</v>
      </c>
      <c r="G1272" t="s">
        <v>52</v>
      </c>
      <c r="H1272" t="s">
        <v>32</v>
      </c>
      <c r="I1272" t="s">
        <v>84</v>
      </c>
      <c r="J1272" t="s">
        <v>45</v>
      </c>
      <c r="K1272">
        <v>3.3</v>
      </c>
      <c r="L1272" t="s">
        <v>140</v>
      </c>
      <c r="M1272" t="s">
        <v>42</v>
      </c>
      <c r="N1272" t="s">
        <v>14</v>
      </c>
      <c r="O1272">
        <v>20</v>
      </c>
      <c r="P1272" t="s">
        <v>21</v>
      </c>
      <c r="Q1272" t="s">
        <v>37</v>
      </c>
      <c r="R1272" t="str" cm="1">
        <f t="array" ref="R1272">_xlfn.IFS(B1272&lt;31,"Young-Adult",B1272&lt;41,"Adult",B1272&lt;61,"Middle-aged",B1272&gt;=61,"Senior")</f>
        <v>Senior</v>
      </c>
      <c r="S1272" cm="1">
        <f t="array" ref="S1272">_xlfn.IFS(Q1272 ="Fortnightly",14,Q1272="Weekly",7,Q1272="Monthly",30,Q1272="Quarterly",90,Q1272="Bi-Weekly",14,Q1272="Annually",365,Q1272="Every 3 Months",90,TRUE,"NOT FOUND")</f>
        <v>365</v>
      </c>
    </row>
    <row r="1273" spans="1:19" x14ac:dyDescent="0.35">
      <c r="A1273">
        <v>1272</v>
      </c>
      <c r="B1273">
        <v>70</v>
      </c>
      <c r="C1273" t="s">
        <v>7</v>
      </c>
      <c r="D1273" t="s">
        <v>94</v>
      </c>
      <c r="E1273" t="s">
        <v>55</v>
      </c>
      <c r="F1273">
        <v>57</v>
      </c>
      <c r="G1273" t="s">
        <v>10</v>
      </c>
      <c r="H1273" t="s">
        <v>24</v>
      </c>
      <c r="I1273" t="s">
        <v>12</v>
      </c>
      <c r="J1273" t="s">
        <v>25</v>
      </c>
      <c r="K1273">
        <v>4.3</v>
      </c>
      <c r="L1273" t="s">
        <v>140</v>
      </c>
      <c r="M1273" t="s">
        <v>62</v>
      </c>
      <c r="N1273" t="s">
        <v>14</v>
      </c>
      <c r="O1273">
        <v>42</v>
      </c>
      <c r="P1273" t="s">
        <v>34</v>
      </c>
      <c r="Q1273" t="s">
        <v>37</v>
      </c>
      <c r="R1273" t="str" cm="1">
        <f t="array" ref="R1273">_xlfn.IFS(B1273&lt;31,"Young-Adult",B1273&lt;41,"Adult",B1273&lt;61,"Middle-aged",B1273&gt;=61,"Senior")</f>
        <v>Senior</v>
      </c>
      <c r="S1273" cm="1">
        <f t="array" ref="S1273">_xlfn.IFS(Q1273 ="Fortnightly",14,Q1273="Weekly",7,Q1273="Monthly",30,Q1273="Quarterly",90,Q1273="Bi-Weekly",14,Q1273="Annually",365,Q1273="Every 3 Months",90,TRUE,"NOT FOUND")</f>
        <v>365</v>
      </c>
    </row>
    <row r="1274" spans="1:19" x14ac:dyDescent="0.35">
      <c r="A1274">
        <v>1273</v>
      </c>
      <c r="B1274">
        <v>35</v>
      </c>
      <c r="C1274" t="s">
        <v>7</v>
      </c>
      <c r="D1274" t="s">
        <v>29</v>
      </c>
      <c r="E1274" t="s">
        <v>30</v>
      </c>
      <c r="F1274">
        <v>80</v>
      </c>
      <c r="G1274" t="s">
        <v>138</v>
      </c>
      <c r="H1274" t="s">
        <v>32</v>
      </c>
      <c r="I1274" t="s">
        <v>109</v>
      </c>
      <c r="J1274" t="s">
        <v>13</v>
      </c>
      <c r="K1274">
        <v>4.4000000000000004</v>
      </c>
      <c r="L1274" t="s">
        <v>140</v>
      </c>
      <c r="M1274" t="s">
        <v>15</v>
      </c>
      <c r="N1274" t="s">
        <v>14</v>
      </c>
      <c r="O1274">
        <v>16</v>
      </c>
      <c r="P1274" t="s">
        <v>63</v>
      </c>
      <c r="Q1274" t="s">
        <v>76</v>
      </c>
      <c r="R1274" t="str" cm="1">
        <f t="array" ref="R1274">_xlfn.IFS(B1274&lt;31,"Young-Adult",B1274&lt;41,"Adult",B1274&lt;61,"Middle-aged",B1274&gt;=61,"Senior")</f>
        <v>Adult</v>
      </c>
      <c r="S1274" cm="1">
        <f t="array" ref="S1274">_xlfn.IFS(Q1274 ="Fortnightly",14,Q1274="Weekly",7,Q1274="Monthly",30,Q1274="Quarterly",90,Q1274="Bi-Weekly",14,Q1274="Annually",365,Q1274="Every 3 Months",90,TRUE,"NOT FOUND")</f>
        <v>30</v>
      </c>
    </row>
    <row r="1275" spans="1:19" x14ac:dyDescent="0.35">
      <c r="A1275">
        <v>1274</v>
      </c>
      <c r="B1275">
        <v>41</v>
      </c>
      <c r="C1275" t="s">
        <v>7</v>
      </c>
      <c r="D1275" t="s">
        <v>22</v>
      </c>
      <c r="E1275" t="s">
        <v>9</v>
      </c>
      <c r="F1275">
        <v>29</v>
      </c>
      <c r="G1275" t="s">
        <v>79</v>
      </c>
      <c r="H1275" t="s">
        <v>11</v>
      </c>
      <c r="I1275" t="s">
        <v>53</v>
      </c>
      <c r="J1275" t="s">
        <v>25</v>
      </c>
      <c r="K1275">
        <v>4.0999999999999996</v>
      </c>
      <c r="L1275" t="s">
        <v>140</v>
      </c>
      <c r="M1275" t="s">
        <v>33</v>
      </c>
      <c r="N1275" t="s">
        <v>14</v>
      </c>
      <c r="O1275">
        <v>32</v>
      </c>
      <c r="P1275" t="s">
        <v>27</v>
      </c>
      <c r="Q1275" t="s">
        <v>85</v>
      </c>
      <c r="R1275" t="str" cm="1">
        <f t="array" ref="R1275">_xlfn.IFS(B1275&lt;31,"Young-Adult",B1275&lt;41,"Adult",B1275&lt;61,"Middle-aged",B1275&gt;=61,"Senior")</f>
        <v>Middle-aged</v>
      </c>
      <c r="S1275" cm="1">
        <f t="array" ref="S1275">_xlfn.IFS(Q1275 ="Fortnightly",14,Q1275="Weekly",7,Q1275="Monthly",30,Q1275="Quarterly",90,Q1275="Bi-Weekly",14,Q1275="Annually",365,Q1275="Every 3 Months",90,TRUE,"NOT FOUND")</f>
        <v>90</v>
      </c>
    </row>
    <row r="1276" spans="1:19" x14ac:dyDescent="0.35">
      <c r="A1276">
        <v>1275</v>
      </c>
      <c r="B1276">
        <v>54</v>
      </c>
      <c r="C1276" t="s">
        <v>7</v>
      </c>
      <c r="D1276" t="s">
        <v>112</v>
      </c>
      <c r="E1276" t="s">
        <v>55</v>
      </c>
      <c r="F1276">
        <v>73</v>
      </c>
      <c r="G1276" t="s">
        <v>56</v>
      </c>
      <c r="H1276" t="s">
        <v>32</v>
      </c>
      <c r="I1276" t="s">
        <v>66</v>
      </c>
      <c r="J1276" t="s">
        <v>25</v>
      </c>
      <c r="K1276">
        <v>3.1</v>
      </c>
      <c r="L1276" t="s">
        <v>140</v>
      </c>
      <c r="M1276" t="s">
        <v>58</v>
      </c>
      <c r="N1276" t="s">
        <v>14</v>
      </c>
      <c r="O1276">
        <v>37</v>
      </c>
      <c r="P1276" t="s">
        <v>34</v>
      </c>
      <c r="Q1276" t="s">
        <v>46</v>
      </c>
      <c r="R1276" t="str" cm="1">
        <f t="array" ref="R1276">_xlfn.IFS(B1276&lt;31,"Young-Adult",B1276&lt;41,"Adult",B1276&lt;61,"Middle-aged",B1276&gt;=61,"Senior")</f>
        <v>Middle-aged</v>
      </c>
      <c r="S1276" cm="1">
        <f t="array" ref="S1276">_xlfn.IFS(Q1276 ="Fortnightly",14,Q1276="Weekly",7,Q1276="Monthly",30,Q1276="Quarterly",90,Q1276="Bi-Weekly",14,Q1276="Annually",365,Q1276="Every 3 Months",90,TRUE,"NOT FOUND")</f>
        <v>90</v>
      </c>
    </row>
    <row r="1277" spans="1:19" x14ac:dyDescent="0.35">
      <c r="A1277">
        <v>1276</v>
      </c>
      <c r="B1277">
        <v>55</v>
      </c>
      <c r="C1277" t="s">
        <v>7</v>
      </c>
      <c r="D1277" t="s">
        <v>18</v>
      </c>
      <c r="E1277" t="s">
        <v>9</v>
      </c>
      <c r="F1277">
        <v>32</v>
      </c>
      <c r="G1277" t="s">
        <v>60</v>
      </c>
      <c r="H1277" t="s">
        <v>24</v>
      </c>
      <c r="I1277" t="s">
        <v>36</v>
      </c>
      <c r="J1277" t="s">
        <v>45</v>
      </c>
      <c r="K1277">
        <v>4.5</v>
      </c>
      <c r="L1277" t="s">
        <v>140</v>
      </c>
      <c r="M1277" t="s">
        <v>42</v>
      </c>
      <c r="N1277" t="s">
        <v>14</v>
      </c>
      <c r="O1277">
        <v>1</v>
      </c>
      <c r="P1277" t="s">
        <v>34</v>
      </c>
      <c r="Q1277" t="s">
        <v>76</v>
      </c>
      <c r="R1277" t="str" cm="1">
        <f t="array" ref="R1277">_xlfn.IFS(B1277&lt;31,"Young-Adult",B1277&lt;41,"Adult",B1277&lt;61,"Middle-aged",B1277&gt;=61,"Senior")</f>
        <v>Middle-aged</v>
      </c>
      <c r="S1277" cm="1">
        <f t="array" ref="S1277">_xlfn.IFS(Q1277 ="Fortnightly",14,Q1277="Weekly",7,Q1277="Monthly",30,Q1277="Quarterly",90,Q1277="Bi-Weekly",14,Q1277="Annually",365,Q1277="Every 3 Months",90,TRUE,"NOT FOUND")</f>
        <v>30</v>
      </c>
    </row>
    <row r="1278" spans="1:19" x14ac:dyDescent="0.35">
      <c r="A1278">
        <v>1277</v>
      </c>
      <c r="B1278">
        <v>51</v>
      </c>
      <c r="C1278" t="s">
        <v>7</v>
      </c>
      <c r="D1278" t="s">
        <v>125</v>
      </c>
      <c r="E1278" t="s">
        <v>30</v>
      </c>
      <c r="F1278">
        <v>68</v>
      </c>
      <c r="G1278" t="s">
        <v>39</v>
      </c>
      <c r="H1278" t="s">
        <v>11</v>
      </c>
      <c r="I1278" t="s">
        <v>36</v>
      </c>
      <c r="J1278" t="s">
        <v>25</v>
      </c>
      <c r="K1278">
        <v>4.8</v>
      </c>
      <c r="L1278" t="s">
        <v>140</v>
      </c>
      <c r="M1278" t="s">
        <v>33</v>
      </c>
      <c r="N1278" t="s">
        <v>14</v>
      </c>
      <c r="O1278">
        <v>37</v>
      </c>
      <c r="P1278" t="s">
        <v>63</v>
      </c>
      <c r="Q1278" t="s">
        <v>28</v>
      </c>
      <c r="R1278" t="str" cm="1">
        <f t="array" ref="R1278">_xlfn.IFS(B1278&lt;31,"Young-Adult",B1278&lt;41,"Adult",B1278&lt;61,"Middle-aged",B1278&gt;=61,"Senior")</f>
        <v>Middle-aged</v>
      </c>
      <c r="S1278" cm="1">
        <f t="array" ref="S1278">_xlfn.IFS(Q1278 ="Fortnightly",14,Q1278="Weekly",7,Q1278="Monthly",30,Q1278="Quarterly",90,Q1278="Bi-Weekly",14,Q1278="Annually",365,Q1278="Every 3 Months",90,TRUE,"NOT FOUND")</f>
        <v>7</v>
      </c>
    </row>
    <row r="1279" spans="1:19" x14ac:dyDescent="0.35">
      <c r="A1279">
        <v>1278</v>
      </c>
      <c r="B1279">
        <v>19</v>
      </c>
      <c r="C1279" t="s">
        <v>7</v>
      </c>
      <c r="D1279" t="s">
        <v>8</v>
      </c>
      <c r="E1279" t="s">
        <v>9</v>
      </c>
      <c r="F1279">
        <v>97</v>
      </c>
      <c r="G1279" t="s">
        <v>31</v>
      </c>
      <c r="H1279" t="s">
        <v>11</v>
      </c>
      <c r="I1279" t="s">
        <v>84</v>
      </c>
      <c r="J1279" t="s">
        <v>25</v>
      </c>
      <c r="K1279">
        <v>5</v>
      </c>
      <c r="L1279" t="s">
        <v>140</v>
      </c>
      <c r="M1279" t="s">
        <v>15</v>
      </c>
      <c r="N1279" t="s">
        <v>14</v>
      </c>
      <c r="O1279">
        <v>5</v>
      </c>
      <c r="P1279" t="s">
        <v>16</v>
      </c>
      <c r="Q1279" t="s">
        <v>46</v>
      </c>
      <c r="R1279" t="str" cm="1">
        <f t="array" ref="R1279">_xlfn.IFS(B1279&lt;31,"Young-Adult",B1279&lt;41,"Adult",B1279&lt;61,"Middle-aged",B1279&gt;=61,"Senior")</f>
        <v>Young-Adult</v>
      </c>
      <c r="S1279" cm="1">
        <f t="array" ref="S1279">_xlfn.IFS(Q1279 ="Fortnightly",14,Q1279="Weekly",7,Q1279="Monthly",30,Q1279="Quarterly",90,Q1279="Bi-Weekly",14,Q1279="Annually",365,Q1279="Every 3 Months",90,TRUE,"NOT FOUND")</f>
        <v>90</v>
      </c>
    </row>
    <row r="1280" spans="1:19" x14ac:dyDescent="0.35">
      <c r="A1280">
        <v>1279</v>
      </c>
      <c r="B1280">
        <v>28</v>
      </c>
      <c r="C1280" t="s">
        <v>7</v>
      </c>
      <c r="D1280" t="s">
        <v>47</v>
      </c>
      <c r="E1280" t="s">
        <v>9</v>
      </c>
      <c r="F1280">
        <v>98</v>
      </c>
      <c r="G1280" t="s">
        <v>128</v>
      </c>
      <c r="H1280" t="s">
        <v>32</v>
      </c>
      <c r="I1280" t="s">
        <v>71</v>
      </c>
      <c r="J1280" t="s">
        <v>45</v>
      </c>
      <c r="K1280">
        <v>2.8</v>
      </c>
      <c r="L1280" t="s">
        <v>140</v>
      </c>
      <c r="M1280" t="s">
        <v>33</v>
      </c>
      <c r="N1280" t="s">
        <v>14</v>
      </c>
      <c r="O1280">
        <v>31</v>
      </c>
      <c r="P1280" t="s">
        <v>16</v>
      </c>
      <c r="Q1280" t="s">
        <v>17</v>
      </c>
      <c r="R1280" t="str" cm="1">
        <f t="array" ref="R1280">_xlfn.IFS(B1280&lt;31,"Young-Adult",B1280&lt;41,"Adult",B1280&lt;61,"Middle-aged",B1280&gt;=61,"Senior")</f>
        <v>Young-Adult</v>
      </c>
      <c r="S1280" cm="1">
        <f t="array" ref="S1280">_xlfn.IFS(Q1280 ="Fortnightly",14,Q1280="Weekly",7,Q1280="Monthly",30,Q1280="Quarterly",90,Q1280="Bi-Weekly",14,Q1280="Annually",365,Q1280="Every 3 Months",90,TRUE,"NOT FOUND")</f>
        <v>14</v>
      </c>
    </row>
    <row r="1281" spans="1:19" x14ac:dyDescent="0.35">
      <c r="A1281">
        <v>1280</v>
      </c>
      <c r="B1281">
        <v>63</v>
      </c>
      <c r="C1281" t="s">
        <v>7</v>
      </c>
      <c r="D1281" t="s">
        <v>92</v>
      </c>
      <c r="E1281" t="s">
        <v>9</v>
      </c>
      <c r="F1281">
        <v>56</v>
      </c>
      <c r="G1281" t="s">
        <v>116</v>
      </c>
      <c r="H1281" t="s">
        <v>11</v>
      </c>
      <c r="I1281" t="s">
        <v>49</v>
      </c>
      <c r="J1281" t="s">
        <v>45</v>
      </c>
      <c r="K1281">
        <v>3.7</v>
      </c>
      <c r="L1281" t="s">
        <v>140</v>
      </c>
      <c r="M1281" t="s">
        <v>15</v>
      </c>
      <c r="N1281" t="s">
        <v>14</v>
      </c>
      <c r="O1281">
        <v>18</v>
      </c>
      <c r="P1281" t="s">
        <v>74</v>
      </c>
      <c r="Q1281" t="s">
        <v>37</v>
      </c>
      <c r="R1281" t="str" cm="1">
        <f t="array" ref="R1281">_xlfn.IFS(B1281&lt;31,"Young-Adult",B1281&lt;41,"Adult",B1281&lt;61,"Middle-aged",B1281&gt;=61,"Senior")</f>
        <v>Senior</v>
      </c>
      <c r="S1281" cm="1">
        <f t="array" ref="S1281">_xlfn.IFS(Q1281 ="Fortnightly",14,Q1281="Weekly",7,Q1281="Monthly",30,Q1281="Quarterly",90,Q1281="Bi-Weekly",14,Q1281="Annually",365,Q1281="Every 3 Months",90,TRUE,"NOT FOUND")</f>
        <v>365</v>
      </c>
    </row>
    <row r="1282" spans="1:19" x14ac:dyDescent="0.35">
      <c r="A1282">
        <v>1281</v>
      </c>
      <c r="B1282">
        <v>30</v>
      </c>
      <c r="C1282" t="s">
        <v>7</v>
      </c>
      <c r="D1282" t="s">
        <v>83</v>
      </c>
      <c r="E1282" t="s">
        <v>9</v>
      </c>
      <c r="F1282">
        <v>78</v>
      </c>
      <c r="G1282" t="s">
        <v>130</v>
      </c>
      <c r="H1282" t="s">
        <v>11</v>
      </c>
      <c r="I1282" t="s">
        <v>40</v>
      </c>
      <c r="J1282" t="s">
        <v>13</v>
      </c>
      <c r="K1282">
        <v>4.4000000000000004</v>
      </c>
      <c r="L1282" t="s">
        <v>140</v>
      </c>
      <c r="M1282" t="s">
        <v>58</v>
      </c>
      <c r="N1282" t="s">
        <v>14</v>
      </c>
      <c r="O1282">
        <v>39</v>
      </c>
      <c r="P1282" t="s">
        <v>16</v>
      </c>
      <c r="Q1282" t="s">
        <v>85</v>
      </c>
      <c r="R1282" t="str" cm="1">
        <f t="array" ref="R1282">_xlfn.IFS(B1282&lt;31,"Young-Adult",B1282&lt;41,"Adult",B1282&lt;61,"Middle-aged",B1282&gt;=61,"Senior")</f>
        <v>Young-Adult</v>
      </c>
      <c r="S1282" cm="1">
        <f t="array" ref="S1282">_xlfn.IFS(Q1282 ="Fortnightly",14,Q1282="Weekly",7,Q1282="Monthly",30,Q1282="Quarterly",90,Q1282="Bi-Weekly",14,Q1282="Annually",365,Q1282="Every 3 Months",90,TRUE,"NOT FOUND")</f>
        <v>90</v>
      </c>
    </row>
    <row r="1283" spans="1:19" x14ac:dyDescent="0.35">
      <c r="A1283">
        <v>1282</v>
      </c>
      <c r="B1283">
        <v>29</v>
      </c>
      <c r="C1283" t="s">
        <v>7</v>
      </c>
      <c r="D1283" t="s">
        <v>121</v>
      </c>
      <c r="E1283" t="s">
        <v>55</v>
      </c>
      <c r="F1283">
        <v>81</v>
      </c>
      <c r="G1283" t="s">
        <v>115</v>
      </c>
      <c r="H1283" t="s">
        <v>32</v>
      </c>
      <c r="I1283" t="s">
        <v>66</v>
      </c>
      <c r="J1283" t="s">
        <v>25</v>
      </c>
      <c r="K1283">
        <v>4.5</v>
      </c>
      <c r="L1283" t="s">
        <v>140</v>
      </c>
      <c r="M1283" t="s">
        <v>62</v>
      </c>
      <c r="N1283" t="s">
        <v>14</v>
      </c>
      <c r="O1283">
        <v>8</v>
      </c>
      <c r="P1283" t="s">
        <v>16</v>
      </c>
      <c r="Q1283" t="s">
        <v>64</v>
      </c>
      <c r="R1283" t="str" cm="1">
        <f t="array" ref="R1283">_xlfn.IFS(B1283&lt;31,"Young-Adult",B1283&lt;41,"Adult",B1283&lt;61,"Middle-aged",B1283&gt;=61,"Senior")</f>
        <v>Young-Adult</v>
      </c>
      <c r="S1283" cm="1">
        <f t="array" ref="S1283">_xlfn.IFS(Q1283 ="Fortnightly",14,Q1283="Weekly",7,Q1283="Monthly",30,Q1283="Quarterly",90,Q1283="Bi-Weekly",14,Q1283="Annually",365,Q1283="Every 3 Months",90,TRUE,"NOT FOUND")</f>
        <v>14</v>
      </c>
    </row>
    <row r="1284" spans="1:19" x14ac:dyDescent="0.35">
      <c r="A1284">
        <v>1283</v>
      </c>
      <c r="B1284">
        <v>24</v>
      </c>
      <c r="C1284" t="s">
        <v>7</v>
      </c>
      <c r="D1284" t="s">
        <v>43</v>
      </c>
      <c r="E1284" t="s">
        <v>9</v>
      </c>
      <c r="F1284">
        <v>68</v>
      </c>
      <c r="G1284" t="s">
        <v>70</v>
      </c>
      <c r="H1284" t="s">
        <v>11</v>
      </c>
      <c r="I1284" t="s">
        <v>71</v>
      </c>
      <c r="J1284" t="s">
        <v>13</v>
      </c>
      <c r="K1284">
        <v>3</v>
      </c>
      <c r="L1284" t="s">
        <v>140</v>
      </c>
      <c r="M1284" t="s">
        <v>26</v>
      </c>
      <c r="N1284" t="s">
        <v>14</v>
      </c>
      <c r="O1284">
        <v>20</v>
      </c>
      <c r="P1284" t="s">
        <v>16</v>
      </c>
      <c r="Q1284" t="s">
        <v>76</v>
      </c>
      <c r="R1284" t="str" cm="1">
        <f t="array" ref="R1284">_xlfn.IFS(B1284&lt;31,"Young-Adult",B1284&lt;41,"Adult",B1284&lt;61,"Middle-aged",B1284&gt;=61,"Senior")</f>
        <v>Young-Adult</v>
      </c>
      <c r="S1284" cm="1">
        <f t="array" ref="S1284">_xlfn.IFS(Q1284 ="Fortnightly",14,Q1284="Weekly",7,Q1284="Monthly",30,Q1284="Quarterly",90,Q1284="Bi-Weekly",14,Q1284="Annually",365,Q1284="Every 3 Months",90,TRUE,"NOT FOUND")</f>
        <v>30</v>
      </c>
    </row>
    <row r="1285" spans="1:19" x14ac:dyDescent="0.35">
      <c r="A1285">
        <v>1284</v>
      </c>
      <c r="B1285">
        <v>69</v>
      </c>
      <c r="C1285" t="s">
        <v>7</v>
      </c>
      <c r="D1285" t="s">
        <v>43</v>
      </c>
      <c r="E1285" t="s">
        <v>9</v>
      </c>
      <c r="F1285">
        <v>94</v>
      </c>
      <c r="G1285" t="s">
        <v>35</v>
      </c>
      <c r="H1285" t="s">
        <v>32</v>
      </c>
      <c r="I1285" t="s">
        <v>71</v>
      </c>
      <c r="J1285" t="s">
        <v>13</v>
      </c>
      <c r="K1285">
        <v>3.9</v>
      </c>
      <c r="L1285" t="s">
        <v>140</v>
      </c>
      <c r="M1285" t="s">
        <v>58</v>
      </c>
      <c r="N1285" t="s">
        <v>14</v>
      </c>
      <c r="O1285">
        <v>23</v>
      </c>
      <c r="P1285" t="s">
        <v>74</v>
      </c>
      <c r="Q1285" t="s">
        <v>85</v>
      </c>
      <c r="R1285" t="str" cm="1">
        <f t="array" ref="R1285">_xlfn.IFS(B1285&lt;31,"Young-Adult",B1285&lt;41,"Adult",B1285&lt;61,"Middle-aged",B1285&gt;=61,"Senior")</f>
        <v>Senior</v>
      </c>
      <c r="S1285" cm="1">
        <f t="array" ref="S1285">_xlfn.IFS(Q1285 ="Fortnightly",14,Q1285="Weekly",7,Q1285="Monthly",30,Q1285="Quarterly",90,Q1285="Bi-Weekly",14,Q1285="Annually",365,Q1285="Every 3 Months",90,TRUE,"NOT FOUND")</f>
        <v>90</v>
      </c>
    </row>
    <row r="1286" spans="1:19" x14ac:dyDescent="0.35">
      <c r="A1286">
        <v>1285</v>
      </c>
      <c r="B1286">
        <v>65</v>
      </c>
      <c r="C1286" t="s">
        <v>7</v>
      </c>
      <c r="D1286" t="s">
        <v>69</v>
      </c>
      <c r="E1286" t="s">
        <v>9</v>
      </c>
      <c r="F1286">
        <v>93</v>
      </c>
      <c r="G1286" t="s">
        <v>60</v>
      </c>
      <c r="H1286" t="s">
        <v>32</v>
      </c>
      <c r="I1286" t="s">
        <v>82</v>
      </c>
      <c r="J1286" t="s">
        <v>25</v>
      </c>
      <c r="K1286">
        <v>3.9</v>
      </c>
      <c r="L1286" t="s">
        <v>140</v>
      </c>
      <c r="M1286" t="s">
        <v>15</v>
      </c>
      <c r="N1286" t="s">
        <v>14</v>
      </c>
      <c r="O1286">
        <v>38</v>
      </c>
      <c r="P1286" t="s">
        <v>34</v>
      </c>
      <c r="Q1286" t="s">
        <v>17</v>
      </c>
      <c r="R1286" t="str" cm="1">
        <f t="array" ref="R1286">_xlfn.IFS(B1286&lt;31,"Young-Adult",B1286&lt;41,"Adult",B1286&lt;61,"Middle-aged",B1286&gt;=61,"Senior")</f>
        <v>Senior</v>
      </c>
      <c r="S1286" cm="1">
        <f t="array" ref="S1286">_xlfn.IFS(Q1286 ="Fortnightly",14,Q1286="Weekly",7,Q1286="Monthly",30,Q1286="Quarterly",90,Q1286="Bi-Weekly",14,Q1286="Annually",365,Q1286="Every 3 Months",90,TRUE,"NOT FOUND")</f>
        <v>14</v>
      </c>
    </row>
    <row r="1287" spans="1:19" x14ac:dyDescent="0.35">
      <c r="A1287">
        <v>1286</v>
      </c>
      <c r="B1287">
        <v>64</v>
      </c>
      <c r="C1287" t="s">
        <v>7</v>
      </c>
      <c r="D1287" t="s">
        <v>131</v>
      </c>
      <c r="E1287" t="s">
        <v>55</v>
      </c>
      <c r="F1287">
        <v>99</v>
      </c>
      <c r="G1287" t="s">
        <v>86</v>
      </c>
      <c r="H1287" t="s">
        <v>32</v>
      </c>
      <c r="I1287" t="s">
        <v>49</v>
      </c>
      <c r="J1287" t="s">
        <v>45</v>
      </c>
      <c r="K1287">
        <v>3.5</v>
      </c>
      <c r="L1287" t="s">
        <v>140</v>
      </c>
      <c r="M1287" t="s">
        <v>33</v>
      </c>
      <c r="N1287" t="s">
        <v>14</v>
      </c>
      <c r="O1287">
        <v>45</v>
      </c>
      <c r="P1287" t="s">
        <v>63</v>
      </c>
      <c r="Q1287" t="s">
        <v>17</v>
      </c>
      <c r="R1287" t="str" cm="1">
        <f t="array" ref="R1287">_xlfn.IFS(B1287&lt;31,"Young-Adult",B1287&lt;41,"Adult",B1287&lt;61,"Middle-aged",B1287&gt;=61,"Senior")</f>
        <v>Senior</v>
      </c>
      <c r="S1287" cm="1">
        <f t="array" ref="S1287">_xlfn.IFS(Q1287 ="Fortnightly",14,Q1287="Weekly",7,Q1287="Monthly",30,Q1287="Quarterly",90,Q1287="Bi-Weekly",14,Q1287="Annually",365,Q1287="Every 3 Months",90,TRUE,"NOT FOUND")</f>
        <v>14</v>
      </c>
    </row>
    <row r="1288" spans="1:19" x14ac:dyDescent="0.35">
      <c r="A1288">
        <v>1287</v>
      </c>
      <c r="B1288">
        <v>40</v>
      </c>
      <c r="C1288" t="s">
        <v>7</v>
      </c>
      <c r="D1288" t="s">
        <v>131</v>
      </c>
      <c r="E1288" t="s">
        <v>55</v>
      </c>
      <c r="F1288">
        <v>49</v>
      </c>
      <c r="G1288" t="s">
        <v>52</v>
      </c>
      <c r="H1288" t="s">
        <v>11</v>
      </c>
      <c r="I1288" t="s">
        <v>122</v>
      </c>
      <c r="J1288" t="s">
        <v>13</v>
      </c>
      <c r="K1288">
        <v>4.9000000000000004</v>
      </c>
      <c r="L1288" t="s">
        <v>140</v>
      </c>
      <c r="M1288" t="s">
        <v>33</v>
      </c>
      <c r="N1288" t="s">
        <v>14</v>
      </c>
      <c r="O1288">
        <v>44</v>
      </c>
      <c r="P1288" t="s">
        <v>74</v>
      </c>
      <c r="Q1288" t="s">
        <v>17</v>
      </c>
      <c r="R1288" t="str" cm="1">
        <f t="array" ref="R1288">_xlfn.IFS(B1288&lt;31,"Young-Adult",B1288&lt;41,"Adult",B1288&lt;61,"Middle-aged",B1288&gt;=61,"Senior")</f>
        <v>Adult</v>
      </c>
      <c r="S1288" cm="1">
        <f t="array" ref="S1288">_xlfn.IFS(Q1288 ="Fortnightly",14,Q1288="Weekly",7,Q1288="Monthly",30,Q1288="Quarterly",90,Q1288="Bi-Weekly",14,Q1288="Annually",365,Q1288="Every 3 Months",90,TRUE,"NOT FOUND")</f>
        <v>14</v>
      </c>
    </row>
    <row r="1289" spans="1:19" x14ac:dyDescent="0.35">
      <c r="A1289">
        <v>1288</v>
      </c>
      <c r="B1289">
        <v>24</v>
      </c>
      <c r="C1289" t="s">
        <v>7</v>
      </c>
      <c r="D1289" t="s">
        <v>22</v>
      </c>
      <c r="E1289" t="s">
        <v>9</v>
      </c>
      <c r="F1289">
        <v>28</v>
      </c>
      <c r="G1289" t="s">
        <v>128</v>
      </c>
      <c r="H1289" t="s">
        <v>80</v>
      </c>
      <c r="I1289" t="s">
        <v>132</v>
      </c>
      <c r="J1289" t="s">
        <v>13</v>
      </c>
      <c r="K1289">
        <v>3.4</v>
      </c>
      <c r="L1289" t="s">
        <v>140</v>
      </c>
      <c r="M1289" t="s">
        <v>42</v>
      </c>
      <c r="N1289" t="s">
        <v>14</v>
      </c>
      <c r="O1289">
        <v>20</v>
      </c>
      <c r="P1289" t="s">
        <v>34</v>
      </c>
      <c r="Q1289" t="s">
        <v>76</v>
      </c>
      <c r="R1289" t="str" cm="1">
        <f t="array" ref="R1289">_xlfn.IFS(B1289&lt;31,"Young-Adult",B1289&lt;41,"Adult",B1289&lt;61,"Middle-aged",B1289&gt;=61,"Senior")</f>
        <v>Young-Adult</v>
      </c>
      <c r="S1289" cm="1">
        <f t="array" ref="S1289">_xlfn.IFS(Q1289 ="Fortnightly",14,Q1289="Weekly",7,Q1289="Monthly",30,Q1289="Quarterly",90,Q1289="Bi-Weekly",14,Q1289="Annually",365,Q1289="Every 3 Months",90,TRUE,"NOT FOUND")</f>
        <v>30</v>
      </c>
    </row>
    <row r="1290" spans="1:19" x14ac:dyDescent="0.35">
      <c r="A1290">
        <v>1289</v>
      </c>
      <c r="B1290">
        <v>66</v>
      </c>
      <c r="C1290" t="s">
        <v>7</v>
      </c>
      <c r="D1290" t="s">
        <v>121</v>
      </c>
      <c r="E1290" t="s">
        <v>55</v>
      </c>
      <c r="F1290">
        <v>93</v>
      </c>
      <c r="G1290" t="s">
        <v>135</v>
      </c>
      <c r="H1290" t="s">
        <v>80</v>
      </c>
      <c r="I1290" t="s">
        <v>49</v>
      </c>
      <c r="J1290" t="s">
        <v>13</v>
      </c>
      <c r="K1290">
        <v>4.0999999999999996</v>
      </c>
      <c r="L1290" t="s">
        <v>140</v>
      </c>
      <c r="M1290" t="s">
        <v>42</v>
      </c>
      <c r="N1290" t="s">
        <v>14</v>
      </c>
      <c r="O1290">
        <v>34</v>
      </c>
      <c r="P1290" t="s">
        <v>34</v>
      </c>
      <c r="Q1290" t="s">
        <v>64</v>
      </c>
      <c r="R1290" t="str" cm="1">
        <f t="array" ref="R1290">_xlfn.IFS(B1290&lt;31,"Young-Adult",B1290&lt;41,"Adult",B1290&lt;61,"Middle-aged",B1290&gt;=61,"Senior")</f>
        <v>Senior</v>
      </c>
      <c r="S1290" cm="1">
        <f t="array" ref="S1290">_xlfn.IFS(Q1290 ="Fortnightly",14,Q1290="Weekly",7,Q1290="Monthly",30,Q1290="Quarterly",90,Q1290="Bi-Weekly",14,Q1290="Annually",365,Q1290="Every 3 Months",90,TRUE,"NOT FOUND")</f>
        <v>14</v>
      </c>
    </row>
    <row r="1291" spans="1:19" x14ac:dyDescent="0.35">
      <c r="A1291">
        <v>1290</v>
      </c>
      <c r="B1291">
        <v>35</v>
      </c>
      <c r="C1291" t="s">
        <v>7</v>
      </c>
      <c r="D1291" t="s">
        <v>90</v>
      </c>
      <c r="E1291" t="s">
        <v>51</v>
      </c>
      <c r="F1291">
        <v>24</v>
      </c>
      <c r="G1291" t="s">
        <v>70</v>
      </c>
      <c r="H1291" t="s">
        <v>32</v>
      </c>
      <c r="I1291" t="s">
        <v>96</v>
      </c>
      <c r="J1291" t="s">
        <v>45</v>
      </c>
      <c r="K1291">
        <v>2.9</v>
      </c>
      <c r="L1291" t="s">
        <v>140</v>
      </c>
      <c r="M1291" t="s">
        <v>33</v>
      </c>
      <c r="N1291" t="s">
        <v>14</v>
      </c>
      <c r="O1291">
        <v>10</v>
      </c>
      <c r="P1291" t="s">
        <v>34</v>
      </c>
      <c r="Q1291" t="s">
        <v>28</v>
      </c>
      <c r="R1291" t="str" cm="1">
        <f t="array" ref="R1291">_xlfn.IFS(B1291&lt;31,"Young-Adult",B1291&lt;41,"Adult",B1291&lt;61,"Middle-aged",B1291&gt;=61,"Senior")</f>
        <v>Adult</v>
      </c>
      <c r="S1291" cm="1">
        <f t="array" ref="S1291">_xlfn.IFS(Q1291 ="Fortnightly",14,Q1291="Weekly",7,Q1291="Monthly",30,Q1291="Quarterly",90,Q1291="Bi-Weekly",14,Q1291="Annually",365,Q1291="Every 3 Months",90,TRUE,"NOT FOUND")</f>
        <v>7</v>
      </c>
    </row>
    <row r="1292" spans="1:19" x14ac:dyDescent="0.35">
      <c r="A1292">
        <v>1291</v>
      </c>
      <c r="B1292">
        <v>67</v>
      </c>
      <c r="C1292" t="s">
        <v>7</v>
      </c>
      <c r="D1292" t="s">
        <v>75</v>
      </c>
      <c r="E1292" t="s">
        <v>9</v>
      </c>
      <c r="F1292">
        <v>35</v>
      </c>
      <c r="G1292" t="s">
        <v>116</v>
      </c>
      <c r="H1292" t="s">
        <v>32</v>
      </c>
      <c r="I1292" t="s">
        <v>114</v>
      </c>
      <c r="J1292" t="s">
        <v>25</v>
      </c>
      <c r="K1292">
        <v>3.4</v>
      </c>
      <c r="L1292" t="s">
        <v>140</v>
      </c>
      <c r="M1292" t="s">
        <v>26</v>
      </c>
      <c r="N1292" t="s">
        <v>14</v>
      </c>
      <c r="O1292">
        <v>3</v>
      </c>
      <c r="P1292" t="s">
        <v>34</v>
      </c>
      <c r="Q1292" t="s">
        <v>37</v>
      </c>
      <c r="R1292" t="str" cm="1">
        <f t="array" ref="R1292">_xlfn.IFS(B1292&lt;31,"Young-Adult",B1292&lt;41,"Adult",B1292&lt;61,"Middle-aged",B1292&gt;=61,"Senior")</f>
        <v>Senior</v>
      </c>
      <c r="S1292" cm="1">
        <f t="array" ref="S1292">_xlfn.IFS(Q1292 ="Fortnightly",14,Q1292="Weekly",7,Q1292="Monthly",30,Q1292="Quarterly",90,Q1292="Bi-Weekly",14,Q1292="Annually",365,Q1292="Every 3 Months",90,TRUE,"NOT FOUND")</f>
        <v>365</v>
      </c>
    </row>
    <row r="1293" spans="1:19" x14ac:dyDescent="0.35">
      <c r="A1293">
        <v>1292</v>
      </c>
      <c r="B1293">
        <v>69</v>
      </c>
      <c r="C1293" t="s">
        <v>7</v>
      </c>
      <c r="D1293" t="s">
        <v>29</v>
      </c>
      <c r="E1293" t="s">
        <v>30</v>
      </c>
      <c r="F1293">
        <v>68</v>
      </c>
      <c r="G1293" t="s">
        <v>135</v>
      </c>
      <c r="H1293" t="s">
        <v>24</v>
      </c>
      <c r="I1293" t="s">
        <v>106</v>
      </c>
      <c r="J1293" t="s">
        <v>25</v>
      </c>
      <c r="K1293">
        <v>3.2</v>
      </c>
      <c r="L1293" t="s">
        <v>140</v>
      </c>
      <c r="M1293" t="s">
        <v>58</v>
      </c>
      <c r="N1293" t="s">
        <v>14</v>
      </c>
      <c r="O1293">
        <v>23</v>
      </c>
      <c r="P1293" t="s">
        <v>74</v>
      </c>
      <c r="Q1293" t="s">
        <v>17</v>
      </c>
      <c r="R1293" t="str" cm="1">
        <f t="array" ref="R1293">_xlfn.IFS(B1293&lt;31,"Young-Adult",B1293&lt;41,"Adult",B1293&lt;61,"Middle-aged",B1293&gt;=61,"Senior")</f>
        <v>Senior</v>
      </c>
      <c r="S1293" cm="1">
        <f t="array" ref="S1293">_xlfn.IFS(Q1293 ="Fortnightly",14,Q1293="Weekly",7,Q1293="Monthly",30,Q1293="Quarterly",90,Q1293="Bi-Weekly",14,Q1293="Annually",365,Q1293="Every 3 Months",90,TRUE,"NOT FOUND")</f>
        <v>14</v>
      </c>
    </row>
    <row r="1294" spans="1:19" x14ac:dyDescent="0.35">
      <c r="A1294">
        <v>1293</v>
      </c>
      <c r="B1294">
        <v>26</v>
      </c>
      <c r="C1294" t="s">
        <v>7</v>
      </c>
      <c r="D1294" t="s">
        <v>121</v>
      </c>
      <c r="E1294" t="s">
        <v>55</v>
      </c>
      <c r="F1294">
        <v>61</v>
      </c>
      <c r="G1294" t="s">
        <v>10</v>
      </c>
      <c r="H1294" t="s">
        <v>32</v>
      </c>
      <c r="I1294" t="s">
        <v>20</v>
      </c>
      <c r="J1294" t="s">
        <v>41</v>
      </c>
      <c r="K1294">
        <v>3.8</v>
      </c>
      <c r="L1294" t="s">
        <v>140</v>
      </c>
      <c r="M1294" t="s">
        <v>26</v>
      </c>
      <c r="N1294" t="s">
        <v>14</v>
      </c>
      <c r="O1294">
        <v>42</v>
      </c>
      <c r="P1294" t="s">
        <v>63</v>
      </c>
      <c r="Q1294" t="s">
        <v>37</v>
      </c>
      <c r="R1294" t="str" cm="1">
        <f t="array" ref="R1294">_xlfn.IFS(B1294&lt;31,"Young-Adult",B1294&lt;41,"Adult",B1294&lt;61,"Middle-aged",B1294&gt;=61,"Senior")</f>
        <v>Young-Adult</v>
      </c>
      <c r="S1294" cm="1">
        <f t="array" ref="S1294">_xlfn.IFS(Q1294 ="Fortnightly",14,Q1294="Weekly",7,Q1294="Monthly",30,Q1294="Quarterly",90,Q1294="Bi-Weekly",14,Q1294="Annually",365,Q1294="Every 3 Months",90,TRUE,"NOT FOUND")</f>
        <v>365</v>
      </c>
    </row>
    <row r="1295" spans="1:19" x14ac:dyDescent="0.35">
      <c r="A1295">
        <v>1294</v>
      </c>
      <c r="B1295">
        <v>23</v>
      </c>
      <c r="C1295" t="s">
        <v>7</v>
      </c>
      <c r="D1295" t="s">
        <v>18</v>
      </c>
      <c r="E1295" t="s">
        <v>9</v>
      </c>
      <c r="F1295">
        <v>74</v>
      </c>
      <c r="G1295" t="s">
        <v>91</v>
      </c>
      <c r="H1295" t="s">
        <v>80</v>
      </c>
      <c r="I1295" t="s">
        <v>122</v>
      </c>
      <c r="J1295" t="s">
        <v>45</v>
      </c>
      <c r="K1295">
        <v>4.0999999999999996</v>
      </c>
      <c r="L1295" t="s">
        <v>140</v>
      </c>
      <c r="M1295" t="s">
        <v>42</v>
      </c>
      <c r="N1295" t="s">
        <v>14</v>
      </c>
      <c r="O1295">
        <v>30</v>
      </c>
      <c r="P1295" t="s">
        <v>74</v>
      </c>
      <c r="Q1295" t="s">
        <v>37</v>
      </c>
      <c r="R1295" t="str" cm="1">
        <f t="array" ref="R1295">_xlfn.IFS(B1295&lt;31,"Young-Adult",B1295&lt;41,"Adult",B1295&lt;61,"Middle-aged",B1295&gt;=61,"Senior")</f>
        <v>Young-Adult</v>
      </c>
      <c r="S1295" cm="1">
        <f t="array" ref="S1295">_xlfn.IFS(Q1295 ="Fortnightly",14,Q1295="Weekly",7,Q1295="Monthly",30,Q1295="Quarterly",90,Q1295="Bi-Weekly",14,Q1295="Annually",365,Q1295="Every 3 Months",90,TRUE,"NOT FOUND")</f>
        <v>365</v>
      </c>
    </row>
    <row r="1296" spans="1:19" x14ac:dyDescent="0.35">
      <c r="A1296">
        <v>1295</v>
      </c>
      <c r="B1296">
        <v>27</v>
      </c>
      <c r="C1296" t="s">
        <v>7</v>
      </c>
      <c r="D1296" t="s">
        <v>43</v>
      </c>
      <c r="E1296" t="s">
        <v>9</v>
      </c>
      <c r="F1296">
        <v>64</v>
      </c>
      <c r="G1296" t="s">
        <v>93</v>
      </c>
      <c r="H1296" t="s">
        <v>32</v>
      </c>
      <c r="I1296" t="s">
        <v>53</v>
      </c>
      <c r="J1296" t="s">
        <v>41</v>
      </c>
      <c r="K1296">
        <v>4.5</v>
      </c>
      <c r="L1296" t="s">
        <v>140</v>
      </c>
      <c r="M1296" t="s">
        <v>42</v>
      </c>
      <c r="N1296" t="s">
        <v>14</v>
      </c>
      <c r="O1296">
        <v>21</v>
      </c>
      <c r="P1296" t="s">
        <v>21</v>
      </c>
      <c r="Q1296" t="s">
        <v>85</v>
      </c>
      <c r="R1296" t="str" cm="1">
        <f t="array" ref="R1296">_xlfn.IFS(B1296&lt;31,"Young-Adult",B1296&lt;41,"Adult",B1296&lt;61,"Middle-aged",B1296&gt;=61,"Senior")</f>
        <v>Young-Adult</v>
      </c>
      <c r="S1296" cm="1">
        <f t="array" ref="S1296">_xlfn.IFS(Q1296 ="Fortnightly",14,Q1296="Weekly",7,Q1296="Monthly",30,Q1296="Quarterly",90,Q1296="Bi-Weekly",14,Q1296="Annually",365,Q1296="Every 3 Months",90,TRUE,"NOT FOUND")</f>
        <v>90</v>
      </c>
    </row>
    <row r="1297" spans="1:19" x14ac:dyDescent="0.35">
      <c r="A1297">
        <v>1296</v>
      </c>
      <c r="B1297">
        <v>30</v>
      </c>
      <c r="C1297" t="s">
        <v>7</v>
      </c>
      <c r="D1297" t="s">
        <v>38</v>
      </c>
      <c r="E1297" t="s">
        <v>30</v>
      </c>
      <c r="F1297">
        <v>60</v>
      </c>
      <c r="G1297" t="s">
        <v>118</v>
      </c>
      <c r="H1297" t="s">
        <v>32</v>
      </c>
      <c r="I1297" t="s">
        <v>66</v>
      </c>
      <c r="J1297" t="s">
        <v>45</v>
      </c>
      <c r="K1297">
        <v>2.8</v>
      </c>
      <c r="L1297" t="s">
        <v>140</v>
      </c>
      <c r="M1297" t="s">
        <v>42</v>
      </c>
      <c r="N1297" t="s">
        <v>14</v>
      </c>
      <c r="O1297">
        <v>50</v>
      </c>
      <c r="P1297" t="s">
        <v>34</v>
      </c>
      <c r="Q1297" t="s">
        <v>28</v>
      </c>
      <c r="R1297" t="str" cm="1">
        <f t="array" ref="R1297">_xlfn.IFS(B1297&lt;31,"Young-Adult",B1297&lt;41,"Adult",B1297&lt;61,"Middle-aged",B1297&gt;=61,"Senior")</f>
        <v>Young-Adult</v>
      </c>
      <c r="S1297" cm="1">
        <f t="array" ref="S1297">_xlfn.IFS(Q1297 ="Fortnightly",14,Q1297="Weekly",7,Q1297="Monthly",30,Q1297="Quarterly",90,Q1297="Bi-Weekly",14,Q1297="Annually",365,Q1297="Every 3 Months",90,TRUE,"NOT FOUND")</f>
        <v>7</v>
      </c>
    </row>
    <row r="1298" spans="1:19" x14ac:dyDescent="0.35">
      <c r="A1298">
        <v>1297</v>
      </c>
      <c r="B1298">
        <v>48</v>
      </c>
      <c r="C1298" t="s">
        <v>7</v>
      </c>
      <c r="D1298" t="s">
        <v>22</v>
      </c>
      <c r="E1298" t="s">
        <v>9</v>
      </c>
      <c r="F1298">
        <v>29</v>
      </c>
      <c r="G1298" t="s">
        <v>135</v>
      </c>
      <c r="H1298" t="s">
        <v>24</v>
      </c>
      <c r="I1298" t="s">
        <v>73</v>
      </c>
      <c r="J1298" t="s">
        <v>25</v>
      </c>
      <c r="K1298">
        <v>2.8</v>
      </c>
      <c r="L1298" t="s">
        <v>140</v>
      </c>
      <c r="M1298" t="s">
        <v>15</v>
      </c>
      <c r="N1298" t="s">
        <v>14</v>
      </c>
      <c r="O1298">
        <v>16</v>
      </c>
      <c r="P1298" t="s">
        <v>21</v>
      </c>
      <c r="Q1298" t="s">
        <v>64</v>
      </c>
      <c r="R1298" t="str" cm="1">
        <f t="array" ref="R1298">_xlfn.IFS(B1298&lt;31,"Young-Adult",B1298&lt;41,"Adult",B1298&lt;61,"Middle-aged",B1298&gt;=61,"Senior")</f>
        <v>Middle-aged</v>
      </c>
      <c r="S1298" cm="1">
        <f t="array" ref="S1298">_xlfn.IFS(Q1298 ="Fortnightly",14,Q1298="Weekly",7,Q1298="Monthly",30,Q1298="Quarterly",90,Q1298="Bi-Weekly",14,Q1298="Annually",365,Q1298="Every 3 Months",90,TRUE,"NOT FOUND")</f>
        <v>14</v>
      </c>
    </row>
    <row r="1299" spans="1:19" x14ac:dyDescent="0.35">
      <c r="A1299">
        <v>1298</v>
      </c>
      <c r="B1299">
        <v>44</v>
      </c>
      <c r="C1299" t="s">
        <v>7</v>
      </c>
      <c r="D1299" t="s">
        <v>29</v>
      </c>
      <c r="E1299" t="s">
        <v>30</v>
      </c>
      <c r="F1299">
        <v>85</v>
      </c>
      <c r="G1299" t="s">
        <v>115</v>
      </c>
      <c r="H1299" t="s">
        <v>32</v>
      </c>
      <c r="I1299" t="s">
        <v>53</v>
      </c>
      <c r="J1299" t="s">
        <v>41</v>
      </c>
      <c r="K1299">
        <v>4.5999999999999996</v>
      </c>
      <c r="L1299" t="s">
        <v>140</v>
      </c>
      <c r="M1299" t="s">
        <v>42</v>
      </c>
      <c r="N1299" t="s">
        <v>14</v>
      </c>
      <c r="O1299">
        <v>32</v>
      </c>
      <c r="P1299" t="s">
        <v>16</v>
      </c>
      <c r="Q1299" t="s">
        <v>37</v>
      </c>
      <c r="R1299" t="str" cm="1">
        <f t="array" ref="R1299">_xlfn.IFS(B1299&lt;31,"Young-Adult",B1299&lt;41,"Adult",B1299&lt;61,"Middle-aged",B1299&gt;=61,"Senior")</f>
        <v>Middle-aged</v>
      </c>
      <c r="S1299" cm="1">
        <f t="array" ref="S1299">_xlfn.IFS(Q1299 ="Fortnightly",14,Q1299="Weekly",7,Q1299="Monthly",30,Q1299="Quarterly",90,Q1299="Bi-Weekly",14,Q1299="Annually",365,Q1299="Every 3 Months",90,TRUE,"NOT FOUND")</f>
        <v>365</v>
      </c>
    </row>
    <row r="1300" spans="1:19" x14ac:dyDescent="0.35">
      <c r="A1300">
        <v>1299</v>
      </c>
      <c r="B1300">
        <v>29</v>
      </c>
      <c r="C1300" t="s">
        <v>7</v>
      </c>
      <c r="D1300" t="s">
        <v>83</v>
      </c>
      <c r="E1300" t="s">
        <v>9</v>
      </c>
      <c r="F1300">
        <v>81</v>
      </c>
      <c r="G1300" t="s">
        <v>104</v>
      </c>
      <c r="H1300" t="s">
        <v>24</v>
      </c>
      <c r="I1300" t="s">
        <v>114</v>
      </c>
      <c r="J1300" t="s">
        <v>41</v>
      </c>
      <c r="K1300">
        <v>3</v>
      </c>
      <c r="L1300" t="s">
        <v>140</v>
      </c>
      <c r="M1300" t="s">
        <v>26</v>
      </c>
      <c r="N1300" t="s">
        <v>14</v>
      </c>
      <c r="O1300">
        <v>14</v>
      </c>
      <c r="P1300" t="s">
        <v>63</v>
      </c>
      <c r="Q1300" t="s">
        <v>17</v>
      </c>
      <c r="R1300" t="str" cm="1">
        <f t="array" ref="R1300">_xlfn.IFS(B1300&lt;31,"Young-Adult",B1300&lt;41,"Adult",B1300&lt;61,"Middle-aged",B1300&gt;=61,"Senior")</f>
        <v>Young-Adult</v>
      </c>
      <c r="S1300" cm="1">
        <f t="array" ref="S1300">_xlfn.IFS(Q1300 ="Fortnightly",14,Q1300="Weekly",7,Q1300="Monthly",30,Q1300="Quarterly",90,Q1300="Bi-Weekly",14,Q1300="Annually",365,Q1300="Every 3 Months",90,TRUE,"NOT FOUND")</f>
        <v>14</v>
      </c>
    </row>
    <row r="1301" spans="1:19" x14ac:dyDescent="0.35">
      <c r="A1301">
        <v>1300</v>
      </c>
      <c r="B1301">
        <v>29</v>
      </c>
      <c r="C1301" t="s">
        <v>7</v>
      </c>
      <c r="D1301" t="s">
        <v>121</v>
      </c>
      <c r="E1301" t="s">
        <v>55</v>
      </c>
      <c r="F1301">
        <v>23</v>
      </c>
      <c r="G1301" t="s">
        <v>48</v>
      </c>
      <c r="H1301" t="s">
        <v>11</v>
      </c>
      <c r="I1301" t="s">
        <v>73</v>
      </c>
      <c r="J1301" t="s">
        <v>45</v>
      </c>
      <c r="K1301">
        <v>3.6</v>
      </c>
      <c r="L1301" t="s">
        <v>140</v>
      </c>
      <c r="M1301" t="s">
        <v>58</v>
      </c>
      <c r="N1301" t="s">
        <v>14</v>
      </c>
      <c r="O1301">
        <v>42</v>
      </c>
      <c r="P1301" t="s">
        <v>16</v>
      </c>
      <c r="Q1301" t="s">
        <v>64</v>
      </c>
      <c r="R1301" t="str" cm="1">
        <f t="array" ref="R1301">_xlfn.IFS(B1301&lt;31,"Young-Adult",B1301&lt;41,"Adult",B1301&lt;61,"Middle-aged",B1301&gt;=61,"Senior")</f>
        <v>Young-Adult</v>
      </c>
      <c r="S1301" cm="1">
        <f t="array" ref="S1301">_xlfn.IFS(Q1301 ="Fortnightly",14,Q1301="Weekly",7,Q1301="Monthly",30,Q1301="Quarterly",90,Q1301="Bi-Weekly",14,Q1301="Annually",365,Q1301="Every 3 Months",90,TRUE,"NOT FOUND")</f>
        <v>14</v>
      </c>
    </row>
    <row r="1302" spans="1:19" x14ac:dyDescent="0.35">
      <c r="A1302">
        <v>1301</v>
      </c>
      <c r="B1302">
        <v>67</v>
      </c>
      <c r="C1302" t="s">
        <v>7</v>
      </c>
      <c r="D1302" t="s">
        <v>101</v>
      </c>
      <c r="E1302" t="s">
        <v>9</v>
      </c>
      <c r="F1302">
        <v>100</v>
      </c>
      <c r="G1302" t="s">
        <v>52</v>
      </c>
      <c r="H1302" t="s">
        <v>32</v>
      </c>
      <c r="I1302" t="s">
        <v>49</v>
      </c>
      <c r="J1302" t="s">
        <v>25</v>
      </c>
      <c r="K1302">
        <v>4.5</v>
      </c>
      <c r="L1302" t="s">
        <v>140</v>
      </c>
      <c r="M1302" t="s">
        <v>33</v>
      </c>
      <c r="N1302" t="s">
        <v>14</v>
      </c>
      <c r="O1302">
        <v>47</v>
      </c>
      <c r="P1302" t="s">
        <v>27</v>
      </c>
      <c r="Q1302" t="s">
        <v>85</v>
      </c>
      <c r="R1302" t="str" cm="1">
        <f t="array" ref="R1302">_xlfn.IFS(B1302&lt;31,"Young-Adult",B1302&lt;41,"Adult",B1302&lt;61,"Middle-aged",B1302&gt;=61,"Senior")</f>
        <v>Senior</v>
      </c>
      <c r="S1302" cm="1">
        <f t="array" ref="S1302">_xlfn.IFS(Q1302 ="Fortnightly",14,Q1302="Weekly",7,Q1302="Monthly",30,Q1302="Quarterly",90,Q1302="Bi-Weekly",14,Q1302="Annually",365,Q1302="Every 3 Months",90,TRUE,"NOT FOUND")</f>
        <v>90</v>
      </c>
    </row>
    <row r="1303" spans="1:19" x14ac:dyDescent="0.35">
      <c r="A1303">
        <v>1302</v>
      </c>
      <c r="B1303">
        <v>42</v>
      </c>
      <c r="C1303" t="s">
        <v>7</v>
      </c>
      <c r="D1303" t="s">
        <v>43</v>
      </c>
      <c r="E1303" t="s">
        <v>9</v>
      </c>
      <c r="F1303">
        <v>54</v>
      </c>
      <c r="G1303" t="s">
        <v>19</v>
      </c>
      <c r="H1303" t="s">
        <v>32</v>
      </c>
      <c r="I1303" t="s">
        <v>109</v>
      </c>
      <c r="J1303" t="s">
        <v>45</v>
      </c>
      <c r="K1303">
        <v>5</v>
      </c>
      <c r="L1303" t="s">
        <v>140</v>
      </c>
      <c r="M1303" t="s">
        <v>15</v>
      </c>
      <c r="N1303" t="s">
        <v>14</v>
      </c>
      <c r="O1303">
        <v>21</v>
      </c>
      <c r="P1303" t="s">
        <v>74</v>
      </c>
      <c r="Q1303" t="s">
        <v>28</v>
      </c>
      <c r="R1303" t="str" cm="1">
        <f t="array" ref="R1303">_xlfn.IFS(B1303&lt;31,"Young-Adult",B1303&lt;41,"Adult",B1303&lt;61,"Middle-aged",B1303&gt;=61,"Senior")</f>
        <v>Middle-aged</v>
      </c>
      <c r="S1303" cm="1">
        <f t="array" ref="S1303">_xlfn.IFS(Q1303 ="Fortnightly",14,Q1303="Weekly",7,Q1303="Monthly",30,Q1303="Quarterly",90,Q1303="Bi-Weekly",14,Q1303="Annually",365,Q1303="Every 3 Months",90,TRUE,"NOT FOUND")</f>
        <v>7</v>
      </c>
    </row>
    <row r="1304" spans="1:19" x14ac:dyDescent="0.35">
      <c r="A1304">
        <v>1303</v>
      </c>
      <c r="B1304">
        <v>23</v>
      </c>
      <c r="C1304" t="s">
        <v>7</v>
      </c>
      <c r="D1304" t="s">
        <v>38</v>
      </c>
      <c r="E1304" t="s">
        <v>30</v>
      </c>
      <c r="F1304">
        <v>25</v>
      </c>
      <c r="G1304" t="s">
        <v>123</v>
      </c>
      <c r="H1304" t="s">
        <v>32</v>
      </c>
      <c r="I1304" t="s">
        <v>68</v>
      </c>
      <c r="J1304" t="s">
        <v>45</v>
      </c>
      <c r="K1304">
        <v>2.9</v>
      </c>
      <c r="L1304" t="s">
        <v>140</v>
      </c>
      <c r="M1304" t="s">
        <v>33</v>
      </c>
      <c r="N1304" t="s">
        <v>14</v>
      </c>
      <c r="O1304">
        <v>37</v>
      </c>
      <c r="P1304" t="s">
        <v>27</v>
      </c>
      <c r="Q1304" t="s">
        <v>76</v>
      </c>
      <c r="R1304" t="str" cm="1">
        <f t="array" ref="R1304">_xlfn.IFS(B1304&lt;31,"Young-Adult",B1304&lt;41,"Adult",B1304&lt;61,"Middle-aged",B1304&gt;=61,"Senior")</f>
        <v>Young-Adult</v>
      </c>
      <c r="S1304" cm="1">
        <f t="array" ref="S1304">_xlfn.IFS(Q1304 ="Fortnightly",14,Q1304="Weekly",7,Q1304="Monthly",30,Q1304="Quarterly",90,Q1304="Bi-Weekly",14,Q1304="Annually",365,Q1304="Every 3 Months",90,TRUE,"NOT FOUND")</f>
        <v>30</v>
      </c>
    </row>
    <row r="1305" spans="1:19" x14ac:dyDescent="0.35">
      <c r="A1305">
        <v>1304</v>
      </c>
      <c r="B1305">
        <v>34</v>
      </c>
      <c r="C1305" t="s">
        <v>7</v>
      </c>
      <c r="D1305" t="s">
        <v>8</v>
      </c>
      <c r="E1305" t="s">
        <v>9</v>
      </c>
      <c r="F1305">
        <v>32</v>
      </c>
      <c r="G1305" t="s">
        <v>72</v>
      </c>
      <c r="H1305" t="s">
        <v>11</v>
      </c>
      <c r="I1305" t="s">
        <v>53</v>
      </c>
      <c r="J1305" t="s">
        <v>41</v>
      </c>
      <c r="K1305">
        <v>3.1</v>
      </c>
      <c r="L1305" t="s">
        <v>140</v>
      </c>
      <c r="M1305" t="s">
        <v>33</v>
      </c>
      <c r="N1305" t="s">
        <v>14</v>
      </c>
      <c r="O1305">
        <v>10</v>
      </c>
      <c r="P1305" t="s">
        <v>27</v>
      </c>
      <c r="Q1305" t="s">
        <v>37</v>
      </c>
      <c r="R1305" t="str" cm="1">
        <f t="array" ref="R1305">_xlfn.IFS(B1305&lt;31,"Young-Adult",B1305&lt;41,"Adult",B1305&lt;61,"Middle-aged",B1305&gt;=61,"Senior")</f>
        <v>Adult</v>
      </c>
      <c r="S1305" cm="1">
        <f t="array" ref="S1305">_xlfn.IFS(Q1305 ="Fortnightly",14,Q1305="Weekly",7,Q1305="Monthly",30,Q1305="Quarterly",90,Q1305="Bi-Weekly",14,Q1305="Annually",365,Q1305="Every 3 Months",90,TRUE,"NOT FOUND")</f>
        <v>365</v>
      </c>
    </row>
    <row r="1306" spans="1:19" x14ac:dyDescent="0.35">
      <c r="A1306">
        <v>1305</v>
      </c>
      <c r="B1306">
        <v>64</v>
      </c>
      <c r="C1306" t="s">
        <v>7</v>
      </c>
      <c r="D1306" t="s">
        <v>120</v>
      </c>
      <c r="E1306" t="s">
        <v>55</v>
      </c>
      <c r="F1306">
        <v>63</v>
      </c>
      <c r="G1306" t="s">
        <v>44</v>
      </c>
      <c r="H1306" t="s">
        <v>24</v>
      </c>
      <c r="I1306" t="s">
        <v>109</v>
      </c>
      <c r="J1306" t="s">
        <v>25</v>
      </c>
      <c r="K1306">
        <v>4</v>
      </c>
      <c r="L1306" t="s">
        <v>140</v>
      </c>
      <c r="M1306" t="s">
        <v>58</v>
      </c>
      <c r="N1306" t="s">
        <v>14</v>
      </c>
      <c r="O1306">
        <v>18</v>
      </c>
      <c r="P1306" t="s">
        <v>34</v>
      </c>
      <c r="Q1306" t="s">
        <v>85</v>
      </c>
      <c r="R1306" t="str" cm="1">
        <f t="array" ref="R1306">_xlfn.IFS(B1306&lt;31,"Young-Adult",B1306&lt;41,"Adult",B1306&lt;61,"Middle-aged",B1306&gt;=61,"Senior")</f>
        <v>Senior</v>
      </c>
      <c r="S1306" cm="1">
        <f t="array" ref="S1306">_xlfn.IFS(Q1306 ="Fortnightly",14,Q1306="Weekly",7,Q1306="Monthly",30,Q1306="Quarterly",90,Q1306="Bi-Weekly",14,Q1306="Annually",365,Q1306="Every 3 Months",90,TRUE,"NOT FOUND")</f>
        <v>90</v>
      </c>
    </row>
    <row r="1307" spans="1:19" x14ac:dyDescent="0.35">
      <c r="A1307">
        <v>1306</v>
      </c>
      <c r="B1307">
        <v>31</v>
      </c>
      <c r="C1307" t="s">
        <v>7</v>
      </c>
      <c r="D1307" t="s">
        <v>83</v>
      </c>
      <c r="E1307" t="s">
        <v>9</v>
      </c>
      <c r="F1307">
        <v>56</v>
      </c>
      <c r="G1307" t="s">
        <v>79</v>
      </c>
      <c r="H1307" t="s">
        <v>80</v>
      </c>
      <c r="I1307" t="s">
        <v>88</v>
      </c>
      <c r="J1307" t="s">
        <v>25</v>
      </c>
      <c r="K1307">
        <v>4.5</v>
      </c>
      <c r="L1307" t="s">
        <v>140</v>
      </c>
      <c r="M1307" t="s">
        <v>15</v>
      </c>
      <c r="N1307" t="s">
        <v>14</v>
      </c>
      <c r="O1307">
        <v>2</v>
      </c>
      <c r="P1307" t="s">
        <v>34</v>
      </c>
      <c r="Q1307" t="s">
        <v>85</v>
      </c>
      <c r="R1307" t="str" cm="1">
        <f t="array" ref="R1307">_xlfn.IFS(B1307&lt;31,"Young-Adult",B1307&lt;41,"Adult",B1307&lt;61,"Middle-aged",B1307&gt;=61,"Senior")</f>
        <v>Adult</v>
      </c>
      <c r="S1307" cm="1">
        <f t="array" ref="S1307">_xlfn.IFS(Q1307 ="Fortnightly",14,Q1307="Weekly",7,Q1307="Monthly",30,Q1307="Quarterly",90,Q1307="Bi-Weekly",14,Q1307="Annually",365,Q1307="Every 3 Months",90,TRUE,"NOT FOUND")</f>
        <v>90</v>
      </c>
    </row>
    <row r="1308" spans="1:19" x14ac:dyDescent="0.35">
      <c r="A1308">
        <v>1307</v>
      </c>
      <c r="B1308">
        <v>54</v>
      </c>
      <c r="C1308" t="s">
        <v>7</v>
      </c>
      <c r="D1308" t="s">
        <v>18</v>
      </c>
      <c r="E1308" t="s">
        <v>9</v>
      </c>
      <c r="F1308">
        <v>33</v>
      </c>
      <c r="G1308" t="s">
        <v>108</v>
      </c>
      <c r="H1308" t="s">
        <v>11</v>
      </c>
      <c r="I1308" t="s">
        <v>98</v>
      </c>
      <c r="J1308" t="s">
        <v>13</v>
      </c>
      <c r="K1308">
        <v>4.5</v>
      </c>
      <c r="L1308" t="s">
        <v>140</v>
      </c>
      <c r="M1308" t="s">
        <v>33</v>
      </c>
      <c r="N1308" t="s">
        <v>14</v>
      </c>
      <c r="O1308">
        <v>40</v>
      </c>
      <c r="P1308" t="s">
        <v>34</v>
      </c>
      <c r="Q1308" t="s">
        <v>37</v>
      </c>
      <c r="R1308" t="str" cm="1">
        <f t="array" ref="R1308">_xlfn.IFS(B1308&lt;31,"Young-Adult",B1308&lt;41,"Adult",B1308&lt;61,"Middle-aged",B1308&gt;=61,"Senior")</f>
        <v>Middle-aged</v>
      </c>
      <c r="S1308" cm="1">
        <f t="array" ref="S1308">_xlfn.IFS(Q1308 ="Fortnightly",14,Q1308="Weekly",7,Q1308="Monthly",30,Q1308="Quarterly",90,Q1308="Bi-Weekly",14,Q1308="Annually",365,Q1308="Every 3 Months",90,TRUE,"NOT FOUND")</f>
        <v>365</v>
      </c>
    </row>
    <row r="1309" spans="1:19" x14ac:dyDescent="0.35">
      <c r="A1309">
        <v>1308</v>
      </c>
      <c r="B1309">
        <v>23</v>
      </c>
      <c r="C1309" t="s">
        <v>7</v>
      </c>
      <c r="D1309" t="s">
        <v>50</v>
      </c>
      <c r="E1309" t="s">
        <v>51</v>
      </c>
      <c r="F1309">
        <v>32</v>
      </c>
      <c r="G1309" t="s">
        <v>56</v>
      </c>
      <c r="H1309" t="s">
        <v>11</v>
      </c>
      <c r="I1309" t="s">
        <v>82</v>
      </c>
      <c r="J1309" t="s">
        <v>41</v>
      </c>
      <c r="K1309">
        <v>3.1</v>
      </c>
      <c r="L1309" t="s">
        <v>140</v>
      </c>
      <c r="M1309" t="s">
        <v>15</v>
      </c>
      <c r="N1309" t="s">
        <v>14</v>
      </c>
      <c r="O1309">
        <v>43</v>
      </c>
      <c r="P1309" t="s">
        <v>34</v>
      </c>
      <c r="Q1309" t="s">
        <v>37</v>
      </c>
      <c r="R1309" t="str" cm="1">
        <f t="array" ref="R1309">_xlfn.IFS(B1309&lt;31,"Young-Adult",B1309&lt;41,"Adult",B1309&lt;61,"Middle-aged",B1309&gt;=61,"Senior")</f>
        <v>Young-Adult</v>
      </c>
      <c r="S1309" cm="1">
        <f t="array" ref="S1309">_xlfn.IFS(Q1309 ="Fortnightly",14,Q1309="Weekly",7,Q1309="Monthly",30,Q1309="Quarterly",90,Q1309="Bi-Weekly",14,Q1309="Annually",365,Q1309="Every 3 Months",90,TRUE,"NOT FOUND")</f>
        <v>365</v>
      </c>
    </row>
    <row r="1310" spans="1:19" x14ac:dyDescent="0.35">
      <c r="A1310">
        <v>1309</v>
      </c>
      <c r="B1310">
        <v>59</v>
      </c>
      <c r="C1310" t="s">
        <v>7</v>
      </c>
      <c r="D1310" t="s">
        <v>69</v>
      </c>
      <c r="E1310" t="s">
        <v>9</v>
      </c>
      <c r="F1310">
        <v>38</v>
      </c>
      <c r="G1310" t="s">
        <v>31</v>
      </c>
      <c r="H1310" t="s">
        <v>11</v>
      </c>
      <c r="I1310" t="s">
        <v>96</v>
      </c>
      <c r="J1310" t="s">
        <v>41</v>
      </c>
      <c r="K1310">
        <v>4.4000000000000004</v>
      </c>
      <c r="L1310" t="s">
        <v>140</v>
      </c>
      <c r="M1310" t="s">
        <v>33</v>
      </c>
      <c r="N1310" t="s">
        <v>14</v>
      </c>
      <c r="O1310">
        <v>14</v>
      </c>
      <c r="P1310" t="s">
        <v>27</v>
      </c>
      <c r="Q1310" t="s">
        <v>85</v>
      </c>
      <c r="R1310" t="str" cm="1">
        <f t="array" ref="R1310">_xlfn.IFS(B1310&lt;31,"Young-Adult",B1310&lt;41,"Adult",B1310&lt;61,"Middle-aged",B1310&gt;=61,"Senior")</f>
        <v>Middle-aged</v>
      </c>
      <c r="S1310" cm="1">
        <f t="array" ref="S1310">_xlfn.IFS(Q1310 ="Fortnightly",14,Q1310="Weekly",7,Q1310="Monthly",30,Q1310="Quarterly",90,Q1310="Bi-Weekly",14,Q1310="Annually",365,Q1310="Every 3 Months",90,TRUE,"NOT FOUND")</f>
        <v>90</v>
      </c>
    </row>
    <row r="1311" spans="1:19" x14ac:dyDescent="0.35">
      <c r="A1311">
        <v>1310</v>
      </c>
      <c r="B1311">
        <v>32</v>
      </c>
      <c r="C1311" t="s">
        <v>7</v>
      </c>
      <c r="D1311" t="s">
        <v>8</v>
      </c>
      <c r="E1311" t="s">
        <v>9</v>
      </c>
      <c r="F1311">
        <v>21</v>
      </c>
      <c r="G1311" t="s">
        <v>65</v>
      </c>
      <c r="H1311" t="s">
        <v>11</v>
      </c>
      <c r="I1311" t="s">
        <v>81</v>
      </c>
      <c r="J1311" t="s">
        <v>41</v>
      </c>
      <c r="K1311">
        <v>4.7</v>
      </c>
      <c r="L1311" t="s">
        <v>140</v>
      </c>
      <c r="M1311" t="s">
        <v>62</v>
      </c>
      <c r="N1311" t="s">
        <v>14</v>
      </c>
      <c r="O1311">
        <v>41</v>
      </c>
      <c r="P1311" t="s">
        <v>21</v>
      </c>
      <c r="Q1311" t="s">
        <v>46</v>
      </c>
      <c r="R1311" t="str" cm="1">
        <f t="array" ref="R1311">_xlfn.IFS(B1311&lt;31,"Young-Adult",B1311&lt;41,"Adult",B1311&lt;61,"Middle-aged",B1311&gt;=61,"Senior")</f>
        <v>Adult</v>
      </c>
      <c r="S1311" cm="1">
        <f t="array" ref="S1311">_xlfn.IFS(Q1311 ="Fortnightly",14,Q1311="Weekly",7,Q1311="Monthly",30,Q1311="Quarterly",90,Q1311="Bi-Weekly",14,Q1311="Annually",365,Q1311="Every 3 Months",90,TRUE,"NOT FOUND")</f>
        <v>90</v>
      </c>
    </row>
    <row r="1312" spans="1:19" x14ac:dyDescent="0.35">
      <c r="A1312">
        <v>1311</v>
      </c>
      <c r="B1312">
        <v>43</v>
      </c>
      <c r="C1312" t="s">
        <v>7</v>
      </c>
      <c r="D1312" t="s">
        <v>92</v>
      </c>
      <c r="E1312" t="s">
        <v>9</v>
      </c>
      <c r="F1312">
        <v>59</v>
      </c>
      <c r="G1312" t="s">
        <v>119</v>
      </c>
      <c r="H1312" t="s">
        <v>11</v>
      </c>
      <c r="I1312" t="s">
        <v>98</v>
      </c>
      <c r="J1312" t="s">
        <v>13</v>
      </c>
      <c r="K1312">
        <v>3.1</v>
      </c>
      <c r="L1312" t="s">
        <v>140</v>
      </c>
      <c r="M1312" t="s">
        <v>62</v>
      </c>
      <c r="N1312" t="s">
        <v>14</v>
      </c>
      <c r="O1312">
        <v>38</v>
      </c>
      <c r="P1312" t="s">
        <v>27</v>
      </c>
      <c r="Q1312" t="s">
        <v>85</v>
      </c>
      <c r="R1312" t="str" cm="1">
        <f t="array" ref="R1312">_xlfn.IFS(B1312&lt;31,"Young-Adult",B1312&lt;41,"Adult",B1312&lt;61,"Middle-aged",B1312&gt;=61,"Senior")</f>
        <v>Middle-aged</v>
      </c>
      <c r="S1312" cm="1">
        <f t="array" ref="S1312">_xlfn.IFS(Q1312 ="Fortnightly",14,Q1312="Weekly",7,Q1312="Monthly",30,Q1312="Quarterly",90,Q1312="Bi-Weekly",14,Q1312="Annually",365,Q1312="Every 3 Months",90,TRUE,"NOT FOUND")</f>
        <v>90</v>
      </c>
    </row>
    <row r="1313" spans="1:19" x14ac:dyDescent="0.35">
      <c r="A1313">
        <v>1312</v>
      </c>
      <c r="B1313">
        <v>32</v>
      </c>
      <c r="C1313" t="s">
        <v>7</v>
      </c>
      <c r="D1313" t="s">
        <v>59</v>
      </c>
      <c r="E1313" t="s">
        <v>30</v>
      </c>
      <c r="F1313">
        <v>87</v>
      </c>
      <c r="G1313" t="s">
        <v>110</v>
      </c>
      <c r="H1313" t="s">
        <v>32</v>
      </c>
      <c r="I1313" t="s">
        <v>20</v>
      </c>
      <c r="J1313" t="s">
        <v>45</v>
      </c>
      <c r="K1313">
        <v>4.2</v>
      </c>
      <c r="L1313" t="s">
        <v>140</v>
      </c>
      <c r="M1313" t="s">
        <v>15</v>
      </c>
      <c r="N1313" t="s">
        <v>14</v>
      </c>
      <c r="O1313">
        <v>12</v>
      </c>
      <c r="P1313" t="s">
        <v>16</v>
      </c>
      <c r="Q1313" t="s">
        <v>37</v>
      </c>
      <c r="R1313" t="str" cm="1">
        <f t="array" ref="R1313">_xlfn.IFS(B1313&lt;31,"Young-Adult",B1313&lt;41,"Adult",B1313&lt;61,"Middle-aged",B1313&gt;=61,"Senior")</f>
        <v>Adult</v>
      </c>
      <c r="S1313" cm="1">
        <f t="array" ref="S1313">_xlfn.IFS(Q1313 ="Fortnightly",14,Q1313="Weekly",7,Q1313="Monthly",30,Q1313="Quarterly",90,Q1313="Bi-Weekly",14,Q1313="Annually",365,Q1313="Every 3 Months",90,TRUE,"NOT FOUND")</f>
        <v>365</v>
      </c>
    </row>
    <row r="1314" spans="1:19" x14ac:dyDescent="0.35">
      <c r="A1314">
        <v>1313</v>
      </c>
      <c r="B1314">
        <v>66</v>
      </c>
      <c r="C1314" t="s">
        <v>7</v>
      </c>
      <c r="D1314" t="s">
        <v>101</v>
      </c>
      <c r="E1314" t="s">
        <v>9</v>
      </c>
      <c r="F1314">
        <v>79</v>
      </c>
      <c r="G1314" t="s">
        <v>56</v>
      </c>
      <c r="H1314" t="s">
        <v>32</v>
      </c>
      <c r="I1314" t="s">
        <v>71</v>
      </c>
      <c r="J1314" t="s">
        <v>13</v>
      </c>
      <c r="K1314">
        <v>3</v>
      </c>
      <c r="L1314" t="s">
        <v>140</v>
      </c>
      <c r="M1314" t="s">
        <v>62</v>
      </c>
      <c r="N1314" t="s">
        <v>14</v>
      </c>
      <c r="O1314">
        <v>19</v>
      </c>
      <c r="P1314" t="s">
        <v>63</v>
      </c>
      <c r="Q1314" t="s">
        <v>76</v>
      </c>
      <c r="R1314" t="str" cm="1">
        <f t="array" ref="R1314">_xlfn.IFS(B1314&lt;31,"Young-Adult",B1314&lt;41,"Adult",B1314&lt;61,"Middle-aged",B1314&gt;=61,"Senior")</f>
        <v>Senior</v>
      </c>
      <c r="S1314" cm="1">
        <f t="array" ref="S1314">_xlfn.IFS(Q1314 ="Fortnightly",14,Q1314="Weekly",7,Q1314="Monthly",30,Q1314="Quarterly",90,Q1314="Bi-Weekly",14,Q1314="Annually",365,Q1314="Every 3 Months",90,TRUE,"NOT FOUND")</f>
        <v>30</v>
      </c>
    </row>
    <row r="1315" spans="1:19" x14ac:dyDescent="0.35">
      <c r="A1315">
        <v>1314</v>
      </c>
      <c r="B1315">
        <v>70</v>
      </c>
      <c r="C1315" t="s">
        <v>7</v>
      </c>
      <c r="D1315" t="s">
        <v>59</v>
      </c>
      <c r="E1315" t="s">
        <v>30</v>
      </c>
      <c r="F1315">
        <v>28</v>
      </c>
      <c r="G1315" t="s">
        <v>56</v>
      </c>
      <c r="H1315" t="s">
        <v>32</v>
      </c>
      <c r="I1315" t="s">
        <v>81</v>
      </c>
      <c r="J1315" t="s">
        <v>41</v>
      </c>
      <c r="K1315">
        <v>3.8</v>
      </c>
      <c r="L1315" t="s">
        <v>140</v>
      </c>
      <c r="M1315" t="s">
        <v>26</v>
      </c>
      <c r="N1315" t="s">
        <v>14</v>
      </c>
      <c r="O1315">
        <v>23</v>
      </c>
      <c r="P1315" t="s">
        <v>27</v>
      </c>
      <c r="Q1315" t="s">
        <v>64</v>
      </c>
      <c r="R1315" t="str" cm="1">
        <f t="array" ref="R1315">_xlfn.IFS(B1315&lt;31,"Young-Adult",B1315&lt;41,"Adult",B1315&lt;61,"Middle-aged",B1315&gt;=61,"Senior")</f>
        <v>Senior</v>
      </c>
      <c r="S1315" cm="1">
        <f t="array" ref="S1315">_xlfn.IFS(Q1315 ="Fortnightly",14,Q1315="Weekly",7,Q1315="Monthly",30,Q1315="Quarterly",90,Q1315="Bi-Weekly",14,Q1315="Annually",365,Q1315="Every 3 Months",90,TRUE,"NOT FOUND")</f>
        <v>14</v>
      </c>
    </row>
    <row r="1316" spans="1:19" x14ac:dyDescent="0.35">
      <c r="A1316">
        <v>1315</v>
      </c>
      <c r="B1316">
        <v>42</v>
      </c>
      <c r="C1316" t="s">
        <v>7</v>
      </c>
      <c r="D1316" t="s">
        <v>125</v>
      </c>
      <c r="E1316" t="s">
        <v>30</v>
      </c>
      <c r="F1316">
        <v>67</v>
      </c>
      <c r="G1316" t="s">
        <v>56</v>
      </c>
      <c r="H1316" t="s">
        <v>24</v>
      </c>
      <c r="I1316" t="s">
        <v>124</v>
      </c>
      <c r="J1316" t="s">
        <v>41</v>
      </c>
      <c r="K1316">
        <v>3.4</v>
      </c>
      <c r="L1316" t="s">
        <v>140</v>
      </c>
      <c r="M1316" t="s">
        <v>26</v>
      </c>
      <c r="N1316" t="s">
        <v>14</v>
      </c>
      <c r="O1316">
        <v>49</v>
      </c>
      <c r="P1316" t="s">
        <v>74</v>
      </c>
      <c r="Q1316" t="s">
        <v>37</v>
      </c>
      <c r="R1316" t="str" cm="1">
        <f t="array" ref="R1316">_xlfn.IFS(B1316&lt;31,"Young-Adult",B1316&lt;41,"Adult",B1316&lt;61,"Middle-aged",B1316&gt;=61,"Senior")</f>
        <v>Middle-aged</v>
      </c>
      <c r="S1316" cm="1">
        <f t="array" ref="S1316">_xlfn.IFS(Q1316 ="Fortnightly",14,Q1316="Weekly",7,Q1316="Monthly",30,Q1316="Quarterly",90,Q1316="Bi-Weekly",14,Q1316="Annually",365,Q1316="Every 3 Months",90,TRUE,"NOT FOUND")</f>
        <v>365</v>
      </c>
    </row>
    <row r="1317" spans="1:19" x14ac:dyDescent="0.35">
      <c r="A1317">
        <v>1316</v>
      </c>
      <c r="B1317">
        <v>56</v>
      </c>
      <c r="C1317" t="s">
        <v>7</v>
      </c>
      <c r="D1317" t="s">
        <v>47</v>
      </c>
      <c r="E1317" t="s">
        <v>9</v>
      </c>
      <c r="F1317">
        <v>75</v>
      </c>
      <c r="G1317" t="s">
        <v>79</v>
      </c>
      <c r="H1317" t="s">
        <v>11</v>
      </c>
      <c r="I1317" t="s">
        <v>84</v>
      </c>
      <c r="J1317" t="s">
        <v>25</v>
      </c>
      <c r="K1317">
        <v>4.2</v>
      </c>
      <c r="L1317" t="s">
        <v>140</v>
      </c>
      <c r="M1317" t="s">
        <v>58</v>
      </c>
      <c r="N1317" t="s">
        <v>14</v>
      </c>
      <c r="O1317">
        <v>29</v>
      </c>
      <c r="P1317" t="s">
        <v>74</v>
      </c>
      <c r="Q1317" t="s">
        <v>46</v>
      </c>
      <c r="R1317" t="str" cm="1">
        <f t="array" ref="R1317">_xlfn.IFS(B1317&lt;31,"Young-Adult",B1317&lt;41,"Adult",B1317&lt;61,"Middle-aged",B1317&gt;=61,"Senior")</f>
        <v>Middle-aged</v>
      </c>
      <c r="S1317" cm="1">
        <f t="array" ref="S1317">_xlfn.IFS(Q1317 ="Fortnightly",14,Q1317="Weekly",7,Q1317="Monthly",30,Q1317="Quarterly",90,Q1317="Bi-Weekly",14,Q1317="Annually",365,Q1317="Every 3 Months",90,TRUE,"NOT FOUND")</f>
        <v>90</v>
      </c>
    </row>
    <row r="1318" spans="1:19" x14ac:dyDescent="0.35">
      <c r="A1318">
        <v>1317</v>
      </c>
      <c r="B1318">
        <v>28</v>
      </c>
      <c r="C1318" t="s">
        <v>7</v>
      </c>
      <c r="D1318" t="s">
        <v>121</v>
      </c>
      <c r="E1318" t="s">
        <v>55</v>
      </c>
      <c r="F1318">
        <v>32</v>
      </c>
      <c r="G1318" t="s">
        <v>60</v>
      </c>
      <c r="H1318" t="s">
        <v>24</v>
      </c>
      <c r="I1318" t="s">
        <v>81</v>
      </c>
      <c r="J1318" t="s">
        <v>25</v>
      </c>
      <c r="K1318">
        <v>4.5999999999999996</v>
      </c>
      <c r="L1318" t="s">
        <v>140</v>
      </c>
      <c r="M1318" t="s">
        <v>42</v>
      </c>
      <c r="N1318" t="s">
        <v>14</v>
      </c>
      <c r="O1318">
        <v>14</v>
      </c>
      <c r="P1318" t="s">
        <v>74</v>
      </c>
      <c r="Q1318" t="s">
        <v>64</v>
      </c>
      <c r="R1318" t="str" cm="1">
        <f t="array" ref="R1318">_xlfn.IFS(B1318&lt;31,"Young-Adult",B1318&lt;41,"Adult",B1318&lt;61,"Middle-aged",B1318&gt;=61,"Senior")</f>
        <v>Young-Adult</v>
      </c>
      <c r="S1318" cm="1">
        <f t="array" ref="S1318">_xlfn.IFS(Q1318 ="Fortnightly",14,Q1318="Weekly",7,Q1318="Monthly",30,Q1318="Quarterly",90,Q1318="Bi-Weekly",14,Q1318="Annually",365,Q1318="Every 3 Months",90,TRUE,"NOT FOUND")</f>
        <v>14</v>
      </c>
    </row>
    <row r="1319" spans="1:19" x14ac:dyDescent="0.35">
      <c r="A1319">
        <v>1318</v>
      </c>
      <c r="B1319">
        <v>28</v>
      </c>
      <c r="C1319" t="s">
        <v>7</v>
      </c>
      <c r="D1319" t="s">
        <v>83</v>
      </c>
      <c r="E1319" t="s">
        <v>9</v>
      </c>
      <c r="F1319">
        <v>43</v>
      </c>
      <c r="G1319" t="s">
        <v>10</v>
      </c>
      <c r="H1319" t="s">
        <v>32</v>
      </c>
      <c r="I1319" t="s">
        <v>84</v>
      </c>
      <c r="J1319" t="s">
        <v>25</v>
      </c>
      <c r="K1319">
        <v>2.8</v>
      </c>
      <c r="L1319" t="s">
        <v>140</v>
      </c>
      <c r="M1319" t="s">
        <v>26</v>
      </c>
      <c r="N1319" t="s">
        <v>14</v>
      </c>
      <c r="O1319">
        <v>19</v>
      </c>
      <c r="P1319" t="s">
        <v>21</v>
      </c>
      <c r="Q1319" t="s">
        <v>76</v>
      </c>
      <c r="R1319" t="str" cm="1">
        <f t="array" ref="R1319">_xlfn.IFS(B1319&lt;31,"Young-Adult",B1319&lt;41,"Adult",B1319&lt;61,"Middle-aged",B1319&gt;=61,"Senior")</f>
        <v>Young-Adult</v>
      </c>
      <c r="S1319" cm="1">
        <f t="array" ref="S1319">_xlfn.IFS(Q1319 ="Fortnightly",14,Q1319="Weekly",7,Q1319="Monthly",30,Q1319="Quarterly",90,Q1319="Bi-Weekly",14,Q1319="Annually",365,Q1319="Every 3 Months",90,TRUE,"NOT FOUND")</f>
        <v>30</v>
      </c>
    </row>
    <row r="1320" spans="1:19" x14ac:dyDescent="0.35">
      <c r="A1320">
        <v>1319</v>
      </c>
      <c r="B1320">
        <v>52</v>
      </c>
      <c r="C1320" t="s">
        <v>7</v>
      </c>
      <c r="D1320" t="s">
        <v>47</v>
      </c>
      <c r="E1320" t="s">
        <v>9</v>
      </c>
      <c r="F1320">
        <v>93</v>
      </c>
      <c r="G1320" t="s">
        <v>127</v>
      </c>
      <c r="H1320" t="s">
        <v>32</v>
      </c>
      <c r="I1320" t="s">
        <v>20</v>
      </c>
      <c r="J1320" t="s">
        <v>25</v>
      </c>
      <c r="K1320">
        <v>2.7</v>
      </c>
      <c r="L1320" t="s">
        <v>140</v>
      </c>
      <c r="M1320" t="s">
        <v>15</v>
      </c>
      <c r="N1320" t="s">
        <v>14</v>
      </c>
      <c r="O1320">
        <v>19</v>
      </c>
      <c r="P1320" t="s">
        <v>27</v>
      </c>
      <c r="Q1320" t="s">
        <v>64</v>
      </c>
      <c r="R1320" t="str" cm="1">
        <f t="array" ref="R1320">_xlfn.IFS(B1320&lt;31,"Young-Adult",B1320&lt;41,"Adult",B1320&lt;61,"Middle-aged",B1320&gt;=61,"Senior")</f>
        <v>Middle-aged</v>
      </c>
      <c r="S1320" cm="1">
        <f t="array" ref="S1320">_xlfn.IFS(Q1320 ="Fortnightly",14,Q1320="Weekly",7,Q1320="Monthly",30,Q1320="Quarterly",90,Q1320="Bi-Weekly",14,Q1320="Annually",365,Q1320="Every 3 Months",90,TRUE,"NOT FOUND")</f>
        <v>14</v>
      </c>
    </row>
    <row r="1321" spans="1:19" x14ac:dyDescent="0.35">
      <c r="A1321">
        <v>1320</v>
      </c>
      <c r="B1321">
        <v>65</v>
      </c>
      <c r="C1321" t="s">
        <v>7</v>
      </c>
      <c r="D1321" t="s">
        <v>77</v>
      </c>
      <c r="E1321" t="s">
        <v>55</v>
      </c>
      <c r="F1321">
        <v>24</v>
      </c>
      <c r="G1321" t="s">
        <v>89</v>
      </c>
      <c r="H1321" t="s">
        <v>32</v>
      </c>
      <c r="I1321" t="s">
        <v>124</v>
      </c>
      <c r="J1321" t="s">
        <v>25</v>
      </c>
      <c r="K1321">
        <v>4</v>
      </c>
      <c r="L1321" t="s">
        <v>140</v>
      </c>
      <c r="M1321" t="s">
        <v>42</v>
      </c>
      <c r="N1321" t="s">
        <v>14</v>
      </c>
      <c r="O1321">
        <v>48</v>
      </c>
      <c r="P1321" t="s">
        <v>63</v>
      </c>
      <c r="Q1321" t="s">
        <v>28</v>
      </c>
      <c r="R1321" t="str" cm="1">
        <f t="array" ref="R1321">_xlfn.IFS(B1321&lt;31,"Young-Adult",B1321&lt;41,"Adult",B1321&lt;61,"Middle-aged",B1321&gt;=61,"Senior")</f>
        <v>Senior</v>
      </c>
      <c r="S1321" cm="1">
        <f t="array" ref="S1321">_xlfn.IFS(Q1321 ="Fortnightly",14,Q1321="Weekly",7,Q1321="Monthly",30,Q1321="Quarterly",90,Q1321="Bi-Weekly",14,Q1321="Annually",365,Q1321="Every 3 Months",90,TRUE,"NOT FOUND")</f>
        <v>7</v>
      </c>
    </row>
    <row r="1322" spans="1:19" x14ac:dyDescent="0.35">
      <c r="A1322">
        <v>1321</v>
      </c>
      <c r="B1322">
        <v>56</v>
      </c>
      <c r="C1322" t="s">
        <v>7</v>
      </c>
      <c r="D1322" t="s">
        <v>112</v>
      </c>
      <c r="E1322" t="s">
        <v>55</v>
      </c>
      <c r="F1322">
        <v>31</v>
      </c>
      <c r="G1322" t="s">
        <v>87</v>
      </c>
      <c r="H1322" t="s">
        <v>80</v>
      </c>
      <c r="I1322" t="s">
        <v>73</v>
      </c>
      <c r="J1322" t="s">
        <v>45</v>
      </c>
      <c r="K1322">
        <v>3.1</v>
      </c>
      <c r="L1322" t="s">
        <v>140</v>
      </c>
      <c r="M1322" t="s">
        <v>26</v>
      </c>
      <c r="N1322" t="s">
        <v>14</v>
      </c>
      <c r="O1322">
        <v>19</v>
      </c>
      <c r="P1322" t="s">
        <v>74</v>
      </c>
      <c r="Q1322" t="s">
        <v>37</v>
      </c>
      <c r="R1322" t="str" cm="1">
        <f t="array" ref="R1322">_xlfn.IFS(B1322&lt;31,"Young-Adult",B1322&lt;41,"Adult",B1322&lt;61,"Middle-aged",B1322&gt;=61,"Senior")</f>
        <v>Middle-aged</v>
      </c>
      <c r="S1322" cm="1">
        <f t="array" ref="S1322">_xlfn.IFS(Q1322 ="Fortnightly",14,Q1322="Weekly",7,Q1322="Monthly",30,Q1322="Quarterly",90,Q1322="Bi-Weekly",14,Q1322="Annually",365,Q1322="Every 3 Months",90,TRUE,"NOT FOUND")</f>
        <v>365</v>
      </c>
    </row>
    <row r="1323" spans="1:19" x14ac:dyDescent="0.35">
      <c r="A1323">
        <v>1322</v>
      </c>
      <c r="B1323">
        <v>59</v>
      </c>
      <c r="C1323" t="s">
        <v>7</v>
      </c>
      <c r="D1323" t="s">
        <v>101</v>
      </c>
      <c r="E1323" t="s">
        <v>9</v>
      </c>
      <c r="F1323">
        <v>84</v>
      </c>
      <c r="G1323" t="s">
        <v>56</v>
      </c>
      <c r="H1323" t="s">
        <v>11</v>
      </c>
      <c r="I1323" t="s">
        <v>109</v>
      </c>
      <c r="J1323" t="s">
        <v>13</v>
      </c>
      <c r="K1323">
        <v>3.7</v>
      </c>
      <c r="L1323" t="s">
        <v>140</v>
      </c>
      <c r="M1323" t="s">
        <v>15</v>
      </c>
      <c r="N1323" t="s">
        <v>14</v>
      </c>
      <c r="O1323">
        <v>45</v>
      </c>
      <c r="P1323" t="s">
        <v>63</v>
      </c>
      <c r="Q1323" t="s">
        <v>85</v>
      </c>
      <c r="R1323" t="str" cm="1">
        <f t="array" ref="R1323">_xlfn.IFS(B1323&lt;31,"Young-Adult",B1323&lt;41,"Adult",B1323&lt;61,"Middle-aged",B1323&gt;=61,"Senior")</f>
        <v>Middle-aged</v>
      </c>
      <c r="S1323" cm="1">
        <f t="array" ref="S1323">_xlfn.IFS(Q1323 ="Fortnightly",14,Q1323="Weekly",7,Q1323="Monthly",30,Q1323="Quarterly",90,Q1323="Bi-Weekly",14,Q1323="Annually",365,Q1323="Every 3 Months",90,TRUE,"NOT FOUND")</f>
        <v>90</v>
      </c>
    </row>
    <row r="1324" spans="1:19" x14ac:dyDescent="0.35">
      <c r="A1324">
        <v>1323</v>
      </c>
      <c r="B1324">
        <v>23</v>
      </c>
      <c r="C1324" t="s">
        <v>7</v>
      </c>
      <c r="D1324" t="s">
        <v>83</v>
      </c>
      <c r="E1324" t="s">
        <v>9</v>
      </c>
      <c r="F1324">
        <v>74</v>
      </c>
      <c r="G1324" t="s">
        <v>137</v>
      </c>
      <c r="H1324" t="s">
        <v>32</v>
      </c>
      <c r="I1324" t="s">
        <v>71</v>
      </c>
      <c r="J1324" t="s">
        <v>13</v>
      </c>
      <c r="K1324">
        <v>4</v>
      </c>
      <c r="L1324" t="s">
        <v>140</v>
      </c>
      <c r="M1324" t="s">
        <v>33</v>
      </c>
      <c r="N1324" t="s">
        <v>14</v>
      </c>
      <c r="O1324">
        <v>17</v>
      </c>
      <c r="P1324" t="s">
        <v>63</v>
      </c>
      <c r="Q1324" t="s">
        <v>46</v>
      </c>
      <c r="R1324" t="str" cm="1">
        <f t="array" ref="R1324">_xlfn.IFS(B1324&lt;31,"Young-Adult",B1324&lt;41,"Adult",B1324&lt;61,"Middle-aged",B1324&gt;=61,"Senior")</f>
        <v>Young-Adult</v>
      </c>
      <c r="S1324" cm="1">
        <f t="array" ref="S1324">_xlfn.IFS(Q1324 ="Fortnightly",14,Q1324="Weekly",7,Q1324="Monthly",30,Q1324="Quarterly",90,Q1324="Bi-Weekly",14,Q1324="Annually",365,Q1324="Every 3 Months",90,TRUE,"NOT FOUND")</f>
        <v>90</v>
      </c>
    </row>
    <row r="1325" spans="1:19" x14ac:dyDescent="0.35">
      <c r="A1325">
        <v>1324</v>
      </c>
      <c r="B1325">
        <v>58</v>
      </c>
      <c r="C1325" t="s">
        <v>7</v>
      </c>
      <c r="D1325" t="s">
        <v>47</v>
      </c>
      <c r="E1325" t="s">
        <v>9</v>
      </c>
      <c r="F1325">
        <v>62</v>
      </c>
      <c r="G1325" t="s">
        <v>72</v>
      </c>
      <c r="H1325" t="s">
        <v>32</v>
      </c>
      <c r="I1325" t="s">
        <v>122</v>
      </c>
      <c r="J1325" t="s">
        <v>25</v>
      </c>
      <c r="K1325">
        <v>4.5999999999999996</v>
      </c>
      <c r="L1325" t="s">
        <v>140</v>
      </c>
      <c r="M1325" t="s">
        <v>42</v>
      </c>
      <c r="N1325" t="s">
        <v>14</v>
      </c>
      <c r="O1325">
        <v>15</v>
      </c>
      <c r="P1325" t="s">
        <v>74</v>
      </c>
      <c r="Q1325" t="s">
        <v>85</v>
      </c>
      <c r="R1325" t="str" cm="1">
        <f t="array" ref="R1325">_xlfn.IFS(B1325&lt;31,"Young-Adult",B1325&lt;41,"Adult",B1325&lt;61,"Middle-aged",B1325&gt;=61,"Senior")</f>
        <v>Middle-aged</v>
      </c>
      <c r="S1325" cm="1">
        <f t="array" ref="S1325">_xlfn.IFS(Q1325 ="Fortnightly",14,Q1325="Weekly",7,Q1325="Monthly",30,Q1325="Quarterly",90,Q1325="Bi-Weekly",14,Q1325="Annually",365,Q1325="Every 3 Months",90,TRUE,"NOT FOUND")</f>
        <v>90</v>
      </c>
    </row>
    <row r="1326" spans="1:19" x14ac:dyDescent="0.35">
      <c r="A1326">
        <v>1325</v>
      </c>
      <c r="B1326">
        <v>39</v>
      </c>
      <c r="C1326" t="s">
        <v>7</v>
      </c>
      <c r="D1326" t="s">
        <v>94</v>
      </c>
      <c r="E1326" t="s">
        <v>55</v>
      </c>
      <c r="F1326">
        <v>77</v>
      </c>
      <c r="G1326" t="s">
        <v>104</v>
      </c>
      <c r="H1326" t="s">
        <v>24</v>
      </c>
      <c r="I1326" t="s">
        <v>109</v>
      </c>
      <c r="J1326" t="s">
        <v>41</v>
      </c>
      <c r="K1326">
        <v>3.8</v>
      </c>
      <c r="L1326" t="s">
        <v>140</v>
      </c>
      <c r="M1326" t="s">
        <v>26</v>
      </c>
      <c r="N1326" t="s">
        <v>14</v>
      </c>
      <c r="O1326">
        <v>11</v>
      </c>
      <c r="P1326" t="s">
        <v>27</v>
      </c>
      <c r="Q1326" t="s">
        <v>17</v>
      </c>
      <c r="R1326" t="str" cm="1">
        <f t="array" ref="R1326">_xlfn.IFS(B1326&lt;31,"Young-Adult",B1326&lt;41,"Adult",B1326&lt;61,"Middle-aged",B1326&gt;=61,"Senior")</f>
        <v>Adult</v>
      </c>
      <c r="S1326" cm="1">
        <f t="array" ref="S1326">_xlfn.IFS(Q1326 ="Fortnightly",14,Q1326="Weekly",7,Q1326="Monthly",30,Q1326="Quarterly",90,Q1326="Bi-Weekly",14,Q1326="Annually",365,Q1326="Every 3 Months",90,TRUE,"NOT FOUND")</f>
        <v>14</v>
      </c>
    </row>
    <row r="1327" spans="1:19" x14ac:dyDescent="0.35">
      <c r="A1327">
        <v>1326</v>
      </c>
      <c r="B1327">
        <v>28</v>
      </c>
      <c r="C1327" t="s">
        <v>7</v>
      </c>
      <c r="D1327" t="s">
        <v>120</v>
      </c>
      <c r="E1327" t="s">
        <v>55</v>
      </c>
      <c r="F1327">
        <v>73</v>
      </c>
      <c r="G1327" t="s">
        <v>35</v>
      </c>
      <c r="H1327" t="s">
        <v>11</v>
      </c>
      <c r="I1327" t="s">
        <v>68</v>
      </c>
      <c r="J1327" t="s">
        <v>41</v>
      </c>
      <c r="K1327">
        <v>3.5</v>
      </c>
      <c r="L1327" t="s">
        <v>140</v>
      </c>
      <c r="M1327" t="s">
        <v>15</v>
      </c>
      <c r="N1327" t="s">
        <v>14</v>
      </c>
      <c r="O1327">
        <v>1</v>
      </c>
      <c r="P1327" t="s">
        <v>21</v>
      </c>
      <c r="Q1327" t="s">
        <v>76</v>
      </c>
      <c r="R1327" t="str" cm="1">
        <f t="array" ref="R1327">_xlfn.IFS(B1327&lt;31,"Young-Adult",B1327&lt;41,"Adult",B1327&lt;61,"Middle-aged",B1327&gt;=61,"Senior")</f>
        <v>Young-Adult</v>
      </c>
      <c r="S1327" cm="1">
        <f t="array" ref="S1327">_xlfn.IFS(Q1327 ="Fortnightly",14,Q1327="Weekly",7,Q1327="Monthly",30,Q1327="Quarterly",90,Q1327="Bi-Weekly",14,Q1327="Annually",365,Q1327="Every 3 Months",90,TRUE,"NOT FOUND")</f>
        <v>30</v>
      </c>
    </row>
    <row r="1328" spans="1:19" x14ac:dyDescent="0.35">
      <c r="A1328">
        <v>1327</v>
      </c>
      <c r="B1328">
        <v>40</v>
      </c>
      <c r="C1328" t="s">
        <v>7</v>
      </c>
      <c r="D1328" t="s">
        <v>59</v>
      </c>
      <c r="E1328" t="s">
        <v>30</v>
      </c>
      <c r="F1328">
        <v>50</v>
      </c>
      <c r="G1328" t="s">
        <v>93</v>
      </c>
      <c r="H1328" t="s">
        <v>32</v>
      </c>
      <c r="I1328" t="s">
        <v>114</v>
      </c>
      <c r="J1328" t="s">
        <v>25</v>
      </c>
      <c r="K1328">
        <v>3.8</v>
      </c>
      <c r="L1328" t="s">
        <v>140</v>
      </c>
      <c r="M1328" t="s">
        <v>26</v>
      </c>
      <c r="N1328" t="s">
        <v>14</v>
      </c>
      <c r="O1328">
        <v>17</v>
      </c>
      <c r="P1328" t="s">
        <v>21</v>
      </c>
      <c r="Q1328" t="s">
        <v>76</v>
      </c>
      <c r="R1328" t="str" cm="1">
        <f t="array" ref="R1328">_xlfn.IFS(B1328&lt;31,"Young-Adult",B1328&lt;41,"Adult",B1328&lt;61,"Middle-aged",B1328&gt;=61,"Senior")</f>
        <v>Adult</v>
      </c>
      <c r="S1328" cm="1">
        <f t="array" ref="S1328">_xlfn.IFS(Q1328 ="Fortnightly",14,Q1328="Weekly",7,Q1328="Monthly",30,Q1328="Quarterly",90,Q1328="Bi-Weekly",14,Q1328="Annually",365,Q1328="Every 3 Months",90,TRUE,"NOT FOUND")</f>
        <v>30</v>
      </c>
    </row>
    <row r="1329" spans="1:19" x14ac:dyDescent="0.35">
      <c r="A1329">
        <v>1328</v>
      </c>
      <c r="B1329">
        <v>52</v>
      </c>
      <c r="C1329" t="s">
        <v>7</v>
      </c>
      <c r="D1329" t="s">
        <v>50</v>
      </c>
      <c r="E1329" t="s">
        <v>51</v>
      </c>
      <c r="F1329">
        <v>40</v>
      </c>
      <c r="G1329" t="s">
        <v>91</v>
      </c>
      <c r="H1329" t="s">
        <v>32</v>
      </c>
      <c r="I1329" t="s">
        <v>36</v>
      </c>
      <c r="J1329" t="s">
        <v>13</v>
      </c>
      <c r="K1329">
        <v>2.8</v>
      </c>
      <c r="L1329" t="s">
        <v>140</v>
      </c>
      <c r="M1329" t="s">
        <v>42</v>
      </c>
      <c r="N1329" t="s">
        <v>14</v>
      </c>
      <c r="O1329">
        <v>37</v>
      </c>
      <c r="P1329" t="s">
        <v>21</v>
      </c>
      <c r="Q1329" t="s">
        <v>28</v>
      </c>
      <c r="R1329" t="str" cm="1">
        <f t="array" ref="R1329">_xlfn.IFS(B1329&lt;31,"Young-Adult",B1329&lt;41,"Adult",B1329&lt;61,"Middle-aged",B1329&gt;=61,"Senior")</f>
        <v>Middle-aged</v>
      </c>
      <c r="S1329" cm="1">
        <f t="array" ref="S1329">_xlfn.IFS(Q1329 ="Fortnightly",14,Q1329="Weekly",7,Q1329="Monthly",30,Q1329="Quarterly",90,Q1329="Bi-Weekly",14,Q1329="Annually",365,Q1329="Every 3 Months",90,TRUE,"NOT FOUND")</f>
        <v>7</v>
      </c>
    </row>
    <row r="1330" spans="1:19" x14ac:dyDescent="0.35">
      <c r="A1330">
        <v>1329</v>
      </c>
      <c r="B1330">
        <v>37</v>
      </c>
      <c r="C1330" t="s">
        <v>7</v>
      </c>
      <c r="D1330" t="s">
        <v>18</v>
      </c>
      <c r="E1330" t="s">
        <v>9</v>
      </c>
      <c r="F1330">
        <v>97</v>
      </c>
      <c r="G1330" t="s">
        <v>31</v>
      </c>
      <c r="H1330" t="s">
        <v>32</v>
      </c>
      <c r="I1330" t="s">
        <v>109</v>
      </c>
      <c r="J1330" t="s">
        <v>13</v>
      </c>
      <c r="K1330">
        <v>3.7</v>
      </c>
      <c r="L1330" t="s">
        <v>140</v>
      </c>
      <c r="M1330" t="s">
        <v>42</v>
      </c>
      <c r="N1330" t="s">
        <v>14</v>
      </c>
      <c r="O1330">
        <v>40</v>
      </c>
      <c r="P1330" t="s">
        <v>63</v>
      </c>
      <c r="Q1330" t="s">
        <v>28</v>
      </c>
      <c r="R1330" t="str" cm="1">
        <f t="array" ref="R1330">_xlfn.IFS(B1330&lt;31,"Young-Adult",B1330&lt;41,"Adult",B1330&lt;61,"Middle-aged",B1330&gt;=61,"Senior")</f>
        <v>Adult</v>
      </c>
      <c r="S1330" cm="1">
        <f t="array" ref="S1330">_xlfn.IFS(Q1330 ="Fortnightly",14,Q1330="Weekly",7,Q1330="Monthly",30,Q1330="Quarterly",90,Q1330="Bi-Weekly",14,Q1330="Annually",365,Q1330="Every 3 Months",90,TRUE,"NOT FOUND")</f>
        <v>7</v>
      </c>
    </row>
    <row r="1331" spans="1:19" x14ac:dyDescent="0.35">
      <c r="A1331">
        <v>1330</v>
      </c>
      <c r="B1331">
        <v>70</v>
      </c>
      <c r="C1331" t="s">
        <v>7</v>
      </c>
      <c r="D1331" t="s">
        <v>131</v>
      </c>
      <c r="E1331" t="s">
        <v>55</v>
      </c>
      <c r="F1331">
        <v>63</v>
      </c>
      <c r="G1331" t="s">
        <v>93</v>
      </c>
      <c r="H1331" t="s">
        <v>32</v>
      </c>
      <c r="I1331" t="s">
        <v>114</v>
      </c>
      <c r="J1331" t="s">
        <v>45</v>
      </c>
      <c r="K1331">
        <v>3.3</v>
      </c>
      <c r="L1331" t="s">
        <v>140</v>
      </c>
      <c r="M1331" t="s">
        <v>15</v>
      </c>
      <c r="N1331" t="s">
        <v>14</v>
      </c>
      <c r="O1331">
        <v>50</v>
      </c>
      <c r="P1331" t="s">
        <v>34</v>
      </c>
      <c r="Q1331" t="s">
        <v>85</v>
      </c>
      <c r="R1331" t="str" cm="1">
        <f t="array" ref="R1331">_xlfn.IFS(B1331&lt;31,"Young-Adult",B1331&lt;41,"Adult",B1331&lt;61,"Middle-aged",B1331&gt;=61,"Senior")</f>
        <v>Senior</v>
      </c>
      <c r="S1331" cm="1">
        <f t="array" ref="S1331">_xlfn.IFS(Q1331 ="Fortnightly",14,Q1331="Weekly",7,Q1331="Monthly",30,Q1331="Quarterly",90,Q1331="Bi-Weekly",14,Q1331="Annually",365,Q1331="Every 3 Months",90,TRUE,"NOT FOUND")</f>
        <v>90</v>
      </c>
    </row>
    <row r="1332" spans="1:19" x14ac:dyDescent="0.35">
      <c r="A1332">
        <v>1331</v>
      </c>
      <c r="B1332">
        <v>30</v>
      </c>
      <c r="C1332" t="s">
        <v>7</v>
      </c>
      <c r="D1332" t="s">
        <v>54</v>
      </c>
      <c r="E1332" t="s">
        <v>55</v>
      </c>
      <c r="F1332">
        <v>65</v>
      </c>
      <c r="G1332" t="s">
        <v>117</v>
      </c>
      <c r="H1332" t="s">
        <v>32</v>
      </c>
      <c r="I1332" t="s">
        <v>49</v>
      </c>
      <c r="J1332" t="s">
        <v>45</v>
      </c>
      <c r="K1332">
        <v>2.9</v>
      </c>
      <c r="L1332" t="s">
        <v>140</v>
      </c>
      <c r="M1332" t="s">
        <v>42</v>
      </c>
      <c r="N1332" t="s">
        <v>14</v>
      </c>
      <c r="O1332">
        <v>20</v>
      </c>
      <c r="P1332" t="s">
        <v>34</v>
      </c>
      <c r="Q1332" t="s">
        <v>64</v>
      </c>
      <c r="R1332" t="str" cm="1">
        <f t="array" ref="R1332">_xlfn.IFS(B1332&lt;31,"Young-Adult",B1332&lt;41,"Adult",B1332&lt;61,"Middle-aged",B1332&gt;=61,"Senior")</f>
        <v>Young-Adult</v>
      </c>
      <c r="S1332" cm="1">
        <f t="array" ref="S1332">_xlfn.IFS(Q1332 ="Fortnightly",14,Q1332="Weekly",7,Q1332="Monthly",30,Q1332="Quarterly",90,Q1332="Bi-Weekly",14,Q1332="Annually",365,Q1332="Every 3 Months",90,TRUE,"NOT FOUND")</f>
        <v>14</v>
      </c>
    </row>
    <row r="1333" spans="1:19" x14ac:dyDescent="0.35">
      <c r="A1333">
        <v>1332</v>
      </c>
      <c r="B1333">
        <v>38</v>
      </c>
      <c r="C1333" t="s">
        <v>7</v>
      </c>
      <c r="D1333" t="s">
        <v>113</v>
      </c>
      <c r="E1333" t="s">
        <v>9</v>
      </c>
      <c r="F1333">
        <v>91</v>
      </c>
      <c r="G1333" t="s">
        <v>116</v>
      </c>
      <c r="H1333" t="s">
        <v>32</v>
      </c>
      <c r="I1333" t="s">
        <v>81</v>
      </c>
      <c r="J1333" t="s">
        <v>25</v>
      </c>
      <c r="K1333">
        <v>3.2</v>
      </c>
      <c r="L1333" t="s">
        <v>140</v>
      </c>
      <c r="M1333" t="s">
        <v>42</v>
      </c>
      <c r="N1333" t="s">
        <v>14</v>
      </c>
      <c r="O1333">
        <v>8</v>
      </c>
      <c r="P1333" t="s">
        <v>34</v>
      </c>
      <c r="Q1333" t="s">
        <v>64</v>
      </c>
      <c r="R1333" t="str" cm="1">
        <f t="array" ref="R1333">_xlfn.IFS(B1333&lt;31,"Young-Adult",B1333&lt;41,"Adult",B1333&lt;61,"Middle-aged",B1333&gt;=61,"Senior")</f>
        <v>Adult</v>
      </c>
      <c r="S1333" cm="1">
        <f t="array" ref="S1333">_xlfn.IFS(Q1333 ="Fortnightly",14,Q1333="Weekly",7,Q1333="Monthly",30,Q1333="Quarterly",90,Q1333="Bi-Weekly",14,Q1333="Annually",365,Q1333="Every 3 Months",90,TRUE,"NOT FOUND")</f>
        <v>14</v>
      </c>
    </row>
    <row r="1334" spans="1:19" x14ac:dyDescent="0.35">
      <c r="A1334">
        <v>1333</v>
      </c>
      <c r="B1334">
        <v>66</v>
      </c>
      <c r="C1334" t="s">
        <v>7</v>
      </c>
      <c r="D1334" t="s">
        <v>92</v>
      </c>
      <c r="E1334" t="s">
        <v>9</v>
      </c>
      <c r="F1334">
        <v>60</v>
      </c>
      <c r="G1334" t="s">
        <v>108</v>
      </c>
      <c r="H1334" t="s">
        <v>24</v>
      </c>
      <c r="I1334" t="s">
        <v>68</v>
      </c>
      <c r="J1334" t="s">
        <v>25</v>
      </c>
      <c r="K1334">
        <v>4.3</v>
      </c>
      <c r="L1334" t="s">
        <v>140</v>
      </c>
      <c r="M1334" t="s">
        <v>62</v>
      </c>
      <c r="N1334" t="s">
        <v>14</v>
      </c>
      <c r="O1334">
        <v>16</v>
      </c>
      <c r="P1334" t="s">
        <v>63</v>
      </c>
      <c r="Q1334" t="s">
        <v>46</v>
      </c>
      <c r="R1334" t="str" cm="1">
        <f t="array" ref="R1334">_xlfn.IFS(B1334&lt;31,"Young-Adult",B1334&lt;41,"Adult",B1334&lt;61,"Middle-aged",B1334&gt;=61,"Senior")</f>
        <v>Senior</v>
      </c>
      <c r="S1334" cm="1">
        <f t="array" ref="S1334">_xlfn.IFS(Q1334 ="Fortnightly",14,Q1334="Weekly",7,Q1334="Monthly",30,Q1334="Quarterly",90,Q1334="Bi-Weekly",14,Q1334="Annually",365,Q1334="Every 3 Months",90,TRUE,"NOT FOUND")</f>
        <v>90</v>
      </c>
    </row>
    <row r="1335" spans="1:19" x14ac:dyDescent="0.35">
      <c r="A1335">
        <v>1334</v>
      </c>
      <c r="B1335">
        <v>29</v>
      </c>
      <c r="C1335" t="s">
        <v>7</v>
      </c>
      <c r="D1335" t="s">
        <v>83</v>
      </c>
      <c r="E1335" t="s">
        <v>9</v>
      </c>
      <c r="F1335">
        <v>69</v>
      </c>
      <c r="G1335" t="s">
        <v>123</v>
      </c>
      <c r="H1335" t="s">
        <v>32</v>
      </c>
      <c r="I1335" t="s">
        <v>81</v>
      </c>
      <c r="J1335" t="s">
        <v>13</v>
      </c>
      <c r="K1335">
        <v>2.7</v>
      </c>
      <c r="L1335" t="s">
        <v>140</v>
      </c>
      <c r="M1335" t="s">
        <v>33</v>
      </c>
      <c r="N1335" t="s">
        <v>14</v>
      </c>
      <c r="O1335">
        <v>9</v>
      </c>
      <c r="P1335" t="s">
        <v>63</v>
      </c>
      <c r="Q1335" t="s">
        <v>46</v>
      </c>
      <c r="R1335" t="str" cm="1">
        <f t="array" ref="R1335">_xlfn.IFS(B1335&lt;31,"Young-Adult",B1335&lt;41,"Adult",B1335&lt;61,"Middle-aged",B1335&gt;=61,"Senior")</f>
        <v>Young-Adult</v>
      </c>
      <c r="S1335" cm="1">
        <f t="array" ref="S1335">_xlfn.IFS(Q1335 ="Fortnightly",14,Q1335="Weekly",7,Q1335="Monthly",30,Q1335="Quarterly",90,Q1335="Bi-Weekly",14,Q1335="Annually",365,Q1335="Every 3 Months",90,TRUE,"NOT FOUND")</f>
        <v>90</v>
      </c>
    </row>
    <row r="1336" spans="1:19" x14ac:dyDescent="0.35">
      <c r="A1336">
        <v>1335</v>
      </c>
      <c r="B1336">
        <v>46</v>
      </c>
      <c r="C1336" t="s">
        <v>7</v>
      </c>
      <c r="D1336" t="s">
        <v>50</v>
      </c>
      <c r="E1336" t="s">
        <v>51</v>
      </c>
      <c r="F1336">
        <v>52</v>
      </c>
      <c r="G1336" t="s">
        <v>52</v>
      </c>
      <c r="H1336" t="s">
        <v>24</v>
      </c>
      <c r="I1336" t="s">
        <v>40</v>
      </c>
      <c r="J1336" t="s">
        <v>25</v>
      </c>
      <c r="K1336">
        <v>3.8</v>
      </c>
      <c r="L1336" t="s">
        <v>140</v>
      </c>
      <c r="M1336" t="s">
        <v>62</v>
      </c>
      <c r="N1336" t="s">
        <v>14</v>
      </c>
      <c r="O1336">
        <v>12</v>
      </c>
      <c r="P1336" t="s">
        <v>16</v>
      </c>
      <c r="Q1336" t="s">
        <v>76</v>
      </c>
      <c r="R1336" t="str" cm="1">
        <f t="array" ref="R1336">_xlfn.IFS(B1336&lt;31,"Young-Adult",B1336&lt;41,"Adult",B1336&lt;61,"Middle-aged",B1336&gt;=61,"Senior")</f>
        <v>Middle-aged</v>
      </c>
      <c r="S1336" cm="1">
        <f t="array" ref="S1336">_xlfn.IFS(Q1336 ="Fortnightly",14,Q1336="Weekly",7,Q1336="Monthly",30,Q1336="Quarterly",90,Q1336="Bi-Weekly",14,Q1336="Annually",365,Q1336="Every 3 Months",90,TRUE,"NOT FOUND")</f>
        <v>30</v>
      </c>
    </row>
    <row r="1337" spans="1:19" x14ac:dyDescent="0.35">
      <c r="A1337">
        <v>1336</v>
      </c>
      <c r="B1337">
        <v>56</v>
      </c>
      <c r="C1337" t="s">
        <v>7</v>
      </c>
      <c r="D1337" t="s">
        <v>125</v>
      </c>
      <c r="E1337" t="s">
        <v>30</v>
      </c>
      <c r="F1337">
        <v>49</v>
      </c>
      <c r="G1337" t="s">
        <v>95</v>
      </c>
      <c r="H1337" t="s">
        <v>32</v>
      </c>
      <c r="I1337" t="s">
        <v>81</v>
      </c>
      <c r="J1337" t="s">
        <v>45</v>
      </c>
      <c r="K1337">
        <v>4.8</v>
      </c>
      <c r="L1337" t="s">
        <v>140</v>
      </c>
      <c r="M1337" t="s">
        <v>58</v>
      </c>
      <c r="N1337" t="s">
        <v>14</v>
      </c>
      <c r="O1337">
        <v>26</v>
      </c>
      <c r="P1337" t="s">
        <v>27</v>
      </c>
      <c r="Q1337" t="s">
        <v>28</v>
      </c>
      <c r="R1337" t="str" cm="1">
        <f t="array" ref="R1337">_xlfn.IFS(B1337&lt;31,"Young-Adult",B1337&lt;41,"Adult",B1337&lt;61,"Middle-aged",B1337&gt;=61,"Senior")</f>
        <v>Middle-aged</v>
      </c>
      <c r="S1337" cm="1">
        <f t="array" ref="S1337">_xlfn.IFS(Q1337 ="Fortnightly",14,Q1337="Weekly",7,Q1337="Monthly",30,Q1337="Quarterly",90,Q1337="Bi-Weekly",14,Q1337="Annually",365,Q1337="Every 3 Months",90,TRUE,"NOT FOUND")</f>
        <v>7</v>
      </c>
    </row>
    <row r="1338" spans="1:19" x14ac:dyDescent="0.35">
      <c r="A1338">
        <v>1337</v>
      </c>
      <c r="B1338">
        <v>23</v>
      </c>
      <c r="C1338" t="s">
        <v>7</v>
      </c>
      <c r="D1338" t="s">
        <v>38</v>
      </c>
      <c r="E1338" t="s">
        <v>30</v>
      </c>
      <c r="F1338">
        <v>85</v>
      </c>
      <c r="G1338" t="s">
        <v>35</v>
      </c>
      <c r="H1338" t="s">
        <v>32</v>
      </c>
      <c r="I1338" t="s">
        <v>49</v>
      </c>
      <c r="J1338" t="s">
        <v>25</v>
      </c>
      <c r="K1338">
        <v>4.8</v>
      </c>
      <c r="L1338" t="s">
        <v>140</v>
      </c>
      <c r="M1338" t="s">
        <v>62</v>
      </c>
      <c r="N1338" t="s">
        <v>14</v>
      </c>
      <c r="O1338">
        <v>44</v>
      </c>
      <c r="P1338" t="s">
        <v>74</v>
      </c>
      <c r="Q1338" t="s">
        <v>17</v>
      </c>
      <c r="R1338" t="str" cm="1">
        <f t="array" ref="R1338">_xlfn.IFS(B1338&lt;31,"Young-Adult",B1338&lt;41,"Adult",B1338&lt;61,"Middle-aged",B1338&gt;=61,"Senior")</f>
        <v>Young-Adult</v>
      </c>
      <c r="S1338" cm="1">
        <f t="array" ref="S1338">_xlfn.IFS(Q1338 ="Fortnightly",14,Q1338="Weekly",7,Q1338="Monthly",30,Q1338="Quarterly",90,Q1338="Bi-Weekly",14,Q1338="Annually",365,Q1338="Every 3 Months",90,TRUE,"NOT FOUND")</f>
        <v>14</v>
      </c>
    </row>
    <row r="1339" spans="1:19" x14ac:dyDescent="0.35">
      <c r="A1339">
        <v>1338</v>
      </c>
      <c r="B1339">
        <v>37</v>
      </c>
      <c r="C1339" t="s">
        <v>7</v>
      </c>
      <c r="D1339" t="s">
        <v>18</v>
      </c>
      <c r="E1339" t="s">
        <v>9</v>
      </c>
      <c r="F1339">
        <v>86</v>
      </c>
      <c r="G1339" t="s">
        <v>110</v>
      </c>
      <c r="H1339" t="s">
        <v>11</v>
      </c>
      <c r="I1339" t="s">
        <v>53</v>
      </c>
      <c r="J1339" t="s">
        <v>25</v>
      </c>
      <c r="K1339">
        <v>3.4</v>
      </c>
      <c r="L1339" t="s">
        <v>140</v>
      </c>
      <c r="M1339" t="s">
        <v>15</v>
      </c>
      <c r="N1339" t="s">
        <v>14</v>
      </c>
      <c r="O1339">
        <v>19</v>
      </c>
      <c r="P1339" t="s">
        <v>27</v>
      </c>
      <c r="Q1339" t="s">
        <v>64</v>
      </c>
      <c r="R1339" t="str" cm="1">
        <f t="array" ref="R1339">_xlfn.IFS(B1339&lt;31,"Young-Adult",B1339&lt;41,"Adult",B1339&lt;61,"Middle-aged",B1339&gt;=61,"Senior")</f>
        <v>Adult</v>
      </c>
      <c r="S1339" cm="1">
        <f t="array" ref="S1339">_xlfn.IFS(Q1339 ="Fortnightly",14,Q1339="Weekly",7,Q1339="Monthly",30,Q1339="Quarterly",90,Q1339="Bi-Weekly",14,Q1339="Annually",365,Q1339="Every 3 Months",90,TRUE,"NOT FOUND")</f>
        <v>14</v>
      </c>
    </row>
    <row r="1340" spans="1:19" x14ac:dyDescent="0.35">
      <c r="A1340">
        <v>1339</v>
      </c>
      <c r="B1340">
        <v>56</v>
      </c>
      <c r="C1340" t="s">
        <v>7</v>
      </c>
      <c r="D1340" t="s">
        <v>54</v>
      </c>
      <c r="E1340" t="s">
        <v>55</v>
      </c>
      <c r="F1340">
        <v>51</v>
      </c>
      <c r="G1340" t="s">
        <v>78</v>
      </c>
      <c r="H1340" t="s">
        <v>24</v>
      </c>
      <c r="I1340" t="s">
        <v>122</v>
      </c>
      <c r="J1340" t="s">
        <v>13</v>
      </c>
      <c r="K1340">
        <v>2.6</v>
      </c>
      <c r="L1340" t="s">
        <v>140</v>
      </c>
      <c r="M1340" t="s">
        <v>42</v>
      </c>
      <c r="N1340" t="s">
        <v>14</v>
      </c>
      <c r="O1340">
        <v>43</v>
      </c>
      <c r="P1340" t="s">
        <v>34</v>
      </c>
      <c r="Q1340" t="s">
        <v>17</v>
      </c>
      <c r="R1340" t="str" cm="1">
        <f t="array" ref="R1340">_xlfn.IFS(B1340&lt;31,"Young-Adult",B1340&lt;41,"Adult",B1340&lt;61,"Middle-aged",B1340&gt;=61,"Senior")</f>
        <v>Middle-aged</v>
      </c>
      <c r="S1340" cm="1">
        <f t="array" ref="S1340">_xlfn.IFS(Q1340 ="Fortnightly",14,Q1340="Weekly",7,Q1340="Monthly",30,Q1340="Quarterly",90,Q1340="Bi-Weekly",14,Q1340="Annually",365,Q1340="Every 3 Months",90,TRUE,"NOT FOUND")</f>
        <v>14</v>
      </c>
    </row>
    <row r="1341" spans="1:19" x14ac:dyDescent="0.35">
      <c r="A1341">
        <v>1340</v>
      </c>
      <c r="B1341">
        <v>36</v>
      </c>
      <c r="C1341" t="s">
        <v>7</v>
      </c>
      <c r="D1341" t="s">
        <v>121</v>
      </c>
      <c r="E1341" t="s">
        <v>55</v>
      </c>
      <c r="F1341">
        <v>56</v>
      </c>
      <c r="G1341" t="s">
        <v>104</v>
      </c>
      <c r="H1341" t="s">
        <v>11</v>
      </c>
      <c r="I1341" t="s">
        <v>66</v>
      </c>
      <c r="J1341" t="s">
        <v>13</v>
      </c>
      <c r="K1341">
        <v>5</v>
      </c>
      <c r="L1341" t="s">
        <v>140</v>
      </c>
      <c r="M1341" t="s">
        <v>33</v>
      </c>
      <c r="N1341" t="s">
        <v>14</v>
      </c>
      <c r="O1341">
        <v>5</v>
      </c>
      <c r="P1341" t="s">
        <v>63</v>
      </c>
      <c r="Q1341" t="s">
        <v>85</v>
      </c>
      <c r="R1341" t="str" cm="1">
        <f t="array" ref="R1341">_xlfn.IFS(B1341&lt;31,"Young-Adult",B1341&lt;41,"Adult",B1341&lt;61,"Middle-aged",B1341&gt;=61,"Senior")</f>
        <v>Adult</v>
      </c>
      <c r="S1341" cm="1">
        <f t="array" ref="S1341">_xlfn.IFS(Q1341 ="Fortnightly",14,Q1341="Weekly",7,Q1341="Monthly",30,Q1341="Quarterly",90,Q1341="Bi-Weekly",14,Q1341="Annually",365,Q1341="Every 3 Months",90,TRUE,"NOT FOUND")</f>
        <v>90</v>
      </c>
    </row>
    <row r="1342" spans="1:19" x14ac:dyDescent="0.35">
      <c r="A1342">
        <v>1341</v>
      </c>
      <c r="B1342">
        <v>40</v>
      </c>
      <c r="C1342" t="s">
        <v>7</v>
      </c>
      <c r="D1342" t="s">
        <v>121</v>
      </c>
      <c r="E1342" t="s">
        <v>55</v>
      </c>
      <c r="F1342">
        <v>72</v>
      </c>
      <c r="G1342" t="s">
        <v>123</v>
      </c>
      <c r="H1342" t="s">
        <v>32</v>
      </c>
      <c r="I1342" t="s">
        <v>88</v>
      </c>
      <c r="J1342" t="s">
        <v>45</v>
      </c>
      <c r="K1342">
        <v>4.4000000000000004</v>
      </c>
      <c r="L1342" t="s">
        <v>140</v>
      </c>
      <c r="M1342" t="s">
        <v>33</v>
      </c>
      <c r="N1342" t="s">
        <v>14</v>
      </c>
      <c r="O1342">
        <v>5</v>
      </c>
      <c r="P1342" t="s">
        <v>74</v>
      </c>
      <c r="Q1342" t="s">
        <v>85</v>
      </c>
      <c r="R1342" t="str" cm="1">
        <f t="array" ref="R1342">_xlfn.IFS(B1342&lt;31,"Young-Adult",B1342&lt;41,"Adult",B1342&lt;61,"Middle-aged",B1342&gt;=61,"Senior")</f>
        <v>Adult</v>
      </c>
      <c r="S1342" cm="1">
        <f t="array" ref="S1342">_xlfn.IFS(Q1342 ="Fortnightly",14,Q1342="Weekly",7,Q1342="Monthly",30,Q1342="Quarterly",90,Q1342="Bi-Weekly",14,Q1342="Annually",365,Q1342="Every 3 Months",90,TRUE,"NOT FOUND")</f>
        <v>90</v>
      </c>
    </row>
    <row r="1343" spans="1:19" x14ac:dyDescent="0.35">
      <c r="A1343">
        <v>1342</v>
      </c>
      <c r="B1343">
        <v>26</v>
      </c>
      <c r="C1343" t="s">
        <v>7</v>
      </c>
      <c r="D1343" t="s">
        <v>92</v>
      </c>
      <c r="E1343" t="s">
        <v>9</v>
      </c>
      <c r="F1343">
        <v>27</v>
      </c>
      <c r="G1343" t="s">
        <v>31</v>
      </c>
      <c r="H1343" t="s">
        <v>80</v>
      </c>
      <c r="I1343" t="s">
        <v>122</v>
      </c>
      <c r="J1343" t="s">
        <v>45</v>
      </c>
      <c r="K1343">
        <v>3.8</v>
      </c>
      <c r="L1343" t="s">
        <v>140</v>
      </c>
      <c r="M1343" t="s">
        <v>42</v>
      </c>
      <c r="N1343" t="s">
        <v>14</v>
      </c>
      <c r="O1343">
        <v>31</v>
      </c>
      <c r="P1343" t="s">
        <v>63</v>
      </c>
      <c r="Q1343" t="s">
        <v>46</v>
      </c>
      <c r="R1343" t="str" cm="1">
        <f t="array" ref="R1343">_xlfn.IFS(B1343&lt;31,"Young-Adult",B1343&lt;41,"Adult",B1343&lt;61,"Middle-aged",B1343&gt;=61,"Senior")</f>
        <v>Young-Adult</v>
      </c>
      <c r="S1343" cm="1">
        <f t="array" ref="S1343">_xlfn.IFS(Q1343 ="Fortnightly",14,Q1343="Weekly",7,Q1343="Monthly",30,Q1343="Quarterly",90,Q1343="Bi-Weekly",14,Q1343="Annually",365,Q1343="Every 3 Months",90,TRUE,"NOT FOUND")</f>
        <v>90</v>
      </c>
    </row>
    <row r="1344" spans="1:19" x14ac:dyDescent="0.35">
      <c r="A1344">
        <v>1343</v>
      </c>
      <c r="B1344">
        <v>57</v>
      </c>
      <c r="C1344" t="s">
        <v>7</v>
      </c>
      <c r="D1344" t="s">
        <v>77</v>
      </c>
      <c r="E1344" t="s">
        <v>55</v>
      </c>
      <c r="F1344">
        <v>43</v>
      </c>
      <c r="G1344" t="s">
        <v>105</v>
      </c>
      <c r="H1344" t="s">
        <v>80</v>
      </c>
      <c r="I1344" t="s">
        <v>122</v>
      </c>
      <c r="J1344" t="s">
        <v>41</v>
      </c>
      <c r="K1344">
        <v>3.4</v>
      </c>
      <c r="L1344" t="s">
        <v>140</v>
      </c>
      <c r="M1344" t="s">
        <v>58</v>
      </c>
      <c r="N1344" t="s">
        <v>14</v>
      </c>
      <c r="O1344">
        <v>11</v>
      </c>
      <c r="P1344" t="s">
        <v>63</v>
      </c>
      <c r="Q1344" t="s">
        <v>76</v>
      </c>
      <c r="R1344" t="str" cm="1">
        <f t="array" ref="R1344">_xlfn.IFS(B1344&lt;31,"Young-Adult",B1344&lt;41,"Adult",B1344&lt;61,"Middle-aged",B1344&gt;=61,"Senior")</f>
        <v>Middle-aged</v>
      </c>
      <c r="S1344" cm="1">
        <f t="array" ref="S1344">_xlfn.IFS(Q1344 ="Fortnightly",14,Q1344="Weekly",7,Q1344="Monthly",30,Q1344="Quarterly",90,Q1344="Bi-Weekly",14,Q1344="Annually",365,Q1344="Every 3 Months",90,TRUE,"NOT FOUND")</f>
        <v>30</v>
      </c>
    </row>
    <row r="1345" spans="1:19" x14ac:dyDescent="0.35">
      <c r="A1345">
        <v>1344</v>
      </c>
      <c r="B1345">
        <v>68</v>
      </c>
      <c r="C1345" t="s">
        <v>7</v>
      </c>
      <c r="D1345" t="s">
        <v>38</v>
      </c>
      <c r="E1345" t="s">
        <v>30</v>
      </c>
      <c r="F1345">
        <v>56</v>
      </c>
      <c r="G1345" t="s">
        <v>91</v>
      </c>
      <c r="H1345" t="s">
        <v>32</v>
      </c>
      <c r="I1345" t="s">
        <v>114</v>
      </c>
      <c r="J1345" t="s">
        <v>25</v>
      </c>
      <c r="K1345">
        <v>3.4</v>
      </c>
      <c r="L1345" t="s">
        <v>140</v>
      </c>
      <c r="M1345" t="s">
        <v>42</v>
      </c>
      <c r="N1345" t="s">
        <v>14</v>
      </c>
      <c r="O1345">
        <v>34</v>
      </c>
      <c r="P1345" t="s">
        <v>63</v>
      </c>
      <c r="Q1345" t="s">
        <v>76</v>
      </c>
      <c r="R1345" t="str" cm="1">
        <f t="array" ref="R1345">_xlfn.IFS(B1345&lt;31,"Young-Adult",B1345&lt;41,"Adult",B1345&lt;61,"Middle-aged",B1345&gt;=61,"Senior")</f>
        <v>Senior</v>
      </c>
      <c r="S1345" cm="1">
        <f t="array" ref="S1345">_xlfn.IFS(Q1345 ="Fortnightly",14,Q1345="Weekly",7,Q1345="Monthly",30,Q1345="Quarterly",90,Q1345="Bi-Weekly",14,Q1345="Annually",365,Q1345="Every 3 Months",90,TRUE,"NOT FOUND")</f>
        <v>30</v>
      </c>
    </row>
    <row r="1346" spans="1:19" x14ac:dyDescent="0.35">
      <c r="A1346">
        <v>1345</v>
      </c>
      <c r="B1346">
        <v>56</v>
      </c>
      <c r="C1346" t="s">
        <v>7</v>
      </c>
      <c r="D1346" t="s">
        <v>101</v>
      </c>
      <c r="E1346" t="s">
        <v>9</v>
      </c>
      <c r="F1346">
        <v>37</v>
      </c>
      <c r="G1346" t="s">
        <v>72</v>
      </c>
      <c r="H1346" t="s">
        <v>24</v>
      </c>
      <c r="I1346" t="s">
        <v>71</v>
      </c>
      <c r="J1346" t="s">
        <v>45</v>
      </c>
      <c r="K1346">
        <v>4.9000000000000004</v>
      </c>
      <c r="L1346" t="s">
        <v>140</v>
      </c>
      <c r="M1346" t="s">
        <v>33</v>
      </c>
      <c r="N1346" t="s">
        <v>14</v>
      </c>
      <c r="O1346">
        <v>14</v>
      </c>
      <c r="P1346" t="s">
        <v>21</v>
      </c>
      <c r="Q1346" t="s">
        <v>37</v>
      </c>
      <c r="R1346" t="str" cm="1">
        <f t="array" ref="R1346">_xlfn.IFS(B1346&lt;31,"Young-Adult",B1346&lt;41,"Adult",B1346&lt;61,"Middle-aged",B1346&gt;=61,"Senior")</f>
        <v>Middle-aged</v>
      </c>
      <c r="S1346" cm="1">
        <f t="array" ref="S1346">_xlfn.IFS(Q1346 ="Fortnightly",14,Q1346="Weekly",7,Q1346="Monthly",30,Q1346="Quarterly",90,Q1346="Bi-Weekly",14,Q1346="Annually",365,Q1346="Every 3 Months",90,TRUE,"NOT FOUND")</f>
        <v>365</v>
      </c>
    </row>
    <row r="1347" spans="1:19" x14ac:dyDescent="0.35">
      <c r="A1347">
        <v>1346</v>
      </c>
      <c r="B1347">
        <v>40</v>
      </c>
      <c r="C1347" t="s">
        <v>7</v>
      </c>
      <c r="D1347" t="s">
        <v>69</v>
      </c>
      <c r="E1347" t="s">
        <v>9</v>
      </c>
      <c r="F1347">
        <v>21</v>
      </c>
      <c r="G1347" t="s">
        <v>133</v>
      </c>
      <c r="H1347" t="s">
        <v>32</v>
      </c>
      <c r="I1347" t="s">
        <v>40</v>
      </c>
      <c r="J1347" t="s">
        <v>45</v>
      </c>
      <c r="K1347">
        <v>3.6</v>
      </c>
      <c r="L1347" t="s">
        <v>140</v>
      </c>
      <c r="M1347" t="s">
        <v>42</v>
      </c>
      <c r="N1347" t="s">
        <v>14</v>
      </c>
      <c r="O1347">
        <v>42</v>
      </c>
      <c r="P1347" t="s">
        <v>16</v>
      </c>
      <c r="Q1347" t="s">
        <v>28</v>
      </c>
      <c r="R1347" t="str" cm="1">
        <f t="array" ref="R1347">_xlfn.IFS(B1347&lt;31,"Young-Adult",B1347&lt;41,"Adult",B1347&lt;61,"Middle-aged",B1347&gt;=61,"Senior")</f>
        <v>Adult</v>
      </c>
      <c r="S1347" cm="1">
        <f t="array" ref="S1347">_xlfn.IFS(Q1347 ="Fortnightly",14,Q1347="Weekly",7,Q1347="Monthly",30,Q1347="Quarterly",90,Q1347="Bi-Weekly",14,Q1347="Annually",365,Q1347="Every 3 Months",90,TRUE,"NOT FOUND")</f>
        <v>7</v>
      </c>
    </row>
    <row r="1348" spans="1:19" x14ac:dyDescent="0.35">
      <c r="A1348">
        <v>1347</v>
      </c>
      <c r="B1348">
        <v>44</v>
      </c>
      <c r="C1348" t="s">
        <v>7</v>
      </c>
      <c r="D1348" t="s">
        <v>92</v>
      </c>
      <c r="E1348" t="s">
        <v>9</v>
      </c>
      <c r="F1348">
        <v>91</v>
      </c>
      <c r="G1348" t="s">
        <v>79</v>
      </c>
      <c r="H1348" t="s">
        <v>11</v>
      </c>
      <c r="I1348" t="s">
        <v>40</v>
      </c>
      <c r="J1348" t="s">
        <v>13</v>
      </c>
      <c r="K1348">
        <v>3</v>
      </c>
      <c r="L1348" t="s">
        <v>140</v>
      </c>
      <c r="M1348" t="s">
        <v>26</v>
      </c>
      <c r="N1348" t="s">
        <v>14</v>
      </c>
      <c r="O1348">
        <v>15</v>
      </c>
      <c r="P1348" t="s">
        <v>16</v>
      </c>
      <c r="Q1348" t="s">
        <v>64</v>
      </c>
      <c r="R1348" t="str" cm="1">
        <f t="array" ref="R1348">_xlfn.IFS(B1348&lt;31,"Young-Adult",B1348&lt;41,"Adult",B1348&lt;61,"Middle-aged",B1348&gt;=61,"Senior")</f>
        <v>Middle-aged</v>
      </c>
      <c r="S1348" cm="1">
        <f t="array" ref="S1348">_xlfn.IFS(Q1348 ="Fortnightly",14,Q1348="Weekly",7,Q1348="Monthly",30,Q1348="Quarterly",90,Q1348="Bi-Weekly",14,Q1348="Annually",365,Q1348="Every 3 Months",90,TRUE,"NOT FOUND")</f>
        <v>14</v>
      </c>
    </row>
    <row r="1349" spans="1:19" x14ac:dyDescent="0.35">
      <c r="A1349">
        <v>1348</v>
      </c>
      <c r="B1349">
        <v>44</v>
      </c>
      <c r="C1349" t="s">
        <v>7</v>
      </c>
      <c r="D1349" t="s">
        <v>18</v>
      </c>
      <c r="E1349" t="s">
        <v>9</v>
      </c>
      <c r="F1349">
        <v>95</v>
      </c>
      <c r="G1349" t="s">
        <v>117</v>
      </c>
      <c r="H1349" t="s">
        <v>32</v>
      </c>
      <c r="I1349" t="s">
        <v>97</v>
      </c>
      <c r="J1349" t="s">
        <v>41</v>
      </c>
      <c r="K1349">
        <v>3.9</v>
      </c>
      <c r="L1349" t="s">
        <v>140</v>
      </c>
      <c r="M1349" t="s">
        <v>58</v>
      </c>
      <c r="N1349" t="s">
        <v>14</v>
      </c>
      <c r="O1349">
        <v>47</v>
      </c>
      <c r="P1349" t="s">
        <v>63</v>
      </c>
      <c r="Q1349" t="s">
        <v>76</v>
      </c>
      <c r="R1349" t="str" cm="1">
        <f t="array" ref="R1349">_xlfn.IFS(B1349&lt;31,"Young-Adult",B1349&lt;41,"Adult",B1349&lt;61,"Middle-aged",B1349&gt;=61,"Senior")</f>
        <v>Middle-aged</v>
      </c>
      <c r="S1349" cm="1">
        <f t="array" ref="S1349">_xlfn.IFS(Q1349 ="Fortnightly",14,Q1349="Weekly",7,Q1349="Monthly",30,Q1349="Quarterly",90,Q1349="Bi-Weekly",14,Q1349="Annually",365,Q1349="Every 3 Months",90,TRUE,"NOT FOUND")</f>
        <v>30</v>
      </c>
    </row>
    <row r="1350" spans="1:19" x14ac:dyDescent="0.35">
      <c r="A1350">
        <v>1349</v>
      </c>
      <c r="B1350">
        <v>19</v>
      </c>
      <c r="C1350" t="s">
        <v>7</v>
      </c>
      <c r="D1350" t="s">
        <v>121</v>
      </c>
      <c r="E1350" t="s">
        <v>55</v>
      </c>
      <c r="F1350">
        <v>54</v>
      </c>
      <c r="G1350" t="s">
        <v>133</v>
      </c>
      <c r="H1350" t="s">
        <v>80</v>
      </c>
      <c r="I1350" t="s">
        <v>61</v>
      </c>
      <c r="J1350" t="s">
        <v>25</v>
      </c>
      <c r="K1350">
        <v>3.2</v>
      </c>
      <c r="L1350" t="s">
        <v>140</v>
      </c>
      <c r="M1350" t="s">
        <v>42</v>
      </c>
      <c r="N1350" t="s">
        <v>14</v>
      </c>
      <c r="O1350">
        <v>23</v>
      </c>
      <c r="P1350" t="s">
        <v>27</v>
      </c>
      <c r="Q1350" t="s">
        <v>17</v>
      </c>
      <c r="R1350" t="str" cm="1">
        <f t="array" ref="R1350">_xlfn.IFS(B1350&lt;31,"Young-Adult",B1350&lt;41,"Adult",B1350&lt;61,"Middle-aged",B1350&gt;=61,"Senior")</f>
        <v>Young-Adult</v>
      </c>
      <c r="S1350" cm="1">
        <f t="array" ref="S1350">_xlfn.IFS(Q1350 ="Fortnightly",14,Q1350="Weekly",7,Q1350="Monthly",30,Q1350="Quarterly",90,Q1350="Bi-Weekly",14,Q1350="Annually",365,Q1350="Every 3 Months",90,TRUE,"NOT FOUND")</f>
        <v>14</v>
      </c>
    </row>
    <row r="1351" spans="1:19" x14ac:dyDescent="0.35">
      <c r="A1351">
        <v>1350</v>
      </c>
      <c r="B1351">
        <v>21</v>
      </c>
      <c r="C1351" t="s">
        <v>7</v>
      </c>
      <c r="D1351" t="s">
        <v>113</v>
      </c>
      <c r="E1351" t="s">
        <v>9</v>
      </c>
      <c r="F1351">
        <v>36</v>
      </c>
      <c r="G1351" t="s">
        <v>119</v>
      </c>
      <c r="H1351" t="s">
        <v>80</v>
      </c>
      <c r="I1351" t="s">
        <v>82</v>
      </c>
      <c r="J1351" t="s">
        <v>25</v>
      </c>
      <c r="K1351">
        <v>3.2</v>
      </c>
      <c r="L1351" t="s">
        <v>140</v>
      </c>
      <c r="M1351" t="s">
        <v>33</v>
      </c>
      <c r="N1351" t="s">
        <v>14</v>
      </c>
      <c r="O1351">
        <v>23</v>
      </c>
      <c r="P1351" t="s">
        <v>21</v>
      </c>
      <c r="Q1351" t="s">
        <v>64</v>
      </c>
      <c r="R1351" t="str" cm="1">
        <f t="array" ref="R1351">_xlfn.IFS(B1351&lt;31,"Young-Adult",B1351&lt;41,"Adult",B1351&lt;61,"Middle-aged",B1351&gt;=61,"Senior")</f>
        <v>Young-Adult</v>
      </c>
      <c r="S1351" cm="1">
        <f t="array" ref="S1351">_xlfn.IFS(Q1351 ="Fortnightly",14,Q1351="Weekly",7,Q1351="Monthly",30,Q1351="Quarterly",90,Q1351="Bi-Weekly",14,Q1351="Annually",365,Q1351="Every 3 Months",90,TRUE,"NOT FOUND")</f>
        <v>14</v>
      </c>
    </row>
    <row r="1352" spans="1:19" x14ac:dyDescent="0.35">
      <c r="A1352">
        <v>1351</v>
      </c>
      <c r="B1352">
        <v>31</v>
      </c>
      <c r="C1352" t="s">
        <v>7</v>
      </c>
      <c r="D1352" t="s">
        <v>77</v>
      </c>
      <c r="E1352" t="s">
        <v>55</v>
      </c>
      <c r="F1352">
        <v>71</v>
      </c>
      <c r="G1352" t="s">
        <v>67</v>
      </c>
      <c r="H1352" t="s">
        <v>32</v>
      </c>
      <c r="I1352" t="s">
        <v>109</v>
      </c>
      <c r="J1352" t="s">
        <v>45</v>
      </c>
      <c r="K1352">
        <v>4.3</v>
      </c>
      <c r="L1352" t="s">
        <v>140</v>
      </c>
      <c r="M1352" t="s">
        <v>33</v>
      </c>
      <c r="N1352" t="s">
        <v>14</v>
      </c>
      <c r="O1352">
        <v>1</v>
      </c>
      <c r="P1352" t="s">
        <v>21</v>
      </c>
      <c r="Q1352" t="s">
        <v>85</v>
      </c>
      <c r="R1352" t="str" cm="1">
        <f t="array" ref="R1352">_xlfn.IFS(B1352&lt;31,"Young-Adult",B1352&lt;41,"Adult",B1352&lt;61,"Middle-aged",B1352&gt;=61,"Senior")</f>
        <v>Adult</v>
      </c>
      <c r="S1352" cm="1">
        <f t="array" ref="S1352">_xlfn.IFS(Q1352 ="Fortnightly",14,Q1352="Weekly",7,Q1352="Monthly",30,Q1352="Quarterly",90,Q1352="Bi-Weekly",14,Q1352="Annually",365,Q1352="Every 3 Months",90,TRUE,"NOT FOUND")</f>
        <v>90</v>
      </c>
    </row>
    <row r="1353" spans="1:19" x14ac:dyDescent="0.35">
      <c r="A1353">
        <v>1352</v>
      </c>
      <c r="B1353">
        <v>30</v>
      </c>
      <c r="C1353" t="s">
        <v>7</v>
      </c>
      <c r="D1353" t="s">
        <v>50</v>
      </c>
      <c r="E1353" t="s">
        <v>51</v>
      </c>
      <c r="F1353">
        <v>31</v>
      </c>
      <c r="G1353" t="s">
        <v>117</v>
      </c>
      <c r="H1353" t="s">
        <v>11</v>
      </c>
      <c r="I1353" t="s">
        <v>20</v>
      </c>
      <c r="J1353" t="s">
        <v>41</v>
      </c>
      <c r="K1353">
        <v>2.8</v>
      </c>
      <c r="L1353" t="s">
        <v>140</v>
      </c>
      <c r="M1353" t="s">
        <v>58</v>
      </c>
      <c r="N1353" t="s">
        <v>14</v>
      </c>
      <c r="O1353">
        <v>28</v>
      </c>
      <c r="P1353" t="s">
        <v>63</v>
      </c>
      <c r="Q1353" t="s">
        <v>46</v>
      </c>
      <c r="R1353" t="str" cm="1">
        <f t="array" ref="R1353">_xlfn.IFS(B1353&lt;31,"Young-Adult",B1353&lt;41,"Adult",B1353&lt;61,"Middle-aged",B1353&gt;=61,"Senior")</f>
        <v>Young-Adult</v>
      </c>
      <c r="S1353" cm="1">
        <f t="array" ref="S1353">_xlfn.IFS(Q1353 ="Fortnightly",14,Q1353="Weekly",7,Q1353="Monthly",30,Q1353="Quarterly",90,Q1353="Bi-Weekly",14,Q1353="Annually",365,Q1353="Every 3 Months",90,TRUE,"NOT FOUND")</f>
        <v>90</v>
      </c>
    </row>
    <row r="1354" spans="1:19" x14ac:dyDescent="0.35">
      <c r="A1354">
        <v>1353</v>
      </c>
      <c r="B1354">
        <v>65</v>
      </c>
      <c r="C1354" t="s">
        <v>7</v>
      </c>
      <c r="D1354" t="s">
        <v>112</v>
      </c>
      <c r="E1354" t="s">
        <v>55</v>
      </c>
      <c r="F1354">
        <v>89</v>
      </c>
      <c r="G1354" t="s">
        <v>104</v>
      </c>
      <c r="H1354" t="s">
        <v>80</v>
      </c>
      <c r="I1354" t="s">
        <v>109</v>
      </c>
      <c r="J1354" t="s">
        <v>25</v>
      </c>
      <c r="K1354">
        <v>4.5</v>
      </c>
      <c r="L1354" t="s">
        <v>140</v>
      </c>
      <c r="M1354" t="s">
        <v>33</v>
      </c>
      <c r="N1354" t="s">
        <v>14</v>
      </c>
      <c r="O1354">
        <v>37</v>
      </c>
      <c r="P1354" t="s">
        <v>27</v>
      </c>
      <c r="Q1354" t="s">
        <v>64</v>
      </c>
      <c r="R1354" t="str" cm="1">
        <f t="array" ref="R1354">_xlfn.IFS(B1354&lt;31,"Young-Adult",B1354&lt;41,"Adult",B1354&lt;61,"Middle-aged",B1354&gt;=61,"Senior")</f>
        <v>Senior</v>
      </c>
      <c r="S1354" cm="1">
        <f t="array" ref="S1354">_xlfn.IFS(Q1354 ="Fortnightly",14,Q1354="Weekly",7,Q1354="Monthly",30,Q1354="Quarterly",90,Q1354="Bi-Weekly",14,Q1354="Annually",365,Q1354="Every 3 Months",90,TRUE,"NOT FOUND")</f>
        <v>14</v>
      </c>
    </row>
    <row r="1355" spans="1:19" x14ac:dyDescent="0.35">
      <c r="A1355">
        <v>1354</v>
      </c>
      <c r="B1355">
        <v>39</v>
      </c>
      <c r="C1355" t="s">
        <v>7</v>
      </c>
      <c r="D1355" t="s">
        <v>83</v>
      </c>
      <c r="E1355" t="s">
        <v>9</v>
      </c>
      <c r="F1355">
        <v>83</v>
      </c>
      <c r="G1355" t="s">
        <v>35</v>
      </c>
      <c r="H1355" t="s">
        <v>32</v>
      </c>
      <c r="I1355" t="s">
        <v>73</v>
      </c>
      <c r="J1355" t="s">
        <v>13</v>
      </c>
      <c r="K1355">
        <v>4.0999999999999996</v>
      </c>
      <c r="L1355" t="s">
        <v>140</v>
      </c>
      <c r="M1355" t="s">
        <v>33</v>
      </c>
      <c r="N1355" t="s">
        <v>14</v>
      </c>
      <c r="O1355">
        <v>4</v>
      </c>
      <c r="P1355" t="s">
        <v>21</v>
      </c>
      <c r="Q1355" t="s">
        <v>85</v>
      </c>
      <c r="R1355" t="str" cm="1">
        <f t="array" ref="R1355">_xlfn.IFS(B1355&lt;31,"Young-Adult",B1355&lt;41,"Adult",B1355&lt;61,"Middle-aged",B1355&gt;=61,"Senior")</f>
        <v>Adult</v>
      </c>
      <c r="S1355" cm="1">
        <f t="array" ref="S1355">_xlfn.IFS(Q1355 ="Fortnightly",14,Q1355="Weekly",7,Q1355="Monthly",30,Q1355="Quarterly",90,Q1355="Bi-Weekly",14,Q1355="Annually",365,Q1355="Every 3 Months",90,TRUE,"NOT FOUND")</f>
        <v>90</v>
      </c>
    </row>
    <row r="1356" spans="1:19" x14ac:dyDescent="0.35">
      <c r="A1356">
        <v>1355</v>
      </c>
      <c r="B1356">
        <v>64</v>
      </c>
      <c r="C1356" t="s">
        <v>7</v>
      </c>
      <c r="D1356" t="s">
        <v>120</v>
      </c>
      <c r="E1356" t="s">
        <v>55</v>
      </c>
      <c r="F1356">
        <v>42</v>
      </c>
      <c r="G1356" t="s">
        <v>116</v>
      </c>
      <c r="H1356" t="s">
        <v>32</v>
      </c>
      <c r="I1356" t="s">
        <v>12</v>
      </c>
      <c r="J1356" t="s">
        <v>25</v>
      </c>
      <c r="K1356">
        <v>3.6</v>
      </c>
      <c r="L1356" t="s">
        <v>140</v>
      </c>
      <c r="M1356" t="s">
        <v>58</v>
      </c>
      <c r="N1356" t="s">
        <v>14</v>
      </c>
      <c r="O1356">
        <v>21</v>
      </c>
      <c r="P1356" t="s">
        <v>63</v>
      </c>
      <c r="Q1356" t="s">
        <v>46</v>
      </c>
      <c r="R1356" t="str" cm="1">
        <f t="array" ref="R1356">_xlfn.IFS(B1356&lt;31,"Young-Adult",B1356&lt;41,"Adult",B1356&lt;61,"Middle-aged",B1356&gt;=61,"Senior")</f>
        <v>Senior</v>
      </c>
      <c r="S1356" cm="1">
        <f t="array" ref="S1356">_xlfn.IFS(Q1356 ="Fortnightly",14,Q1356="Weekly",7,Q1356="Monthly",30,Q1356="Quarterly",90,Q1356="Bi-Weekly",14,Q1356="Annually",365,Q1356="Every 3 Months",90,TRUE,"NOT FOUND")</f>
        <v>90</v>
      </c>
    </row>
    <row r="1357" spans="1:19" x14ac:dyDescent="0.35">
      <c r="A1357">
        <v>1356</v>
      </c>
      <c r="B1357">
        <v>59</v>
      </c>
      <c r="C1357" t="s">
        <v>7</v>
      </c>
      <c r="D1357" t="s">
        <v>47</v>
      </c>
      <c r="E1357" t="s">
        <v>9</v>
      </c>
      <c r="F1357">
        <v>91</v>
      </c>
      <c r="G1357" t="s">
        <v>91</v>
      </c>
      <c r="H1357" t="s">
        <v>32</v>
      </c>
      <c r="I1357" t="s">
        <v>132</v>
      </c>
      <c r="J1357" t="s">
        <v>41</v>
      </c>
      <c r="K1357">
        <v>3</v>
      </c>
      <c r="L1357" t="s">
        <v>140</v>
      </c>
      <c r="M1357" t="s">
        <v>58</v>
      </c>
      <c r="N1357" t="s">
        <v>14</v>
      </c>
      <c r="O1357">
        <v>50</v>
      </c>
      <c r="P1357" t="s">
        <v>34</v>
      </c>
      <c r="Q1357" t="s">
        <v>64</v>
      </c>
      <c r="R1357" t="str" cm="1">
        <f t="array" ref="R1357">_xlfn.IFS(B1357&lt;31,"Young-Adult",B1357&lt;41,"Adult",B1357&lt;61,"Middle-aged",B1357&gt;=61,"Senior")</f>
        <v>Middle-aged</v>
      </c>
      <c r="S1357" cm="1">
        <f t="array" ref="S1357">_xlfn.IFS(Q1357 ="Fortnightly",14,Q1357="Weekly",7,Q1357="Monthly",30,Q1357="Quarterly",90,Q1357="Bi-Weekly",14,Q1357="Annually",365,Q1357="Every 3 Months",90,TRUE,"NOT FOUND")</f>
        <v>14</v>
      </c>
    </row>
    <row r="1358" spans="1:19" x14ac:dyDescent="0.35">
      <c r="A1358">
        <v>1357</v>
      </c>
      <c r="B1358">
        <v>49</v>
      </c>
      <c r="C1358" t="s">
        <v>7</v>
      </c>
      <c r="D1358" t="s">
        <v>90</v>
      </c>
      <c r="E1358" t="s">
        <v>51</v>
      </c>
      <c r="F1358">
        <v>61</v>
      </c>
      <c r="G1358" t="s">
        <v>104</v>
      </c>
      <c r="H1358" t="s">
        <v>32</v>
      </c>
      <c r="I1358" t="s">
        <v>97</v>
      </c>
      <c r="J1358" t="s">
        <v>25</v>
      </c>
      <c r="K1358">
        <v>4</v>
      </c>
      <c r="L1358" t="s">
        <v>140</v>
      </c>
      <c r="M1358" t="s">
        <v>26</v>
      </c>
      <c r="N1358" t="s">
        <v>14</v>
      </c>
      <c r="O1358">
        <v>34</v>
      </c>
      <c r="P1358" t="s">
        <v>63</v>
      </c>
      <c r="Q1358" t="s">
        <v>37</v>
      </c>
      <c r="R1358" t="str" cm="1">
        <f t="array" ref="R1358">_xlfn.IFS(B1358&lt;31,"Young-Adult",B1358&lt;41,"Adult",B1358&lt;61,"Middle-aged",B1358&gt;=61,"Senior")</f>
        <v>Middle-aged</v>
      </c>
      <c r="S1358" cm="1">
        <f t="array" ref="S1358">_xlfn.IFS(Q1358 ="Fortnightly",14,Q1358="Weekly",7,Q1358="Monthly",30,Q1358="Quarterly",90,Q1358="Bi-Weekly",14,Q1358="Annually",365,Q1358="Every 3 Months",90,TRUE,"NOT FOUND")</f>
        <v>365</v>
      </c>
    </row>
    <row r="1359" spans="1:19" x14ac:dyDescent="0.35">
      <c r="A1359">
        <v>1358</v>
      </c>
      <c r="B1359">
        <v>24</v>
      </c>
      <c r="C1359" t="s">
        <v>7</v>
      </c>
      <c r="D1359" t="s">
        <v>120</v>
      </c>
      <c r="E1359" t="s">
        <v>55</v>
      </c>
      <c r="F1359">
        <v>66</v>
      </c>
      <c r="G1359" t="s">
        <v>93</v>
      </c>
      <c r="H1359" t="s">
        <v>24</v>
      </c>
      <c r="I1359" t="s">
        <v>96</v>
      </c>
      <c r="J1359" t="s">
        <v>41</v>
      </c>
      <c r="K1359">
        <v>3.5</v>
      </c>
      <c r="L1359" t="s">
        <v>140</v>
      </c>
      <c r="M1359" t="s">
        <v>33</v>
      </c>
      <c r="N1359" t="s">
        <v>14</v>
      </c>
      <c r="O1359">
        <v>20</v>
      </c>
      <c r="P1359" t="s">
        <v>21</v>
      </c>
      <c r="Q1359" t="s">
        <v>46</v>
      </c>
      <c r="R1359" t="str" cm="1">
        <f t="array" ref="R1359">_xlfn.IFS(B1359&lt;31,"Young-Adult",B1359&lt;41,"Adult",B1359&lt;61,"Middle-aged",B1359&gt;=61,"Senior")</f>
        <v>Young-Adult</v>
      </c>
      <c r="S1359" cm="1">
        <f t="array" ref="S1359">_xlfn.IFS(Q1359 ="Fortnightly",14,Q1359="Weekly",7,Q1359="Monthly",30,Q1359="Quarterly",90,Q1359="Bi-Weekly",14,Q1359="Annually",365,Q1359="Every 3 Months",90,TRUE,"NOT FOUND")</f>
        <v>90</v>
      </c>
    </row>
    <row r="1360" spans="1:19" x14ac:dyDescent="0.35">
      <c r="A1360">
        <v>1359</v>
      </c>
      <c r="B1360">
        <v>19</v>
      </c>
      <c r="C1360" t="s">
        <v>7</v>
      </c>
      <c r="D1360" t="s">
        <v>107</v>
      </c>
      <c r="E1360" t="s">
        <v>55</v>
      </c>
      <c r="F1360">
        <v>22</v>
      </c>
      <c r="G1360" t="s">
        <v>133</v>
      </c>
      <c r="H1360" t="s">
        <v>80</v>
      </c>
      <c r="I1360" t="s">
        <v>57</v>
      </c>
      <c r="J1360" t="s">
        <v>25</v>
      </c>
      <c r="K1360">
        <v>2.5</v>
      </c>
      <c r="L1360" t="s">
        <v>140</v>
      </c>
      <c r="M1360" t="s">
        <v>62</v>
      </c>
      <c r="N1360" t="s">
        <v>14</v>
      </c>
      <c r="O1360">
        <v>25</v>
      </c>
      <c r="P1360" t="s">
        <v>16</v>
      </c>
      <c r="Q1360" t="s">
        <v>85</v>
      </c>
      <c r="R1360" t="str" cm="1">
        <f t="array" ref="R1360">_xlfn.IFS(B1360&lt;31,"Young-Adult",B1360&lt;41,"Adult",B1360&lt;61,"Middle-aged",B1360&gt;=61,"Senior")</f>
        <v>Young-Adult</v>
      </c>
      <c r="S1360" cm="1">
        <f t="array" ref="S1360">_xlfn.IFS(Q1360 ="Fortnightly",14,Q1360="Weekly",7,Q1360="Monthly",30,Q1360="Quarterly",90,Q1360="Bi-Weekly",14,Q1360="Annually",365,Q1360="Every 3 Months",90,TRUE,"NOT FOUND")</f>
        <v>90</v>
      </c>
    </row>
    <row r="1361" spans="1:19" x14ac:dyDescent="0.35">
      <c r="A1361">
        <v>1360</v>
      </c>
      <c r="B1361">
        <v>27</v>
      </c>
      <c r="C1361" t="s">
        <v>7</v>
      </c>
      <c r="D1361" t="s">
        <v>92</v>
      </c>
      <c r="E1361" t="s">
        <v>9</v>
      </c>
      <c r="F1361">
        <v>68</v>
      </c>
      <c r="G1361" t="s">
        <v>86</v>
      </c>
      <c r="H1361" t="s">
        <v>24</v>
      </c>
      <c r="I1361" t="s">
        <v>97</v>
      </c>
      <c r="J1361" t="s">
        <v>13</v>
      </c>
      <c r="K1361">
        <v>4.3</v>
      </c>
      <c r="L1361" t="s">
        <v>140</v>
      </c>
      <c r="M1361" t="s">
        <v>62</v>
      </c>
      <c r="N1361" t="s">
        <v>14</v>
      </c>
      <c r="O1361">
        <v>26</v>
      </c>
      <c r="P1361" t="s">
        <v>63</v>
      </c>
      <c r="Q1361" t="s">
        <v>17</v>
      </c>
      <c r="R1361" t="str" cm="1">
        <f t="array" ref="R1361">_xlfn.IFS(B1361&lt;31,"Young-Adult",B1361&lt;41,"Adult",B1361&lt;61,"Middle-aged",B1361&gt;=61,"Senior")</f>
        <v>Young-Adult</v>
      </c>
      <c r="S1361" cm="1">
        <f t="array" ref="S1361">_xlfn.IFS(Q1361 ="Fortnightly",14,Q1361="Weekly",7,Q1361="Monthly",30,Q1361="Quarterly",90,Q1361="Bi-Weekly",14,Q1361="Annually",365,Q1361="Every 3 Months",90,TRUE,"NOT FOUND")</f>
        <v>14</v>
      </c>
    </row>
    <row r="1362" spans="1:19" x14ac:dyDescent="0.35">
      <c r="A1362">
        <v>1361</v>
      </c>
      <c r="B1362">
        <v>56</v>
      </c>
      <c r="C1362" t="s">
        <v>7</v>
      </c>
      <c r="D1362" t="s">
        <v>75</v>
      </c>
      <c r="E1362" t="s">
        <v>9</v>
      </c>
      <c r="F1362">
        <v>43</v>
      </c>
      <c r="G1362" t="s">
        <v>78</v>
      </c>
      <c r="H1362" t="s">
        <v>11</v>
      </c>
      <c r="I1362" t="s">
        <v>82</v>
      </c>
      <c r="J1362" t="s">
        <v>45</v>
      </c>
      <c r="K1362">
        <v>2.8</v>
      </c>
      <c r="L1362" t="s">
        <v>140</v>
      </c>
      <c r="M1362" t="s">
        <v>15</v>
      </c>
      <c r="N1362" t="s">
        <v>14</v>
      </c>
      <c r="O1362">
        <v>4</v>
      </c>
      <c r="P1362" t="s">
        <v>63</v>
      </c>
      <c r="Q1362" t="s">
        <v>37</v>
      </c>
      <c r="R1362" t="str" cm="1">
        <f t="array" ref="R1362">_xlfn.IFS(B1362&lt;31,"Young-Adult",B1362&lt;41,"Adult",B1362&lt;61,"Middle-aged",B1362&gt;=61,"Senior")</f>
        <v>Middle-aged</v>
      </c>
      <c r="S1362" cm="1">
        <f t="array" ref="S1362">_xlfn.IFS(Q1362 ="Fortnightly",14,Q1362="Weekly",7,Q1362="Monthly",30,Q1362="Quarterly",90,Q1362="Bi-Weekly",14,Q1362="Annually",365,Q1362="Every 3 Months",90,TRUE,"NOT FOUND")</f>
        <v>365</v>
      </c>
    </row>
    <row r="1363" spans="1:19" x14ac:dyDescent="0.35">
      <c r="A1363">
        <v>1362</v>
      </c>
      <c r="B1363">
        <v>49</v>
      </c>
      <c r="C1363" t="s">
        <v>7</v>
      </c>
      <c r="D1363" t="s">
        <v>69</v>
      </c>
      <c r="E1363" t="s">
        <v>9</v>
      </c>
      <c r="F1363">
        <v>32</v>
      </c>
      <c r="G1363" t="s">
        <v>78</v>
      </c>
      <c r="H1363" t="s">
        <v>32</v>
      </c>
      <c r="I1363" t="s">
        <v>106</v>
      </c>
      <c r="J1363" t="s">
        <v>45</v>
      </c>
      <c r="K1363">
        <v>3.7</v>
      </c>
      <c r="L1363" t="s">
        <v>140</v>
      </c>
      <c r="M1363" t="s">
        <v>33</v>
      </c>
      <c r="N1363" t="s">
        <v>14</v>
      </c>
      <c r="O1363">
        <v>39</v>
      </c>
      <c r="P1363" t="s">
        <v>74</v>
      </c>
      <c r="Q1363" t="s">
        <v>76</v>
      </c>
      <c r="R1363" t="str" cm="1">
        <f t="array" ref="R1363">_xlfn.IFS(B1363&lt;31,"Young-Adult",B1363&lt;41,"Adult",B1363&lt;61,"Middle-aged",B1363&gt;=61,"Senior")</f>
        <v>Middle-aged</v>
      </c>
      <c r="S1363" cm="1">
        <f t="array" ref="S1363">_xlfn.IFS(Q1363 ="Fortnightly",14,Q1363="Weekly",7,Q1363="Monthly",30,Q1363="Quarterly",90,Q1363="Bi-Weekly",14,Q1363="Annually",365,Q1363="Every 3 Months",90,TRUE,"NOT FOUND")</f>
        <v>30</v>
      </c>
    </row>
    <row r="1364" spans="1:19" x14ac:dyDescent="0.35">
      <c r="A1364">
        <v>1363</v>
      </c>
      <c r="B1364">
        <v>41</v>
      </c>
      <c r="C1364" t="s">
        <v>7</v>
      </c>
      <c r="D1364" t="s">
        <v>50</v>
      </c>
      <c r="E1364" t="s">
        <v>51</v>
      </c>
      <c r="F1364">
        <v>46</v>
      </c>
      <c r="G1364" t="s">
        <v>100</v>
      </c>
      <c r="H1364" t="s">
        <v>32</v>
      </c>
      <c r="I1364" t="s">
        <v>12</v>
      </c>
      <c r="J1364" t="s">
        <v>45</v>
      </c>
      <c r="K1364">
        <v>4.3</v>
      </c>
      <c r="L1364" t="s">
        <v>140</v>
      </c>
      <c r="M1364" t="s">
        <v>15</v>
      </c>
      <c r="N1364" t="s">
        <v>14</v>
      </c>
      <c r="O1364">
        <v>29</v>
      </c>
      <c r="P1364" t="s">
        <v>21</v>
      </c>
      <c r="Q1364" t="s">
        <v>28</v>
      </c>
      <c r="R1364" t="str" cm="1">
        <f t="array" ref="R1364">_xlfn.IFS(B1364&lt;31,"Young-Adult",B1364&lt;41,"Adult",B1364&lt;61,"Middle-aged",B1364&gt;=61,"Senior")</f>
        <v>Middle-aged</v>
      </c>
      <c r="S1364" cm="1">
        <f t="array" ref="S1364">_xlfn.IFS(Q1364 ="Fortnightly",14,Q1364="Weekly",7,Q1364="Monthly",30,Q1364="Quarterly",90,Q1364="Bi-Weekly",14,Q1364="Annually",365,Q1364="Every 3 Months",90,TRUE,"NOT FOUND")</f>
        <v>7</v>
      </c>
    </row>
    <row r="1365" spans="1:19" x14ac:dyDescent="0.35">
      <c r="A1365">
        <v>1364</v>
      </c>
      <c r="B1365">
        <v>36</v>
      </c>
      <c r="C1365" t="s">
        <v>7</v>
      </c>
      <c r="D1365" t="s">
        <v>8</v>
      </c>
      <c r="E1365" t="s">
        <v>9</v>
      </c>
      <c r="F1365">
        <v>90</v>
      </c>
      <c r="G1365" t="s">
        <v>138</v>
      </c>
      <c r="H1365" t="s">
        <v>11</v>
      </c>
      <c r="I1365" t="s">
        <v>96</v>
      </c>
      <c r="J1365" t="s">
        <v>41</v>
      </c>
      <c r="K1365">
        <v>4</v>
      </c>
      <c r="L1365" t="s">
        <v>140</v>
      </c>
      <c r="M1365" t="s">
        <v>15</v>
      </c>
      <c r="N1365" t="s">
        <v>14</v>
      </c>
      <c r="O1365">
        <v>47</v>
      </c>
      <c r="P1365" t="s">
        <v>34</v>
      </c>
      <c r="Q1365" t="s">
        <v>46</v>
      </c>
      <c r="R1365" t="str" cm="1">
        <f t="array" ref="R1365">_xlfn.IFS(B1365&lt;31,"Young-Adult",B1365&lt;41,"Adult",B1365&lt;61,"Middle-aged",B1365&gt;=61,"Senior")</f>
        <v>Adult</v>
      </c>
      <c r="S1365" cm="1">
        <f t="array" ref="S1365">_xlfn.IFS(Q1365 ="Fortnightly",14,Q1365="Weekly",7,Q1365="Monthly",30,Q1365="Quarterly",90,Q1365="Bi-Weekly",14,Q1365="Annually",365,Q1365="Every 3 Months",90,TRUE,"NOT FOUND")</f>
        <v>90</v>
      </c>
    </row>
    <row r="1366" spans="1:19" x14ac:dyDescent="0.35">
      <c r="A1366">
        <v>1365</v>
      </c>
      <c r="B1366">
        <v>68</v>
      </c>
      <c r="C1366" t="s">
        <v>7</v>
      </c>
      <c r="D1366" t="s">
        <v>112</v>
      </c>
      <c r="E1366" t="s">
        <v>55</v>
      </c>
      <c r="F1366">
        <v>75</v>
      </c>
      <c r="G1366" t="s">
        <v>67</v>
      </c>
      <c r="H1366" t="s">
        <v>11</v>
      </c>
      <c r="I1366" t="s">
        <v>122</v>
      </c>
      <c r="J1366" t="s">
        <v>45</v>
      </c>
      <c r="K1366">
        <v>4.7</v>
      </c>
      <c r="L1366" t="s">
        <v>140</v>
      </c>
      <c r="M1366" t="s">
        <v>15</v>
      </c>
      <c r="N1366" t="s">
        <v>14</v>
      </c>
      <c r="O1366">
        <v>5</v>
      </c>
      <c r="P1366" t="s">
        <v>21</v>
      </c>
      <c r="Q1366" t="s">
        <v>85</v>
      </c>
      <c r="R1366" t="str" cm="1">
        <f t="array" ref="R1366">_xlfn.IFS(B1366&lt;31,"Young-Adult",B1366&lt;41,"Adult",B1366&lt;61,"Middle-aged",B1366&gt;=61,"Senior")</f>
        <v>Senior</v>
      </c>
      <c r="S1366" cm="1">
        <f t="array" ref="S1366">_xlfn.IFS(Q1366 ="Fortnightly",14,Q1366="Weekly",7,Q1366="Monthly",30,Q1366="Quarterly",90,Q1366="Bi-Weekly",14,Q1366="Annually",365,Q1366="Every 3 Months",90,TRUE,"NOT FOUND")</f>
        <v>90</v>
      </c>
    </row>
    <row r="1367" spans="1:19" x14ac:dyDescent="0.35">
      <c r="A1367">
        <v>1366</v>
      </c>
      <c r="B1367">
        <v>28</v>
      </c>
      <c r="C1367" t="s">
        <v>7</v>
      </c>
      <c r="D1367" t="s">
        <v>54</v>
      </c>
      <c r="E1367" t="s">
        <v>55</v>
      </c>
      <c r="F1367">
        <v>69</v>
      </c>
      <c r="G1367" t="s">
        <v>104</v>
      </c>
      <c r="H1367" t="s">
        <v>32</v>
      </c>
      <c r="I1367" t="s">
        <v>124</v>
      </c>
      <c r="J1367" t="s">
        <v>13</v>
      </c>
      <c r="K1367">
        <v>4.5</v>
      </c>
      <c r="L1367" t="s">
        <v>140</v>
      </c>
      <c r="M1367" t="s">
        <v>62</v>
      </c>
      <c r="N1367" t="s">
        <v>14</v>
      </c>
      <c r="O1367">
        <v>18</v>
      </c>
      <c r="P1367" t="s">
        <v>63</v>
      </c>
      <c r="Q1367" t="s">
        <v>17</v>
      </c>
      <c r="R1367" t="str" cm="1">
        <f t="array" ref="R1367">_xlfn.IFS(B1367&lt;31,"Young-Adult",B1367&lt;41,"Adult",B1367&lt;61,"Middle-aged",B1367&gt;=61,"Senior")</f>
        <v>Young-Adult</v>
      </c>
      <c r="S1367" cm="1">
        <f t="array" ref="S1367">_xlfn.IFS(Q1367 ="Fortnightly",14,Q1367="Weekly",7,Q1367="Monthly",30,Q1367="Quarterly",90,Q1367="Bi-Weekly",14,Q1367="Annually",365,Q1367="Every 3 Months",90,TRUE,"NOT FOUND")</f>
        <v>14</v>
      </c>
    </row>
    <row r="1368" spans="1:19" x14ac:dyDescent="0.35">
      <c r="A1368">
        <v>1367</v>
      </c>
      <c r="B1368">
        <v>45</v>
      </c>
      <c r="C1368" t="s">
        <v>7</v>
      </c>
      <c r="D1368" t="s">
        <v>121</v>
      </c>
      <c r="E1368" t="s">
        <v>55</v>
      </c>
      <c r="F1368">
        <v>40</v>
      </c>
      <c r="G1368" t="s">
        <v>134</v>
      </c>
      <c r="H1368" t="s">
        <v>32</v>
      </c>
      <c r="I1368" t="s">
        <v>124</v>
      </c>
      <c r="J1368" t="s">
        <v>45</v>
      </c>
      <c r="K1368">
        <v>3.1</v>
      </c>
      <c r="L1368" t="s">
        <v>140</v>
      </c>
      <c r="M1368" t="s">
        <v>26</v>
      </c>
      <c r="N1368" t="s">
        <v>14</v>
      </c>
      <c r="O1368">
        <v>10</v>
      </c>
      <c r="P1368" t="s">
        <v>27</v>
      </c>
      <c r="Q1368" t="s">
        <v>17</v>
      </c>
      <c r="R1368" t="str" cm="1">
        <f t="array" ref="R1368">_xlfn.IFS(B1368&lt;31,"Young-Adult",B1368&lt;41,"Adult",B1368&lt;61,"Middle-aged",B1368&gt;=61,"Senior")</f>
        <v>Middle-aged</v>
      </c>
      <c r="S1368" cm="1">
        <f t="array" ref="S1368">_xlfn.IFS(Q1368 ="Fortnightly",14,Q1368="Weekly",7,Q1368="Monthly",30,Q1368="Quarterly",90,Q1368="Bi-Weekly",14,Q1368="Annually",365,Q1368="Every 3 Months",90,TRUE,"NOT FOUND")</f>
        <v>14</v>
      </c>
    </row>
    <row r="1369" spans="1:19" x14ac:dyDescent="0.35">
      <c r="A1369">
        <v>1368</v>
      </c>
      <c r="B1369">
        <v>60</v>
      </c>
      <c r="C1369" t="s">
        <v>7</v>
      </c>
      <c r="D1369" t="s">
        <v>121</v>
      </c>
      <c r="E1369" t="s">
        <v>55</v>
      </c>
      <c r="F1369">
        <v>63</v>
      </c>
      <c r="G1369" t="s">
        <v>134</v>
      </c>
      <c r="H1369" t="s">
        <v>24</v>
      </c>
      <c r="I1369" t="s">
        <v>82</v>
      </c>
      <c r="J1369" t="s">
        <v>45</v>
      </c>
      <c r="K1369">
        <v>3.8</v>
      </c>
      <c r="L1369" t="s">
        <v>140</v>
      </c>
      <c r="M1369" t="s">
        <v>15</v>
      </c>
      <c r="N1369" t="s">
        <v>14</v>
      </c>
      <c r="O1369">
        <v>25</v>
      </c>
      <c r="P1369" t="s">
        <v>21</v>
      </c>
      <c r="Q1369" t="s">
        <v>46</v>
      </c>
      <c r="R1369" t="str" cm="1">
        <f t="array" ref="R1369">_xlfn.IFS(B1369&lt;31,"Young-Adult",B1369&lt;41,"Adult",B1369&lt;61,"Middle-aged",B1369&gt;=61,"Senior")</f>
        <v>Middle-aged</v>
      </c>
      <c r="S1369" cm="1">
        <f t="array" ref="S1369">_xlfn.IFS(Q1369 ="Fortnightly",14,Q1369="Weekly",7,Q1369="Monthly",30,Q1369="Quarterly",90,Q1369="Bi-Weekly",14,Q1369="Annually",365,Q1369="Every 3 Months",90,TRUE,"NOT FOUND")</f>
        <v>90</v>
      </c>
    </row>
    <row r="1370" spans="1:19" x14ac:dyDescent="0.35">
      <c r="A1370">
        <v>1369</v>
      </c>
      <c r="B1370">
        <v>21</v>
      </c>
      <c r="C1370" t="s">
        <v>7</v>
      </c>
      <c r="D1370" t="s">
        <v>43</v>
      </c>
      <c r="E1370" t="s">
        <v>9</v>
      </c>
      <c r="F1370">
        <v>36</v>
      </c>
      <c r="G1370" t="s">
        <v>138</v>
      </c>
      <c r="H1370" t="s">
        <v>11</v>
      </c>
      <c r="I1370" t="s">
        <v>109</v>
      </c>
      <c r="J1370" t="s">
        <v>41</v>
      </c>
      <c r="K1370">
        <v>4.9000000000000004</v>
      </c>
      <c r="L1370" t="s">
        <v>140</v>
      </c>
      <c r="M1370" t="s">
        <v>15</v>
      </c>
      <c r="N1370" t="s">
        <v>14</v>
      </c>
      <c r="O1370">
        <v>2</v>
      </c>
      <c r="P1370" t="s">
        <v>21</v>
      </c>
      <c r="Q1370" t="s">
        <v>28</v>
      </c>
      <c r="R1370" t="str" cm="1">
        <f t="array" ref="R1370">_xlfn.IFS(B1370&lt;31,"Young-Adult",B1370&lt;41,"Adult",B1370&lt;61,"Middle-aged",B1370&gt;=61,"Senior")</f>
        <v>Young-Adult</v>
      </c>
      <c r="S1370" cm="1">
        <f t="array" ref="S1370">_xlfn.IFS(Q1370 ="Fortnightly",14,Q1370="Weekly",7,Q1370="Monthly",30,Q1370="Quarterly",90,Q1370="Bi-Weekly",14,Q1370="Annually",365,Q1370="Every 3 Months",90,TRUE,"NOT FOUND")</f>
        <v>7</v>
      </c>
    </row>
    <row r="1371" spans="1:19" x14ac:dyDescent="0.35">
      <c r="A1371">
        <v>1370</v>
      </c>
      <c r="B1371">
        <v>32</v>
      </c>
      <c r="C1371" t="s">
        <v>7</v>
      </c>
      <c r="D1371" t="s">
        <v>59</v>
      </c>
      <c r="E1371" t="s">
        <v>30</v>
      </c>
      <c r="F1371">
        <v>75</v>
      </c>
      <c r="G1371" t="s">
        <v>134</v>
      </c>
      <c r="H1371" t="s">
        <v>32</v>
      </c>
      <c r="I1371" t="s">
        <v>84</v>
      </c>
      <c r="J1371" t="s">
        <v>13</v>
      </c>
      <c r="K1371">
        <v>3.2</v>
      </c>
      <c r="L1371" t="s">
        <v>140</v>
      </c>
      <c r="M1371" t="s">
        <v>42</v>
      </c>
      <c r="N1371" t="s">
        <v>14</v>
      </c>
      <c r="O1371">
        <v>48</v>
      </c>
      <c r="P1371" t="s">
        <v>16</v>
      </c>
      <c r="Q1371" t="s">
        <v>17</v>
      </c>
      <c r="R1371" t="str" cm="1">
        <f t="array" ref="R1371">_xlfn.IFS(B1371&lt;31,"Young-Adult",B1371&lt;41,"Adult",B1371&lt;61,"Middle-aged",B1371&gt;=61,"Senior")</f>
        <v>Adult</v>
      </c>
      <c r="S1371" cm="1">
        <f t="array" ref="S1371">_xlfn.IFS(Q1371 ="Fortnightly",14,Q1371="Weekly",7,Q1371="Monthly",30,Q1371="Quarterly",90,Q1371="Bi-Weekly",14,Q1371="Annually",365,Q1371="Every 3 Months",90,TRUE,"NOT FOUND")</f>
        <v>14</v>
      </c>
    </row>
    <row r="1372" spans="1:19" x14ac:dyDescent="0.35">
      <c r="A1372">
        <v>1371</v>
      </c>
      <c r="B1372">
        <v>27</v>
      </c>
      <c r="C1372" t="s">
        <v>7</v>
      </c>
      <c r="D1372" t="s">
        <v>107</v>
      </c>
      <c r="E1372" t="s">
        <v>55</v>
      </c>
      <c r="F1372">
        <v>67</v>
      </c>
      <c r="G1372" t="s">
        <v>44</v>
      </c>
      <c r="H1372" t="s">
        <v>11</v>
      </c>
      <c r="I1372" t="s">
        <v>88</v>
      </c>
      <c r="J1372" t="s">
        <v>41</v>
      </c>
      <c r="K1372">
        <v>3.8</v>
      </c>
      <c r="L1372" t="s">
        <v>140</v>
      </c>
      <c r="M1372" t="s">
        <v>58</v>
      </c>
      <c r="N1372" t="s">
        <v>14</v>
      </c>
      <c r="O1372">
        <v>41</v>
      </c>
      <c r="P1372" t="s">
        <v>63</v>
      </c>
      <c r="Q1372" t="s">
        <v>85</v>
      </c>
      <c r="R1372" t="str" cm="1">
        <f t="array" ref="R1372">_xlfn.IFS(B1372&lt;31,"Young-Adult",B1372&lt;41,"Adult",B1372&lt;61,"Middle-aged",B1372&gt;=61,"Senior")</f>
        <v>Young-Adult</v>
      </c>
      <c r="S1372" cm="1">
        <f t="array" ref="S1372">_xlfn.IFS(Q1372 ="Fortnightly",14,Q1372="Weekly",7,Q1372="Monthly",30,Q1372="Quarterly",90,Q1372="Bi-Weekly",14,Q1372="Annually",365,Q1372="Every 3 Months",90,TRUE,"NOT FOUND")</f>
        <v>90</v>
      </c>
    </row>
    <row r="1373" spans="1:19" x14ac:dyDescent="0.35">
      <c r="A1373">
        <v>1372</v>
      </c>
      <c r="B1373">
        <v>40</v>
      </c>
      <c r="C1373" t="s">
        <v>7</v>
      </c>
      <c r="D1373" t="s">
        <v>83</v>
      </c>
      <c r="E1373" t="s">
        <v>9</v>
      </c>
      <c r="F1373">
        <v>64</v>
      </c>
      <c r="G1373" t="s">
        <v>79</v>
      </c>
      <c r="H1373" t="s">
        <v>32</v>
      </c>
      <c r="I1373" t="s">
        <v>49</v>
      </c>
      <c r="J1373" t="s">
        <v>25</v>
      </c>
      <c r="K1373">
        <v>2.8</v>
      </c>
      <c r="L1373" t="s">
        <v>140</v>
      </c>
      <c r="M1373" t="s">
        <v>62</v>
      </c>
      <c r="N1373" t="s">
        <v>14</v>
      </c>
      <c r="O1373">
        <v>42</v>
      </c>
      <c r="P1373" t="s">
        <v>27</v>
      </c>
      <c r="Q1373" t="s">
        <v>76</v>
      </c>
      <c r="R1373" t="str" cm="1">
        <f t="array" ref="R1373">_xlfn.IFS(B1373&lt;31,"Young-Adult",B1373&lt;41,"Adult",B1373&lt;61,"Middle-aged",B1373&gt;=61,"Senior")</f>
        <v>Adult</v>
      </c>
      <c r="S1373" cm="1">
        <f t="array" ref="S1373">_xlfn.IFS(Q1373 ="Fortnightly",14,Q1373="Weekly",7,Q1373="Monthly",30,Q1373="Quarterly",90,Q1373="Bi-Weekly",14,Q1373="Annually",365,Q1373="Every 3 Months",90,TRUE,"NOT FOUND")</f>
        <v>30</v>
      </c>
    </row>
    <row r="1374" spans="1:19" x14ac:dyDescent="0.35">
      <c r="A1374">
        <v>1373</v>
      </c>
      <c r="B1374">
        <v>64</v>
      </c>
      <c r="C1374" t="s">
        <v>7</v>
      </c>
      <c r="D1374" t="s">
        <v>8</v>
      </c>
      <c r="E1374" t="s">
        <v>9</v>
      </c>
      <c r="F1374">
        <v>61</v>
      </c>
      <c r="G1374" t="s">
        <v>139</v>
      </c>
      <c r="H1374" t="s">
        <v>32</v>
      </c>
      <c r="I1374" t="s">
        <v>12</v>
      </c>
      <c r="J1374" t="s">
        <v>45</v>
      </c>
      <c r="K1374">
        <v>4</v>
      </c>
      <c r="L1374" t="s">
        <v>140</v>
      </c>
      <c r="M1374" t="s">
        <v>58</v>
      </c>
      <c r="N1374" t="s">
        <v>14</v>
      </c>
      <c r="O1374">
        <v>44</v>
      </c>
      <c r="P1374" t="s">
        <v>34</v>
      </c>
      <c r="Q1374" t="s">
        <v>64</v>
      </c>
      <c r="R1374" t="str" cm="1">
        <f t="array" ref="R1374">_xlfn.IFS(B1374&lt;31,"Young-Adult",B1374&lt;41,"Adult",B1374&lt;61,"Middle-aged",B1374&gt;=61,"Senior")</f>
        <v>Senior</v>
      </c>
      <c r="S1374" cm="1">
        <f t="array" ref="S1374">_xlfn.IFS(Q1374 ="Fortnightly",14,Q1374="Weekly",7,Q1374="Monthly",30,Q1374="Quarterly",90,Q1374="Bi-Weekly",14,Q1374="Annually",365,Q1374="Every 3 Months",90,TRUE,"NOT FOUND")</f>
        <v>14</v>
      </c>
    </row>
    <row r="1375" spans="1:19" x14ac:dyDescent="0.35">
      <c r="A1375">
        <v>1374</v>
      </c>
      <c r="B1375">
        <v>18</v>
      </c>
      <c r="C1375" t="s">
        <v>7</v>
      </c>
      <c r="D1375" t="s">
        <v>131</v>
      </c>
      <c r="E1375" t="s">
        <v>55</v>
      </c>
      <c r="F1375">
        <v>40</v>
      </c>
      <c r="G1375" t="s">
        <v>129</v>
      </c>
      <c r="H1375" t="s">
        <v>11</v>
      </c>
      <c r="I1375" t="s">
        <v>36</v>
      </c>
      <c r="J1375" t="s">
        <v>13</v>
      </c>
      <c r="K1375">
        <v>2.6</v>
      </c>
      <c r="L1375" t="s">
        <v>140</v>
      </c>
      <c r="M1375" t="s">
        <v>62</v>
      </c>
      <c r="N1375" t="s">
        <v>14</v>
      </c>
      <c r="O1375">
        <v>6</v>
      </c>
      <c r="P1375" t="s">
        <v>21</v>
      </c>
      <c r="Q1375" t="s">
        <v>46</v>
      </c>
      <c r="R1375" t="str" cm="1">
        <f t="array" ref="R1375">_xlfn.IFS(B1375&lt;31,"Young-Adult",B1375&lt;41,"Adult",B1375&lt;61,"Middle-aged",B1375&gt;=61,"Senior")</f>
        <v>Young-Adult</v>
      </c>
      <c r="S1375" cm="1">
        <f t="array" ref="S1375">_xlfn.IFS(Q1375 ="Fortnightly",14,Q1375="Weekly",7,Q1375="Monthly",30,Q1375="Quarterly",90,Q1375="Bi-Weekly",14,Q1375="Annually",365,Q1375="Every 3 Months",90,TRUE,"NOT FOUND")</f>
        <v>90</v>
      </c>
    </row>
    <row r="1376" spans="1:19" x14ac:dyDescent="0.35">
      <c r="A1376">
        <v>1375</v>
      </c>
      <c r="B1376">
        <v>22</v>
      </c>
      <c r="C1376" t="s">
        <v>7</v>
      </c>
      <c r="D1376" t="s">
        <v>54</v>
      </c>
      <c r="E1376" t="s">
        <v>55</v>
      </c>
      <c r="F1376">
        <v>97</v>
      </c>
      <c r="G1376" t="s">
        <v>72</v>
      </c>
      <c r="H1376" t="s">
        <v>32</v>
      </c>
      <c r="I1376" t="s">
        <v>96</v>
      </c>
      <c r="J1376" t="s">
        <v>45</v>
      </c>
      <c r="K1376">
        <v>2.7</v>
      </c>
      <c r="L1376" t="s">
        <v>140</v>
      </c>
      <c r="M1376" t="s">
        <v>26</v>
      </c>
      <c r="N1376" t="s">
        <v>14</v>
      </c>
      <c r="O1376">
        <v>5</v>
      </c>
      <c r="P1376" t="s">
        <v>63</v>
      </c>
      <c r="Q1376" t="s">
        <v>46</v>
      </c>
      <c r="R1376" t="str" cm="1">
        <f t="array" ref="R1376">_xlfn.IFS(B1376&lt;31,"Young-Adult",B1376&lt;41,"Adult",B1376&lt;61,"Middle-aged",B1376&gt;=61,"Senior")</f>
        <v>Young-Adult</v>
      </c>
      <c r="S1376" cm="1">
        <f t="array" ref="S1376">_xlfn.IFS(Q1376 ="Fortnightly",14,Q1376="Weekly",7,Q1376="Monthly",30,Q1376="Quarterly",90,Q1376="Bi-Weekly",14,Q1376="Annually",365,Q1376="Every 3 Months",90,TRUE,"NOT FOUND")</f>
        <v>90</v>
      </c>
    </row>
    <row r="1377" spans="1:19" x14ac:dyDescent="0.35">
      <c r="A1377">
        <v>1376</v>
      </c>
      <c r="B1377">
        <v>42</v>
      </c>
      <c r="C1377" t="s">
        <v>7</v>
      </c>
      <c r="D1377" t="s">
        <v>38</v>
      </c>
      <c r="E1377" t="s">
        <v>30</v>
      </c>
      <c r="F1377">
        <v>31</v>
      </c>
      <c r="G1377" t="s">
        <v>19</v>
      </c>
      <c r="H1377" t="s">
        <v>11</v>
      </c>
      <c r="I1377" t="s">
        <v>98</v>
      </c>
      <c r="J1377" t="s">
        <v>25</v>
      </c>
      <c r="K1377">
        <v>4.0999999999999996</v>
      </c>
      <c r="L1377" t="s">
        <v>140</v>
      </c>
      <c r="M1377" t="s">
        <v>58</v>
      </c>
      <c r="N1377" t="s">
        <v>14</v>
      </c>
      <c r="O1377">
        <v>8</v>
      </c>
      <c r="P1377" t="s">
        <v>27</v>
      </c>
      <c r="Q1377" t="s">
        <v>37</v>
      </c>
      <c r="R1377" t="str" cm="1">
        <f t="array" ref="R1377">_xlfn.IFS(B1377&lt;31,"Young-Adult",B1377&lt;41,"Adult",B1377&lt;61,"Middle-aged",B1377&gt;=61,"Senior")</f>
        <v>Middle-aged</v>
      </c>
      <c r="S1377" cm="1">
        <f t="array" ref="S1377">_xlfn.IFS(Q1377 ="Fortnightly",14,Q1377="Weekly",7,Q1377="Monthly",30,Q1377="Quarterly",90,Q1377="Bi-Weekly",14,Q1377="Annually",365,Q1377="Every 3 Months",90,TRUE,"NOT FOUND")</f>
        <v>365</v>
      </c>
    </row>
    <row r="1378" spans="1:19" x14ac:dyDescent="0.35">
      <c r="A1378">
        <v>1377</v>
      </c>
      <c r="B1378">
        <v>57</v>
      </c>
      <c r="C1378" t="s">
        <v>7</v>
      </c>
      <c r="D1378" t="s">
        <v>29</v>
      </c>
      <c r="E1378" t="s">
        <v>30</v>
      </c>
      <c r="F1378">
        <v>65</v>
      </c>
      <c r="G1378" t="s">
        <v>115</v>
      </c>
      <c r="H1378" t="s">
        <v>11</v>
      </c>
      <c r="I1378" t="s">
        <v>57</v>
      </c>
      <c r="J1378" t="s">
        <v>25</v>
      </c>
      <c r="K1378">
        <v>5</v>
      </c>
      <c r="L1378" t="s">
        <v>140</v>
      </c>
      <c r="M1378" t="s">
        <v>26</v>
      </c>
      <c r="N1378" t="s">
        <v>14</v>
      </c>
      <c r="O1378">
        <v>24</v>
      </c>
      <c r="P1378" t="s">
        <v>34</v>
      </c>
      <c r="Q1378" t="s">
        <v>37</v>
      </c>
      <c r="R1378" t="str" cm="1">
        <f t="array" ref="R1378">_xlfn.IFS(B1378&lt;31,"Young-Adult",B1378&lt;41,"Adult",B1378&lt;61,"Middle-aged",B1378&gt;=61,"Senior")</f>
        <v>Middle-aged</v>
      </c>
      <c r="S1378" cm="1">
        <f t="array" ref="S1378">_xlfn.IFS(Q1378 ="Fortnightly",14,Q1378="Weekly",7,Q1378="Monthly",30,Q1378="Quarterly",90,Q1378="Bi-Weekly",14,Q1378="Annually",365,Q1378="Every 3 Months",90,TRUE,"NOT FOUND")</f>
        <v>365</v>
      </c>
    </row>
    <row r="1379" spans="1:19" x14ac:dyDescent="0.35">
      <c r="A1379">
        <v>1378</v>
      </c>
      <c r="B1379">
        <v>33</v>
      </c>
      <c r="C1379" t="s">
        <v>7</v>
      </c>
      <c r="D1379" t="s">
        <v>77</v>
      </c>
      <c r="E1379" t="s">
        <v>55</v>
      </c>
      <c r="F1379">
        <v>54</v>
      </c>
      <c r="G1379" t="s">
        <v>116</v>
      </c>
      <c r="H1379" t="s">
        <v>11</v>
      </c>
      <c r="I1379" t="s">
        <v>66</v>
      </c>
      <c r="J1379" t="s">
        <v>25</v>
      </c>
      <c r="K1379">
        <v>3</v>
      </c>
      <c r="L1379" t="s">
        <v>140</v>
      </c>
      <c r="M1379" t="s">
        <v>33</v>
      </c>
      <c r="N1379" t="s">
        <v>14</v>
      </c>
      <c r="O1379">
        <v>42</v>
      </c>
      <c r="P1379" t="s">
        <v>16</v>
      </c>
      <c r="Q1379" t="s">
        <v>76</v>
      </c>
      <c r="R1379" t="str" cm="1">
        <f t="array" ref="R1379">_xlfn.IFS(B1379&lt;31,"Young-Adult",B1379&lt;41,"Adult",B1379&lt;61,"Middle-aged",B1379&gt;=61,"Senior")</f>
        <v>Adult</v>
      </c>
      <c r="S1379" cm="1">
        <f t="array" ref="S1379">_xlfn.IFS(Q1379 ="Fortnightly",14,Q1379="Weekly",7,Q1379="Monthly",30,Q1379="Quarterly",90,Q1379="Bi-Weekly",14,Q1379="Annually",365,Q1379="Every 3 Months",90,TRUE,"NOT FOUND")</f>
        <v>30</v>
      </c>
    </row>
    <row r="1380" spans="1:19" x14ac:dyDescent="0.35">
      <c r="A1380">
        <v>1379</v>
      </c>
      <c r="B1380">
        <v>37</v>
      </c>
      <c r="C1380" t="s">
        <v>7</v>
      </c>
      <c r="D1380" t="s">
        <v>90</v>
      </c>
      <c r="E1380" t="s">
        <v>51</v>
      </c>
      <c r="F1380">
        <v>49</v>
      </c>
      <c r="G1380" t="s">
        <v>10</v>
      </c>
      <c r="H1380" t="s">
        <v>80</v>
      </c>
      <c r="I1380" t="s">
        <v>81</v>
      </c>
      <c r="J1380" t="s">
        <v>45</v>
      </c>
      <c r="K1380">
        <v>3.6</v>
      </c>
      <c r="L1380" t="s">
        <v>140</v>
      </c>
      <c r="M1380" t="s">
        <v>26</v>
      </c>
      <c r="N1380" t="s">
        <v>14</v>
      </c>
      <c r="O1380">
        <v>24</v>
      </c>
      <c r="P1380" t="s">
        <v>16</v>
      </c>
      <c r="Q1380" t="s">
        <v>28</v>
      </c>
      <c r="R1380" t="str" cm="1">
        <f t="array" ref="R1380">_xlfn.IFS(B1380&lt;31,"Young-Adult",B1380&lt;41,"Adult",B1380&lt;61,"Middle-aged",B1380&gt;=61,"Senior")</f>
        <v>Adult</v>
      </c>
      <c r="S1380" cm="1">
        <f t="array" ref="S1380">_xlfn.IFS(Q1380 ="Fortnightly",14,Q1380="Weekly",7,Q1380="Monthly",30,Q1380="Quarterly",90,Q1380="Bi-Weekly",14,Q1380="Annually",365,Q1380="Every 3 Months",90,TRUE,"NOT FOUND")</f>
        <v>7</v>
      </c>
    </row>
    <row r="1381" spans="1:19" x14ac:dyDescent="0.35">
      <c r="A1381">
        <v>1380</v>
      </c>
      <c r="B1381">
        <v>21</v>
      </c>
      <c r="C1381" t="s">
        <v>7</v>
      </c>
      <c r="D1381" t="s">
        <v>101</v>
      </c>
      <c r="E1381" t="s">
        <v>9</v>
      </c>
      <c r="F1381">
        <v>64</v>
      </c>
      <c r="G1381" t="s">
        <v>136</v>
      </c>
      <c r="H1381" t="s">
        <v>11</v>
      </c>
      <c r="I1381" t="s">
        <v>61</v>
      </c>
      <c r="J1381" t="s">
        <v>45</v>
      </c>
      <c r="K1381">
        <v>2.8</v>
      </c>
      <c r="L1381" t="s">
        <v>140</v>
      </c>
      <c r="M1381" t="s">
        <v>58</v>
      </c>
      <c r="N1381" t="s">
        <v>14</v>
      </c>
      <c r="O1381">
        <v>38</v>
      </c>
      <c r="P1381" t="s">
        <v>16</v>
      </c>
      <c r="Q1381" t="s">
        <v>64</v>
      </c>
      <c r="R1381" t="str" cm="1">
        <f t="array" ref="R1381">_xlfn.IFS(B1381&lt;31,"Young-Adult",B1381&lt;41,"Adult",B1381&lt;61,"Middle-aged",B1381&gt;=61,"Senior")</f>
        <v>Young-Adult</v>
      </c>
      <c r="S1381" cm="1">
        <f t="array" ref="S1381">_xlfn.IFS(Q1381 ="Fortnightly",14,Q1381="Weekly",7,Q1381="Monthly",30,Q1381="Quarterly",90,Q1381="Bi-Weekly",14,Q1381="Annually",365,Q1381="Every 3 Months",90,TRUE,"NOT FOUND")</f>
        <v>14</v>
      </c>
    </row>
    <row r="1382" spans="1:19" x14ac:dyDescent="0.35">
      <c r="A1382">
        <v>1381</v>
      </c>
      <c r="B1382">
        <v>51</v>
      </c>
      <c r="C1382" t="s">
        <v>7</v>
      </c>
      <c r="D1382" t="s">
        <v>38</v>
      </c>
      <c r="E1382" t="s">
        <v>30</v>
      </c>
      <c r="F1382">
        <v>35</v>
      </c>
      <c r="G1382" t="s">
        <v>23</v>
      </c>
      <c r="H1382" t="s">
        <v>24</v>
      </c>
      <c r="I1382" t="s">
        <v>106</v>
      </c>
      <c r="J1382" t="s">
        <v>13</v>
      </c>
      <c r="K1382">
        <v>4.5999999999999996</v>
      </c>
      <c r="L1382" t="s">
        <v>140</v>
      </c>
      <c r="M1382" t="s">
        <v>42</v>
      </c>
      <c r="N1382" t="s">
        <v>14</v>
      </c>
      <c r="O1382">
        <v>41</v>
      </c>
      <c r="P1382" t="s">
        <v>21</v>
      </c>
      <c r="Q1382" t="s">
        <v>17</v>
      </c>
      <c r="R1382" t="str" cm="1">
        <f t="array" ref="R1382">_xlfn.IFS(B1382&lt;31,"Young-Adult",B1382&lt;41,"Adult",B1382&lt;61,"Middle-aged",B1382&gt;=61,"Senior")</f>
        <v>Middle-aged</v>
      </c>
      <c r="S1382" cm="1">
        <f t="array" ref="S1382">_xlfn.IFS(Q1382 ="Fortnightly",14,Q1382="Weekly",7,Q1382="Monthly",30,Q1382="Quarterly",90,Q1382="Bi-Weekly",14,Q1382="Annually",365,Q1382="Every 3 Months",90,TRUE,"NOT FOUND")</f>
        <v>14</v>
      </c>
    </row>
    <row r="1383" spans="1:19" x14ac:dyDescent="0.35">
      <c r="A1383">
        <v>1382</v>
      </c>
      <c r="B1383">
        <v>30</v>
      </c>
      <c r="C1383" t="s">
        <v>7</v>
      </c>
      <c r="D1383" t="s">
        <v>59</v>
      </c>
      <c r="E1383" t="s">
        <v>30</v>
      </c>
      <c r="F1383">
        <v>86</v>
      </c>
      <c r="G1383" t="s">
        <v>103</v>
      </c>
      <c r="H1383" t="s">
        <v>11</v>
      </c>
      <c r="I1383" t="s">
        <v>84</v>
      </c>
      <c r="J1383" t="s">
        <v>13</v>
      </c>
      <c r="K1383">
        <v>2.9</v>
      </c>
      <c r="L1383" t="s">
        <v>140</v>
      </c>
      <c r="M1383" t="s">
        <v>42</v>
      </c>
      <c r="N1383" t="s">
        <v>14</v>
      </c>
      <c r="O1383">
        <v>48</v>
      </c>
      <c r="P1383" t="s">
        <v>16</v>
      </c>
      <c r="Q1383" t="s">
        <v>46</v>
      </c>
      <c r="R1383" t="str" cm="1">
        <f t="array" ref="R1383">_xlfn.IFS(B1383&lt;31,"Young-Adult",B1383&lt;41,"Adult",B1383&lt;61,"Middle-aged",B1383&gt;=61,"Senior")</f>
        <v>Young-Adult</v>
      </c>
      <c r="S1383" cm="1">
        <f t="array" ref="S1383">_xlfn.IFS(Q1383 ="Fortnightly",14,Q1383="Weekly",7,Q1383="Monthly",30,Q1383="Quarterly",90,Q1383="Bi-Weekly",14,Q1383="Annually",365,Q1383="Every 3 Months",90,TRUE,"NOT FOUND")</f>
        <v>90</v>
      </c>
    </row>
    <row r="1384" spans="1:19" x14ac:dyDescent="0.35">
      <c r="A1384">
        <v>1383</v>
      </c>
      <c r="B1384">
        <v>68</v>
      </c>
      <c r="C1384" t="s">
        <v>7</v>
      </c>
      <c r="D1384" t="s">
        <v>90</v>
      </c>
      <c r="E1384" t="s">
        <v>51</v>
      </c>
      <c r="F1384">
        <v>55</v>
      </c>
      <c r="G1384" t="s">
        <v>139</v>
      </c>
      <c r="H1384" t="s">
        <v>11</v>
      </c>
      <c r="I1384" t="s">
        <v>98</v>
      </c>
      <c r="J1384" t="s">
        <v>13</v>
      </c>
      <c r="K1384">
        <v>4.8</v>
      </c>
      <c r="L1384" t="s">
        <v>140</v>
      </c>
      <c r="M1384" t="s">
        <v>15</v>
      </c>
      <c r="N1384" t="s">
        <v>14</v>
      </c>
      <c r="O1384">
        <v>16</v>
      </c>
      <c r="P1384" t="s">
        <v>63</v>
      </c>
      <c r="Q1384" t="s">
        <v>46</v>
      </c>
      <c r="R1384" t="str" cm="1">
        <f t="array" ref="R1384">_xlfn.IFS(B1384&lt;31,"Young-Adult",B1384&lt;41,"Adult",B1384&lt;61,"Middle-aged",B1384&gt;=61,"Senior")</f>
        <v>Senior</v>
      </c>
      <c r="S1384" cm="1">
        <f t="array" ref="S1384">_xlfn.IFS(Q1384 ="Fortnightly",14,Q1384="Weekly",7,Q1384="Monthly",30,Q1384="Quarterly",90,Q1384="Bi-Weekly",14,Q1384="Annually",365,Q1384="Every 3 Months",90,TRUE,"NOT FOUND")</f>
        <v>90</v>
      </c>
    </row>
    <row r="1385" spans="1:19" x14ac:dyDescent="0.35">
      <c r="A1385">
        <v>1384</v>
      </c>
      <c r="B1385">
        <v>36</v>
      </c>
      <c r="C1385" t="s">
        <v>7</v>
      </c>
      <c r="D1385" t="s">
        <v>107</v>
      </c>
      <c r="E1385" t="s">
        <v>55</v>
      </c>
      <c r="F1385">
        <v>58</v>
      </c>
      <c r="G1385" t="s">
        <v>138</v>
      </c>
      <c r="H1385" t="s">
        <v>32</v>
      </c>
      <c r="I1385" t="s">
        <v>106</v>
      </c>
      <c r="J1385" t="s">
        <v>25</v>
      </c>
      <c r="K1385">
        <v>3.3</v>
      </c>
      <c r="L1385" t="s">
        <v>140</v>
      </c>
      <c r="M1385" t="s">
        <v>15</v>
      </c>
      <c r="N1385" t="s">
        <v>14</v>
      </c>
      <c r="O1385">
        <v>4</v>
      </c>
      <c r="P1385" t="s">
        <v>16</v>
      </c>
      <c r="Q1385" t="s">
        <v>76</v>
      </c>
      <c r="R1385" t="str" cm="1">
        <f t="array" ref="R1385">_xlfn.IFS(B1385&lt;31,"Young-Adult",B1385&lt;41,"Adult",B1385&lt;61,"Middle-aged",B1385&gt;=61,"Senior")</f>
        <v>Adult</v>
      </c>
      <c r="S1385" cm="1">
        <f t="array" ref="S1385">_xlfn.IFS(Q1385 ="Fortnightly",14,Q1385="Weekly",7,Q1385="Monthly",30,Q1385="Quarterly",90,Q1385="Bi-Weekly",14,Q1385="Annually",365,Q1385="Every 3 Months",90,TRUE,"NOT FOUND")</f>
        <v>30</v>
      </c>
    </row>
    <row r="1386" spans="1:19" x14ac:dyDescent="0.35">
      <c r="A1386">
        <v>1385</v>
      </c>
      <c r="B1386">
        <v>46</v>
      </c>
      <c r="C1386" t="s">
        <v>7</v>
      </c>
      <c r="D1386" t="s">
        <v>38</v>
      </c>
      <c r="E1386" t="s">
        <v>30</v>
      </c>
      <c r="F1386">
        <v>96</v>
      </c>
      <c r="G1386" t="s">
        <v>108</v>
      </c>
      <c r="H1386" t="s">
        <v>32</v>
      </c>
      <c r="I1386" t="s">
        <v>106</v>
      </c>
      <c r="J1386" t="s">
        <v>45</v>
      </c>
      <c r="K1386">
        <v>4.5999999999999996</v>
      </c>
      <c r="L1386" t="s">
        <v>140</v>
      </c>
      <c r="M1386" t="s">
        <v>42</v>
      </c>
      <c r="N1386" t="s">
        <v>14</v>
      </c>
      <c r="O1386">
        <v>8</v>
      </c>
      <c r="P1386" t="s">
        <v>63</v>
      </c>
      <c r="Q1386" t="s">
        <v>28</v>
      </c>
      <c r="R1386" t="str" cm="1">
        <f t="array" ref="R1386">_xlfn.IFS(B1386&lt;31,"Young-Adult",B1386&lt;41,"Adult",B1386&lt;61,"Middle-aged",B1386&gt;=61,"Senior")</f>
        <v>Middle-aged</v>
      </c>
      <c r="S1386" cm="1">
        <f t="array" ref="S1386">_xlfn.IFS(Q1386 ="Fortnightly",14,Q1386="Weekly",7,Q1386="Monthly",30,Q1386="Quarterly",90,Q1386="Bi-Weekly",14,Q1386="Annually",365,Q1386="Every 3 Months",90,TRUE,"NOT FOUND")</f>
        <v>7</v>
      </c>
    </row>
    <row r="1387" spans="1:19" x14ac:dyDescent="0.35">
      <c r="A1387">
        <v>1386</v>
      </c>
      <c r="B1387">
        <v>41</v>
      </c>
      <c r="C1387" t="s">
        <v>7</v>
      </c>
      <c r="D1387" t="s">
        <v>94</v>
      </c>
      <c r="E1387" t="s">
        <v>55</v>
      </c>
      <c r="F1387">
        <v>64</v>
      </c>
      <c r="G1387" t="s">
        <v>79</v>
      </c>
      <c r="H1387" t="s">
        <v>32</v>
      </c>
      <c r="I1387" t="s">
        <v>114</v>
      </c>
      <c r="J1387" t="s">
        <v>45</v>
      </c>
      <c r="K1387">
        <v>2.6</v>
      </c>
      <c r="L1387" t="s">
        <v>140</v>
      </c>
      <c r="M1387" t="s">
        <v>62</v>
      </c>
      <c r="N1387" t="s">
        <v>14</v>
      </c>
      <c r="O1387">
        <v>1</v>
      </c>
      <c r="P1387" t="s">
        <v>63</v>
      </c>
      <c r="Q1387" t="s">
        <v>64</v>
      </c>
      <c r="R1387" t="str" cm="1">
        <f t="array" ref="R1387">_xlfn.IFS(B1387&lt;31,"Young-Adult",B1387&lt;41,"Adult",B1387&lt;61,"Middle-aged",B1387&gt;=61,"Senior")</f>
        <v>Middle-aged</v>
      </c>
      <c r="S1387" cm="1">
        <f t="array" ref="S1387">_xlfn.IFS(Q1387 ="Fortnightly",14,Q1387="Weekly",7,Q1387="Monthly",30,Q1387="Quarterly",90,Q1387="Bi-Weekly",14,Q1387="Annually",365,Q1387="Every 3 Months",90,TRUE,"NOT FOUND")</f>
        <v>14</v>
      </c>
    </row>
    <row r="1388" spans="1:19" x14ac:dyDescent="0.35">
      <c r="A1388">
        <v>1387</v>
      </c>
      <c r="B1388">
        <v>68</v>
      </c>
      <c r="C1388" t="s">
        <v>7</v>
      </c>
      <c r="D1388" t="s">
        <v>90</v>
      </c>
      <c r="E1388" t="s">
        <v>51</v>
      </c>
      <c r="F1388">
        <v>56</v>
      </c>
      <c r="G1388" t="s">
        <v>35</v>
      </c>
      <c r="H1388" t="s">
        <v>32</v>
      </c>
      <c r="I1388" t="s">
        <v>53</v>
      </c>
      <c r="J1388" t="s">
        <v>45</v>
      </c>
      <c r="K1388">
        <v>4</v>
      </c>
      <c r="L1388" t="s">
        <v>140</v>
      </c>
      <c r="M1388" t="s">
        <v>33</v>
      </c>
      <c r="N1388" t="s">
        <v>14</v>
      </c>
      <c r="O1388">
        <v>4</v>
      </c>
      <c r="P1388" t="s">
        <v>74</v>
      </c>
      <c r="Q1388" t="s">
        <v>46</v>
      </c>
      <c r="R1388" t="str" cm="1">
        <f t="array" ref="R1388">_xlfn.IFS(B1388&lt;31,"Young-Adult",B1388&lt;41,"Adult",B1388&lt;61,"Middle-aged",B1388&gt;=61,"Senior")</f>
        <v>Senior</v>
      </c>
      <c r="S1388" cm="1">
        <f t="array" ref="S1388">_xlfn.IFS(Q1388 ="Fortnightly",14,Q1388="Weekly",7,Q1388="Monthly",30,Q1388="Quarterly",90,Q1388="Bi-Weekly",14,Q1388="Annually",365,Q1388="Every 3 Months",90,TRUE,"NOT FOUND")</f>
        <v>90</v>
      </c>
    </row>
    <row r="1389" spans="1:19" x14ac:dyDescent="0.35">
      <c r="A1389">
        <v>1388</v>
      </c>
      <c r="B1389">
        <v>21</v>
      </c>
      <c r="C1389" t="s">
        <v>7</v>
      </c>
      <c r="D1389" t="s">
        <v>8</v>
      </c>
      <c r="E1389" t="s">
        <v>9</v>
      </c>
      <c r="F1389">
        <v>85</v>
      </c>
      <c r="G1389" t="s">
        <v>116</v>
      </c>
      <c r="H1389" t="s">
        <v>32</v>
      </c>
      <c r="I1389" t="s">
        <v>68</v>
      </c>
      <c r="J1389" t="s">
        <v>13</v>
      </c>
      <c r="K1389">
        <v>3.8</v>
      </c>
      <c r="L1389" t="s">
        <v>140</v>
      </c>
      <c r="M1389" t="s">
        <v>42</v>
      </c>
      <c r="N1389" t="s">
        <v>14</v>
      </c>
      <c r="O1389">
        <v>20</v>
      </c>
      <c r="P1389" t="s">
        <v>27</v>
      </c>
      <c r="Q1389" t="s">
        <v>76</v>
      </c>
      <c r="R1389" t="str" cm="1">
        <f t="array" ref="R1389">_xlfn.IFS(B1389&lt;31,"Young-Adult",B1389&lt;41,"Adult",B1389&lt;61,"Middle-aged",B1389&gt;=61,"Senior")</f>
        <v>Young-Adult</v>
      </c>
      <c r="S1389" cm="1">
        <f t="array" ref="S1389">_xlfn.IFS(Q1389 ="Fortnightly",14,Q1389="Weekly",7,Q1389="Monthly",30,Q1389="Quarterly",90,Q1389="Bi-Weekly",14,Q1389="Annually",365,Q1389="Every 3 Months",90,TRUE,"NOT FOUND")</f>
        <v>30</v>
      </c>
    </row>
    <row r="1390" spans="1:19" x14ac:dyDescent="0.35">
      <c r="A1390">
        <v>1389</v>
      </c>
      <c r="B1390">
        <v>62</v>
      </c>
      <c r="C1390" t="s">
        <v>7</v>
      </c>
      <c r="D1390" t="s">
        <v>69</v>
      </c>
      <c r="E1390" t="s">
        <v>9</v>
      </c>
      <c r="F1390">
        <v>23</v>
      </c>
      <c r="G1390" t="s">
        <v>60</v>
      </c>
      <c r="H1390" t="s">
        <v>32</v>
      </c>
      <c r="I1390" t="s">
        <v>81</v>
      </c>
      <c r="J1390" t="s">
        <v>25</v>
      </c>
      <c r="K1390">
        <v>3.9</v>
      </c>
      <c r="L1390" t="s">
        <v>140</v>
      </c>
      <c r="M1390" t="s">
        <v>15</v>
      </c>
      <c r="N1390" t="s">
        <v>14</v>
      </c>
      <c r="O1390">
        <v>40</v>
      </c>
      <c r="P1390" t="s">
        <v>21</v>
      </c>
      <c r="Q1390" t="s">
        <v>46</v>
      </c>
      <c r="R1390" t="str" cm="1">
        <f t="array" ref="R1390">_xlfn.IFS(B1390&lt;31,"Young-Adult",B1390&lt;41,"Adult",B1390&lt;61,"Middle-aged",B1390&gt;=61,"Senior")</f>
        <v>Senior</v>
      </c>
      <c r="S1390" cm="1">
        <f t="array" ref="S1390">_xlfn.IFS(Q1390 ="Fortnightly",14,Q1390="Weekly",7,Q1390="Monthly",30,Q1390="Quarterly",90,Q1390="Bi-Weekly",14,Q1390="Annually",365,Q1390="Every 3 Months",90,TRUE,"NOT FOUND")</f>
        <v>90</v>
      </c>
    </row>
    <row r="1391" spans="1:19" x14ac:dyDescent="0.35">
      <c r="A1391">
        <v>1390</v>
      </c>
      <c r="B1391">
        <v>59</v>
      </c>
      <c r="C1391" t="s">
        <v>7</v>
      </c>
      <c r="D1391" t="s">
        <v>107</v>
      </c>
      <c r="E1391" t="s">
        <v>55</v>
      </c>
      <c r="F1391">
        <v>72</v>
      </c>
      <c r="G1391" t="s">
        <v>103</v>
      </c>
      <c r="H1391" t="s">
        <v>11</v>
      </c>
      <c r="I1391" t="s">
        <v>109</v>
      </c>
      <c r="J1391" t="s">
        <v>45</v>
      </c>
      <c r="K1391">
        <v>2.6</v>
      </c>
      <c r="L1391" t="s">
        <v>140</v>
      </c>
      <c r="M1391" t="s">
        <v>62</v>
      </c>
      <c r="N1391" t="s">
        <v>14</v>
      </c>
      <c r="O1391">
        <v>8</v>
      </c>
      <c r="P1391" t="s">
        <v>74</v>
      </c>
      <c r="Q1391" t="s">
        <v>17</v>
      </c>
      <c r="R1391" t="str" cm="1">
        <f t="array" ref="R1391">_xlfn.IFS(B1391&lt;31,"Young-Adult",B1391&lt;41,"Adult",B1391&lt;61,"Middle-aged",B1391&gt;=61,"Senior")</f>
        <v>Middle-aged</v>
      </c>
      <c r="S1391" cm="1">
        <f t="array" ref="S1391">_xlfn.IFS(Q1391 ="Fortnightly",14,Q1391="Weekly",7,Q1391="Monthly",30,Q1391="Quarterly",90,Q1391="Bi-Weekly",14,Q1391="Annually",365,Q1391="Every 3 Months",90,TRUE,"NOT FOUND")</f>
        <v>14</v>
      </c>
    </row>
    <row r="1392" spans="1:19" x14ac:dyDescent="0.35">
      <c r="A1392">
        <v>1391</v>
      </c>
      <c r="B1392">
        <v>25</v>
      </c>
      <c r="C1392" t="s">
        <v>7</v>
      </c>
      <c r="D1392" t="s">
        <v>112</v>
      </c>
      <c r="E1392" t="s">
        <v>55</v>
      </c>
      <c r="F1392">
        <v>38</v>
      </c>
      <c r="G1392" t="s">
        <v>60</v>
      </c>
      <c r="H1392" t="s">
        <v>32</v>
      </c>
      <c r="I1392" t="s">
        <v>20</v>
      </c>
      <c r="J1392" t="s">
        <v>41</v>
      </c>
      <c r="K1392">
        <v>4.3</v>
      </c>
      <c r="L1392" t="s">
        <v>140</v>
      </c>
      <c r="M1392" t="s">
        <v>42</v>
      </c>
      <c r="N1392" t="s">
        <v>14</v>
      </c>
      <c r="O1392">
        <v>42</v>
      </c>
      <c r="P1392" t="s">
        <v>74</v>
      </c>
      <c r="Q1392" t="s">
        <v>28</v>
      </c>
      <c r="R1392" t="str" cm="1">
        <f t="array" ref="R1392">_xlfn.IFS(B1392&lt;31,"Young-Adult",B1392&lt;41,"Adult",B1392&lt;61,"Middle-aged",B1392&gt;=61,"Senior")</f>
        <v>Young-Adult</v>
      </c>
      <c r="S1392" cm="1">
        <f t="array" ref="S1392">_xlfn.IFS(Q1392 ="Fortnightly",14,Q1392="Weekly",7,Q1392="Monthly",30,Q1392="Quarterly",90,Q1392="Bi-Weekly",14,Q1392="Annually",365,Q1392="Every 3 Months",90,TRUE,"NOT FOUND")</f>
        <v>7</v>
      </c>
    </row>
    <row r="1393" spans="1:19" x14ac:dyDescent="0.35">
      <c r="A1393">
        <v>1392</v>
      </c>
      <c r="B1393">
        <v>53</v>
      </c>
      <c r="C1393" t="s">
        <v>7</v>
      </c>
      <c r="D1393" t="s">
        <v>8</v>
      </c>
      <c r="E1393" t="s">
        <v>9</v>
      </c>
      <c r="F1393">
        <v>29</v>
      </c>
      <c r="G1393" t="s">
        <v>79</v>
      </c>
      <c r="H1393" t="s">
        <v>24</v>
      </c>
      <c r="I1393" t="s">
        <v>40</v>
      </c>
      <c r="J1393" t="s">
        <v>13</v>
      </c>
      <c r="K1393">
        <v>3.6</v>
      </c>
      <c r="L1393" t="s">
        <v>140</v>
      </c>
      <c r="M1393" t="s">
        <v>15</v>
      </c>
      <c r="N1393" t="s">
        <v>14</v>
      </c>
      <c r="O1393">
        <v>38</v>
      </c>
      <c r="P1393" t="s">
        <v>27</v>
      </c>
      <c r="Q1393" t="s">
        <v>37</v>
      </c>
      <c r="R1393" t="str" cm="1">
        <f t="array" ref="R1393">_xlfn.IFS(B1393&lt;31,"Young-Adult",B1393&lt;41,"Adult",B1393&lt;61,"Middle-aged",B1393&gt;=61,"Senior")</f>
        <v>Middle-aged</v>
      </c>
      <c r="S1393" cm="1">
        <f t="array" ref="S1393">_xlfn.IFS(Q1393 ="Fortnightly",14,Q1393="Weekly",7,Q1393="Monthly",30,Q1393="Quarterly",90,Q1393="Bi-Weekly",14,Q1393="Annually",365,Q1393="Every 3 Months",90,TRUE,"NOT FOUND")</f>
        <v>365</v>
      </c>
    </row>
    <row r="1394" spans="1:19" x14ac:dyDescent="0.35">
      <c r="A1394">
        <v>1393</v>
      </c>
      <c r="B1394">
        <v>31</v>
      </c>
      <c r="C1394" t="s">
        <v>7</v>
      </c>
      <c r="D1394" t="s">
        <v>131</v>
      </c>
      <c r="E1394" t="s">
        <v>55</v>
      </c>
      <c r="F1394">
        <v>46</v>
      </c>
      <c r="G1394" t="s">
        <v>60</v>
      </c>
      <c r="H1394" t="s">
        <v>32</v>
      </c>
      <c r="I1394" t="s">
        <v>122</v>
      </c>
      <c r="J1394" t="s">
        <v>25</v>
      </c>
      <c r="K1394">
        <v>4.2</v>
      </c>
      <c r="L1394" t="s">
        <v>140</v>
      </c>
      <c r="M1394" t="s">
        <v>15</v>
      </c>
      <c r="N1394" t="s">
        <v>14</v>
      </c>
      <c r="O1394">
        <v>34</v>
      </c>
      <c r="P1394" t="s">
        <v>16</v>
      </c>
      <c r="Q1394" t="s">
        <v>85</v>
      </c>
      <c r="R1394" t="str" cm="1">
        <f t="array" ref="R1394">_xlfn.IFS(B1394&lt;31,"Young-Adult",B1394&lt;41,"Adult",B1394&lt;61,"Middle-aged",B1394&gt;=61,"Senior")</f>
        <v>Adult</v>
      </c>
      <c r="S1394" cm="1">
        <f t="array" ref="S1394">_xlfn.IFS(Q1394 ="Fortnightly",14,Q1394="Weekly",7,Q1394="Monthly",30,Q1394="Quarterly",90,Q1394="Bi-Weekly",14,Q1394="Annually",365,Q1394="Every 3 Months",90,TRUE,"NOT FOUND")</f>
        <v>90</v>
      </c>
    </row>
    <row r="1395" spans="1:19" x14ac:dyDescent="0.35">
      <c r="A1395">
        <v>1394</v>
      </c>
      <c r="B1395">
        <v>46</v>
      </c>
      <c r="C1395" t="s">
        <v>7</v>
      </c>
      <c r="D1395" t="s">
        <v>131</v>
      </c>
      <c r="E1395" t="s">
        <v>55</v>
      </c>
      <c r="F1395">
        <v>58</v>
      </c>
      <c r="G1395" t="s">
        <v>123</v>
      </c>
      <c r="H1395" t="s">
        <v>11</v>
      </c>
      <c r="I1395" t="s">
        <v>122</v>
      </c>
      <c r="J1395" t="s">
        <v>25</v>
      </c>
      <c r="K1395">
        <v>3.9</v>
      </c>
      <c r="L1395" t="s">
        <v>140</v>
      </c>
      <c r="M1395" t="s">
        <v>15</v>
      </c>
      <c r="N1395" t="s">
        <v>14</v>
      </c>
      <c r="O1395">
        <v>14</v>
      </c>
      <c r="P1395" t="s">
        <v>34</v>
      </c>
      <c r="Q1395" t="s">
        <v>17</v>
      </c>
      <c r="R1395" t="str" cm="1">
        <f t="array" ref="R1395">_xlfn.IFS(B1395&lt;31,"Young-Adult",B1395&lt;41,"Adult",B1395&lt;61,"Middle-aged",B1395&gt;=61,"Senior")</f>
        <v>Middle-aged</v>
      </c>
      <c r="S1395" cm="1">
        <f t="array" ref="S1395">_xlfn.IFS(Q1395 ="Fortnightly",14,Q1395="Weekly",7,Q1395="Monthly",30,Q1395="Quarterly",90,Q1395="Bi-Weekly",14,Q1395="Annually",365,Q1395="Every 3 Months",90,TRUE,"NOT FOUND")</f>
        <v>14</v>
      </c>
    </row>
    <row r="1396" spans="1:19" x14ac:dyDescent="0.35">
      <c r="A1396">
        <v>1395</v>
      </c>
      <c r="B1396">
        <v>26</v>
      </c>
      <c r="C1396" t="s">
        <v>7</v>
      </c>
      <c r="D1396" t="s">
        <v>50</v>
      </c>
      <c r="E1396" t="s">
        <v>51</v>
      </c>
      <c r="F1396">
        <v>43</v>
      </c>
      <c r="G1396" t="s">
        <v>134</v>
      </c>
      <c r="H1396" t="s">
        <v>11</v>
      </c>
      <c r="I1396" t="s">
        <v>124</v>
      </c>
      <c r="J1396" t="s">
        <v>45</v>
      </c>
      <c r="K1396">
        <v>4.7</v>
      </c>
      <c r="L1396" t="s">
        <v>140</v>
      </c>
      <c r="M1396" t="s">
        <v>33</v>
      </c>
      <c r="N1396" t="s">
        <v>14</v>
      </c>
      <c r="O1396">
        <v>39</v>
      </c>
      <c r="P1396" t="s">
        <v>21</v>
      </c>
      <c r="Q1396" t="s">
        <v>28</v>
      </c>
      <c r="R1396" t="str" cm="1">
        <f t="array" ref="R1396">_xlfn.IFS(B1396&lt;31,"Young-Adult",B1396&lt;41,"Adult",B1396&lt;61,"Middle-aged",B1396&gt;=61,"Senior")</f>
        <v>Young-Adult</v>
      </c>
      <c r="S1396" cm="1">
        <f t="array" ref="S1396">_xlfn.IFS(Q1396 ="Fortnightly",14,Q1396="Weekly",7,Q1396="Monthly",30,Q1396="Quarterly",90,Q1396="Bi-Weekly",14,Q1396="Annually",365,Q1396="Every 3 Months",90,TRUE,"NOT FOUND")</f>
        <v>7</v>
      </c>
    </row>
    <row r="1397" spans="1:19" x14ac:dyDescent="0.35">
      <c r="A1397">
        <v>1396</v>
      </c>
      <c r="B1397">
        <v>47</v>
      </c>
      <c r="C1397" t="s">
        <v>7</v>
      </c>
      <c r="D1397" t="s">
        <v>107</v>
      </c>
      <c r="E1397" t="s">
        <v>55</v>
      </c>
      <c r="F1397">
        <v>32</v>
      </c>
      <c r="G1397" t="s">
        <v>52</v>
      </c>
      <c r="H1397" t="s">
        <v>11</v>
      </c>
      <c r="I1397" t="s">
        <v>36</v>
      </c>
      <c r="J1397" t="s">
        <v>25</v>
      </c>
      <c r="K1397">
        <v>2.8</v>
      </c>
      <c r="L1397" t="s">
        <v>140</v>
      </c>
      <c r="M1397" t="s">
        <v>33</v>
      </c>
      <c r="N1397" t="s">
        <v>14</v>
      </c>
      <c r="O1397">
        <v>40</v>
      </c>
      <c r="P1397" t="s">
        <v>34</v>
      </c>
      <c r="Q1397" t="s">
        <v>64</v>
      </c>
      <c r="R1397" t="str" cm="1">
        <f t="array" ref="R1397">_xlfn.IFS(B1397&lt;31,"Young-Adult",B1397&lt;41,"Adult",B1397&lt;61,"Middle-aged",B1397&gt;=61,"Senior")</f>
        <v>Middle-aged</v>
      </c>
      <c r="S1397" cm="1">
        <f t="array" ref="S1397">_xlfn.IFS(Q1397 ="Fortnightly",14,Q1397="Weekly",7,Q1397="Monthly",30,Q1397="Quarterly",90,Q1397="Bi-Weekly",14,Q1397="Annually",365,Q1397="Every 3 Months",90,TRUE,"NOT FOUND")</f>
        <v>14</v>
      </c>
    </row>
    <row r="1398" spans="1:19" x14ac:dyDescent="0.35">
      <c r="A1398">
        <v>1397</v>
      </c>
      <c r="B1398">
        <v>37</v>
      </c>
      <c r="C1398" t="s">
        <v>7</v>
      </c>
      <c r="D1398" t="s">
        <v>83</v>
      </c>
      <c r="E1398" t="s">
        <v>9</v>
      </c>
      <c r="F1398">
        <v>30</v>
      </c>
      <c r="G1398" t="s">
        <v>138</v>
      </c>
      <c r="H1398" t="s">
        <v>80</v>
      </c>
      <c r="I1398" t="s">
        <v>81</v>
      </c>
      <c r="J1398" t="s">
        <v>13</v>
      </c>
      <c r="K1398">
        <v>3</v>
      </c>
      <c r="L1398" t="s">
        <v>140</v>
      </c>
      <c r="M1398" t="s">
        <v>33</v>
      </c>
      <c r="N1398" t="s">
        <v>14</v>
      </c>
      <c r="O1398">
        <v>49</v>
      </c>
      <c r="P1398" t="s">
        <v>74</v>
      </c>
      <c r="Q1398" t="s">
        <v>76</v>
      </c>
      <c r="R1398" t="str" cm="1">
        <f t="array" ref="R1398">_xlfn.IFS(B1398&lt;31,"Young-Adult",B1398&lt;41,"Adult",B1398&lt;61,"Middle-aged",B1398&gt;=61,"Senior")</f>
        <v>Adult</v>
      </c>
      <c r="S1398" cm="1">
        <f t="array" ref="S1398">_xlfn.IFS(Q1398 ="Fortnightly",14,Q1398="Weekly",7,Q1398="Monthly",30,Q1398="Quarterly",90,Q1398="Bi-Weekly",14,Q1398="Annually",365,Q1398="Every 3 Months",90,TRUE,"NOT FOUND")</f>
        <v>30</v>
      </c>
    </row>
    <row r="1399" spans="1:19" x14ac:dyDescent="0.35">
      <c r="A1399">
        <v>1398</v>
      </c>
      <c r="B1399">
        <v>55</v>
      </c>
      <c r="C1399" t="s">
        <v>7</v>
      </c>
      <c r="D1399" t="s">
        <v>77</v>
      </c>
      <c r="E1399" t="s">
        <v>55</v>
      </c>
      <c r="F1399">
        <v>67</v>
      </c>
      <c r="G1399" t="s">
        <v>23</v>
      </c>
      <c r="H1399" t="s">
        <v>24</v>
      </c>
      <c r="I1399" t="s">
        <v>124</v>
      </c>
      <c r="J1399" t="s">
        <v>41</v>
      </c>
      <c r="K1399">
        <v>4.7</v>
      </c>
      <c r="L1399" t="s">
        <v>140</v>
      </c>
      <c r="M1399" t="s">
        <v>62</v>
      </c>
      <c r="N1399" t="s">
        <v>14</v>
      </c>
      <c r="O1399">
        <v>33</v>
      </c>
      <c r="P1399" t="s">
        <v>34</v>
      </c>
      <c r="Q1399" t="s">
        <v>37</v>
      </c>
      <c r="R1399" t="str" cm="1">
        <f t="array" ref="R1399">_xlfn.IFS(B1399&lt;31,"Young-Adult",B1399&lt;41,"Adult",B1399&lt;61,"Middle-aged",B1399&gt;=61,"Senior")</f>
        <v>Middle-aged</v>
      </c>
      <c r="S1399" cm="1">
        <f t="array" ref="S1399">_xlfn.IFS(Q1399 ="Fortnightly",14,Q1399="Weekly",7,Q1399="Monthly",30,Q1399="Quarterly",90,Q1399="Bi-Weekly",14,Q1399="Annually",365,Q1399="Every 3 Months",90,TRUE,"NOT FOUND")</f>
        <v>365</v>
      </c>
    </row>
    <row r="1400" spans="1:19" x14ac:dyDescent="0.35">
      <c r="A1400">
        <v>1399</v>
      </c>
      <c r="B1400">
        <v>30</v>
      </c>
      <c r="C1400" t="s">
        <v>7</v>
      </c>
      <c r="D1400" t="s">
        <v>69</v>
      </c>
      <c r="E1400" t="s">
        <v>9</v>
      </c>
      <c r="F1400">
        <v>45</v>
      </c>
      <c r="G1400" t="s">
        <v>93</v>
      </c>
      <c r="H1400" t="s">
        <v>32</v>
      </c>
      <c r="I1400" t="s">
        <v>97</v>
      </c>
      <c r="J1400" t="s">
        <v>41</v>
      </c>
      <c r="K1400">
        <v>2.5</v>
      </c>
      <c r="L1400" t="s">
        <v>140</v>
      </c>
      <c r="M1400" t="s">
        <v>26</v>
      </c>
      <c r="N1400" t="s">
        <v>14</v>
      </c>
      <c r="O1400">
        <v>25</v>
      </c>
      <c r="P1400" t="s">
        <v>27</v>
      </c>
      <c r="Q1400" t="s">
        <v>28</v>
      </c>
      <c r="R1400" t="str" cm="1">
        <f t="array" ref="R1400">_xlfn.IFS(B1400&lt;31,"Young-Adult",B1400&lt;41,"Adult",B1400&lt;61,"Middle-aged",B1400&gt;=61,"Senior")</f>
        <v>Young-Adult</v>
      </c>
      <c r="S1400" cm="1">
        <f t="array" ref="S1400">_xlfn.IFS(Q1400 ="Fortnightly",14,Q1400="Weekly",7,Q1400="Monthly",30,Q1400="Quarterly",90,Q1400="Bi-Weekly",14,Q1400="Annually",365,Q1400="Every 3 Months",90,TRUE,"NOT FOUND")</f>
        <v>7</v>
      </c>
    </row>
    <row r="1401" spans="1:19" x14ac:dyDescent="0.35">
      <c r="A1401">
        <v>1400</v>
      </c>
      <c r="B1401">
        <v>19</v>
      </c>
      <c r="C1401" t="s">
        <v>7</v>
      </c>
      <c r="D1401" t="s">
        <v>112</v>
      </c>
      <c r="E1401" t="s">
        <v>55</v>
      </c>
      <c r="F1401">
        <v>81</v>
      </c>
      <c r="G1401" t="s">
        <v>133</v>
      </c>
      <c r="H1401" t="s">
        <v>32</v>
      </c>
      <c r="I1401" t="s">
        <v>66</v>
      </c>
      <c r="J1401" t="s">
        <v>13</v>
      </c>
      <c r="K1401">
        <v>3.1</v>
      </c>
      <c r="L1401" t="s">
        <v>140</v>
      </c>
      <c r="M1401" t="s">
        <v>62</v>
      </c>
      <c r="N1401" t="s">
        <v>14</v>
      </c>
      <c r="O1401">
        <v>48</v>
      </c>
      <c r="P1401" t="s">
        <v>16</v>
      </c>
      <c r="Q1401" t="s">
        <v>37</v>
      </c>
      <c r="R1401" t="str" cm="1">
        <f t="array" ref="R1401">_xlfn.IFS(B1401&lt;31,"Young-Adult",B1401&lt;41,"Adult",B1401&lt;61,"Middle-aged",B1401&gt;=61,"Senior")</f>
        <v>Young-Adult</v>
      </c>
      <c r="S1401" cm="1">
        <f t="array" ref="S1401">_xlfn.IFS(Q1401 ="Fortnightly",14,Q1401="Weekly",7,Q1401="Monthly",30,Q1401="Quarterly",90,Q1401="Bi-Weekly",14,Q1401="Annually",365,Q1401="Every 3 Months",90,TRUE,"NOT FOUND")</f>
        <v>365</v>
      </c>
    </row>
    <row r="1402" spans="1:19" x14ac:dyDescent="0.35">
      <c r="A1402">
        <v>1401</v>
      </c>
      <c r="B1402">
        <v>36</v>
      </c>
      <c r="C1402" t="s">
        <v>7</v>
      </c>
      <c r="D1402" t="s">
        <v>120</v>
      </c>
      <c r="E1402" t="s">
        <v>55</v>
      </c>
      <c r="F1402">
        <v>23</v>
      </c>
      <c r="G1402" t="s">
        <v>95</v>
      </c>
      <c r="H1402" t="s">
        <v>32</v>
      </c>
      <c r="I1402" t="s">
        <v>96</v>
      </c>
      <c r="J1402" t="s">
        <v>45</v>
      </c>
      <c r="K1402">
        <v>3.6</v>
      </c>
      <c r="L1402" t="s">
        <v>140</v>
      </c>
      <c r="M1402" t="s">
        <v>33</v>
      </c>
      <c r="N1402" t="s">
        <v>14</v>
      </c>
      <c r="O1402">
        <v>22</v>
      </c>
      <c r="P1402" t="s">
        <v>27</v>
      </c>
      <c r="Q1402" t="s">
        <v>85</v>
      </c>
      <c r="R1402" t="str" cm="1">
        <f t="array" ref="R1402">_xlfn.IFS(B1402&lt;31,"Young-Adult",B1402&lt;41,"Adult",B1402&lt;61,"Middle-aged",B1402&gt;=61,"Senior")</f>
        <v>Adult</v>
      </c>
      <c r="S1402" cm="1">
        <f t="array" ref="S1402">_xlfn.IFS(Q1402 ="Fortnightly",14,Q1402="Weekly",7,Q1402="Monthly",30,Q1402="Quarterly",90,Q1402="Bi-Weekly",14,Q1402="Annually",365,Q1402="Every 3 Months",90,TRUE,"NOT FOUND")</f>
        <v>90</v>
      </c>
    </row>
    <row r="1403" spans="1:19" x14ac:dyDescent="0.35">
      <c r="A1403">
        <v>1402</v>
      </c>
      <c r="B1403">
        <v>23</v>
      </c>
      <c r="C1403" t="s">
        <v>7</v>
      </c>
      <c r="D1403" t="s">
        <v>29</v>
      </c>
      <c r="E1403" t="s">
        <v>30</v>
      </c>
      <c r="F1403">
        <v>59</v>
      </c>
      <c r="G1403" t="s">
        <v>104</v>
      </c>
      <c r="H1403" t="s">
        <v>32</v>
      </c>
      <c r="I1403" t="s">
        <v>132</v>
      </c>
      <c r="J1403" t="s">
        <v>45</v>
      </c>
      <c r="K1403">
        <v>3.5</v>
      </c>
      <c r="L1403" t="s">
        <v>140</v>
      </c>
      <c r="M1403" t="s">
        <v>58</v>
      </c>
      <c r="N1403" t="s">
        <v>14</v>
      </c>
      <c r="O1403">
        <v>1</v>
      </c>
      <c r="P1403" t="s">
        <v>34</v>
      </c>
      <c r="Q1403" t="s">
        <v>28</v>
      </c>
      <c r="R1403" t="str" cm="1">
        <f t="array" ref="R1403">_xlfn.IFS(B1403&lt;31,"Young-Adult",B1403&lt;41,"Adult",B1403&lt;61,"Middle-aged",B1403&gt;=61,"Senior")</f>
        <v>Young-Adult</v>
      </c>
      <c r="S1403" cm="1">
        <f t="array" ref="S1403">_xlfn.IFS(Q1403 ="Fortnightly",14,Q1403="Weekly",7,Q1403="Monthly",30,Q1403="Quarterly",90,Q1403="Bi-Weekly",14,Q1403="Annually",365,Q1403="Every 3 Months",90,TRUE,"NOT FOUND")</f>
        <v>7</v>
      </c>
    </row>
    <row r="1404" spans="1:19" x14ac:dyDescent="0.35">
      <c r="A1404">
        <v>1403</v>
      </c>
      <c r="B1404">
        <v>62</v>
      </c>
      <c r="C1404" t="s">
        <v>7</v>
      </c>
      <c r="D1404" t="s">
        <v>77</v>
      </c>
      <c r="E1404" t="s">
        <v>55</v>
      </c>
      <c r="F1404">
        <v>21</v>
      </c>
      <c r="G1404" t="s">
        <v>102</v>
      </c>
      <c r="H1404" t="s">
        <v>11</v>
      </c>
      <c r="I1404" t="s">
        <v>40</v>
      </c>
      <c r="J1404" t="s">
        <v>41</v>
      </c>
      <c r="K1404">
        <v>3.1</v>
      </c>
      <c r="L1404" t="s">
        <v>140</v>
      </c>
      <c r="M1404" t="s">
        <v>15</v>
      </c>
      <c r="N1404" t="s">
        <v>14</v>
      </c>
      <c r="O1404">
        <v>47</v>
      </c>
      <c r="P1404" t="s">
        <v>34</v>
      </c>
      <c r="Q1404" t="s">
        <v>76</v>
      </c>
      <c r="R1404" t="str" cm="1">
        <f t="array" ref="R1404">_xlfn.IFS(B1404&lt;31,"Young-Adult",B1404&lt;41,"Adult",B1404&lt;61,"Middle-aged",B1404&gt;=61,"Senior")</f>
        <v>Senior</v>
      </c>
      <c r="S1404" cm="1">
        <f t="array" ref="S1404">_xlfn.IFS(Q1404 ="Fortnightly",14,Q1404="Weekly",7,Q1404="Monthly",30,Q1404="Quarterly",90,Q1404="Bi-Weekly",14,Q1404="Annually",365,Q1404="Every 3 Months",90,TRUE,"NOT FOUND")</f>
        <v>30</v>
      </c>
    </row>
    <row r="1405" spans="1:19" x14ac:dyDescent="0.35">
      <c r="A1405">
        <v>1404</v>
      </c>
      <c r="B1405">
        <v>26</v>
      </c>
      <c r="C1405" t="s">
        <v>7</v>
      </c>
      <c r="D1405" t="s">
        <v>120</v>
      </c>
      <c r="E1405" t="s">
        <v>55</v>
      </c>
      <c r="F1405">
        <v>20</v>
      </c>
      <c r="G1405" t="s">
        <v>130</v>
      </c>
      <c r="H1405" t="s">
        <v>32</v>
      </c>
      <c r="I1405" t="s">
        <v>88</v>
      </c>
      <c r="J1405" t="s">
        <v>25</v>
      </c>
      <c r="K1405">
        <v>3.6</v>
      </c>
      <c r="L1405" t="s">
        <v>140</v>
      </c>
      <c r="M1405" t="s">
        <v>62</v>
      </c>
      <c r="N1405" t="s">
        <v>14</v>
      </c>
      <c r="O1405">
        <v>20</v>
      </c>
      <c r="P1405" t="s">
        <v>27</v>
      </c>
      <c r="Q1405" t="s">
        <v>64</v>
      </c>
      <c r="R1405" t="str" cm="1">
        <f t="array" ref="R1405">_xlfn.IFS(B1405&lt;31,"Young-Adult",B1405&lt;41,"Adult",B1405&lt;61,"Middle-aged",B1405&gt;=61,"Senior")</f>
        <v>Young-Adult</v>
      </c>
      <c r="S1405" cm="1">
        <f t="array" ref="S1405">_xlfn.IFS(Q1405 ="Fortnightly",14,Q1405="Weekly",7,Q1405="Monthly",30,Q1405="Quarterly",90,Q1405="Bi-Weekly",14,Q1405="Annually",365,Q1405="Every 3 Months",90,TRUE,"NOT FOUND")</f>
        <v>14</v>
      </c>
    </row>
    <row r="1406" spans="1:19" x14ac:dyDescent="0.35">
      <c r="A1406">
        <v>1405</v>
      </c>
      <c r="B1406">
        <v>36</v>
      </c>
      <c r="C1406" t="s">
        <v>7</v>
      </c>
      <c r="D1406" t="s">
        <v>94</v>
      </c>
      <c r="E1406" t="s">
        <v>55</v>
      </c>
      <c r="F1406">
        <v>28</v>
      </c>
      <c r="G1406" t="s">
        <v>118</v>
      </c>
      <c r="H1406" t="s">
        <v>32</v>
      </c>
      <c r="I1406" t="s">
        <v>49</v>
      </c>
      <c r="J1406" t="s">
        <v>13</v>
      </c>
      <c r="K1406">
        <v>3.5</v>
      </c>
      <c r="L1406" t="s">
        <v>140</v>
      </c>
      <c r="M1406" t="s">
        <v>33</v>
      </c>
      <c r="N1406" t="s">
        <v>14</v>
      </c>
      <c r="O1406">
        <v>10</v>
      </c>
      <c r="P1406" t="s">
        <v>74</v>
      </c>
      <c r="Q1406" t="s">
        <v>28</v>
      </c>
      <c r="R1406" t="str" cm="1">
        <f t="array" ref="R1406">_xlfn.IFS(B1406&lt;31,"Young-Adult",B1406&lt;41,"Adult",B1406&lt;61,"Middle-aged",B1406&gt;=61,"Senior")</f>
        <v>Adult</v>
      </c>
      <c r="S1406" cm="1">
        <f t="array" ref="S1406">_xlfn.IFS(Q1406 ="Fortnightly",14,Q1406="Weekly",7,Q1406="Monthly",30,Q1406="Quarterly",90,Q1406="Bi-Weekly",14,Q1406="Annually",365,Q1406="Every 3 Months",90,TRUE,"NOT FOUND")</f>
        <v>7</v>
      </c>
    </row>
    <row r="1407" spans="1:19" x14ac:dyDescent="0.35">
      <c r="A1407">
        <v>1406</v>
      </c>
      <c r="B1407">
        <v>33</v>
      </c>
      <c r="C1407" t="s">
        <v>7</v>
      </c>
      <c r="D1407" t="s">
        <v>113</v>
      </c>
      <c r="E1407" t="s">
        <v>9</v>
      </c>
      <c r="F1407">
        <v>100</v>
      </c>
      <c r="G1407" t="s">
        <v>70</v>
      </c>
      <c r="H1407" t="s">
        <v>32</v>
      </c>
      <c r="I1407" t="s">
        <v>88</v>
      </c>
      <c r="J1407" t="s">
        <v>13</v>
      </c>
      <c r="K1407">
        <v>2.7</v>
      </c>
      <c r="L1407" t="s">
        <v>140</v>
      </c>
      <c r="M1407" t="s">
        <v>62</v>
      </c>
      <c r="N1407" t="s">
        <v>14</v>
      </c>
      <c r="O1407">
        <v>39</v>
      </c>
      <c r="P1407" t="s">
        <v>27</v>
      </c>
      <c r="Q1407" t="s">
        <v>76</v>
      </c>
      <c r="R1407" t="str" cm="1">
        <f t="array" ref="R1407">_xlfn.IFS(B1407&lt;31,"Young-Adult",B1407&lt;41,"Adult",B1407&lt;61,"Middle-aged",B1407&gt;=61,"Senior")</f>
        <v>Adult</v>
      </c>
      <c r="S1407" cm="1">
        <f t="array" ref="S1407">_xlfn.IFS(Q1407 ="Fortnightly",14,Q1407="Weekly",7,Q1407="Monthly",30,Q1407="Quarterly",90,Q1407="Bi-Weekly",14,Q1407="Annually",365,Q1407="Every 3 Months",90,TRUE,"NOT FOUND")</f>
        <v>30</v>
      </c>
    </row>
    <row r="1408" spans="1:19" x14ac:dyDescent="0.35">
      <c r="A1408">
        <v>1407</v>
      </c>
      <c r="B1408">
        <v>32</v>
      </c>
      <c r="C1408" t="s">
        <v>7</v>
      </c>
      <c r="D1408" t="s">
        <v>43</v>
      </c>
      <c r="E1408" t="s">
        <v>9</v>
      </c>
      <c r="F1408">
        <v>46</v>
      </c>
      <c r="G1408" t="s">
        <v>137</v>
      </c>
      <c r="H1408" t="s">
        <v>11</v>
      </c>
      <c r="I1408" t="s">
        <v>36</v>
      </c>
      <c r="J1408" t="s">
        <v>25</v>
      </c>
      <c r="K1408">
        <v>3.6</v>
      </c>
      <c r="L1408" t="s">
        <v>140</v>
      </c>
      <c r="M1408" t="s">
        <v>15</v>
      </c>
      <c r="N1408" t="s">
        <v>14</v>
      </c>
      <c r="O1408">
        <v>15</v>
      </c>
      <c r="P1408" t="s">
        <v>74</v>
      </c>
      <c r="Q1408" t="s">
        <v>76</v>
      </c>
      <c r="R1408" t="str" cm="1">
        <f t="array" ref="R1408">_xlfn.IFS(B1408&lt;31,"Young-Adult",B1408&lt;41,"Adult",B1408&lt;61,"Middle-aged",B1408&gt;=61,"Senior")</f>
        <v>Adult</v>
      </c>
      <c r="S1408" cm="1">
        <f t="array" ref="S1408">_xlfn.IFS(Q1408 ="Fortnightly",14,Q1408="Weekly",7,Q1408="Monthly",30,Q1408="Quarterly",90,Q1408="Bi-Weekly",14,Q1408="Annually",365,Q1408="Every 3 Months",90,TRUE,"NOT FOUND")</f>
        <v>30</v>
      </c>
    </row>
    <row r="1409" spans="1:19" x14ac:dyDescent="0.35">
      <c r="A1409">
        <v>1408</v>
      </c>
      <c r="B1409">
        <v>56</v>
      </c>
      <c r="C1409" t="s">
        <v>7</v>
      </c>
      <c r="D1409" t="s">
        <v>54</v>
      </c>
      <c r="E1409" t="s">
        <v>55</v>
      </c>
      <c r="F1409">
        <v>61</v>
      </c>
      <c r="G1409" t="s">
        <v>95</v>
      </c>
      <c r="H1409" t="s">
        <v>80</v>
      </c>
      <c r="I1409" t="s">
        <v>49</v>
      </c>
      <c r="J1409" t="s">
        <v>25</v>
      </c>
      <c r="K1409">
        <v>4.5</v>
      </c>
      <c r="L1409" t="s">
        <v>140</v>
      </c>
      <c r="M1409" t="s">
        <v>15</v>
      </c>
      <c r="N1409" t="s">
        <v>14</v>
      </c>
      <c r="O1409">
        <v>11</v>
      </c>
      <c r="P1409" t="s">
        <v>27</v>
      </c>
      <c r="Q1409" t="s">
        <v>37</v>
      </c>
      <c r="R1409" t="str" cm="1">
        <f t="array" ref="R1409">_xlfn.IFS(B1409&lt;31,"Young-Adult",B1409&lt;41,"Adult",B1409&lt;61,"Middle-aged",B1409&gt;=61,"Senior")</f>
        <v>Middle-aged</v>
      </c>
      <c r="S1409" cm="1">
        <f t="array" ref="S1409">_xlfn.IFS(Q1409 ="Fortnightly",14,Q1409="Weekly",7,Q1409="Monthly",30,Q1409="Quarterly",90,Q1409="Bi-Weekly",14,Q1409="Annually",365,Q1409="Every 3 Months",90,TRUE,"NOT FOUND")</f>
        <v>365</v>
      </c>
    </row>
    <row r="1410" spans="1:19" x14ac:dyDescent="0.35">
      <c r="A1410">
        <v>1409</v>
      </c>
      <c r="B1410">
        <v>58</v>
      </c>
      <c r="C1410" t="s">
        <v>7</v>
      </c>
      <c r="D1410" t="s">
        <v>8</v>
      </c>
      <c r="E1410" t="s">
        <v>9</v>
      </c>
      <c r="F1410">
        <v>58</v>
      </c>
      <c r="G1410" t="s">
        <v>19</v>
      </c>
      <c r="H1410" t="s">
        <v>32</v>
      </c>
      <c r="I1410" t="s">
        <v>122</v>
      </c>
      <c r="J1410" t="s">
        <v>13</v>
      </c>
      <c r="K1410">
        <v>4.0999999999999996</v>
      </c>
      <c r="L1410" t="s">
        <v>140</v>
      </c>
      <c r="M1410" t="s">
        <v>26</v>
      </c>
      <c r="N1410" t="s">
        <v>14</v>
      </c>
      <c r="O1410">
        <v>38</v>
      </c>
      <c r="P1410" t="s">
        <v>16</v>
      </c>
      <c r="Q1410" t="s">
        <v>28</v>
      </c>
      <c r="R1410" t="str" cm="1">
        <f t="array" ref="R1410">_xlfn.IFS(B1410&lt;31,"Young-Adult",B1410&lt;41,"Adult",B1410&lt;61,"Middle-aged",B1410&gt;=61,"Senior")</f>
        <v>Middle-aged</v>
      </c>
      <c r="S1410" cm="1">
        <f t="array" ref="S1410">_xlfn.IFS(Q1410 ="Fortnightly",14,Q1410="Weekly",7,Q1410="Monthly",30,Q1410="Quarterly",90,Q1410="Bi-Weekly",14,Q1410="Annually",365,Q1410="Every 3 Months",90,TRUE,"NOT FOUND")</f>
        <v>7</v>
      </c>
    </row>
    <row r="1411" spans="1:19" x14ac:dyDescent="0.35">
      <c r="A1411">
        <v>1410</v>
      </c>
      <c r="B1411">
        <v>34</v>
      </c>
      <c r="C1411" t="s">
        <v>7</v>
      </c>
      <c r="D1411" t="s">
        <v>120</v>
      </c>
      <c r="E1411" t="s">
        <v>55</v>
      </c>
      <c r="F1411">
        <v>50</v>
      </c>
      <c r="G1411" t="s">
        <v>123</v>
      </c>
      <c r="H1411" t="s">
        <v>32</v>
      </c>
      <c r="I1411" t="s">
        <v>132</v>
      </c>
      <c r="J1411" t="s">
        <v>25</v>
      </c>
      <c r="K1411">
        <v>4.2</v>
      </c>
      <c r="L1411" t="s">
        <v>140</v>
      </c>
      <c r="M1411" t="s">
        <v>42</v>
      </c>
      <c r="N1411" t="s">
        <v>14</v>
      </c>
      <c r="O1411">
        <v>41</v>
      </c>
      <c r="P1411" t="s">
        <v>21</v>
      </c>
      <c r="Q1411" t="s">
        <v>17</v>
      </c>
      <c r="R1411" t="str" cm="1">
        <f t="array" ref="R1411">_xlfn.IFS(B1411&lt;31,"Young-Adult",B1411&lt;41,"Adult",B1411&lt;61,"Middle-aged",B1411&gt;=61,"Senior")</f>
        <v>Adult</v>
      </c>
      <c r="S1411" cm="1">
        <f t="array" ref="S1411">_xlfn.IFS(Q1411 ="Fortnightly",14,Q1411="Weekly",7,Q1411="Monthly",30,Q1411="Quarterly",90,Q1411="Bi-Weekly",14,Q1411="Annually",365,Q1411="Every 3 Months",90,TRUE,"NOT FOUND")</f>
        <v>14</v>
      </c>
    </row>
    <row r="1412" spans="1:19" x14ac:dyDescent="0.35">
      <c r="A1412">
        <v>1411</v>
      </c>
      <c r="B1412">
        <v>61</v>
      </c>
      <c r="C1412" t="s">
        <v>7</v>
      </c>
      <c r="D1412" t="s">
        <v>112</v>
      </c>
      <c r="E1412" t="s">
        <v>55</v>
      </c>
      <c r="F1412">
        <v>93</v>
      </c>
      <c r="G1412" t="s">
        <v>110</v>
      </c>
      <c r="H1412" t="s">
        <v>32</v>
      </c>
      <c r="I1412" t="s">
        <v>61</v>
      </c>
      <c r="J1412" t="s">
        <v>41</v>
      </c>
      <c r="K1412">
        <v>4</v>
      </c>
      <c r="L1412" t="s">
        <v>140</v>
      </c>
      <c r="M1412" t="s">
        <v>62</v>
      </c>
      <c r="N1412" t="s">
        <v>14</v>
      </c>
      <c r="O1412">
        <v>18</v>
      </c>
      <c r="P1412" t="s">
        <v>74</v>
      </c>
      <c r="Q1412" t="s">
        <v>37</v>
      </c>
      <c r="R1412" t="str" cm="1">
        <f t="array" ref="R1412">_xlfn.IFS(B1412&lt;31,"Young-Adult",B1412&lt;41,"Adult",B1412&lt;61,"Middle-aged",B1412&gt;=61,"Senior")</f>
        <v>Senior</v>
      </c>
      <c r="S1412" cm="1">
        <f t="array" ref="S1412">_xlfn.IFS(Q1412 ="Fortnightly",14,Q1412="Weekly",7,Q1412="Monthly",30,Q1412="Quarterly",90,Q1412="Bi-Weekly",14,Q1412="Annually",365,Q1412="Every 3 Months",90,TRUE,"NOT FOUND")</f>
        <v>365</v>
      </c>
    </row>
    <row r="1413" spans="1:19" x14ac:dyDescent="0.35">
      <c r="A1413">
        <v>1412</v>
      </c>
      <c r="B1413">
        <v>48</v>
      </c>
      <c r="C1413" t="s">
        <v>7</v>
      </c>
      <c r="D1413" t="s">
        <v>75</v>
      </c>
      <c r="E1413" t="s">
        <v>9</v>
      </c>
      <c r="F1413">
        <v>24</v>
      </c>
      <c r="G1413" t="s">
        <v>48</v>
      </c>
      <c r="H1413" t="s">
        <v>11</v>
      </c>
      <c r="I1413" t="s">
        <v>84</v>
      </c>
      <c r="J1413" t="s">
        <v>41</v>
      </c>
      <c r="K1413">
        <v>2.8</v>
      </c>
      <c r="L1413" t="s">
        <v>140</v>
      </c>
      <c r="M1413" t="s">
        <v>62</v>
      </c>
      <c r="N1413" t="s">
        <v>14</v>
      </c>
      <c r="O1413">
        <v>13</v>
      </c>
      <c r="P1413" t="s">
        <v>16</v>
      </c>
      <c r="Q1413" t="s">
        <v>46</v>
      </c>
      <c r="R1413" t="str" cm="1">
        <f t="array" ref="R1413">_xlfn.IFS(B1413&lt;31,"Young-Adult",B1413&lt;41,"Adult",B1413&lt;61,"Middle-aged",B1413&gt;=61,"Senior")</f>
        <v>Middle-aged</v>
      </c>
      <c r="S1413" cm="1">
        <f t="array" ref="S1413">_xlfn.IFS(Q1413 ="Fortnightly",14,Q1413="Weekly",7,Q1413="Monthly",30,Q1413="Quarterly",90,Q1413="Bi-Weekly",14,Q1413="Annually",365,Q1413="Every 3 Months",90,TRUE,"NOT FOUND")</f>
        <v>90</v>
      </c>
    </row>
    <row r="1414" spans="1:19" x14ac:dyDescent="0.35">
      <c r="A1414">
        <v>1413</v>
      </c>
      <c r="B1414">
        <v>25</v>
      </c>
      <c r="C1414" t="s">
        <v>7</v>
      </c>
      <c r="D1414" t="s">
        <v>47</v>
      </c>
      <c r="E1414" t="s">
        <v>9</v>
      </c>
      <c r="F1414">
        <v>100</v>
      </c>
      <c r="G1414" t="s">
        <v>139</v>
      </c>
      <c r="H1414" t="s">
        <v>32</v>
      </c>
      <c r="I1414" t="s">
        <v>49</v>
      </c>
      <c r="J1414" t="s">
        <v>41</v>
      </c>
      <c r="K1414">
        <v>2.6</v>
      </c>
      <c r="L1414" t="s">
        <v>140</v>
      </c>
      <c r="M1414" t="s">
        <v>58</v>
      </c>
      <c r="N1414" t="s">
        <v>14</v>
      </c>
      <c r="O1414">
        <v>43</v>
      </c>
      <c r="P1414" t="s">
        <v>16</v>
      </c>
      <c r="Q1414" t="s">
        <v>37</v>
      </c>
      <c r="R1414" t="str" cm="1">
        <f t="array" ref="R1414">_xlfn.IFS(B1414&lt;31,"Young-Adult",B1414&lt;41,"Adult",B1414&lt;61,"Middle-aged",B1414&gt;=61,"Senior")</f>
        <v>Young-Adult</v>
      </c>
      <c r="S1414" cm="1">
        <f t="array" ref="S1414">_xlfn.IFS(Q1414 ="Fortnightly",14,Q1414="Weekly",7,Q1414="Monthly",30,Q1414="Quarterly",90,Q1414="Bi-Weekly",14,Q1414="Annually",365,Q1414="Every 3 Months",90,TRUE,"NOT FOUND")</f>
        <v>365</v>
      </c>
    </row>
    <row r="1415" spans="1:19" x14ac:dyDescent="0.35">
      <c r="A1415">
        <v>1414</v>
      </c>
      <c r="B1415">
        <v>51</v>
      </c>
      <c r="C1415" t="s">
        <v>7</v>
      </c>
      <c r="D1415" t="s">
        <v>8</v>
      </c>
      <c r="E1415" t="s">
        <v>9</v>
      </c>
      <c r="F1415">
        <v>79</v>
      </c>
      <c r="G1415" t="s">
        <v>70</v>
      </c>
      <c r="H1415" t="s">
        <v>24</v>
      </c>
      <c r="I1415" t="s">
        <v>114</v>
      </c>
      <c r="J1415" t="s">
        <v>45</v>
      </c>
      <c r="K1415">
        <v>2.7</v>
      </c>
      <c r="L1415" t="s">
        <v>140</v>
      </c>
      <c r="M1415" t="s">
        <v>62</v>
      </c>
      <c r="N1415" t="s">
        <v>14</v>
      </c>
      <c r="O1415">
        <v>12</v>
      </c>
      <c r="P1415" t="s">
        <v>63</v>
      </c>
      <c r="Q1415" t="s">
        <v>46</v>
      </c>
      <c r="R1415" t="str" cm="1">
        <f t="array" ref="R1415">_xlfn.IFS(B1415&lt;31,"Young-Adult",B1415&lt;41,"Adult",B1415&lt;61,"Middle-aged",B1415&gt;=61,"Senior")</f>
        <v>Middle-aged</v>
      </c>
      <c r="S1415" cm="1">
        <f t="array" ref="S1415">_xlfn.IFS(Q1415 ="Fortnightly",14,Q1415="Weekly",7,Q1415="Monthly",30,Q1415="Quarterly",90,Q1415="Bi-Weekly",14,Q1415="Annually",365,Q1415="Every 3 Months",90,TRUE,"NOT FOUND")</f>
        <v>90</v>
      </c>
    </row>
    <row r="1416" spans="1:19" x14ac:dyDescent="0.35">
      <c r="A1416">
        <v>1415</v>
      </c>
      <c r="B1416">
        <v>29</v>
      </c>
      <c r="C1416" t="s">
        <v>7</v>
      </c>
      <c r="D1416" t="s">
        <v>113</v>
      </c>
      <c r="E1416" t="s">
        <v>9</v>
      </c>
      <c r="F1416">
        <v>51</v>
      </c>
      <c r="G1416" t="s">
        <v>136</v>
      </c>
      <c r="H1416" t="s">
        <v>32</v>
      </c>
      <c r="I1416" t="s">
        <v>82</v>
      </c>
      <c r="J1416" t="s">
        <v>41</v>
      </c>
      <c r="K1416">
        <v>4.5</v>
      </c>
      <c r="L1416" t="s">
        <v>140</v>
      </c>
      <c r="M1416" t="s">
        <v>62</v>
      </c>
      <c r="N1416" t="s">
        <v>14</v>
      </c>
      <c r="O1416">
        <v>3</v>
      </c>
      <c r="P1416" t="s">
        <v>27</v>
      </c>
      <c r="Q1416" t="s">
        <v>64</v>
      </c>
      <c r="R1416" t="str" cm="1">
        <f t="array" ref="R1416">_xlfn.IFS(B1416&lt;31,"Young-Adult",B1416&lt;41,"Adult",B1416&lt;61,"Middle-aged",B1416&gt;=61,"Senior")</f>
        <v>Young-Adult</v>
      </c>
      <c r="S1416" cm="1">
        <f t="array" ref="S1416">_xlfn.IFS(Q1416 ="Fortnightly",14,Q1416="Weekly",7,Q1416="Monthly",30,Q1416="Quarterly",90,Q1416="Bi-Weekly",14,Q1416="Annually",365,Q1416="Every 3 Months",90,TRUE,"NOT FOUND")</f>
        <v>14</v>
      </c>
    </row>
    <row r="1417" spans="1:19" x14ac:dyDescent="0.35">
      <c r="A1417">
        <v>1416</v>
      </c>
      <c r="B1417">
        <v>54</v>
      </c>
      <c r="C1417" t="s">
        <v>7</v>
      </c>
      <c r="D1417" t="s">
        <v>121</v>
      </c>
      <c r="E1417" t="s">
        <v>55</v>
      </c>
      <c r="F1417">
        <v>90</v>
      </c>
      <c r="G1417" t="s">
        <v>103</v>
      </c>
      <c r="H1417" t="s">
        <v>32</v>
      </c>
      <c r="I1417" t="s">
        <v>132</v>
      </c>
      <c r="J1417" t="s">
        <v>13</v>
      </c>
      <c r="K1417">
        <v>3.7</v>
      </c>
      <c r="L1417" t="s">
        <v>140</v>
      </c>
      <c r="M1417" t="s">
        <v>26</v>
      </c>
      <c r="N1417" t="s">
        <v>14</v>
      </c>
      <c r="O1417">
        <v>12</v>
      </c>
      <c r="P1417" t="s">
        <v>27</v>
      </c>
      <c r="Q1417" t="s">
        <v>85</v>
      </c>
      <c r="R1417" t="str" cm="1">
        <f t="array" ref="R1417">_xlfn.IFS(B1417&lt;31,"Young-Adult",B1417&lt;41,"Adult",B1417&lt;61,"Middle-aged",B1417&gt;=61,"Senior")</f>
        <v>Middle-aged</v>
      </c>
      <c r="S1417" cm="1">
        <f t="array" ref="S1417">_xlfn.IFS(Q1417 ="Fortnightly",14,Q1417="Weekly",7,Q1417="Monthly",30,Q1417="Quarterly",90,Q1417="Bi-Weekly",14,Q1417="Annually",365,Q1417="Every 3 Months",90,TRUE,"NOT FOUND")</f>
        <v>90</v>
      </c>
    </row>
    <row r="1418" spans="1:19" x14ac:dyDescent="0.35">
      <c r="A1418">
        <v>1417</v>
      </c>
      <c r="B1418">
        <v>48</v>
      </c>
      <c r="C1418" t="s">
        <v>7</v>
      </c>
      <c r="D1418" t="s">
        <v>125</v>
      </c>
      <c r="E1418" t="s">
        <v>30</v>
      </c>
      <c r="F1418">
        <v>56</v>
      </c>
      <c r="G1418" t="s">
        <v>123</v>
      </c>
      <c r="H1418" t="s">
        <v>11</v>
      </c>
      <c r="I1418" t="s">
        <v>53</v>
      </c>
      <c r="J1418" t="s">
        <v>41</v>
      </c>
      <c r="K1418">
        <v>3.4</v>
      </c>
      <c r="L1418" t="s">
        <v>140</v>
      </c>
      <c r="M1418" t="s">
        <v>26</v>
      </c>
      <c r="N1418" t="s">
        <v>14</v>
      </c>
      <c r="O1418">
        <v>46</v>
      </c>
      <c r="P1418" t="s">
        <v>21</v>
      </c>
      <c r="Q1418" t="s">
        <v>46</v>
      </c>
      <c r="R1418" t="str" cm="1">
        <f t="array" ref="R1418">_xlfn.IFS(B1418&lt;31,"Young-Adult",B1418&lt;41,"Adult",B1418&lt;61,"Middle-aged",B1418&gt;=61,"Senior")</f>
        <v>Middle-aged</v>
      </c>
      <c r="S1418" cm="1">
        <f t="array" ref="S1418">_xlfn.IFS(Q1418 ="Fortnightly",14,Q1418="Weekly",7,Q1418="Monthly",30,Q1418="Quarterly",90,Q1418="Bi-Weekly",14,Q1418="Annually",365,Q1418="Every 3 Months",90,TRUE,"NOT FOUND")</f>
        <v>90</v>
      </c>
    </row>
    <row r="1419" spans="1:19" x14ac:dyDescent="0.35">
      <c r="A1419">
        <v>1418</v>
      </c>
      <c r="B1419">
        <v>62</v>
      </c>
      <c r="C1419" t="s">
        <v>7</v>
      </c>
      <c r="D1419" t="s">
        <v>47</v>
      </c>
      <c r="E1419" t="s">
        <v>9</v>
      </c>
      <c r="F1419">
        <v>25</v>
      </c>
      <c r="G1419" t="s">
        <v>44</v>
      </c>
      <c r="H1419" t="s">
        <v>24</v>
      </c>
      <c r="I1419" t="s">
        <v>98</v>
      </c>
      <c r="J1419" t="s">
        <v>25</v>
      </c>
      <c r="K1419">
        <v>4.5999999999999996</v>
      </c>
      <c r="L1419" t="s">
        <v>140</v>
      </c>
      <c r="M1419" t="s">
        <v>42</v>
      </c>
      <c r="N1419" t="s">
        <v>14</v>
      </c>
      <c r="O1419">
        <v>21</v>
      </c>
      <c r="P1419" t="s">
        <v>74</v>
      </c>
      <c r="Q1419" t="s">
        <v>17</v>
      </c>
      <c r="R1419" t="str" cm="1">
        <f t="array" ref="R1419">_xlfn.IFS(B1419&lt;31,"Young-Adult",B1419&lt;41,"Adult",B1419&lt;61,"Middle-aged",B1419&gt;=61,"Senior")</f>
        <v>Senior</v>
      </c>
      <c r="S1419" cm="1">
        <f t="array" ref="S1419">_xlfn.IFS(Q1419 ="Fortnightly",14,Q1419="Weekly",7,Q1419="Monthly",30,Q1419="Quarterly",90,Q1419="Bi-Weekly",14,Q1419="Annually",365,Q1419="Every 3 Months",90,TRUE,"NOT FOUND")</f>
        <v>14</v>
      </c>
    </row>
    <row r="1420" spans="1:19" x14ac:dyDescent="0.35">
      <c r="A1420">
        <v>1419</v>
      </c>
      <c r="B1420">
        <v>18</v>
      </c>
      <c r="C1420" t="s">
        <v>7</v>
      </c>
      <c r="D1420" t="s">
        <v>43</v>
      </c>
      <c r="E1420" t="s">
        <v>9</v>
      </c>
      <c r="F1420">
        <v>75</v>
      </c>
      <c r="G1420" t="s">
        <v>78</v>
      </c>
      <c r="H1420" t="s">
        <v>32</v>
      </c>
      <c r="I1420" t="s">
        <v>71</v>
      </c>
      <c r="J1420" t="s">
        <v>41</v>
      </c>
      <c r="K1420">
        <v>4.0999999999999996</v>
      </c>
      <c r="L1420" t="s">
        <v>140</v>
      </c>
      <c r="M1420" t="s">
        <v>58</v>
      </c>
      <c r="N1420" t="s">
        <v>14</v>
      </c>
      <c r="O1420">
        <v>23</v>
      </c>
      <c r="P1420" t="s">
        <v>16</v>
      </c>
      <c r="Q1420" t="s">
        <v>85</v>
      </c>
      <c r="R1420" t="str" cm="1">
        <f t="array" ref="R1420">_xlfn.IFS(B1420&lt;31,"Young-Adult",B1420&lt;41,"Adult",B1420&lt;61,"Middle-aged",B1420&gt;=61,"Senior")</f>
        <v>Young-Adult</v>
      </c>
      <c r="S1420" cm="1">
        <f t="array" ref="S1420">_xlfn.IFS(Q1420 ="Fortnightly",14,Q1420="Weekly",7,Q1420="Monthly",30,Q1420="Quarterly",90,Q1420="Bi-Weekly",14,Q1420="Annually",365,Q1420="Every 3 Months",90,TRUE,"NOT FOUND")</f>
        <v>90</v>
      </c>
    </row>
    <row r="1421" spans="1:19" x14ac:dyDescent="0.35">
      <c r="A1421">
        <v>1420</v>
      </c>
      <c r="B1421">
        <v>43</v>
      </c>
      <c r="C1421" t="s">
        <v>7</v>
      </c>
      <c r="D1421" t="s">
        <v>54</v>
      </c>
      <c r="E1421" t="s">
        <v>55</v>
      </c>
      <c r="F1421">
        <v>75</v>
      </c>
      <c r="G1421" t="s">
        <v>44</v>
      </c>
      <c r="H1421" t="s">
        <v>32</v>
      </c>
      <c r="I1421" t="s">
        <v>109</v>
      </c>
      <c r="J1421" t="s">
        <v>41</v>
      </c>
      <c r="K1421">
        <v>2.6</v>
      </c>
      <c r="L1421" t="s">
        <v>140</v>
      </c>
      <c r="M1421" t="s">
        <v>26</v>
      </c>
      <c r="N1421" t="s">
        <v>14</v>
      </c>
      <c r="O1421">
        <v>4</v>
      </c>
      <c r="P1421" t="s">
        <v>74</v>
      </c>
      <c r="Q1421" t="s">
        <v>46</v>
      </c>
      <c r="R1421" t="str" cm="1">
        <f t="array" ref="R1421">_xlfn.IFS(B1421&lt;31,"Young-Adult",B1421&lt;41,"Adult",B1421&lt;61,"Middle-aged",B1421&gt;=61,"Senior")</f>
        <v>Middle-aged</v>
      </c>
      <c r="S1421" cm="1">
        <f t="array" ref="S1421">_xlfn.IFS(Q1421 ="Fortnightly",14,Q1421="Weekly",7,Q1421="Monthly",30,Q1421="Quarterly",90,Q1421="Bi-Weekly",14,Q1421="Annually",365,Q1421="Every 3 Months",90,TRUE,"NOT FOUND")</f>
        <v>90</v>
      </c>
    </row>
    <row r="1422" spans="1:19" x14ac:dyDescent="0.35">
      <c r="A1422">
        <v>1421</v>
      </c>
      <c r="B1422">
        <v>22</v>
      </c>
      <c r="C1422" t="s">
        <v>7</v>
      </c>
      <c r="D1422" t="s">
        <v>22</v>
      </c>
      <c r="E1422" t="s">
        <v>9</v>
      </c>
      <c r="F1422">
        <v>53</v>
      </c>
      <c r="G1422" t="s">
        <v>87</v>
      </c>
      <c r="H1422" t="s">
        <v>80</v>
      </c>
      <c r="I1422" t="s">
        <v>12</v>
      </c>
      <c r="J1422" t="s">
        <v>41</v>
      </c>
      <c r="K1422">
        <v>4.5999999999999996</v>
      </c>
      <c r="L1422" t="s">
        <v>140</v>
      </c>
      <c r="M1422" t="s">
        <v>62</v>
      </c>
      <c r="N1422" t="s">
        <v>14</v>
      </c>
      <c r="O1422">
        <v>45</v>
      </c>
      <c r="P1422" t="s">
        <v>34</v>
      </c>
      <c r="Q1422" t="s">
        <v>85</v>
      </c>
      <c r="R1422" t="str" cm="1">
        <f t="array" ref="R1422">_xlfn.IFS(B1422&lt;31,"Young-Adult",B1422&lt;41,"Adult",B1422&lt;61,"Middle-aged",B1422&gt;=61,"Senior")</f>
        <v>Young-Adult</v>
      </c>
      <c r="S1422" cm="1">
        <f t="array" ref="S1422">_xlfn.IFS(Q1422 ="Fortnightly",14,Q1422="Weekly",7,Q1422="Monthly",30,Q1422="Quarterly",90,Q1422="Bi-Weekly",14,Q1422="Annually",365,Q1422="Every 3 Months",90,TRUE,"NOT FOUND")</f>
        <v>90</v>
      </c>
    </row>
    <row r="1423" spans="1:19" x14ac:dyDescent="0.35">
      <c r="A1423">
        <v>1422</v>
      </c>
      <c r="B1423">
        <v>68</v>
      </c>
      <c r="C1423" t="s">
        <v>7</v>
      </c>
      <c r="D1423" t="s">
        <v>69</v>
      </c>
      <c r="E1423" t="s">
        <v>9</v>
      </c>
      <c r="F1423">
        <v>100</v>
      </c>
      <c r="G1423" t="s">
        <v>126</v>
      </c>
      <c r="H1423" t="s">
        <v>24</v>
      </c>
      <c r="I1423" t="s">
        <v>68</v>
      </c>
      <c r="J1423" t="s">
        <v>25</v>
      </c>
      <c r="K1423">
        <v>3</v>
      </c>
      <c r="L1423" t="s">
        <v>140</v>
      </c>
      <c r="M1423" t="s">
        <v>42</v>
      </c>
      <c r="N1423" t="s">
        <v>14</v>
      </c>
      <c r="O1423">
        <v>24</v>
      </c>
      <c r="P1423" t="s">
        <v>63</v>
      </c>
      <c r="Q1423" t="s">
        <v>17</v>
      </c>
      <c r="R1423" t="str" cm="1">
        <f t="array" ref="R1423">_xlfn.IFS(B1423&lt;31,"Young-Adult",B1423&lt;41,"Adult",B1423&lt;61,"Middle-aged",B1423&gt;=61,"Senior")</f>
        <v>Senior</v>
      </c>
      <c r="S1423" cm="1">
        <f t="array" ref="S1423">_xlfn.IFS(Q1423 ="Fortnightly",14,Q1423="Weekly",7,Q1423="Monthly",30,Q1423="Quarterly",90,Q1423="Bi-Weekly",14,Q1423="Annually",365,Q1423="Every 3 Months",90,TRUE,"NOT FOUND")</f>
        <v>14</v>
      </c>
    </row>
    <row r="1424" spans="1:19" x14ac:dyDescent="0.35">
      <c r="A1424">
        <v>1423</v>
      </c>
      <c r="B1424">
        <v>44</v>
      </c>
      <c r="C1424" t="s">
        <v>7</v>
      </c>
      <c r="D1424" t="s">
        <v>69</v>
      </c>
      <c r="E1424" t="s">
        <v>9</v>
      </c>
      <c r="F1424">
        <v>27</v>
      </c>
      <c r="G1424" t="s">
        <v>93</v>
      </c>
      <c r="H1424" t="s">
        <v>11</v>
      </c>
      <c r="I1424" t="s">
        <v>49</v>
      </c>
      <c r="J1424" t="s">
        <v>45</v>
      </c>
      <c r="K1424">
        <v>3.4</v>
      </c>
      <c r="L1424" t="s">
        <v>140</v>
      </c>
      <c r="M1424" t="s">
        <v>26</v>
      </c>
      <c r="N1424" t="s">
        <v>14</v>
      </c>
      <c r="O1424">
        <v>3</v>
      </c>
      <c r="P1424" t="s">
        <v>34</v>
      </c>
      <c r="Q1424" t="s">
        <v>64</v>
      </c>
      <c r="R1424" t="str" cm="1">
        <f t="array" ref="R1424">_xlfn.IFS(B1424&lt;31,"Young-Adult",B1424&lt;41,"Adult",B1424&lt;61,"Middle-aged",B1424&gt;=61,"Senior")</f>
        <v>Middle-aged</v>
      </c>
      <c r="S1424" cm="1">
        <f t="array" ref="S1424">_xlfn.IFS(Q1424 ="Fortnightly",14,Q1424="Weekly",7,Q1424="Monthly",30,Q1424="Quarterly",90,Q1424="Bi-Weekly",14,Q1424="Annually",365,Q1424="Every 3 Months",90,TRUE,"NOT FOUND")</f>
        <v>14</v>
      </c>
    </row>
    <row r="1425" spans="1:19" x14ac:dyDescent="0.35">
      <c r="A1425">
        <v>1424</v>
      </c>
      <c r="B1425">
        <v>51</v>
      </c>
      <c r="C1425" t="s">
        <v>7</v>
      </c>
      <c r="D1425" t="s">
        <v>29</v>
      </c>
      <c r="E1425" t="s">
        <v>30</v>
      </c>
      <c r="F1425">
        <v>60</v>
      </c>
      <c r="G1425" t="s">
        <v>139</v>
      </c>
      <c r="H1425" t="s">
        <v>24</v>
      </c>
      <c r="I1425" t="s">
        <v>82</v>
      </c>
      <c r="J1425" t="s">
        <v>45</v>
      </c>
      <c r="K1425">
        <v>3.5</v>
      </c>
      <c r="L1425" t="s">
        <v>140</v>
      </c>
      <c r="M1425" t="s">
        <v>26</v>
      </c>
      <c r="N1425" t="s">
        <v>14</v>
      </c>
      <c r="O1425">
        <v>12</v>
      </c>
      <c r="P1425" t="s">
        <v>16</v>
      </c>
      <c r="Q1425" t="s">
        <v>85</v>
      </c>
      <c r="R1425" t="str" cm="1">
        <f t="array" ref="R1425">_xlfn.IFS(B1425&lt;31,"Young-Adult",B1425&lt;41,"Adult",B1425&lt;61,"Middle-aged",B1425&gt;=61,"Senior")</f>
        <v>Middle-aged</v>
      </c>
      <c r="S1425" cm="1">
        <f t="array" ref="S1425">_xlfn.IFS(Q1425 ="Fortnightly",14,Q1425="Weekly",7,Q1425="Monthly",30,Q1425="Quarterly",90,Q1425="Bi-Weekly",14,Q1425="Annually",365,Q1425="Every 3 Months",90,TRUE,"NOT FOUND")</f>
        <v>90</v>
      </c>
    </row>
    <row r="1426" spans="1:19" x14ac:dyDescent="0.35">
      <c r="A1426">
        <v>1425</v>
      </c>
      <c r="B1426">
        <v>66</v>
      </c>
      <c r="C1426" t="s">
        <v>7</v>
      </c>
      <c r="D1426" t="s">
        <v>90</v>
      </c>
      <c r="E1426" t="s">
        <v>51</v>
      </c>
      <c r="F1426">
        <v>23</v>
      </c>
      <c r="G1426" t="s">
        <v>127</v>
      </c>
      <c r="H1426" t="s">
        <v>24</v>
      </c>
      <c r="I1426" t="s">
        <v>114</v>
      </c>
      <c r="J1426" t="s">
        <v>45</v>
      </c>
      <c r="K1426">
        <v>3.5</v>
      </c>
      <c r="L1426" t="s">
        <v>140</v>
      </c>
      <c r="M1426" t="s">
        <v>42</v>
      </c>
      <c r="N1426" t="s">
        <v>14</v>
      </c>
      <c r="O1426">
        <v>34</v>
      </c>
      <c r="P1426" t="s">
        <v>63</v>
      </c>
      <c r="Q1426" t="s">
        <v>85</v>
      </c>
      <c r="R1426" t="str" cm="1">
        <f t="array" ref="R1426">_xlfn.IFS(B1426&lt;31,"Young-Adult",B1426&lt;41,"Adult",B1426&lt;61,"Middle-aged",B1426&gt;=61,"Senior")</f>
        <v>Senior</v>
      </c>
      <c r="S1426" cm="1">
        <f t="array" ref="S1426">_xlfn.IFS(Q1426 ="Fortnightly",14,Q1426="Weekly",7,Q1426="Monthly",30,Q1426="Quarterly",90,Q1426="Bi-Weekly",14,Q1426="Annually",365,Q1426="Every 3 Months",90,TRUE,"NOT FOUND")</f>
        <v>90</v>
      </c>
    </row>
    <row r="1427" spans="1:19" x14ac:dyDescent="0.35">
      <c r="A1427">
        <v>1426</v>
      </c>
      <c r="B1427">
        <v>59</v>
      </c>
      <c r="C1427" t="s">
        <v>7</v>
      </c>
      <c r="D1427" t="s">
        <v>50</v>
      </c>
      <c r="E1427" t="s">
        <v>51</v>
      </c>
      <c r="F1427">
        <v>40</v>
      </c>
      <c r="G1427" t="s">
        <v>39</v>
      </c>
      <c r="H1427" t="s">
        <v>24</v>
      </c>
      <c r="I1427" t="s">
        <v>40</v>
      </c>
      <c r="J1427" t="s">
        <v>13</v>
      </c>
      <c r="K1427">
        <v>3.7</v>
      </c>
      <c r="L1427" t="s">
        <v>140</v>
      </c>
      <c r="M1427" t="s">
        <v>33</v>
      </c>
      <c r="N1427" t="s">
        <v>14</v>
      </c>
      <c r="O1427">
        <v>39</v>
      </c>
      <c r="P1427" t="s">
        <v>27</v>
      </c>
      <c r="Q1427" t="s">
        <v>37</v>
      </c>
      <c r="R1427" t="str" cm="1">
        <f t="array" ref="R1427">_xlfn.IFS(B1427&lt;31,"Young-Adult",B1427&lt;41,"Adult",B1427&lt;61,"Middle-aged",B1427&gt;=61,"Senior")</f>
        <v>Middle-aged</v>
      </c>
      <c r="S1427" cm="1">
        <f t="array" ref="S1427">_xlfn.IFS(Q1427 ="Fortnightly",14,Q1427="Weekly",7,Q1427="Monthly",30,Q1427="Quarterly",90,Q1427="Bi-Weekly",14,Q1427="Annually",365,Q1427="Every 3 Months",90,TRUE,"NOT FOUND")</f>
        <v>365</v>
      </c>
    </row>
    <row r="1428" spans="1:19" x14ac:dyDescent="0.35">
      <c r="A1428">
        <v>1427</v>
      </c>
      <c r="B1428">
        <v>60</v>
      </c>
      <c r="C1428" t="s">
        <v>7</v>
      </c>
      <c r="D1428" t="s">
        <v>83</v>
      </c>
      <c r="E1428" t="s">
        <v>9</v>
      </c>
      <c r="F1428">
        <v>38</v>
      </c>
      <c r="G1428" t="s">
        <v>139</v>
      </c>
      <c r="H1428" t="s">
        <v>32</v>
      </c>
      <c r="I1428" t="s">
        <v>122</v>
      </c>
      <c r="J1428" t="s">
        <v>41</v>
      </c>
      <c r="K1428">
        <v>4.8</v>
      </c>
      <c r="L1428" t="s">
        <v>140</v>
      </c>
      <c r="M1428" t="s">
        <v>26</v>
      </c>
      <c r="N1428" t="s">
        <v>14</v>
      </c>
      <c r="O1428">
        <v>35</v>
      </c>
      <c r="P1428" t="s">
        <v>34</v>
      </c>
      <c r="Q1428" t="s">
        <v>85</v>
      </c>
      <c r="R1428" t="str" cm="1">
        <f t="array" ref="R1428">_xlfn.IFS(B1428&lt;31,"Young-Adult",B1428&lt;41,"Adult",B1428&lt;61,"Middle-aged",B1428&gt;=61,"Senior")</f>
        <v>Middle-aged</v>
      </c>
      <c r="S1428" cm="1">
        <f t="array" ref="S1428">_xlfn.IFS(Q1428 ="Fortnightly",14,Q1428="Weekly",7,Q1428="Monthly",30,Q1428="Quarterly",90,Q1428="Bi-Weekly",14,Q1428="Annually",365,Q1428="Every 3 Months",90,TRUE,"NOT FOUND")</f>
        <v>90</v>
      </c>
    </row>
    <row r="1429" spans="1:19" x14ac:dyDescent="0.35">
      <c r="A1429">
        <v>1428</v>
      </c>
      <c r="B1429">
        <v>31</v>
      </c>
      <c r="C1429" t="s">
        <v>7</v>
      </c>
      <c r="D1429" t="s">
        <v>120</v>
      </c>
      <c r="E1429" t="s">
        <v>55</v>
      </c>
      <c r="F1429">
        <v>90</v>
      </c>
      <c r="G1429" t="s">
        <v>135</v>
      </c>
      <c r="H1429" t="s">
        <v>24</v>
      </c>
      <c r="I1429" t="s">
        <v>109</v>
      </c>
      <c r="J1429" t="s">
        <v>41</v>
      </c>
      <c r="K1429">
        <v>4.9000000000000004</v>
      </c>
      <c r="L1429" t="s">
        <v>140</v>
      </c>
      <c r="M1429" t="s">
        <v>62</v>
      </c>
      <c r="N1429" t="s">
        <v>14</v>
      </c>
      <c r="O1429">
        <v>8</v>
      </c>
      <c r="P1429" t="s">
        <v>27</v>
      </c>
      <c r="Q1429" t="s">
        <v>37</v>
      </c>
      <c r="R1429" t="str" cm="1">
        <f t="array" ref="R1429">_xlfn.IFS(B1429&lt;31,"Young-Adult",B1429&lt;41,"Adult",B1429&lt;61,"Middle-aged",B1429&gt;=61,"Senior")</f>
        <v>Adult</v>
      </c>
      <c r="S1429" cm="1">
        <f t="array" ref="S1429">_xlfn.IFS(Q1429 ="Fortnightly",14,Q1429="Weekly",7,Q1429="Monthly",30,Q1429="Quarterly",90,Q1429="Bi-Weekly",14,Q1429="Annually",365,Q1429="Every 3 Months",90,TRUE,"NOT FOUND")</f>
        <v>365</v>
      </c>
    </row>
    <row r="1430" spans="1:19" x14ac:dyDescent="0.35">
      <c r="A1430">
        <v>1429</v>
      </c>
      <c r="B1430">
        <v>20</v>
      </c>
      <c r="C1430" t="s">
        <v>7</v>
      </c>
      <c r="D1430" t="s">
        <v>8</v>
      </c>
      <c r="E1430" t="s">
        <v>9</v>
      </c>
      <c r="F1430">
        <v>97</v>
      </c>
      <c r="G1430" t="s">
        <v>102</v>
      </c>
      <c r="H1430" t="s">
        <v>24</v>
      </c>
      <c r="I1430" t="s">
        <v>84</v>
      </c>
      <c r="J1430" t="s">
        <v>41</v>
      </c>
      <c r="K1430">
        <v>4.9000000000000004</v>
      </c>
      <c r="L1430" t="s">
        <v>140</v>
      </c>
      <c r="M1430" t="s">
        <v>15</v>
      </c>
      <c r="N1430" t="s">
        <v>14</v>
      </c>
      <c r="O1430">
        <v>42</v>
      </c>
      <c r="P1430" t="s">
        <v>34</v>
      </c>
      <c r="Q1430" t="s">
        <v>46</v>
      </c>
      <c r="R1430" t="str" cm="1">
        <f t="array" ref="R1430">_xlfn.IFS(B1430&lt;31,"Young-Adult",B1430&lt;41,"Adult",B1430&lt;61,"Middle-aged",B1430&gt;=61,"Senior")</f>
        <v>Young-Adult</v>
      </c>
      <c r="S1430" cm="1">
        <f t="array" ref="S1430">_xlfn.IFS(Q1430 ="Fortnightly",14,Q1430="Weekly",7,Q1430="Monthly",30,Q1430="Quarterly",90,Q1430="Bi-Weekly",14,Q1430="Annually",365,Q1430="Every 3 Months",90,TRUE,"NOT FOUND")</f>
        <v>90</v>
      </c>
    </row>
    <row r="1431" spans="1:19" x14ac:dyDescent="0.35">
      <c r="A1431">
        <v>1430</v>
      </c>
      <c r="B1431">
        <v>24</v>
      </c>
      <c r="C1431" t="s">
        <v>7</v>
      </c>
      <c r="D1431" t="s">
        <v>75</v>
      </c>
      <c r="E1431" t="s">
        <v>9</v>
      </c>
      <c r="F1431">
        <v>38</v>
      </c>
      <c r="G1431" t="s">
        <v>116</v>
      </c>
      <c r="H1431" t="s">
        <v>11</v>
      </c>
      <c r="I1431" t="s">
        <v>68</v>
      </c>
      <c r="J1431" t="s">
        <v>45</v>
      </c>
      <c r="K1431">
        <v>4.7</v>
      </c>
      <c r="L1431" t="s">
        <v>140</v>
      </c>
      <c r="M1431" t="s">
        <v>42</v>
      </c>
      <c r="N1431" t="s">
        <v>14</v>
      </c>
      <c r="O1431">
        <v>6</v>
      </c>
      <c r="P1431" t="s">
        <v>27</v>
      </c>
      <c r="Q1431" t="s">
        <v>85</v>
      </c>
      <c r="R1431" t="str" cm="1">
        <f t="array" ref="R1431">_xlfn.IFS(B1431&lt;31,"Young-Adult",B1431&lt;41,"Adult",B1431&lt;61,"Middle-aged",B1431&gt;=61,"Senior")</f>
        <v>Young-Adult</v>
      </c>
      <c r="S1431" cm="1">
        <f t="array" ref="S1431">_xlfn.IFS(Q1431 ="Fortnightly",14,Q1431="Weekly",7,Q1431="Monthly",30,Q1431="Quarterly",90,Q1431="Bi-Weekly",14,Q1431="Annually",365,Q1431="Every 3 Months",90,TRUE,"NOT FOUND")</f>
        <v>90</v>
      </c>
    </row>
    <row r="1432" spans="1:19" x14ac:dyDescent="0.35">
      <c r="A1432">
        <v>1431</v>
      </c>
      <c r="B1432">
        <v>48</v>
      </c>
      <c r="C1432" t="s">
        <v>7</v>
      </c>
      <c r="D1432" t="s">
        <v>29</v>
      </c>
      <c r="E1432" t="s">
        <v>30</v>
      </c>
      <c r="F1432">
        <v>30</v>
      </c>
      <c r="G1432" t="s">
        <v>139</v>
      </c>
      <c r="H1432" t="s">
        <v>24</v>
      </c>
      <c r="I1432" t="s">
        <v>109</v>
      </c>
      <c r="J1432" t="s">
        <v>41</v>
      </c>
      <c r="K1432">
        <v>4.9000000000000004</v>
      </c>
      <c r="L1432" t="s">
        <v>140</v>
      </c>
      <c r="M1432" t="s">
        <v>26</v>
      </c>
      <c r="N1432" t="s">
        <v>14</v>
      </c>
      <c r="O1432">
        <v>3</v>
      </c>
      <c r="P1432" t="s">
        <v>27</v>
      </c>
      <c r="Q1432" t="s">
        <v>17</v>
      </c>
      <c r="R1432" t="str" cm="1">
        <f t="array" ref="R1432">_xlfn.IFS(B1432&lt;31,"Young-Adult",B1432&lt;41,"Adult",B1432&lt;61,"Middle-aged",B1432&gt;=61,"Senior")</f>
        <v>Middle-aged</v>
      </c>
      <c r="S1432" cm="1">
        <f t="array" ref="S1432">_xlfn.IFS(Q1432 ="Fortnightly",14,Q1432="Weekly",7,Q1432="Monthly",30,Q1432="Quarterly",90,Q1432="Bi-Weekly",14,Q1432="Annually",365,Q1432="Every 3 Months",90,TRUE,"NOT FOUND")</f>
        <v>14</v>
      </c>
    </row>
    <row r="1433" spans="1:19" x14ac:dyDescent="0.35">
      <c r="A1433">
        <v>1432</v>
      </c>
      <c r="B1433">
        <v>39</v>
      </c>
      <c r="C1433" t="s">
        <v>7</v>
      </c>
      <c r="D1433" t="s">
        <v>83</v>
      </c>
      <c r="E1433" t="s">
        <v>9</v>
      </c>
      <c r="F1433">
        <v>88</v>
      </c>
      <c r="G1433" t="s">
        <v>135</v>
      </c>
      <c r="H1433" t="s">
        <v>32</v>
      </c>
      <c r="I1433" t="s">
        <v>97</v>
      </c>
      <c r="J1433" t="s">
        <v>45</v>
      </c>
      <c r="K1433">
        <v>2.9</v>
      </c>
      <c r="L1433" t="s">
        <v>140</v>
      </c>
      <c r="M1433" t="s">
        <v>15</v>
      </c>
      <c r="N1433" t="s">
        <v>14</v>
      </c>
      <c r="O1433">
        <v>29</v>
      </c>
      <c r="P1433" t="s">
        <v>16</v>
      </c>
      <c r="Q1433" t="s">
        <v>46</v>
      </c>
      <c r="R1433" t="str" cm="1">
        <f t="array" ref="R1433">_xlfn.IFS(B1433&lt;31,"Young-Adult",B1433&lt;41,"Adult",B1433&lt;61,"Middle-aged",B1433&gt;=61,"Senior")</f>
        <v>Adult</v>
      </c>
      <c r="S1433" cm="1">
        <f t="array" ref="S1433">_xlfn.IFS(Q1433 ="Fortnightly",14,Q1433="Weekly",7,Q1433="Monthly",30,Q1433="Quarterly",90,Q1433="Bi-Weekly",14,Q1433="Annually",365,Q1433="Every 3 Months",90,TRUE,"NOT FOUND")</f>
        <v>90</v>
      </c>
    </row>
    <row r="1434" spans="1:19" x14ac:dyDescent="0.35">
      <c r="A1434">
        <v>1433</v>
      </c>
      <c r="B1434">
        <v>34</v>
      </c>
      <c r="C1434" t="s">
        <v>7</v>
      </c>
      <c r="D1434" t="s">
        <v>112</v>
      </c>
      <c r="E1434" t="s">
        <v>55</v>
      </c>
      <c r="F1434">
        <v>33</v>
      </c>
      <c r="G1434" t="s">
        <v>91</v>
      </c>
      <c r="H1434" t="s">
        <v>11</v>
      </c>
      <c r="I1434" t="s">
        <v>82</v>
      </c>
      <c r="J1434" t="s">
        <v>13</v>
      </c>
      <c r="K1434">
        <v>4.4000000000000004</v>
      </c>
      <c r="L1434" t="s">
        <v>140</v>
      </c>
      <c r="M1434" t="s">
        <v>15</v>
      </c>
      <c r="N1434" t="s">
        <v>14</v>
      </c>
      <c r="O1434">
        <v>32</v>
      </c>
      <c r="P1434" t="s">
        <v>74</v>
      </c>
      <c r="Q1434" t="s">
        <v>46</v>
      </c>
      <c r="R1434" t="str" cm="1">
        <f t="array" ref="R1434">_xlfn.IFS(B1434&lt;31,"Young-Adult",B1434&lt;41,"Adult",B1434&lt;61,"Middle-aged",B1434&gt;=61,"Senior")</f>
        <v>Adult</v>
      </c>
      <c r="S1434" cm="1">
        <f t="array" ref="S1434">_xlfn.IFS(Q1434 ="Fortnightly",14,Q1434="Weekly",7,Q1434="Monthly",30,Q1434="Quarterly",90,Q1434="Bi-Weekly",14,Q1434="Annually",365,Q1434="Every 3 Months",90,TRUE,"NOT FOUND")</f>
        <v>90</v>
      </c>
    </row>
    <row r="1435" spans="1:19" x14ac:dyDescent="0.35">
      <c r="A1435">
        <v>1434</v>
      </c>
      <c r="B1435">
        <v>70</v>
      </c>
      <c r="C1435" t="s">
        <v>7</v>
      </c>
      <c r="D1435" t="s">
        <v>92</v>
      </c>
      <c r="E1435" t="s">
        <v>9</v>
      </c>
      <c r="F1435">
        <v>60</v>
      </c>
      <c r="G1435" t="s">
        <v>136</v>
      </c>
      <c r="H1435" t="s">
        <v>11</v>
      </c>
      <c r="I1435" t="s">
        <v>122</v>
      </c>
      <c r="J1435" t="s">
        <v>13</v>
      </c>
      <c r="K1435">
        <v>3.2</v>
      </c>
      <c r="L1435" t="s">
        <v>140</v>
      </c>
      <c r="M1435" t="s">
        <v>33</v>
      </c>
      <c r="N1435" t="s">
        <v>14</v>
      </c>
      <c r="O1435">
        <v>45</v>
      </c>
      <c r="P1435" t="s">
        <v>74</v>
      </c>
      <c r="Q1435" t="s">
        <v>28</v>
      </c>
      <c r="R1435" t="str" cm="1">
        <f t="array" ref="R1435">_xlfn.IFS(B1435&lt;31,"Young-Adult",B1435&lt;41,"Adult",B1435&lt;61,"Middle-aged",B1435&gt;=61,"Senior")</f>
        <v>Senior</v>
      </c>
      <c r="S1435" cm="1">
        <f t="array" ref="S1435">_xlfn.IFS(Q1435 ="Fortnightly",14,Q1435="Weekly",7,Q1435="Monthly",30,Q1435="Quarterly",90,Q1435="Bi-Weekly",14,Q1435="Annually",365,Q1435="Every 3 Months",90,TRUE,"NOT FOUND")</f>
        <v>7</v>
      </c>
    </row>
    <row r="1436" spans="1:19" x14ac:dyDescent="0.35">
      <c r="A1436">
        <v>1435</v>
      </c>
      <c r="B1436">
        <v>59</v>
      </c>
      <c r="C1436" t="s">
        <v>7</v>
      </c>
      <c r="D1436" t="s">
        <v>18</v>
      </c>
      <c r="E1436" t="s">
        <v>9</v>
      </c>
      <c r="F1436">
        <v>64</v>
      </c>
      <c r="G1436" t="s">
        <v>72</v>
      </c>
      <c r="H1436" t="s">
        <v>11</v>
      </c>
      <c r="I1436" t="s">
        <v>20</v>
      </c>
      <c r="J1436" t="s">
        <v>41</v>
      </c>
      <c r="K1436">
        <v>4.5999999999999996</v>
      </c>
      <c r="L1436" t="s">
        <v>140</v>
      </c>
      <c r="M1436" t="s">
        <v>26</v>
      </c>
      <c r="N1436" t="s">
        <v>14</v>
      </c>
      <c r="O1436">
        <v>21</v>
      </c>
      <c r="P1436" t="s">
        <v>74</v>
      </c>
      <c r="Q1436" t="s">
        <v>64</v>
      </c>
      <c r="R1436" t="str" cm="1">
        <f t="array" ref="R1436">_xlfn.IFS(B1436&lt;31,"Young-Adult",B1436&lt;41,"Adult",B1436&lt;61,"Middle-aged",B1436&gt;=61,"Senior")</f>
        <v>Middle-aged</v>
      </c>
      <c r="S1436" cm="1">
        <f t="array" ref="S1436">_xlfn.IFS(Q1436 ="Fortnightly",14,Q1436="Weekly",7,Q1436="Monthly",30,Q1436="Quarterly",90,Q1436="Bi-Weekly",14,Q1436="Annually",365,Q1436="Every 3 Months",90,TRUE,"NOT FOUND")</f>
        <v>14</v>
      </c>
    </row>
    <row r="1437" spans="1:19" x14ac:dyDescent="0.35">
      <c r="A1437">
        <v>1436</v>
      </c>
      <c r="B1437">
        <v>45</v>
      </c>
      <c r="C1437" t="s">
        <v>7</v>
      </c>
      <c r="D1437" t="s">
        <v>107</v>
      </c>
      <c r="E1437" t="s">
        <v>55</v>
      </c>
      <c r="F1437">
        <v>95</v>
      </c>
      <c r="G1437" t="s">
        <v>35</v>
      </c>
      <c r="H1437" t="s">
        <v>80</v>
      </c>
      <c r="I1437" t="s">
        <v>82</v>
      </c>
      <c r="J1437" t="s">
        <v>45</v>
      </c>
      <c r="K1437">
        <v>4</v>
      </c>
      <c r="L1437" t="s">
        <v>140</v>
      </c>
      <c r="M1437" t="s">
        <v>42</v>
      </c>
      <c r="N1437" t="s">
        <v>14</v>
      </c>
      <c r="O1437">
        <v>41</v>
      </c>
      <c r="P1437" t="s">
        <v>21</v>
      </c>
      <c r="Q1437" t="s">
        <v>28</v>
      </c>
      <c r="R1437" t="str" cm="1">
        <f t="array" ref="R1437">_xlfn.IFS(B1437&lt;31,"Young-Adult",B1437&lt;41,"Adult",B1437&lt;61,"Middle-aged",B1437&gt;=61,"Senior")</f>
        <v>Middle-aged</v>
      </c>
      <c r="S1437" cm="1">
        <f t="array" ref="S1437">_xlfn.IFS(Q1437 ="Fortnightly",14,Q1437="Weekly",7,Q1437="Monthly",30,Q1437="Quarterly",90,Q1437="Bi-Weekly",14,Q1437="Annually",365,Q1437="Every 3 Months",90,TRUE,"NOT FOUND")</f>
        <v>7</v>
      </c>
    </row>
    <row r="1438" spans="1:19" x14ac:dyDescent="0.35">
      <c r="A1438">
        <v>1437</v>
      </c>
      <c r="B1438">
        <v>35</v>
      </c>
      <c r="C1438" t="s">
        <v>7</v>
      </c>
      <c r="D1438" t="s">
        <v>38</v>
      </c>
      <c r="E1438" t="s">
        <v>30</v>
      </c>
      <c r="F1438">
        <v>83</v>
      </c>
      <c r="G1438" t="s">
        <v>136</v>
      </c>
      <c r="H1438" t="s">
        <v>32</v>
      </c>
      <c r="I1438" t="s">
        <v>12</v>
      </c>
      <c r="J1438" t="s">
        <v>13</v>
      </c>
      <c r="K1438">
        <v>3.7</v>
      </c>
      <c r="L1438" t="s">
        <v>140</v>
      </c>
      <c r="M1438" t="s">
        <v>26</v>
      </c>
      <c r="N1438" t="s">
        <v>14</v>
      </c>
      <c r="O1438">
        <v>23</v>
      </c>
      <c r="P1438" t="s">
        <v>34</v>
      </c>
      <c r="Q1438" t="s">
        <v>17</v>
      </c>
      <c r="R1438" t="str" cm="1">
        <f t="array" ref="R1438">_xlfn.IFS(B1438&lt;31,"Young-Adult",B1438&lt;41,"Adult",B1438&lt;61,"Middle-aged",B1438&gt;=61,"Senior")</f>
        <v>Adult</v>
      </c>
      <c r="S1438" cm="1">
        <f t="array" ref="S1438">_xlfn.IFS(Q1438 ="Fortnightly",14,Q1438="Weekly",7,Q1438="Monthly",30,Q1438="Quarterly",90,Q1438="Bi-Weekly",14,Q1438="Annually",365,Q1438="Every 3 Months",90,TRUE,"NOT FOUND")</f>
        <v>14</v>
      </c>
    </row>
    <row r="1439" spans="1:19" x14ac:dyDescent="0.35">
      <c r="A1439">
        <v>1438</v>
      </c>
      <c r="B1439">
        <v>69</v>
      </c>
      <c r="C1439" t="s">
        <v>7</v>
      </c>
      <c r="D1439" t="s">
        <v>125</v>
      </c>
      <c r="E1439" t="s">
        <v>30</v>
      </c>
      <c r="F1439">
        <v>97</v>
      </c>
      <c r="G1439" t="s">
        <v>44</v>
      </c>
      <c r="H1439" t="s">
        <v>80</v>
      </c>
      <c r="I1439" t="s">
        <v>109</v>
      </c>
      <c r="J1439" t="s">
        <v>13</v>
      </c>
      <c r="K1439">
        <v>4.2</v>
      </c>
      <c r="L1439" t="s">
        <v>140</v>
      </c>
      <c r="M1439" t="s">
        <v>26</v>
      </c>
      <c r="N1439" t="s">
        <v>14</v>
      </c>
      <c r="O1439">
        <v>14</v>
      </c>
      <c r="P1439" t="s">
        <v>21</v>
      </c>
      <c r="Q1439" t="s">
        <v>37</v>
      </c>
      <c r="R1439" t="str" cm="1">
        <f t="array" ref="R1439">_xlfn.IFS(B1439&lt;31,"Young-Adult",B1439&lt;41,"Adult",B1439&lt;61,"Middle-aged",B1439&gt;=61,"Senior")</f>
        <v>Senior</v>
      </c>
      <c r="S1439" cm="1">
        <f t="array" ref="S1439">_xlfn.IFS(Q1439 ="Fortnightly",14,Q1439="Weekly",7,Q1439="Monthly",30,Q1439="Quarterly",90,Q1439="Bi-Weekly",14,Q1439="Annually",365,Q1439="Every 3 Months",90,TRUE,"NOT FOUND")</f>
        <v>365</v>
      </c>
    </row>
    <row r="1440" spans="1:19" x14ac:dyDescent="0.35">
      <c r="A1440">
        <v>1439</v>
      </c>
      <c r="B1440">
        <v>58</v>
      </c>
      <c r="C1440" t="s">
        <v>7</v>
      </c>
      <c r="D1440" t="s">
        <v>50</v>
      </c>
      <c r="E1440" t="s">
        <v>51</v>
      </c>
      <c r="F1440">
        <v>38</v>
      </c>
      <c r="G1440" t="s">
        <v>137</v>
      </c>
      <c r="H1440" t="s">
        <v>32</v>
      </c>
      <c r="I1440" t="s">
        <v>97</v>
      </c>
      <c r="J1440" t="s">
        <v>25</v>
      </c>
      <c r="K1440">
        <v>2.9</v>
      </c>
      <c r="L1440" t="s">
        <v>140</v>
      </c>
      <c r="M1440" t="s">
        <v>42</v>
      </c>
      <c r="N1440" t="s">
        <v>14</v>
      </c>
      <c r="O1440">
        <v>24</v>
      </c>
      <c r="P1440" t="s">
        <v>74</v>
      </c>
      <c r="Q1440" t="s">
        <v>76</v>
      </c>
      <c r="R1440" t="str" cm="1">
        <f t="array" ref="R1440">_xlfn.IFS(B1440&lt;31,"Young-Adult",B1440&lt;41,"Adult",B1440&lt;61,"Middle-aged",B1440&gt;=61,"Senior")</f>
        <v>Middle-aged</v>
      </c>
      <c r="S1440" cm="1">
        <f t="array" ref="S1440">_xlfn.IFS(Q1440 ="Fortnightly",14,Q1440="Weekly",7,Q1440="Monthly",30,Q1440="Quarterly",90,Q1440="Bi-Weekly",14,Q1440="Annually",365,Q1440="Every 3 Months",90,TRUE,"NOT FOUND")</f>
        <v>30</v>
      </c>
    </row>
    <row r="1441" spans="1:19" x14ac:dyDescent="0.35">
      <c r="A1441">
        <v>1440</v>
      </c>
      <c r="B1441">
        <v>25</v>
      </c>
      <c r="C1441" t="s">
        <v>7</v>
      </c>
      <c r="D1441" t="s">
        <v>125</v>
      </c>
      <c r="E1441" t="s">
        <v>30</v>
      </c>
      <c r="F1441">
        <v>48</v>
      </c>
      <c r="G1441" t="s">
        <v>118</v>
      </c>
      <c r="H1441" t="s">
        <v>32</v>
      </c>
      <c r="I1441" t="s">
        <v>124</v>
      </c>
      <c r="J1441" t="s">
        <v>41</v>
      </c>
      <c r="K1441">
        <v>4.8</v>
      </c>
      <c r="L1441" t="s">
        <v>140</v>
      </c>
      <c r="M1441" t="s">
        <v>33</v>
      </c>
      <c r="N1441" t="s">
        <v>14</v>
      </c>
      <c r="O1441">
        <v>25</v>
      </c>
      <c r="P1441" t="s">
        <v>21</v>
      </c>
      <c r="Q1441" t="s">
        <v>17</v>
      </c>
      <c r="R1441" t="str" cm="1">
        <f t="array" ref="R1441">_xlfn.IFS(B1441&lt;31,"Young-Adult",B1441&lt;41,"Adult",B1441&lt;61,"Middle-aged",B1441&gt;=61,"Senior")</f>
        <v>Young-Adult</v>
      </c>
      <c r="S1441" cm="1">
        <f t="array" ref="S1441">_xlfn.IFS(Q1441 ="Fortnightly",14,Q1441="Weekly",7,Q1441="Monthly",30,Q1441="Quarterly",90,Q1441="Bi-Weekly",14,Q1441="Annually",365,Q1441="Every 3 Months",90,TRUE,"NOT FOUND")</f>
        <v>14</v>
      </c>
    </row>
    <row r="1442" spans="1:19" x14ac:dyDescent="0.35">
      <c r="A1442">
        <v>1441</v>
      </c>
      <c r="B1442">
        <v>27</v>
      </c>
      <c r="C1442" t="s">
        <v>7</v>
      </c>
      <c r="D1442" t="s">
        <v>29</v>
      </c>
      <c r="E1442" t="s">
        <v>30</v>
      </c>
      <c r="F1442">
        <v>76</v>
      </c>
      <c r="G1442" t="s">
        <v>105</v>
      </c>
      <c r="H1442" t="s">
        <v>32</v>
      </c>
      <c r="I1442" t="s">
        <v>57</v>
      </c>
      <c r="J1442" t="s">
        <v>25</v>
      </c>
      <c r="K1442">
        <v>4.4000000000000004</v>
      </c>
      <c r="L1442" t="s">
        <v>140</v>
      </c>
      <c r="M1442" t="s">
        <v>42</v>
      </c>
      <c r="N1442" t="s">
        <v>14</v>
      </c>
      <c r="O1442">
        <v>13</v>
      </c>
      <c r="P1442" t="s">
        <v>16</v>
      </c>
      <c r="Q1442" t="s">
        <v>76</v>
      </c>
      <c r="R1442" t="str" cm="1">
        <f t="array" ref="R1442">_xlfn.IFS(B1442&lt;31,"Young-Adult",B1442&lt;41,"Adult",B1442&lt;61,"Middle-aged",B1442&gt;=61,"Senior")</f>
        <v>Young-Adult</v>
      </c>
      <c r="S1442" cm="1">
        <f t="array" ref="S1442">_xlfn.IFS(Q1442 ="Fortnightly",14,Q1442="Weekly",7,Q1442="Monthly",30,Q1442="Quarterly",90,Q1442="Bi-Weekly",14,Q1442="Annually",365,Q1442="Every 3 Months",90,TRUE,"NOT FOUND")</f>
        <v>30</v>
      </c>
    </row>
    <row r="1443" spans="1:19" x14ac:dyDescent="0.35">
      <c r="A1443">
        <v>1442</v>
      </c>
      <c r="B1443">
        <v>34</v>
      </c>
      <c r="C1443" t="s">
        <v>7</v>
      </c>
      <c r="D1443" t="s">
        <v>83</v>
      </c>
      <c r="E1443" t="s">
        <v>9</v>
      </c>
      <c r="F1443">
        <v>25</v>
      </c>
      <c r="G1443" t="s">
        <v>133</v>
      </c>
      <c r="H1443" t="s">
        <v>24</v>
      </c>
      <c r="I1443" t="s">
        <v>36</v>
      </c>
      <c r="J1443" t="s">
        <v>41</v>
      </c>
      <c r="K1443">
        <v>3.4</v>
      </c>
      <c r="L1443" t="s">
        <v>140</v>
      </c>
      <c r="M1443" t="s">
        <v>26</v>
      </c>
      <c r="N1443" t="s">
        <v>14</v>
      </c>
      <c r="O1443">
        <v>3</v>
      </c>
      <c r="P1443" t="s">
        <v>16</v>
      </c>
      <c r="Q1443" t="s">
        <v>85</v>
      </c>
      <c r="R1443" t="str" cm="1">
        <f t="array" ref="R1443">_xlfn.IFS(B1443&lt;31,"Young-Adult",B1443&lt;41,"Adult",B1443&lt;61,"Middle-aged",B1443&gt;=61,"Senior")</f>
        <v>Adult</v>
      </c>
      <c r="S1443" cm="1">
        <f t="array" ref="S1443">_xlfn.IFS(Q1443 ="Fortnightly",14,Q1443="Weekly",7,Q1443="Monthly",30,Q1443="Quarterly",90,Q1443="Bi-Weekly",14,Q1443="Annually",365,Q1443="Every 3 Months",90,TRUE,"NOT FOUND")</f>
        <v>90</v>
      </c>
    </row>
    <row r="1444" spans="1:19" x14ac:dyDescent="0.35">
      <c r="A1444">
        <v>1443</v>
      </c>
      <c r="B1444">
        <v>53</v>
      </c>
      <c r="C1444" t="s">
        <v>7</v>
      </c>
      <c r="D1444" t="s">
        <v>92</v>
      </c>
      <c r="E1444" t="s">
        <v>9</v>
      </c>
      <c r="F1444">
        <v>92</v>
      </c>
      <c r="G1444" t="s">
        <v>123</v>
      </c>
      <c r="H1444" t="s">
        <v>24</v>
      </c>
      <c r="I1444" t="s">
        <v>71</v>
      </c>
      <c r="J1444" t="s">
        <v>25</v>
      </c>
      <c r="K1444">
        <v>2.8</v>
      </c>
      <c r="L1444" t="s">
        <v>140</v>
      </c>
      <c r="M1444" t="s">
        <v>58</v>
      </c>
      <c r="N1444" t="s">
        <v>14</v>
      </c>
      <c r="O1444">
        <v>42</v>
      </c>
      <c r="P1444" t="s">
        <v>27</v>
      </c>
      <c r="Q1444" t="s">
        <v>37</v>
      </c>
      <c r="R1444" t="str" cm="1">
        <f t="array" ref="R1444">_xlfn.IFS(B1444&lt;31,"Young-Adult",B1444&lt;41,"Adult",B1444&lt;61,"Middle-aged",B1444&gt;=61,"Senior")</f>
        <v>Middle-aged</v>
      </c>
      <c r="S1444" cm="1">
        <f t="array" ref="S1444">_xlfn.IFS(Q1444 ="Fortnightly",14,Q1444="Weekly",7,Q1444="Monthly",30,Q1444="Quarterly",90,Q1444="Bi-Weekly",14,Q1444="Annually",365,Q1444="Every 3 Months",90,TRUE,"NOT FOUND")</f>
        <v>365</v>
      </c>
    </row>
    <row r="1445" spans="1:19" x14ac:dyDescent="0.35">
      <c r="A1445">
        <v>1444</v>
      </c>
      <c r="B1445">
        <v>58</v>
      </c>
      <c r="C1445" t="s">
        <v>7</v>
      </c>
      <c r="D1445" t="s">
        <v>29</v>
      </c>
      <c r="E1445" t="s">
        <v>30</v>
      </c>
      <c r="F1445">
        <v>47</v>
      </c>
      <c r="G1445" t="s">
        <v>123</v>
      </c>
      <c r="H1445" t="s">
        <v>11</v>
      </c>
      <c r="I1445" t="s">
        <v>73</v>
      </c>
      <c r="J1445" t="s">
        <v>45</v>
      </c>
      <c r="K1445">
        <v>4.2</v>
      </c>
      <c r="L1445" t="s">
        <v>140</v>
      </c>
      <c r="M1445" t="s">
        <v>33</v>
      </c>
      <c r="N1445" t="s">
        <v>14</v>
      </c>
      <c r="O1445">
        <v>2</v>
      </c>
      <c r="P1445" t="s">
        <v>21</v>
      </c>
      <c r="Q1445" t="s">
        <v>76</v>
      </c>
      <c r="R1445" t="str" cm="1">
        <f t="array" ref="R1445">_xlfn.IFS(B1445&lt;31,"Young-Adult",B1445&lt;41,"Adult",B1445&lt;61,"Middle-aged",B1445&gt;=61,"Senior")</f>
        <v>Middle-aged</v>
      </c>
      <c r="S1445" cm="1">
        <f t="array" ref="S1445">_xlfn.IFS(Q1445 ="Fortnightly",14,Q1445="Weekly",7,Q1445="Monthly",30,Q1445="Quarterly",90,Q1445="Bi-Weekly",14,Q1445="Annually",365,Q1445="Every 3 Months",90,TRUE,"NOT FOUND")</f>
        <v>30</v>
      </c>
    </row>
    <row r="1446" spans="1:19" x14ac:dyDescent="0.35">
      <c r="A1446">
        <v>1445</v>
      </c>
      <c r="B1446">
        <v>32</v>
      </c>
      <c r="C1446" t="s">
        <v>7</v>
      </c>
      <c r="D1446" t="s">
        <v>18</v>
      </c>
      <c r="E1446" t="s">
        <v>9</v>
      </c>
      <c r="F1446">
        <v>36</v>
      </c>
      <c r="G1446" t="s">
        <v>117</v>
      </c>
      <c r="H1446" t="s">
        <v>11</v>
      </c>
      <c r="I1446" t="s">
        <v>57</v>
      </c>
      <c r="J1446" t="s">
        <v>45</v>
      </c>
      <c r="K1446">
        <v>3.8</v>
      </c>
      <c r="L1446" t="s">
        <v>140</v>
      </c>
      <c r="M1446" t="s">
        <v>15</v>
      </c>
      <c r="N1446" t="s">
        <v>14</v>
      </c>
      <c r="O1446">
        <v>26</v>
      </c>
      <c r="P1446" t="s">
        <v>21</v>
      </c>
      <c r="Q1446" t="s">
        <v>46</v>
      </c>
      <c r="R1446" t="str" cm="1">
        <f t="array" ref="R1446">_xlfn.IFS(B1446&lt;31,"Young-Adult",B1446&lt;41,"Adult",B1446&lt;61,"Middle-aged",B1446&gt;=61,"Senior")</f>
        <v>Adult</v>
      </c>
      <c r="S1446" cm="1">
        <f t="array" ref="S1446">_xlfn.IFS(Q1446 ="Fortnightly",14,Q1446="Weekly",7,Q1446="Monthly",30,Q1446="Quarterly",90,Q1446="Bi-Weekly",14,Q1446="Annually",365,Q1446="Every 3 Months",90,TRUE,"NOT FOUND")</f>
        <v>90</v>
      </c>
    </row>
    <row r="1447" spans="1:19" x14ac:dyDescent="0.35">
      <c r="A1447">
        <v>1446</v>
      </c>
      <c r="B1447">
        <v>64</v>
      </c>
      <c r="C1447" t="s">
        <v>7</v>
      </c>
      <c r="D1447" t="s">
        <v>121</v>
      </c>
      <c r="E1447" t="s">
        <v>55</v>
      </c>
      <c r="F1447">
        <v>51</v>
      </c>
      <c r="G1447" t="s">
        <v>60</v>
      </c>
      <c r="H1447" t="s">
        <v>32</v>
      </c>
      <c r="I1447" t="s">
        <v>68</v>
      </c>
      <c r="J1447" t="s">
        <v>45</v>
      </c>
      <c r="K1447">
        <v>3.1</v>
      </c>
      <c r="L1447" t="s">
        <v>140</v>
      </c>
      <c r="M1447" t="s">
        <v>58</v>
      </c>
      <c r="N1447" t="s">
        <v>14</v>
      </c>
      <c r="O1447">
        <v>24</v>
      </c>
      <c r="P1447" t="s">
        <v>27</v>
      </c>
      <c r="Q1447" t="s">
        <v>37</v>
      </c>
      <c r="R1447" t="str" cm="1">
        <f t="array" ref="R1447">_xlfn.IFS(B1447&lt;31,"Young-Adult",B1447&lt;41,"Adult",B1447&lt;61,"Middle-aged",B1447&gt;=61,"Senior")</f>
        <v>Senior</v>
      </c>
      <c r="S1447" cm="1">
        <f t="array" ref="S1447">_xlfn.IFS(Q1447 ="Fortnightly",14,Q1447="Weekly",7,Q1447="Monthly",30,Q1447="Quarterly",90,Q1447="Bi-Weekly",14,Q1447="Annually",365,Q1447="Every 3 Months",90,TRUE,"NOT FOUND")</f>
        <v>365</v>
      </c>
    </row>
    <row r="1448" spans="1:19" x14ac:dyDescent="0.35">
      <c r="A1448">
        <v>1447</v>
      </c>
      <c r="B1448">
        <v>63</v>
      </c>
      <c r="C1448" t="s">
        <v>7</v>
      </c>
      <c r="D1448" t="s">
        <v>22</v>
      </c>
      <c r="E1448" t="s">
        <v>9</v>
      </c>
      <c r="F1448">
        <v>35</v>
      </c>
      <c r="G1448" t="s">
        <v>39</v>
      </c>
      <c r="H1448" t="s">
        <v>80</v>
      </c>
      <c r="I1448" t="s">
        <v>96</v>
      </c>
      <c r="J1448" t="s">
        <v>41</v>
      </c>
      <c r="K1448">
        <v>3.2</v>
      </c>
      <c r="L1448" t="s">
        <v>140</v>
      </c>
      <c r="M1448" t="s">
        <v>15</v>
      </c>
      <c r="N1448" t="s">
        <v>14</v>
      </c>
      <c r="O1448">
        <v>6</v>
      </c>
      <c r="P1448" t="s">
        <v>27</v>
      </c>
      <c r="Q1448" t="s">
        <v>46</v>
      </c>
      <c r="R1448" t="str" cm="1">
        <f t="array" ref="R1448">_xlfn.IFS(B1448&lt;31,"Young-Adult",B1448&lt;41,"Adult",B1448&lt;61,"Middle-aged",B1448&gt;=61,"Senior")</f>
        <v>Senior</v>
      </c>
      <c r="S1448" cm="1">
        <f t="array" ref="S1448">_xlfn.IFS(Q1448 ="Fortnightly",14,Q1448="Weekly",7,Q1448="Monthly",30,Q1448="Quarterly",90,Q1448="Bi-Weekly",14,Q1448="Annually",365,Q1448="Every 3 Months",90,TRUE,"NOT FOUND")</f>
        <v>90</v>
      </c>
    </row>
    <row r="1449" spans="1:19" x14ac:dyDescent="0.35">
      <c r="A1449">
        <v>1448</v>
      </c>
      <c r="B1449">
        <v>23</v>
      </c>
      <c r="C1449" t="s">
        <v>7</v>
      </c>
      <c r="D1449" t="s">
        <v>92</v>
      </c>
      <c r="E1449" t="s">
        <v>9</v>
      </c>
      <c r="F1449">
        <v>57</v>
      </c>
      <c r="G1449" t="s">
        <v>118</v>
      </c>
      <c r="H1449" t="s">
        <v>24</v>
      </c>
      <c r="I1449" t="s">
        <v>106</v>
      </c>
      <c r="J1449" t="s">
        <v>41</v>
      </c>
      <c r="K1449">
        <v>3</v>
      </c>
      <c r="L1449" t="s">
        <v>140</v>
      </c>
      <c r="M1449" t="s">
        <v>33</v>
      </c>
      <c r="N1449" t="s">
        <v>14</v>
      </c>
      <c r="O1449">
        <v>25</v>
      </c>
      <c r="P1449" t="s">
        <v>34</v>
      </c>
      <c r="Q1449" t="s">
        <v>76</v>
      </c>
      <c r="R1449" t="str" cm="1">
        <f t="array" ref="R1449">_xlfn.IFS(B1449&lt;31,"Young-Adult",B1449&lt;41,"Adult",B1449&lt;61,"Middle-aged",B1449&gt;=61,"Senior")</f>
        <v>Young-Adult</v>
      </c>
      <c r="S1449" cm="1">
        <f t="array" ref="S1449">_xlfn.IFS(Q1449 ="Fortnightly",14,Q1449="Weekly",7,Q1449="Monthly",30,Q1449="Quarterly",90,Q1449="Bi-Weekly",14,Q1449="Annually",365,Q1449="Every 3 Months",90,TRUE,"NOT FOUND")</f>
        <v>30</v>
      </c>
    </row>
    <row r="1450" spans="1:19" x14ac:dyDescent="0.35">
      <c r="A1450">
        <v>1449</v>
      </c>
      <c r="B1450">
        <v>64</v>
      </c>
      <c r="C1450" t="s">
        <v>7</v>
      </c>
      <c r="D1450" t="s">
        <v>125</v>
      </c>
      <c r="E1450" t="s">
        <v>30</v>
      </c>
      <c r="F1450">
        <v>95</v>
      </c>
      <c r="G1450" t="s">
        <v>52</v>
      </c>
      <c r="H1450" t="s">
        <v>32</v>
      </c>
      <c r="I1450" t="s">
        <v>82</v>
      </c>
      <c r="J1450" t="s">
        <v>41</v>
      </c>
      <c r="K1450">
        <v>3.6</v>
      </c>
      <c r="L1450" t="s">
        <v>140</v>
      </c>
      <c r="M1450" t="s">
        <v>26</v>
      </c>
      <c r="N1450" t="s">
        <v>14</v>
      </c>
      <c r="O1450">
        <v>11</v>
      </c>
      <c r="P1450" t="s">
        <v>27</v>
      </c>
      <c r="Q1450" t="s">
        <v>85</v>
      </c>
      <c r="R1450" t="str" cm="1">
        <f t="array" ref="R1450">_xlfn.IFS(B1450&lt;31,"Young-Adult",B1450&lt;41,"Adult",B1450&lt;61,"Middle-aged",B1450&gt;=61,"Senior")</f>
        <v>Senior</v>
      </c>
      <c r="S1450" cm="1">
        <f t="array" ref="S1450">_xlfn.IFS(Q1450 ="Fortnightly",14,Q1450="Weekly",7,Q1450="Monthly",30,Q1450="Quarterly",90,Q1450="Bi-Weekly",14,Q1450="Annually",365,Q1450="Every 3 Months",90,TRUE,"NOT FOUND")</f>
        <v>90</v>
      </c>
    </row>
    <row r="1451" spans="1:19" x14ac:dyDescent="0.35">
      <c r="A1451">
        <v>1450</v>
      </c>
      <c r="B1451">
        <v>18</v>
      </c>
      <c r="C1451" t="s">
        <v>7</v>
      </c>
      <c r="D1451" t="s">
        <v>113</v>
      </c>
      <c r="E1451" t="s">
        <v>9</v>
      </c>
      <c r="F1451">
        <v>41</v>
      </c>
      <c r="G1451" t="s">
        <v>72</v>
      </c>
      <c r="H1451" t="s">
        <v>11</v>
      </c>
      <c r="I1451" t="s">
        <v>81</v>
      </c>
      <c r="J1451" t="s">
        <v>13</v>
      </c>
      <c r="K1451">
        <v>2.5</v>
      </c>
      <c r="L1451" t="s">
        <v>140</v>
      </c>
      <c r="M1451" t="s">
        <v>62</v>
      </c>
      <c r="N1451" t="s">
        <v>14</v>
      </c>
      <c r="O1451">
        <v>20</v>
      </c>
      <c r="P1451" t="s">
        <v>21</v>
      </c>
      <c r="Q1451" t="s">
        <v>85</v>
      </c>
      <c r="R1451" t="str" cm="1">
        <f t="array" ref="R1451">_xlfn.IFS(B1451&lt;31,"Young-Adult",B1451&lt;41,"Adult",B1451&lt;61,"Middle-aged",B1451&gt;=61,"Senior")</f>
        <v>Young-Adult</v>
      </c>
      <c r="S1451" cm="1">
        <f t="array" ref="S1451">_xlfn.IFS(Q1451 ="Fortnightly",14,Q1451="Weekly",7,Q1451="Monthly",30,Q1451="Quarterly",90,Q1451="Bi-Weekly",14,Q1451="Annually",365,Q1451="Every 3 Months",90,TRUE,"NOT FOUND")</f>
        <v>90</v>
      </c>
    </row>
    <row r="1452" spans="1:19" x14ac:dyDescent="0.35">
      <c r="A1452">
        <v>1451</v>
      </c>
      <c r="B1452">
        <v>25</v>
      </c>
      <c r="C1452" t="s">
        <v>7</v>
      </c>
      <c r="D1452" t="s">
        <v>69</v>
      </c>
      <c r="E1452" t="s">
        <v>9</v>
      </c>
      <c r="F1452">
        <v>44</v>
      </c>
      <c r="G1452" t="s">
        <v>103</v>
      </c>
      <c r="H1452" t="s">
        <v>24</v>
      </c>
      <c r="I1452" t="s">
        <v>73</v>
      </c>
      <c r="J1452" t="s">
        <v>13</v>
      </c>
      <c r="K1452">
        <v>3.4</v>
      </c>
      <c r="L1452" t="s">
        <v>140</v>
      </c>
      <c r="M1452" t="s">
        <v>26</v>
      </c>
      <c r="N1452" t="s">
        <v>14</v>
      </c>
      <c r="O1452">
        <v>25</v>
      </c>
      <c r="P1452" t="s">
        <v>21</v>
      </c>
      <c r="Q1452" t="s">
        <v>46</v>
      </c>
      <c r="R1452" t="str" cm="1">
        <f t="array" ref="R1452">_xlfn.IFS(B1452&lt;31,"Young-Adult",B1452&lt;41,"Adult",B1452&lt;61,"Middle-aged",B1452&gt;=61,"Senior")</f>
        <v>Young-Adult</v>
      </c>
      <c r="S1452" cm="1">
        <f t="array" ref="S1452">_xlfn.IFS(Q1452 ="Fortnightly",14,Q1452="Weekly",7,Q1452="Monthly",30,Q1452="Quarterly",90,Q1452="Bi-Weekly",14,Q1452="Annually",365,Q1452="Every 3 Months",90,TRUE,"NOT FOUND")</f>
        <v>90</v>
      </c>
    </row>
    <row r="1453" spans="1:19" x14ac:dyDescent="0.35">
      <c r="A1453">
        <v>1452</v>
      </c>
      <c r="B1453">
        <v>54</v>
      </c>
      <c r="C1453" t="s">
        <v>7</v>
      </c>
      <c r="D1453" t="s">
        <v>90</v>
      </c>
      <c r="E1453" t="s">
        <v>51</v>
      </c>
      <c r="F1453">
        <v>34</v>
      </c>
      <c r="G1453" t="s">
        <v>128</v>
      </c>
      <c r="H1453" t="s">
        <v>32</v>
      </c>
      <c r="I1453" t="s">
        <v>20</v>
      </c>
      <c r="J1453" t="s">
        <v>45</v>
      </c>
      <c r="K1453">
        <v>2.5</v>
      </c>
      <c r="L1453" t="s">
        <v>140</v>
      </c>
      <c r="M1453" t="s">
        <v>33</v>
      </c>
      <c r="N1453" t="s">
        <v>14</v>
      </c>
      <c r="O1453">
        <v>35</v>
      </c>
      <c r="P1453" t="s">
        <v>34</v>
      </c>
      <c r="Q1453" t="s">
        <v>46</v>
      </c>
      <c r="R1453" t="str" cm="1">
        <f t="array" ref="R1453">_xlfn.IFS(B1453&lt;31,"Young-Adult",B1453&lt;41,"Adult",B1453&lt;61,"Middle-aged",B1453&gt;=61,"Senior")</f>
        <v>Middle-aged</v>
      </c>
      <c r="S1453" cm="1">
        <f t="array" ref="S1453">_xlfn.IFS(Q1453 ="Fortnightly",14,Q1453="Weekly",7,Q1453="Monthly",30,Q1453="Quarterly",90,Q1453="Bi-Weekly",14,Q1453="Annually",365,Q1453="Every 3 Months",90,TRUE,"NOT FOUND")</f>
        <v>90</v>
      </c>
    </row>
    <row r="1454" spans="1:19" x14ac:dyDescent="0.35">
      <c r="A1454">
        <v>1453</v>
      </c>
      <c r="B1454">
        <v>60</v>
      </c>
      <c r="C1454" t="s">
        <v>7</v>
      </c>
      <c r="D1454" t="s">
        <v>90</v>
      </c>
      <c r="E1454" t="s">
        <v>51</v>
      </c>
      <c r="F1454">
        <v>25</v>
      </c>
      <c r="G1454" t="s">
        <v>100</v>
      </c>
      <c r="H1454" t="s">
        <v>11</v>
      </c>
      <c r="I1454" t="s">
        <v>132</v>
      </c>
      <c r="J1454" t="s">
        <v>25</v>
      </c>
      <c r="K1454">
        <v>4.7</v>
      </c>
      <c r="L1454" t="s">
        <v>140</v>
      </c>
      <c r="M1454" t="s">
        <v>58</v>
      </c>
      <c r="N1454" t="s">
        <v>14</v>
      </c>
      <c r="O1454">
        <v>11</v>
      </c>
      <c r="P1454" t="s">
        <v>63</v>
      </c>
      <c r="Q1454" t="s">
        <v>46</v>
      </c>
      <c r="R1454" t="str" cm="1">
        <f t="array" ref="R1454">_xlfn.IFS(B1454&lt;31,"Young-Adult",B1454&lt;41,"Adult",B1454&lt;61,"Middle-aged",B1454&gt;=61,"Senior")</f>
        <v>Middle-aged</v>
      </c>
      <c r="S1454" cm="1">
        <f t="array" ref="S1454">_xlfn.IFS(Q1454 ="Fortnightly",14,Q1454="Weekly",7,Q1454="Monthly",30,Q1454="Quarterly",90,Q1454="Bi-Weekly",14,Q1454="Annually",365,Q1454="Every 3 Months",90,TRUE,"NOT FOUND")</f>
        <v>90</v>
      </c>
    </row>
    <row r="1455" spans="1:19" x14ac:dyDescent="0.35">
      <c r="A1455">
        <v>1454</v>
      </c>
      <c r="B1455">
        <v>36</v>
      </c>
      <c r="C1455" t="s">
        <v>7</v>
      </c>
      <c r="D1455" t="s">
        <v>125</v>
      </c>
      <c r="E1455" t="s">
        <v>30</v>
      </c>
      <c r="F1455">
        <v>93</v>
      </c>
      <c r="G1455" t="s">
        <v>129</v>
      </c>
      <c r="H1455" t="s">
        <v>24</v>
      </c>
      <c r="I1455" t="s">
        <v>73</v>
      </c>
      <c r="J1455" t="s">
        <v>13</v>
      </c>
      <c r="K1455">
        <v>3.2</v>
      </c>
      <c r="L1455" t="s">
        <v>140</v>
      </c>
      <c r="M1455" t="s">
        <v>58</v>
      </c>
      <c r="N1455" t="s">
        <v>14</v>
      </c>
      <c r="O1455">
        <v>41</v>
      </c>
      <c r="P1455" t="s">
        <v>63</v>
      </c>
      <c r="Q1455" t="s">
        <v>17</v>
      </c>
      <c r="R1455" t="str" cm="1">
        <f t="array" ref="R1455">_xlfn.IFS(B1455&lt;31,"Young-Adult",B1455&lt;41,"Adult",B1455&lt;61,"Middle-aged",B1455&gt;=61,"Senior")</f>
        <v>Adult</v>
      </c>
      <c r="S1455" cm="1">
        <f t="array" ref="S1455">_xlfn.IFS(Q1455 ="Fortnightly",14,Q1455="Weekly",7,Q1455="Monthly",30,Q1455="Quarterly",90,Q1455="Bi-Weekly",14,Q1455="Annually",365,Q1455="Every 3 Months",90,TRUE,"NOT FOUND")</f>
        <v>14</v>
      </c>
    </row>
    <row r="1456" spans="1:19" x14ac:dyDescent="0.35">
      <c r="A1456">
        <v>1455</v>
      </c>
      <c r="B1456">
        <v>66</v>
      </c>
      <c r="C1456" t="s">
        <v>7</v>
      </c>
      <c r="D1456" t="s">
        <v>38</v>
      </c>
      <c r="E1456" t="s">
        <v>30</v>
      </c>
      <c r="F1456">
        <v>50</v>
      </c>
      <c r="G1456" t="s">
        <v>130</v>
      </c>
      <c r="H1456" t="s">
        <v>11</v>
      </c>
      <c r="I1456" t="s">
        <v>20</v>
      </c>
      <c r="J1456" t="s">
        <v>13</v>
      </c>
      <c r="K1456">
        <v>2.9</v>
      </c>
      <c r="L1456" t="s">
        <v>140</v>
      </c>
      <c r="M1456" t="s">
        <v>26</v>
      </c>
      <c r="N1456" t="s">
        <v>14</v>
      </c>
      <c r="O1456">
        <v>17</v>
      </c>
      <c r="P1456" t="s">
        <v>27</v>
      </c>
      <c r="Q1456" t="s">
        <v>37</v>
      </c>
      <c r="R1456" t="str" cm="1">
        <f t="array" ref="R1456">_xlfn.IFS(B1456&lt;31,"Young-Adult",B1456&lt;41,"Adult",B1456&lt;61,"Middle-aged",B1456&gt;=61,"Senior")</f>
        <v>Senior</v>
      </c>
      <c r="S1456" cm="1">
        <f t="array" ref="S1456">_xlfn.IFS(Q1456 ="Fortnightly",14,Q1456="Weekly",7,Q1456="Monthly",30,Q1456="Quarterly",90,Q1456="Bi-Weekly",14,Q1456="Annually",365,Q1456="Every 3 Months",90,TRUE,"NOT FOUND")</f>
        <v>365</v>
      </c>
    </row>
    <row r="1457" spans="1:19" x14ac:dyDescent="0.35">
      <c r="A1457">
        <v>1456</v>
      </c>
      <c r="B1457">
        <v>60</v>
      </c>
      <c r="C1457" t="s">
        <v>7</v>
      </c>
      <c r="D1457" t="s">
        <v>83</v>
      </c>
      <c r="E1457" t="s">
        <v>9</v>
      </c>
      <c r="F1457">
        <v>79</v>
      </c>
      <c r="G1457" t="s">
        <v>78</v>
      </c>
      <c r="H1457" t="s">
        <v>11</v>
      </c>
      <c r="I1457" t="s">
        <v>53</v>
      </c>
      <c r="J1457" t="s">
        <v>45</v>
      </c>
      <c r="K1457">
        <v>4.9000000000000004</v>
      </c>
      <c r="L1457" t="s">
        <v>140</v>
      </c>
      <c r="M1457" t="s">
        <v>15</v>
      </c>
      <c r="N1457" t="s">
        <v>14</v>
      </c>
      <c r="O1457">
        <v>1</v>
      </c>
      <c r="P1457" t="s">
        <v>34</v>
      </c>
      <c r="Q1457" t="s">
        <v>85</v>
      </c>
      <c r="R1457" t="str" cm="1">
        <f t="array" ref="R1457">_xlfn.IFS(B1457&lt;31,"Young-Adult",B1457&lt;41,"Adult",B1457&lt;61,"Middle-aged",B1457&gt;=61,"Senior")</f>
        <v>Middle-aged</v>
      </c>
      <c r="S1457" cm="1">
        <f t="array" ref="S1457">_xlfn.IFS(Q1457 ="Fortnightly",14,Q1457="Weekly",7,Q1457="Monthly",30,Q1457="Quarterly",90,Q1457="Bi-Weekly",14,Q1457="Annually",365,Q1457="Every 3 Months",90,TRUE,"NOT FOUND")</f>
        <v>90</v>
      </c>
    </row>
    <row r="1458" spans="1:19" x14ac:dyDescent="0.35">
      <c r="A1458">
        <v>1457</v>
      </c>
      <c r="B1458">
        <v>59</v>
      </c>
      <c r="C1458" t="s">
        <v>7</v>
      </c>
      <c r="D1458" t="s">
        <v>50</v>
      </c>
      <c r="E1458" t="s">
        <v>51</v>
      </c>
      <c r="F1458">
        <v>100</v>
      </c>
      <c r="G1458" t="s">
        <v>44</v>
      </c>
      <c r="H1458" t="s">
        <v>24</v>
      </c>
      <c r="I1458" t="s">
        <v>66</v>
      </c>
      <c r="J1458" t="s">
        <v>25</v>
      </c>
      <c r="K1458">
        <v>2.7</v>
      </c>
      <c r="L1458" t="s">
        <v>140</v>
      </c>
      <c r="M1458" t="s">
        <v>62</v>
      </c>
      <c r="N1458" t="s">
        <v>14</v>
      </c>
      <c r="O1458">
        <v>30</v>
      </c>
      <c r="P1458" t="s">
        <v>34</v>
      </c>
      <c r="Q1458" t="s">
        <v>85</v>
      </c>
      <c r="R1458" t="str" cm="1">
        <f t="array" ref="R1458">_xlfn.IFS(B1458&lt;31,"Young-Adult",B1458&lt;41,"Adult",B1458&lt;61,"Middle-aged",B1458&gt;=61,"Senior")</f>
        <v>Middle-aged</v>
      </c>
      <c r="S1458" cm="1">
        <f t="array" ref="S1458">_xlfn.IFS(Q1458 ="Fortnightly",14,Q1458="Weekly",7,Q1458="Monthly",30,Q1458="Quarterly",90,Q1458="Bi-Weekly",14,Q1458="Annually",365,Q1458="Every 3 Months",90,TRUE,"NOT FOUND")</f>
        <v>90</v>
      </c>
    </row>
    <row r="1459" spans="1:19" x14ac:dyDescent="0.35">
      <c r="A1459">
        <v>1458</v>
      </c>
      <c r="B1459">
        <v>58</v>
      </c>
      <c r="C1459" t="s">
        <v>7</v>
      </c>
      <c r="D1459" t="s">
        <v>43</v>
      </c>
      <c r="E1459" t="s">
        <v>9</v>
      </c>
      <c r="F1459">
        <v>57</v>
      </c>
      <c r="G1459" t="s">
        <v>126</v>
      </c>
      <c r="H1459" t="s">
        <v>24</v>
      </c>
      <c r="I1459" t="s">
        <v>12</v>
      </c>
      <c r="J1459" t="s">
        <v>25</v>
      </c>
      <c r="K1459">
        <v>4.7</v>
      </c>
      <c r="L1459" t="s">
        <v>140</v>
      </c>
      <c r="M1459" t="s">
        <v>15</v>
      </c>
      <c r="N1459" t="s">
        <v>14</v>
      </c>
      <c r="O1459">
        <v>47</v>
      </c>
      <c r="P1459" t="s">
        <v>16</v>
      </c>
      <c r="Q1459" t="s">
        <v>17</v>
      </c>
      <c r="R1459" t="str" cm="1">
        <f t="array" ref="R1459">_xlfn.IFS(B1459&lt;31,"Young-Adult",B1459&lt;41,"Adult",B1459&lt;61,"Middle-aged",B1459&gt;=61,"Senior")</f>
        <v>Middle-aged</v>
      </c>
      <c r="S1459" cm="1">
        <f t="array" ref="S1459">_xlfn.IFS(Q1459 ="Fortnightly",14,Q1459="Weekly",7,Q1459="Monthly",30,Q1459="Quarterly",90,Q1459="Bi-Weekly",14,Q1459="Annually",365,Q1459="Every 3 Months",90,TRUE,"NOT FOUND")</f>
        <v>14</v>
      </c>
    </row>
    <row r="1460" spans="1:19" x14ac:dyDescent="0.35">
      <c r="A1460">
        <v>1459</v>
      </c>
      <c r="B1460">
        <v>35</v>
      </c>
      <c r="C1460" t="s">
        <v>7</v>
      </c>
      <c r="D1460" t="s">
        <v>18</v>
      </c>
      <c r="E1460" t="s">
        <v>9</v>
      </c>
      <c r="F1460">
        <v>28</v>
      </c>
      <c r="G1460" t="s">
        <v>56</v>
      </c>
      <c r="H1460" t="s">
        <v>32</v>
      </c>
      <c r="I1460" t="s">
        <v>88</v>
      </c>
      <c r="J1460" t="s">
        <v>25</v>
      </c>
      <c r="K1460">
        <v>2.9</v>
      </c>
      <c r="L1460" t="s">
        <v>140</v>
      </c>
      <c r="M1460" t="s">
        <v>58</v>
      </c>
      <c r="N1460" t="s">
        <v>14</v>
      </c>
      <c r="O1460">
        <v>34</v>
      </c>
      <c r="P1460" t="s">
        <v>16</v>
      </c>
      <c r="Q1460" t="s">
        <v>28</v>
      </c>
      <c r="R1460" t="str" cm="1">
        <f t="array" ref="R1460">_xlfn.IFS(B1460&lt;31,"Young-Adult",B1460&lt;41,"Adult",B1460&lt;61,"Middle-aged",B1460&gt;=61,"Senior")</f>
        <v>Adult</v>
      </c>
      <c r="S1460" cm="1">
        <f t="array" ref="S1460">_xlfn.IFS(Q1460 ="Fortnightly",14,Q1460="Weekly",7,Q1460="Monthly",30,Q1460="Quarterly",90,Q1460="Bi-Weekly",14,Q1460="Annually",365,Q1460="Every 3 Months",90,TRUE,"NOT FOUND")</f>
        <v>7</v>
      </c>
    </row>
    <row r="1461" spans="1:19" x14ac:dyDescent="0.35">
      <c r="A1461">
        <v>1460</v>
      </c>
      <c r="B1461">
        <v>20</v>
      </c>
      <c r="C1461" t="s">
        <v>7</v>
      </c>
      <c r="D1461" t="s">
        <v>59</v>
      </c>
      <c r="E1461" t="s">
        <v>30</v>
      </c>
      <c r="F1461">
        <v>35</v>
      </c>
      <c r="G1461" t="s">
        <v>19</v>
      </c>
      <c r="H1461" t="s">
        <v>11</v>
      </c>
      <c r="I1461" t="s">
        <v>122</v>
      </c>
      <c r="J1461" t="s">
        <v>13</v>
      </c>
      <c r="K1461">
        <v>4.8</v>
      </c>
      <c r="L1461" t="s">
        <v>140</v>
      </c>
      <c r="M1461" t="s">
        <v>15</v>
      </c>
      <c r="N1461" t="s">
        <v>14</v>
      </c>
      <c r="O1461">
        <v>18</v>
      </c>
      <c r="P1461" t="s">
        <v>16</v>
      </c>
      <c r="Q1461" t="s">
        <v>17</v>
      </c>
      <c r="R1461" t="str" cm="1">
        <f t="array" ref="R1461">_xlfn.IFS(B1461&lt;31,"Young-Adult",B1461&lt;41,"Adult",B1461&lt;61,"Middle-aged",B1461&gt;=61,"Senior")</f>
        <v>Young-Adult</v>
      </c>
      <c r="S1461" cm="1">
        <f t="array" ref="S1461">_xlfn.IFS(Q1461 ="Fortnightly",14,Q1461="Weekly",7,Q1461="Monthly",30,Q1461="Quarterly",90,Q1461="Bi-Weekly",14,Q1461="Annually",365,Q1461="Every 3 Months",90,TRUE,"NOT FOUND")</f>
        <v>14</v>
      </c>
    </row>
    <row r="1462" spans="1:19" x14ac:dyDescent="0.35">
      <c r="A1462">
        <v>1461</v>
      </c>
      <c r="B1462">
        <v>70</v>
      </c>
      <c r="C1462" t="s">
        <v>7</v>
      </c>
      <c r="D1462" t="s">
        <v>125</v>
      </c>
      <c r="E1462" t="s">
        <v>30</v>
      </c>
      <c r="F1462">
        <v>85</v>
      </c>
      <c r="G1462" t="s">
        <v>126</v>
      </c>
      <c r="H1462" t="s">
        <v>11</v>
      </c>
      <c r="I1462" t="s">
        <v>71</v>
      </c>
      <c r="J1462" t="s">
        <v>45</v>
      </c>
      <c r="K1462">
        <v>4.5999999999999996</v>
      </c>
      <c r="L1462" t="s">
        <v>140</v>
      </c>
      <c r="M1462" t="s">
        <v>42</v>
      </c>
      <c r="N1462" t="s">
        <v>14</v>
      </c>
      <c r="O1462">
        <v>33</v>
      </c>
      <c r="P1462" t="s">
        <v>16</v>
      </c>
      <c r="Q1462" t="s">
        <v>64</v>
      </c>
      <c r="R1462" t="str" cm="1">
        <f t="array" ref="R1462">_xlfn.IFS(B1462&lt;31,"Young-Adult",B1462&lt;41,"Adult",B1462&lt;61,"Middle-aged",B1462&gt;=61,"Senior")</f>
        <v>Senior</v>
      </c>
      <c r="S1462" cm="1">
        <f t="array" ref="S1462">_xlfn.IFS(Q1462 ="Fortnightly",14,Q1462="Weekly",7,Q1462="Monthly",30,Q1462="Quarterly",90,Q1462="Bi-Weekly",14,Q1462="Annually",365,Q1462="Every 3 Months",90,TRUE,"NOT FOUND")</f>
        <v>14</v>
      </c>
    </row>
    <row r="1463" spans="1:19" x14ac:dyDescent="0.35">
      <c r="A1463">
        <v>1462</v>
      </c>
      <c r="B1463">
        <v>54</v>
      </c>
      <c r="C1463" t="s">
        <v>7</v>
      </c>
      <c r="D1463" t="s">
        <v>77</v>
      </c>
      <c r="E1463" t="s">
        <v>55</v>
      </c>
      <c r="F1463">
        <v>95</v>
      </c>
      <c r="G1463" t="s">
        <v>35</v>
      </c>
      <c r="H1463" t="s">
        <v>24</v>
      </c>
      <c r="I1463" t="s">
        <v>96</v>
      </c>
      <c r="J1463" t="s">
        <v>41</v>
      </c>
      <c r="K1463">
        <v>5</v>
      </c>
      <c r="L1463" t="s">
        <v>140</v>
      </c>
      <c r="M1463" t="s">
        <v>58</v>
      </c>
      <c r="N1463" t="s">
        <v>14</v>
      </c>
      <c r="O1463">
        <v>42</v>
      </c>
      <c r="P1463" t="s">
        <v>16</v>
      </c>
      <c r="Q1463" t="s">
        <v>46</v>
      </c>
      <c r="R1463" t="str" cm="1">
        <f t="array" ref="R1463">_xlfn.IFS(B1463&lt;31,"Young-Adult",B1463&lt;41,"Adult",B1463&lt;61,"Middle-aged",B1463&gt;=61,"Senior")</f>
        <v>Middle-aged</v>
      </c>
      <c r="S1463" cm="1">
        <f t="array" ref="S1463">_xlfn.IFS(Q1463 ="Fortnightly",14,Q1463="Weekly",7,Q1463="Monthly",30,Q1463="Quarterly",90,Q1463="Bi-Weekly",14,Q1463="Annually",365,Q1463="Every 3 Months",90,TRUE,"NOT FOUND")</f>
        <v>90</v>
      </c>
    </row>
    <row r="1464" spans="1:19" x14ac:dyDescent="0.35">
      <c r="A1464">
        <v>1463</v>
      </c>
      <c r="B1464">
        <v>38</v>
      </c>
      <c r="C1464" t="s">
        <v>7</v>
      </c>
      <c r="D1464" t="s">
        <v>38</v>
      </c>
      <c r="E1464" t="s">
        <v>30</v>
      </c>
      <c r="F1464">
        <v>90</v>
      </c>
      <c r="G1464" t="s">
        <v>128</v>
      </c>
      <c r="H1464" t="s">
        <v>24</v>
      </c>
      <c r="I1464" t="s">
        <v>49</v>
      </c>
      <c r="J1464" t="s">
        <v>41</v>
      </c>
      <c r="K1464">
        <v>4.8</v>
      </c>
      <c r="L1464" t="s">
        <v>140</v>
      </c>
      <c r="M1464" t="s">
        <v>58</v>
      </c>
      <c r="N1464" t="s">
        <v>14</v>
      </c>
      <c r="O1464">
        <v>2</v>
      </c>
      <c r="P1464" t="s">
        <v>16</v>
      </c>
      <c r="Q1464" t="s">
        <v>46</v>
      </c>
      <c r="R1464" t="str" cm="1">
        <f t="array" ref="R1464">_xlfn.IFS(B1464&lt;31,"Young-Adult",B1464&lt;41,"Adult",B1464&lt;61,"Middle-aged",B1464&gt;=61,"Senior")</f>
        <v>Adult</v>
      </c>
      <c r="S1464" cm="1">
        <f t="array" ref="S1464">_xlfn.IFS(Q1464 ="Fortnightly",14,Q1464="Weekly",7,Q1464="Monthly",30,Q1464="Quarterly",90,Q1464="Bi-Weekly",14,Q1464="Annually",365,Q1464="Every 3 Months",90,TRUE,"NOT FOUND")</f>
        <v>90</v>
      </c>
    </row>
    <row r="1465" spans="1:19" x14ac:dyDescent="0.35">
      <c r="A1465">
        <v>1464</v>
      </c>
      <c r="B1465">
        <v>54</v>
      </c>
      <c r="C1465" t="s">
        <v>7</v>
      </c>
      <c r="D1465" t="s">
        <v>94</v>
      </c>
      <c r="E1465" t="s">
        <v>55</v>
      </c>
      <c r="F1465">
        <v>49</v>
      </c>
      <c r="G1465" t="s">
        <v>89</v>
      </c>
      <c r="H1465" t="s">
        <v>32</v>
      </c>
      <c r="I1465" t="s">
        <v>106</v>
      </c>
      <c r="J1465" t="s">
        <v>41</v>
      </c>
      <c r="K1465">
        <v>4.9000000000000004</v>
      </c>
      <c r="L1465" t="s">
        <v>140</v>
      </c>
      <c r="M1465" t="s">
        <v>62</v>
      </c>
      <c r="N1465" t="s">
        <v>14</v>
      </c>
      <c r="O1465">
        <v>1</v>
      </c>
      <c r="P1465" t="s">
        <v>63</v>
      </c>
      <c r="Q1465" t="s">
        <v>76</v>
      </c>
      <c r="R1465" t="str" cm="1">
        <f t="array" ref="R1465">_xlfn.IFS(B1465&lt;31,"Young-Adult",B1465&lt;41,"Adult",B1465&lt;61,"Middle-aged",B1465&gt;=61,"Senior")</f>
        <v>Middle-aged</v>
      </c>
      <c r="S1465" cm="1">
        <f t="array" ref="S1465">_xlfn.IFS(Q1465 ="Fortnightly",14,Q1465="Weekly",7,Q1465="Monthly",30,Q1465="Quarterly",90,Q1465="Bi-Weekly",14,Q1465="Annually",365,Q1465="Every 3 Months",90,TRUE,"NOT FOUND")</f>
        <v>30</v>
      </c>
    </row>
    <row r="1466" spans="1:19" x14ac:dyDescent="0.35">
      <c r="A1466">
        <v>1465</v>
      </c>
      <c r="B1466">
        <v>33</v>
      </c>
      <c r="C1466" t="s">
        <v>7</v>
      </c>
      <c r="D1466" t="s">
        <v>121</v>
      </c>
      <c r="E1466" t="s">
        <v>55</v>
      </c>
      <c r="F1466">
        <v>92</v>
      </c>
      <c r="G1466" t="s">
        <v>44</v>
      </c>
      <c r="H1466" t="s">
        <v>32</v>
      </c>
      <c r="I1466" t="s">
        <v>88</v>
      </c>
      <c r="J1466" t="s">
        <v>13</v>
      </c>
      <c r="K1466">
        <v>4.5999999999999996</v>
      </c>
      <c r="L1466" t="s">
        <v>140</v>
      </c>
      <c r="M1466" t="s">
        <v>58</v>
      </c>
      <c r="N1466" t="s">
        <v>14</v>
      </c>
      <c r="O1466">
        <v>23</v>
      </c>
      <c r="P1466" t="s">
        <v>63</v>
      </c>
      <c r="Q1466" t="s">
        <v>46</v>
      </c>
      <c r="R1466" t="str" cm="1">
        <f t="array" ref="R1466">_xlfn.IFS(B1466&lt;31,"Young-Adult",B1466&lt;41,"Adult",B1466&lt;61,"Middle-aged",B1466&gt;=61,"Senior")</f>
        <v>Adult</v>
      </c>
      <c r="S1466" cm="1">
        <f t="array" ref="S1466">_xlfn.IFS(Q1466 ="Fortnightly",14,Q1466="Weekly",7,Q1466="Monthly",30,Q1466="Quarterly",90,Q1466="Bi-Weekly",14,Q1466="Annually",365,Q1466="Every 3 Months",90,TRUE,"NOT FOUND")</f>
        <v>90</v>
      </c>
    </row>
    <row r="1467" spans="1:19" x14ac:dyDescent="0.35">
      <c r="A1467">
        <v>1466</v>
      </c>
      <c r="B1467">
        <v>46</v>
      </c>
      <c r="C1467" t="s">
        <v>7</v>
      </c>
      <c r="D1467" t="s">
        <v>131</v>
      </c>
      <c r="E1467" t="s">
        <v>55</v>
      </c>
      <c r="F1467">
        <v>72</v>
      </c>
      <c r="G1467" t="s">
        <v>133</v>
      </c>
      <c r="H1467" t="s">
        <v>80</v>
      </c>
      <c r="I1467" t="s">
        <v>71</v>
      </c>
      <c r="J1467" t="s">
        <v>13</v>
      </c>
      <c r="K1467">
        <v>3.9</v>
      </c>
      <c r="L1467" t="s">
        <v>140</v>
      </c>
      <c r="M1467" t="s">
        <v>62</v>
      </c>
      <c r="N1467" t="s">
        <v>14</v>
      </c>
      <c r="O1467">
        <v>42</v>
      </c>
      <c r="P1467" t="s">
        <v>21</v>
      </c>
      <c r="Q1467" t="s">
        <v>64</v>
      </c>
      <c r="R1467" t="str" cm="1">
        <f t="array" ref="R1467">_xlfn.IFS(B1467&lt;31,"Young-Adult",B1467&lt;41,"Adult",B1467&lt;61,"Middle-aged",B1467&gt;=61,"Senior")</f>
        <v>Middle-aged</v>
      </c>
      <c r="S1467" cm="1">
        <f t="array" ref="S1467">_xlfn.IFS(Q1467 ="Fortnightly",14,Q1467="Weekly",7,Q1467="Monthly",30,Q1467="Quarterly",90,Q1467="Bi-Weekly",14,Q1467="Annually",365,Q1467="Every 3 Months",90,TRUE,"NOT FOUND")</f>
        <v>14</v>
      </c>
    </row>
    <row r="1468" spans="1:19" x14ac:dyDescent="0.35">
      <c r="A1468">
        <v>1467</v>
      </c>
      <c r="B1468">
        <v>58</v>
      </c>
      <c r="C1468" t="s">
        <v>7</v>
      </c>
      <c r="D1468" t="s">
        <v>47</v>
      </c>
      <c r="E1468" t="s">
        <v>9</v>
      </c>
      <c r="F1468">
        <v>71</v>
      </c>
      <c r="G1468" t="s">
        <v>78</v>
      </c>
      <c r="H1468" t="s">
        <v>32</v>
      </c>
      <c r="I1468" t="s">
        <v>84</v>
      </c>
      <c r="J1468" t="s">
        <v>41</v>
      </c>
      <c r="K1468">
        <v>4.5</v>
      </c>
      <c r="L1468" t="s">
        <v>140</v>
      </c>
      <c r="M1468" t="s">
        <v>62</v>
      </c>
      <c r="N1468" t="s">
        <v>14</v>
      </c>
      <c r="O1468">
        <v>3</v>
      </c>
      <c r="P1468" t="s">
        <v>34</v>
      </c>
      <c r="Q1468" t="s">
        <v>37</v>
      </c>
      <c r="R1468" t="str" cm="1">
        <f t="array" ref="R1468">_xlfn.IFS(B1468&lt;31,"Young-Adult",B1468&lt;41,"Adult",B1468&lt;61,"Middle-aged",B1468&gt;=61,"Senior")</f>
        <v>Middle-aged</v>
      </c>
      <c r="S1468" cm="1">
        <f t="array" ref="S1468">_xlfn.IFS(Q1468 ="Fortnightly",14,Q1468="Weekly",7,Q1468="Monthly",30,Q1468="Quarterly",90,Q1468="Bi-Weekly",14,Q1468="Annually",365,Q1468="Every 3 Months",90,TRUE,"NOT FOUND")</f>
        <v>365</v>
      </c>
    </row>
    <row r="1469" spans="1:19" x14ac:dyDescent="0.35">
      <c r="A1469">
        <v>1468</v>
      </c>
      <c r="B1469">
        <v>30</v>
      </c>
      <c r="C1469" t="s">
        <v>7</v>
      </c>
      <c r="D1469" t="s">
        <v>94</v>
      </c>
      <c r="E1469" t="s">
        <v>55</v>
      </c>
      <c r="F1469">
        <v>27</v>
      </c>
      <c r="G1469" t="s">
        <v>111</v>
      </c>
      <c r="H1469" t="s">
        <v>80</v>
      </c>
      <c r="I1469" t="s">
        <v>66</v>
      </c>
      <c r="J1469" t="s">
        <v>13</v>
      </c>
      <c r="K1469">
        <v>4.7</v>
      </c>
      <c r="L1469" t="s">
        <v>140</v>
      </c>
      <c r="M1469" t="s">
        <v>62</v>
      </c>
      <c r="N1469" t="s">
        <v>14</v>
      </c>
      <c r="O1469">
        <v>16</v>
      </c>
      <c r="P1469" t="s">
        <v>74</v>
      </c>
      <c r="Q1469" t="s">
        <v>17</v>
      </c>
      <c r="R1469" t="str" cm="1">
        <f t="array" ref="R1469">_xlfn.IFS(B1469&lt;31,"Young-Adult",B1469&lt;41,"Adult",B1469&lt;61,"Middle-aged",B1469&gt;=61,"Senior")</f>
        <v>Young-Adult</v>
      </c>
      <c r="S1469" cm="1">
        <f t="array" ref="S1469">_xlfn.IFS(Q1469 ="Fortnightly",14,Q1469="Weekly",7,Q1469="Monthly",30,Q1469="Quarterly",90,Q1469="Bi-Weekly",14,Q1469="Annually",365,Q1469="Every 3 Months",90,TRUE,"NOT FOUND")</f>
        <v>14</v>
      </c>
    </row>
    <row r="1470" spans="1:19" x14ac:dyDescent="0.35">
      <c r="A1470">
        <v>1469</v>
      </c>
      <c r="B1470">
        <v>42</v>
      </c>
      <c r="C1470" t="s">
        <v>7</v>
      </c>
      <c r="D1470" t="s">
        <v>131</v>
      </c>
      <c r="E1470" t="s">
        <v>55</v>
      </c>
      <c r="F1470">
        <v>39</v>
      </c>
      <c r="G1470" t="s">
        <v>60</v>
      </c>
      <c r="H1470" t="s">
        <v>24</v>
      </c>
      <c r="I1470" t="s">
        <v>53</v>
      </c>
      <c r="J1470" t="s">
        <v>45</v>
      </c>
      <c r="K1470">
        <v>3.9</v>
      </c>
      <c r="L1470" t="s">
        <v>140</v>
      </c>
      <c r="M1470" t="s">
        <v>15</v>
      </c>
      <c r="N1470" t="s">
        <v>14</v>
      </c>
      <c r="O1470">
        <v>46</v>
      </c>
      <c r="P1470" t="s">
        <v>21</v>
      </c>
      <c r="Q1470" t="s">
        <v>17</v>
      </c>
      <c r="R1470" t="str" cm="1">
        <f t="array" ref="R1470">_xlfn.IFS(B1470&lt;31,"Young-Adult",B1470&lt;41,"Adult",B1470&lt;61,"Middle-aged",B1470&gt;=61,"Senior")</f>
        <v>Middle-aged</v>
      </c>
      <c r="S1470" cm="1">
        <f t="array" ref="S1470">_xlfn.IFS(Q1470 ="Fortnightly",14,Q1470="Weekly",7,Q1470="Monthly",30,Q1470="Quarterly",90,Q1470="Bi-Weekly",14,Q1470="Annually",365,Q1470="Every 3 Months",90,TRUE,"NOT FOUND")</f>
        <v>14</v>
      </c>
    </row>
    <row r="1471" spans="1:19" x14ac:dyDescent="0.35">
      <c r="A1471">
        <v>1470</v>
      </c>
      <c r="B1471">
        <v>28</v>
      </c>
      <c r="C1471" t="s">
        <v>7</v>
      </c>
      <c r="D1471" t="s">
        <v>94</v>
      </c>
      <c r="E1471" t="s">
        <v>55</v>
      </c>
      <c r="F1471">
        <v>98</v>
      </c>
      <c r="G1471" t="s">
        <v>79</v>
      </c>
      <c r="H1471" t="s">
        <v>32</v>
      </c>
      <c r="I1471" t="s">
        <v>61</v>
      </c>
      <c r="J1471" t="s">
        <v>13</v>
      </c>
      <c r="K1471">
        <v>4.4000000000000004</v>
      </c>
      <c r="L1471" t="s">
        <v>140</v>
      </c>
      <c r="M1471" t="s">
        <v>42</v>
      </c>
      <c r="N1471" t="s">
        <v>14</v>
      </c>
      <c r="O1471">
        <v>31</v>
      </c>
      <c r="P1471" t="s">
        <v>34</v>
      </c>
      <c r="Q1471" t="s">
        <v>85</v>
      </c>
      <c r="R1471" t="str" cm="1">
        <f t="array" ref="R1471">_xlfn.IFS(B1471&lt;31,"Young-Adult",B1471&lt;41,"Adult",B1471&lt;61,"Middle-aged",B1471&gt;=61,"Senior")</f>
        <v>Young-Adult</v>
      </c>
      <c r="S1471" cm="1">
        <f t="array" ref="S1471">_xlfn.IFS(Q1471 ="Fortnightly",14,Q1471="Weekly",7,Q1471="Monthly",30,Q1471="Quarterly",90,Q1471="Bi-Weekly",14,Q1471="Annually",365,Q1471="Every 3 Months",90,TRUE,"NOT FOUND")</f>
        <v>90</v>
      </c>
    </row>
    <row r="1472" spans="1:19" x14ac:dyDescent="0.35">
      <c r="A1472">
        <v>1471</v>
      </c>
      <c r="B1472">
        <v>43</v>
      </c>
      <c r="C1472" t="s">
        <v>7</v>
      </c>
      <c r="D1472" t="s">
        <v>29</v>
      </c>
      <c r="E1472" t="s">
        <v>30</v>
      </c>
      <c r="F1472">
        <v>27</v>
      </c>
      <c r="G1472" t="s">
        <v>87</v>
      </c>
      <c r="H1472" t="s">
        <v>32</v>
      </c>
      <c r="I1472" t="s">
        <v>53</v>
      </c>
      <c r="J1472" t="s">
        <v>25</v>
      </c>
      <c r="K1472">
        <v>3.9</v>
      </c>
      <c r="L1472" t="s">
        <v>140</v>
      </c>
      <c r="M1472" t="s">
        <v>33</v>
      </c>
      <c r="N1472" t="s">
        <v>14</v>
      </c>
      <c r="O1472">
        <v>15</v>
      </c>
      <c r="P1472" t="s">
        <v>21</v>
      </c>
      <c r="Q1472" t="s">
        <v>85</v>
      </c>
      <c r="R1472" t="str" cm="1">
        <f t="array" ref="R1472">_xlfn.IFS(B1472&lt;31,"Young-Adult",B1472&lt;41,"Adult",B1472&lt;61,"Middle-aged",B1472&gt;=61,"Senior")</f>
        <v>Middle-aged</v>
      </c>
      <c r="S1472" cm="1">
        <f t="array" ref="S1472">_xlfn.IFS(Q1472 ="Fortnightly",14,Q1472="Weekly",7,Q1472="Monthly",30,Q1472="Quarterly",90,Q1472="Bi-Weekly",14,Q1472="Annually",365,Q1472="Every 3 Months",90,TRUE,"NOT FOUND")</f>
        <v>90</v>
      </c>
    </row>
    <row r="1473" spans="1:19" x14ac:dyDescent="0.35">
      <c r="A1473">
        <v>1472</v>
      </c>
      <c r="B1473">
        <v>31</v>
      </c>
      <c r="C1473" t="s">
        <v>7</v>
      </c>
      <c r="D1473" t="s">
        <v>94</v>
      </c>
      <c r="E1473" t="s">
        <v>55</v>
      </c>
      <c r="F1473">
        <v>71</v>
      </c>
      <c r="G1473" t="s">
        <v>108</v>
      </c>
      <c r="H1473" t="s">
        <v>24</v>
      </c>
      <c r="I1473" t="s">
        <v>12</v>
      </c>
      <c r="J1473" t="s">
        <v>25</v>
      </c>
      <c r="K1473">
        <v>2.8</v>
      </c>
      <c r="L1473" t="s">
        <v>140</v>
      </c>
      <c r="M1473" t="s">
        <v>58</v>
      </c>
      <c r="N1473" t="s">
        <v>14</v>
      </c>
      <c r="O1473">
        <v>48</v>
      </c>
      <c r="P1473" t="s">
        <v>16</v>
      </c>
      <c r="Q1473" t="s">
        <v>85</v>
      </c>
      <c r="R1473" t="str" cm="1">
        <f t="array" ref="R1473">_xlfn.IFS(B1473&lt;31,"Young-Adult",B1473&lt;41,"Adult",B1473&lt;61,"Middle-aged",B1473&gt;=61,"Senior")</f>
        <v>Adult</v>
      </c>
      <c r="S1473" cm="1">
        <f t="array" ref="S1473">_xlfn.IFS(Q1473 ="Fortnightly",14,Q1473="Weekly",7,Q1473="Monthly",30,Q1473="Quarterly",90,Q1473="Bi-Weekly",14,Q1473="Annually",365,Q1473="Every 3 Months",90,TRUE,"NOT FOUND")</f>
        <v>90</v>
      </c>
    </row>
    <row r="1474" spans="1:19" x14ac:dyDescent="0.35">
      <c r="A1474">
        <v>1473</v>
      </c>
      <c r="B1474">
        <v>39</v>
      </c>
      <c r="C1474" t="s">
        <v>7</v>
      </c>
      <c r="D1474" t="s">
        <v>112</v>
      </c>
      <c r="E1474" t="s">
        <v>55</v>
      </c>
      <c r="F1474">
        <v>24</v>
      </c>
      <c r="G1474" t="s">
        <v>104</v>
      </c>
      <c r="H1474" t="s">
        <v>11</v>
      </c>
      <c r="I1474" t="s">
        <v>36</v>
      </c>
      <c r="J1474" t="s">
        <v>25</v>
      </c>
      <c r="K1474">
        <v>3.5</v>
      </c>
      <c r="L1474" t="s">
        <v>140</v>
      </c>
      <c r="M1474" t="s">
        <v>62</v>
      </c>
      <c r="N1474" t="s">
        <v>14</v>
      </c>
      <c r="O1474">
        <v>11</v>
      </c>
      <c r="P1474" t="s">
        <v>21</v>
      </c>
      <c r="Q1474" t="s">
        <v>28</v>
      </c>
      <c r="R1474" t="str" cm="1">
        <f t="array" ref="R1474">_xlfn.IFS(B1474&lt;31,"Young-Adult",B1474&lt;41,"Adult",B1474&lt;61,"Middle-aged",B1474&gt;=61,"Senior")</f>
        <v>Adult</v>
      </c>
      <c r="S1474" cm="1">
        <f t="array" ref="S1474">_xlfn.IFS(Q1474 ="Fortnightly",14,Q1474="Weekly",7,Q1474="Monthly",30,Q1474="Quarterly",90,Q1474="Bi-Weekly",14,Q1474="Annually",365,Q1474="Every 3 Months",90,TRUE,"NOT FOUND")</f>
        <v>7</v>
      </c>
    </row>
    <row r="1475" spans="1:19" x14ac:dyDescent="0.35">
      <c r="A1475">
        <v>1474</v>
      </c>
      <c r="B1475">
        <v>69</v>
      </c>
      <c r="C1475" t="s">
        <v>7</v>
      </c>
      <c r="D1475" t="s">
        <v>47</v>
      </c>
      <c r="E1475" t="s">
        <v>9</v>
      </c>
      <c r="F1475">
        <v>63</v>
      </c>
      <c r="G1475" t="s">
        <v>138</v>
      </c>
      <c r="H1475" t="s">
        <v>32</v>
      </c>
      <c r="I1475" t="s">
        <v>71</v>
      </c>
      <c r="J1475" t="s">
        <v>45</v>
      </c>
      <c r="K1475">
        <v>4.3</v>
      </c>
      <c r="L1475" t="s">
        <v>140</v>
      </c>
      <c r="M1475" t="s">
        <v>15</v>
      </c>
      <c r="N1475" t="s">
        <v>14</v>
      </c>
      <c r="O1475">
        <v>20</v>
      </c>
      <c r="P1475" t="s">
        <v>27</v>
      </c>
      <c r="Q1475" t="s">
        <v>85</v>
      </c>
      <c r="R1475" t="str" cm="1">
        <f t="array" ref="R1475">_xlfn.IFS(B1475&lt;31,"Young-Adult",B1475&lt;41,"Adult",B1475&lt;61,"Middle-aged",B1475&gt;=61,"Senior")</f>
        <v>Senior</v>
      </c>
      <c r="S1475" cm="1">
        <f t="array" ref="S1475">_xlfn.IFS(Q1475 ="Fortnightly",14,Q1475="Weekly",7,Q1475="Monthly",30,Q1475="Quarterly",90,Q1475="Bi-Weekly",14,Q1475="Annually",365,Q1475="Every 3 Months",90,TRUE,"NOT FOUND")</f>
        <v>90</v>
      </c>
    </row>
    <row r="1476" spans="1:19" x14ac:dyDescent="0.35">
      <c r="A1476">
        <v>1475</v>
      </c>
      <c r="B1476">
        <v>31</v>
      </c>
      <c r="C1476" t="s">
        <v>7</v>
      </c>
      <c r="D1476" t="s">
        <v>18</v>
      </c>
      <c r="E1476" t="s">
        <v>9</v>
      </c>
      <c r="F1476">
        <v>72</v>
      </c>
      <c r="G1476" t="s">
        <v>115</v>
      </c>
      <c r="H1476" t="s">
        <v>24</v>
      </c>
      <c r="I1476" t="s">
        <v>57</v>
      </c>
      <c r="J1476" t="s">
        <v>45</v>
      </c>
      <c r="K1476">
        <v>3.9</v>
      </c>
      <c r="L1476" t="s">
        <v>140</v>
      </c>
      <c r="M1476" t="s">
        <v>33</v>
      </c>
      <c r="N1476" t="s">
        <v>14</v>
      </c>
      <c r="O1476">
        <v>6</v>
      </c>
      <c r="P1476" t="s">
        <v>27</v>
      </c>
      <c r="Q1476" t="s">
        <v>76</v>
      </c>
      <c r="R1476" t="str" cm="1">
        <f t="array" ref="R1476">_xlfn.IFS(B1476&lt;31,"Young-Adult",B1476&lt;41,"Adult",B1476&lt;61,"Middle-aged",B1476&gt;=61,"Senior")</f>
        <v>Adult</v>
      </c>
      <c r="S1476" cm="1">
        <f t="array" ref="S1476">_xlfn.IFS(Q1476 ="Fortnightly",14,Q1476="Weekly",7,Q1476="Monthly",30,Q1476="Quarterly",90,Q1476="Bi-Weekly",14,Q1476="Annually",365,Q1476="Every 3 Months",90,TRUE,"NOT FOUND")</f>
        <v>30</v>
      </c>
    </row>
    <row r="1477" spans="1:19" x14ac:dyDescent="0.35">
      <c r="A1477">
        <v>1476</v>
      </c>
      <c r="B1477">
        <v>44</v>
      </c>
      <c r="C1477" t="s">
        <v>7</v>
      </c>
      <c r="D1477" t="s">
        <v>8</v>
      </c>
      <c r="E1477" t="s">
        <v>9</v>
      </c>
      <c r="F1477">
        <v>61</v>
      </c>
      <c r="G1477" t="s">
        <v>31</v>
      </c>
      <c r="H1477" t="s">
        <v>32</v>
      </c>
      <c r="I1477" t="s">
        <v>73</v>
      </c>
      <c r="J1477" t="s">
        <v>25</v>
      </c>
      <c r="K1477">
        <v>4</v>
      </c>
      <c r="L1477" t="s">
        <v>140</v>
      </c>
      <c r="M1477" t="s">
        <v>15</v>
      </c>
      <c r="N1477" t="s">
        <v>14</v>
      </c>
      <c r="O1477">
        <v>24</v>
      </c>
      <c r="P1477" t="s">
        <v>21</v>
      </c>
      <c r="Q1477" t="s">
        <v>76</v>
      </c>
      <c r="R1477" t="str" cm="1">
        <f t="array" ref="R1477">_xlfn.IFS(B1477&lt;31,"Young-Adult",B1477&lt;41,"Adult",B1477&lt;61,"Middle-aged",B1477&gt;=61,"Senior")</f>
        <v>Middle-aged</v>
      </c>
      <c r="S1477" cm="1">
        <f t="array" ref="S1477">_xlfn.IFS(Q1477 ="Fortnightly",14,Q1477="Weekly",7,Q1477="Monthly",30,Q1477="Quarterly",90,Q1477="Bi-Weekly",14,Q1477="Annually",365,Q1477="Every 3 Months",90,TRUE,"NOT FOUND")</f>
        <v>30</v>
      </c>
    </row>
    <row r="1478" spans="1:19" x14ac:dyDescent="0.35">
      <c r="A1478">
        <v>1477</v>
      </c>
      <c r="B1478">
        <v>39</v>
      </c>
      <c r="C1478" t="s">
        <v>7</v>
      </c>
      <c r="D1478" t="s">
        <v>112</v>
      </c>
      <c r="E1478" t="s">
        <v>55</v>
      </c>
      <c r="F1478">
        <v>56</v>
      </c>
      <c r="G1478" t="s">
        <v>39</v>
      </c>
      <c r="H1478" t="s">
        <v>32</v>
      </c>
      <c r="I1478" t="s">
        <v>124</v>
      </c>
      <c r="J1478" t="s">
        <v>45</v>
      </c>
      <c r="K1478">
        <v>4.0999999999999996</v>
      </c>
      <c r="L1478" t="s">
        <v>140</v>
      </c>
      <c r="M1478" t="s">
        <v>33</v>
      </c>
      <c r="N1478" t="s">
        <v>14</v>
      </c>
      <c r="O1478">
        <v>18</v>
      </c>
      <c r="P1478" t="s">
        <v>27</v>
      </c>
      <c r="Q1478" t="s">
        <v>76</v>
      </c>
      <c r="R1478" t="str" cm="1">
        <f t="array" ref="R1478">_xlfn.IFS(B1478&lt;31,"Young-Adult",B1478&lt;41,"Adult",B1478&lt;61,"Middle-aged",B1478&gt;=61,"Senior")</f>
        <v>Adult</v>
      </c>
      <c r="S1478" cm="1">
        <f t="array" ref="S1478">_xlfn.IFS(Q1478 ="Fortnightly",14,Q1478="Weekly",7,Q1478="Monthly",30,Q1478="Quarterly",90,Q1478="Bi-Weekly",14,Q1478="Annually",365,Q1478="Every 3 Months",90,TRUE,"NOT FOUND")</f>
        <v>30</v>
      </c>
    </row>
    <row r="1479" spans="1:19" x14ac:dyDescent="0.35">
      <c r="A1479">
        <v>1478</v>
      </c>
      <c r="B1479">
        <v>24</v>
      </c>
      <c r="C1479" t="s">
        <v>7</v>
      </c>
      <c r="D1479" t="s">
        <v>121</v>
      </c>
      <c r="E1479" t="s">
        <v>55</v>
      </c>
      <c r="F1479">
        <v>32</v>
      </c>
      <c r="G1479" t="s">
        <v>35</v>
      </c>
      <c r="H1479" t="s">
        <v>80</v>
      </c>
      <c r="I1479" t="s">
        <v>53</v>
      </c>
      <c r="J1479" t="s">
        <v>41</v>
      </c>
      <c r="K1479">
        <v>4.3</v>
      </c>
      <c r="L1479" t="s">
        <v>140</v>
      </c>
      <c r="M1479" t="s">
        <v>42</v>
      </c>
      <c r="N1479" t="s">
        <v>14</v>
      </c>
      <c r="O1479">
        <v>1</v>
      </c>
      <c r="P1479" t="s">
        <v>34</v>
      </c>
      <c r="Q1479" t="s">
        <v>85</v>
      </c>
      <c r="R1479" t="str" cm="1">
        <f t="array" ref="R1479">_xlfn.IFS(B1479&lt;31,"Young-Adult",B1479&lt;41,"Adult",B1479&lt;61,"Middle-aged",B1479&gt;=61,"Senior")</f>
        <v>Young-Adult</v>
      </c>
      <c r="S1479" cm="1">
        <f t="array" ref="S1479">_xlfn.IFS(Q1479 ="Fortnightly",14,Q1479="Weekly",7,Q1479="Monthly",30,Q1479="Quarterly",90,Q1479="Bi-Weekly",14,Q1479="Annually",365,Q1479="Every 3 Months",90,TRUE,"NOT FOUND")</f>
        <v>90</v>
      </c>
    </row>
    <row r="1480" spans="1:19" x14ac:dyDescent="0.35">
      <c r="A1480">
        <v>1479</v>
      </c>
      <c r="B1480">
        <v>28</v>
      </c>
      <c r="C1480" t="s">
        <v>7</v>
      </c>
      <c r="D1480" t="s">
        <v>131</v>
      </c>
      <c r="E1480" t="s">
        <v>55</v>
      </c>
      <c r="F1480">
        <v>23</v>
      </c>
      <c r="G1480" t="s">
        <v>137</v>
      </c>
      <c r="H1480" t="s">
        <v>32</v>
      </c>
      <c r="I1480" t="s">
        <v>132</v>
      </c>
      <c r="J1480" t="s">
        <v>41</v>
      </c>
      <c r="K1480">
        <v>4.2</v>
      </c>
      <c r="L1480" t="s">
        <v>140</v>
      </c>
      <c r="M1480" t="s">
        <v>26</v>
      </c>
      <c r="N1480" t="s">
        <v>14</v>
      </c>
      <c r="O1480">
        <v>13</v>
      </c>
      <c r="P1480" t="s">
        <v>16</v>
      </c>
      <c r="Q1480" t="s">
        <v>64</v>
      </c>
      <c r="R1480" t="str" cm="1">
        <f t="array" ref="R1480">_xlfn.IFS(B1480&lt;31,"Young-Adult",B1480&lt;41,"Adult",B1480&lt;61,"Middle-aged",B1480&gt;=61,"Senior")</f>
        <v>Young-Adult</v>
      </c>
      <c r="S1480" cm="1">
        <f t="array" ref="S1480">_xlfn.IFS(Q1480 ="Fortnightly",14,Q1480="Weekly",7,Q1480="Monthly",30,Q1480="Quarterly",90,Q1480="Bi-Weekly",14,Q1480="Annually",365,Q1480="Every 3 Months",90,TRUE,"NOT FOUND")</f>
        <v>14</v>
      </c>
    </row>
    <row r="1481" spans="1:19" x14ac:dyDescent="0.35">
      <c r="A1481">
        <v>1480</v>
      </c>
      <c r="B1481">
        <v>48</v>
      </c>
      <c r="C1481" t="s">
        <v>7</v>
      </c>
      <c r="D1481" t="s">
        <v>50</v>
      </c>
      <c r="E1481" t="s">
        <v>51</v>
      </c>
      <c r="F1481">
        <v>100</v>
      </c>
      <c r="G1481" t="s">
        <v>137</v>
      </c>
      <c r="H1481" t="s">
        <v>11</v>
      </c>
      <c r="I1481" t="s">
        <v>82</v>
      </c>
      <c r="J1481" t="s">
        <v>25</v>
      </c>
      <c r="K1481">
        <v>4</v>
      </c>
      <c r="L1481" t="s">
        <v>140</v>
      </c>
      <c r="M1481" t="s">
        <v>42</v>
      </c>
      <c r="N1481" t="s">
        <v>14</v>
      </c>
      <c r="O1481">
        <v>2</v>
      </c>
      <c r="P1481" t="s">
        <v>63</v>
      </c>
      <c r="Q1481" t="s">
        <v>28</v>
      </c>
      <c r="R1481" t="str" cm="1">
        <f t="array" ref="R1481">_xlfn.IFS(B1481&lt;31,"Young-Adult",B1481&lt;41,"Adult",B1481&lt;61,"Middle-aged",B1481&gt;=61,"Senior")</f>
        <v>Middle-aged</v>
      </c>
      <c r="S1481" cm="1">
        <f t="array" ref="S1481">_xlfn.IFS(Q1481 ="Fortnightly",14,Q1481="Weekly",7,Q1481="Monthly",30,Q1481="Quarterly",90,Q1481="Bi-Weekly",14,Q1481="Annually",365,Q1481="Every 3 Months",90,TRUE,"NOT FOUND")</f>
        <v>7</v>
      </c>
    </row>
    <row r="1482" spans="1:19" x14ac:dyDescent="0.35">
      <c r="A1482">
        <v>1481</v>
      </c>
      <c r="B1482">
        <v>39</v>
      </c>
      <c r="C1482" t="s">
        <v>7</v>
      </c>
      <c r="D1482" t="s">
        <v>94</v>
      </c>
      <c r="E1482" t="s">
        <v>55</v>
      </c>
      <c r="F1482">
        <v>74</v>
      </c>
      <c r="G1482" t="s">
        <v>70</v>
      </c>
      <c r="H1482" t="s">
        <v>32</v>
      </c>
      <c r="I1482" t="s">
        <v>68</v>
      </c>
      <c r="J1482" t="s">
        <v>45</v>
      </c>
      <c r="K1482">
        <v>3.6</v>
      </c>
      <c r="L1482" t="s">
        <v>140</v>
      </c>
      <c r="M1482" t="s">
        <v>15</v>
      </c>
      <c r="N1482" t="s">
        <v>14</v>
      </c>
      <c r="O1482">
        <v>26</v>
      </c>
      <c r="P1482" t="s">
        <v>21</v>
      </c>
      <c r="Q1482" t="s">
        <v>46</v>
      </c>
      <c r="R1482" t="str" cm="1">
        <f t="array" ref="R1482">_xlfn.IFS(B1482&lt;31,"Young-Adult",B1482&lt;41,"Adult",B1482&lt;61,"Middle-aged",B1482&gt;=61,"Senior")</f>
        <v>Adult</v>
      </c>
      <c r="S1482" cm="1">
        <f t="array" ref="S1482">_xlfn.IFS(Q1482 ="Fortnightly",14,Q1482="Weekly",7,Q1482="Monthly",30,Q1482="Quarterly",90,Q1482="Bi-Weekly",14,Q1482="Annually",365,Q1482="Every 3 Months",90,TRUE,"NOT FOUND")</f>
        <v>90</v>
      </c>
    </row>
    <row r="1483" spans="1:19" x14ac:dyDescent="0.35">
      <c r="A1483">
        <v>1482</v>
      </c>
      <c r="B1483">
        <v>64</v>
      </c>
      <c r="C1483" t="s">
        <v>7</v>
      </c>
      <c r="D1483" t="s">
        <v>75</v>
      </c>
      <c r="E1483" t="s">
        <v>9</v>
      </c>
      <c r="F1483">
        <v>33</v>
      </c>
      <c r="G1483" t="s">
        <v>116</v>
      </c>
      <c r="H1483" t="s">
        <v>24</v>
      </c>
      <c r="I1483" t="s">
        <v>12</v>
      </c>
      <c r="J1483" t="s">
        <v>25</v>
      </c>
      <c r="K1483">
        <v>3.3</v>
      </c>
      <c r="L1483" t="s">
        <v>140</v>
      </c>
      <c r="M1483" t="s">
        <v>42</v>
      </c>
      <c r="N1483" t="s">
        <v>14</v>
      </c>
      <c r="O1483">
        <v>31</v>
      </c>
      <c r="P1483" t="s">
        <v>34</v>
      </c>
      <c r="Q1483" t="s">
        <v>46</v>
      </c>
      <c r="R1483" t="str" cm="1">
        <f t="array" ref="R1483">_xlfn.IFS(B1483&lt;31,"Young-Adult",B1483&lt;41,"Adult",B1483&lt;61,"Middle-aged",B1483&gt;=61,"Senior")</f>
        <v>Senior</v>
      </c>
      <c r="S1483" cm="1">
        <f t="array" ref="S1483">_xlfn.IFS(Q1483 ="Fortnightly",14,Q1483="Weekly",7,Q1483="Monthly",30,Q1483="Quarterly",90,Q1483="Bi-Weekly",14,Q1483="Annually",365,Q1483="Every 3 Months",90,TRUE,"NOT FOUND")</f>
        <v>90</v>
      </c>
    </row>
    <row r="1484" spans="1:19" x14ac:dyDescent="0.35">
      <c r="A1484">
        <v>1483</v>
      </c>
      <c r="B1484">
        <v>28</v>
      </c>
      <c r="C1484" t="s">
        <v>7</v>
      </c>
      <c r="D1484" t="s">
        <v>131</v>
      </c>
      <c r="E1484" t="s">
        <v>55</v>
      </c>
      <c r="F1484">
        <v>67</v>
      </c>
      <c r="G1484" t="s">
        <v>138</v>
      </c>
      <c r="H1484" t="s">
        <v>24</v>
      </c>
      <c r="I1484" t="s">
        <v>124</v>
      </c>
      <c r="J1484" t="s">
        <v>25</v>
      </c>
      <c r="K1484">
        <v>4.0999999999999996</v>
      </c>
      <c r="L1484" t="s">
        <v>140</v>
      </c>
      <c r="M1484" t="s">
        <v>58</v>
      </c>
      <c r="N1484" t="s">
        <v>14</v>
      </c>
      <c r="O1484">
        <v>43</v>
      </c>
      <c r="P1484" t="s">
        <v>63</v>
      </c>
      <c r="Q1484" t="s">
        <v>28</v>
      </c>
      <c r="R1484" t="str" cm="1">
        <f t="array" ref="R1484">_xlfn.IFS(B1484&lt;31,"Young-Adult",B1484&lt;41,"Adult",B1484&lt;61,"Middle-aged",B1484&gt;=61,"Senior")</f>
        <v>Young-Adult</v>
      </c>
      <c r="S1484" cm="1">
        <f t="array" ref="S1484">_xlfn.IFS(Q1484 ="Fortnightly",14,Q1484="Weekly",7,Q1484="Monthly",30,Q1484="Quarterly",90,Q1484="Bi-Weekly",14,Q1484="Annually",365,Q1484="Every 3 Months",90,TRUE,"NOT FOUND")</f>
        <v>7</v>
      </c>
    </row>
    <row r="1485" spans="1:19" x14ac:dyDescent="0.35">
      <c r="A1485">
        <v>1484</v>
      </c>
      <c r="B1485">
        <v>39</v>
      </c>
      <c r="C1485" t="s">
        <v>7</v>
      </c>
      <c r="D1485" t="s">
        <v>94</v>
      </c>
      <c r="E1485" t="s">
        <v>55</v>
      </c>
      <c r="F1485">
        <v>61</v>
      </c>
      <c r="G1485" t="s">
        <v>23</v>
      </c>
      <c r="H1485" t="s">
        <v>24</v>
      </c>
      <c r="I1485" t="s">
        <v>122</v>
      </c>
      <c r="J1485" t="s">
        <v>41</v>
      </c>
      <c r="K1485">
        <v>4.7</v>
      </c>
      <c r="L1485" t="s">
        <v>140</v>
      </c>
      <c r="M1485" t="s">
        <v>33</v>
      </c>
      <c r="N1485" t="s">
        <v>14</v>
      </c>
      <c r="O1485">
        <v>12</v>
      </c>
      <c r="P1485" t="s">
        <v>74</v>
      </c>
      <c r="Q1485" t="s">
        <v>64</v>
      </c>
      <c r="R1485" t="str" cm="1">
        <f t="array" ref="R1485">_xlfn.IFS(B1485&lt;31,"Young-Adult",B1485&lt;41,"Adult",B1485&lt;61,"Middle-aged",B1485&gt;=61,"Senior")</f>
        <v>Adult</v>
      </c>
      <c r="S1485" cm="1">
        <f t="array" ref="S1485">_xlfn.IFS(Q1485 ="Fortnightly",14,Q1485="Weekly",7,Q1485="Monthly",30,Q1485="Quarterly",90,Q1485="Bi-Weekly",14,Q1485="Annually",365,Q1485="Every 3 Months",90,TRUE,"NOT FOUND")</f>
        <v>14</v>
      </c>
    </row>
    <row r="1486" spans="1:19" x14ac:dyDescent="0.35">
      <c r="A1486">
        <v>1485</v>
      </c>
      <c r="B1486">
        <v>49</v>
      </c>
      <c r="C1486" t="s">
        <v>7</v>
      </c>
      <c r="D1486" t="s">
        <v>47</v>
      </c>
      <c r="E1486" t="s">
        <v>9</v>
      </c>
      <c r="F1486">
        <v>46</v>
      </c>
      <c r="G1486" t="s">
        <v>133</v>
      </c>
      <c r="H1486" t="s">
        <v>32</v>
      </c>
      <c r="I1486" t="s">
        <v>73</v>
      </c>
      <c r="J1486" t="s">
        <v>41</v>
      </c>
      <c r="K1486">
        <v>4.4000000000000004</v>
      </c>
      <c r="L1486" t="s">
        <v>140</v>
      </c>
      <c r="M1486" t="s">
        <v>62</v>
      </c>
      <c r="N1486" t="s">
        <v>14</v>
      </c>
      <c r="O1486">
        <v>22</v>
      </c>
      <c r="P1486" t="s">
        <v>16</v>
      </c>
      <c r="Q1486" t="s">
        <v>85</v>
      </c>
      <c r="R1486" t="str" cm="1">
        <f t="array" ref="R1486">_xlfn.IFS(B1486&lt;31,"Young-Adult",B1486&lt;41,"Adult",B1486&lt;61,"Middle-aged",B1486&gt;=61,"Senior")</f>
        <v>Middle-aged</v>
      </c>
      <c r="S1486" cm="1">
        <f t="array" ref="S1486">_xlfn.IFS(Q1486 ="Fortnightly",14,Q1486="Weekly",7,Q1486="Monthly",30,Q1486="Quarterly",90,Q1486="Bi-Weekly",14,Q1486="Annually",365,Q1486="Every 3 Months",90,TRUE,"NOT FOUND")</f>
        <v>90</v>
      </c>
    </row>
    <row r="1487" spans="1:19" x14ac:dyDescent="0.35">
      <c r="A1487">
        <v>1486</v>
      </c>
      <c r="B1487">
        <v>22</v>
      </c>
      <c r="C1487" t="s">
        <v>7</v>
      </c>
      <c r="D1487" t="s">
        <v>131</v>
      </c>
      <c r="E1487" t="s">
        <v>55</v>
      </c>
      <c r="F1487">
        <v>56</v>
      </c>
      <c r="G1487" t="s">
        <v>133</v>
      </c>
      <c r="H1487" t="s">
        <v>11</v>
      </c>
      <c r="I1487" t="s">
        <v>96</v>
      </c>
      <c r="J1487" t="s">
        <v>25</v>
      </c>
      <c r="K1487">
        <v>3.4</v>
      </c>
      <c r="L1487" t="s">
        <v>140</v>
      </c>
      <c r="M1487" t="s">
        <v>42</v>
      </c>
      <c r="N1487" t="s">
        <v>14</v>
      </c>
      <c r="O1487">
        <v>3</v>
      </c>
      <c r="P1487" t="s">
        <v>21</v>
      </c>
      <c r="Q1487" t="s">
        <v>17</v>
      </c>
      <c r="R1487" t="str" cm="1">
        <f t="array" ref="R1487">_xlfn.IFS(B1487&lt;31,"Young-Adult",B1487&lt;41,"Adult",B1487&lt;61,"Middle-aged",B1487&gt;=61,"Senior")</f>
        <v>Young-Adult</v>
      </c>
      <c r="S1487" cm="1">
        <f t="array" ref="S1487">_xlfn.IFS(Q1487 ="Fortnightly",14,Q1487="Weekly",7,Q1487="Monthly",30,Q1487="Quarterly",90,Q1487="Bi-Weekly",14,Q1487="Annually",365,Q1487="Every 3 Months",90,TRUE,"NOT FOUND")</f>
        <v>14</v>
      </c>
    </row>
    <row r="1488" spans="1:19" x14ac:dyDescent="0.35">
      <c r="A1488">
        <v>1487</v>
      </c>
      <c r="B1488">
        <v>25</v>
      </c>
      <c r="C1488" t="s">
        <v>7</v>
      </c>
      <c r="D1488" t="s">
        <v>38</v>
      </c>
      <c r="E1488" t="s">
        <v>30</v>
      </c>
      <c r="F1488">
        <v>73</v>
      </c>
      <c r="G1488" t="s">
        <v>123</v>
      </c>
      <c r="H1488" t="s">
        <v>24</v>
      </c>
      <c r="I1488" t="s">
        <v>122</v>
      </c>
      <c r="J1488" t="s">
        <v>25</v>
      </c>
      <c r="K1488">
        <v>5</v>
      </c>
      <c r="L1488" t="s">
        <v>140</v>
      </c>
      <c r="M1488" t="s">
        <v>26</v>
      </c>
      <c r="N1488" t="s">
        <v>14</v>
      </c>
      <c r="O1488">
        <v>23</v>
      </c>
      <c r="P1488" t="s">
        <v>16</v>
      </c>
      <c r="Q1488" t="s">
        <v>85</v>
      </c>
      <c r="R1488" t="str" cm="1">
        <f t="array" ref="R1488">_xlfn.IFS(B1488&lt;31,"Young-Adult",B1488&lt;41,"Adult",B1488&lt;61,"Middle-aged",B1488&gt;=61,"Senior")</f>
        <v>Young-Adult</v>
      </c>
      <c r="S1488" cm="1">
        <f t="array" ref="S1488">_xlfn.IFS(Q1488 ="Fortnightly",14,Q1488="Weekly",7,Q1488="Monthly",30,Q1488="Quarterly",90,Q1488="Bi-Weekly",14,Q1488="Annually",365,Q1488="Every 3 Months",90,TRUE,"NOT FOUND")</f>
        <v>90</v>
      </c>
    </row>
    <row r="1489" spans="1:19" x14ac:dyDescent="0.35">
      <c r="A1489">
        <v>1488</v>
      </c>
      <c r="B1489">
        <v>40</v>
      </c>
      <c r="C1489" t="s">
        <v>7</v>
      </c>
      <c r="D1489" t="s">
        <v>75</v>
      </c>
      <c r="E1489" t="s">
        <v>9</v>
      </c>
      <c r="F1489">
        <v>44</v>
      </c>
      <c r="G1489" t="s">
        <v>105</v>
      </c>
      <c r="H1489" t="s">
        <v>11</v>
      </c>
      <c r="I1489" t="s">
        <v>82</v>
      </c>
      <c r="J1489" t="s">
        <v>41</v>
      </c>
      <c r="K1489">
        <v>4.5999999999999996</v>
      </c>
      <c r="L1489" t="s">
        <v>140</v>
      </c>
      <c r="M1489" t="s">
        <v>62</v>
      </c>
      <c r="N1489" t="s">
        <v>14</v>
      </c>
      <c r="O1489">
        <v>26</v>
      </c>
      <c r="P1489" t="s">
        <v>34</v>
      </c>
      <c r="Q1489" t="s">
        <v>37</v>
      </c>
      <c r="R1489" t="str" cm="1">
        <f t="array" ref="R1489">_xlfn.IFS(B1489&lt;31,"Young-Adult",B1489&lt;41,"Adult",B1489&lt;61,"Middle-aged",B1489&gt;=61,"Senior")</f>
        <v>Adult</v>
      </c>
      <c r="S1489" cm="1">
        <f t="array" ref="S1489">_xlfn.IFS(Q1489 ="Fortnightly",14,Q1489="Weekly",7,Q1489="Monthly",30,Q1489="Quarterly",90,Q1489="Bi-Weekly",14,Q1489="Annually",365,Q1489="Every 3 Months",90,TRUE,"NOT FOUND")</f>
        <v>365</v>
      </c>
    </row>
    <row r="1490" spans="1:19" x14ac:dyDescent="0.35">
      <c r="A1490">
        <v>1489</v>
      </c>
      <c r="B1490">
        <v>23</v>
      </c>
      <c r="C1490" t="s">
        <v>7</v>
      </c>
      <c r="D1490" t="s">
        <v>112</v>
      </c>
      <c r="E1490" t="s">
        <v>55</v>
      </c>
      <c r="F1490">
        <v>44</v>
      </c>
      <c r="G1490" t="s">
        <v>65</v>
      </c>
      <c r="H1490" t="s">
        <v>11</v>
      </c>
      <c r="I1490" t="s">
        <v>57</v>
      </c>
      <c r="J1490" t="s">
        <v>13</v>
      </c>
      <c r="K1490">
        <v>4</v>
      </c>
      <c r="L1490" t="s">
        <v>140</v>
      </c>
      <c r="M1490" t="s">
        <v>42</v>
      </c>
      <c r="N1490" t="s">
        <v>14</v>
      </c>
      <c r="O1490">
        <v>37</v>
      </c>
      <c r="P1490" t="s">
        <v>27</v>
      </c>
      <c r="Q1490" t="s">
        <v>28</v>
      </c>
      <c r="R1490" t="str" cm="1">
        <f t="array" ref="R1490">_xlfn.IFS(B1490&lt;31,"Young-Adult",B1490&lt;41,"Adult",B1490&lt;61,"Middle-aged",B1490&gt;=61,"Senior")</f>
        <v>Young-Adult</v>
      </c>
      <c r="S1490" cm="1">
        <f t="array" ref="S1490">_xlfn.IFS(Q1490 ="Fortnightly",14,Q1490="Weekly",7,Q1490="Monthly",30,Q1490="Quarterly",90,Q1490="Bi-Weekly",14,Q1490="Annually",365,Q1490="Every 3 Months",90,TRUE,"NOT FOUND")</f>
        <v>7</v>
      </c>
    </row>
    <row r="1491" spans="1:19" x14ac:dyDescent="0.35">
      <c r="A1491">
        <v>1490</v>
      </c>
      <c r="B1491">
        <v>24</v>
      </c>
      <c r="C1491" t="s">
        <v>7</v>
      </c>
      <c r="D1491" t="s">
        <v>94</v>
      </c>
      <c r="E1491" t="s">
        <v>55</v>
      </c>
      <c r="F1491">
        <v>26</v>
      </c>
      <c r="G1491" t="s">
        <v>56</v>
      </c>
      <c r="H1491" t="s">
        <v>80</v>
      </c>
      <c r="I1491" t="s">
        <v>124</v>
      </c>
      <c r="J1491" t="s">
        <v>41</v>
      </c>
      <c r="K1491">
        <v>4.0999999999999996</v>
      </c>
      <c r="L1491" t="s">
        <v>140</v>
      </c>
      <c r="M1491" t="s">
        <v>33</v>
      </c>
      <c r="N1491" t="s">
        <v>14</v>
      </c>
      <c r="O1491">
        <v>42</v>
      </c>
      <c r="P1491" t="s">
        <v>16</v>
      </c>
      <c r="Q1491" t="s">
        <v>46</v>
      </c>
      <c r="R1491" t="str" cm="1">
        <f t="array" ref="R1491">_xlfn.IFS(B1491&lt;31,"Young-Adult",B1491&lt;41,"Adult",B1491&lt;61,"Middle-aged",B1491&gt;=61,"Senior")</f>
        <v>Young-Adult</v>
      </c>
      <c r="S1491" cm="1">
        <f t="array" ref="S1491">_xlfn.IFS(Q1491 ="Fortnightly",14,Q1491="Weekly",7,Q1491="Monthly",30,Q1491="Quarterly",90,Q1491="Bi-Weekly",14,Q1491="Annually",365,Q1491="Every 3 Months",90,TRUE,"NOT FOUND")</f>
        <v>90</v>
      </c>
    </row>
    <row r="1492" spans="1:19" x14ac:dyDescent="0.35">
      <c r="A1492">
        <v>1491</v>
      </c>
      <c r="B1492">
        <v>66</v>
      </c>
      <c r="C1492" t="s">
        <v>7</v>
      </c>
      <c r="D1492" t="s">
        <v>38</v>
      </c>
      <c r="E1492" t="s">
        <v>30</v>
      </c>
      <c r="F1492">
        <v>52</v>
      </c>
      <c r="G1492" t="s">
        <v>48</v>
      </c>
      <c r="H1492" t="s">
        <v>11</v>
      </c>
      <c r="I1492" t="s">
        <v>66</v>
      </c>
      <c r="J1492" t="s">
        <v>25</v>
      </c>
      <c r="K1492">
        <v>4.9000000000000004</v>
      </c>
      <c r="L1492" t="s">
        <v>140</v>
      </c>
      <c r="M1492" t="s">
        <v>15</v>
      </c>
      <c r="N1492" t="s">
        <v>14</v>
      </c>
      <c r="O1492">
        <v>15</v>
      </c>
      <c r="P1492" t="s">
        <v>16</v>
      </c>
      <c r="Q1492" t="s">
        <v>64</v>
      </c>
      <c r="R1492" t="str" cm="1">
        <f t="array" ref="R1492">_xlfn.IFS(B1492&lt;31,"Young-Adult",B1492&lt;41,"Adult",B1492&lt;61,"Middle-aged",B1492&gt;=61,"Senior")</f>
        <v>Senior</v>
      </c>
      <c r="S1492" cm="1">
        <f t="array" ref="S1492">_xlfn.IFS(Q1492 ="Fortnightly",14,Q1492="Weekly",7,Q1492="Monthly",30,Q1492="Quarterly",90,Q1492="Bi-Weekly",14,Q1492="Annually",365,Q1492="Every 3 Months",90,TRUE,"NOT FOUND")</f>
        <v>14</v>
      </c>
    </row>
    <row r="1493" spans="1:19" x14ac:dyDescent="0.35">
      <c r="A1493">
        <v>1492</v>
      </c>
      <c r="B1493">
        <v>27</v>
      </c>
      <c r="C1493" t="s">
        <v>7</v>
      </c>
      <c r="D1493" t="s">
        <v>43</v>
      </c>
      <c r="E1493" t="s">
        <v>9</v>
      </c>
      <c r="F1493">
        <v>54</v>
      </c>
      <c r="G1493" t="s">
        <v>60</v>
      </c>
      <c r="H1493" t="s">
        <v>24</v>
      </c>
      <c r="I1493" t="s">
        <v>82</v>
      </c>
      <c r="J1493" t="s">
        <v>41</v>
      </c>
      <c r="K1493">
        <v>2.7</v>
      </c>
      <c r="L1493" t="s">
        <v>140</v>
      </c>
      <c r="M1493" t="s">
        <v>26</v>
      </c>
      <c r="N1493" t="s">
        <v>14</v>
      </c>
      <c r="O1493">
        <v>10</v>
      </c>
      <c r="P1493" t="s">
        <v>63</v>
      </c>
      <c r="Q1493" t="s">
        <v>46</v>
      </c>
      <c r="R1493" t="str" cm="1">
        <f t="array" ref="R1493">_xlfn.IFS(B1493&lt;31,"Young-Adult",B1493&lt;41,"Adult",B1493&lt;61,"Middle-aged",B1493&gt;=61,"Senior")</f>
        <v>Young-Adult</v>
      </c>
      <c r="S1493" cm="1">
        <f t="array" ref="S1493">_xlfn.IFS(Q1493 ="Fortnightly",14,Q1493="Weekly",7,Q1493="Monthly",30,Q1493="Quarterly",90,Q1493="Bi-Weekly",14,Q1493="Annually",365,Q1493="Every 3 Months",90,TRUE,"NOT FOUND")</f>
        <v>90</v>
      </c>
    </row>
    <row r="1494" spans="1:19" x14ac:dyDescent="0.35">
      <c r="A1494">
        <v>1493</v>
      </c>
      <c r="B1494">
        <v>62</v>
      </c>
      <c r="C1494" t="s">
        <v>7</v>
      </c>
      <c r="D1494" t="s">
        <v>90</v>
      </c>
      <c r="E1494" t="s">
        <v>51</v>
      </c>
      <c r="F1494">
        <v>38</v>
      </c>
      <c r="G1494" t="s">
        <v>86</v>
      </c>
      <c r="H1494" t="s">
        <v>32</v>
      </c>
      <c r="I1494" t="s">
        <v>20</v>
      </c>
      <c r="J1494" t="s">
        <v>41</v>
      </c>
      <c r="K1494">
        <v>4.5</v>
      </c>
      <c r="L1494" t="s">
        <v>140</v>
      </c>
      <c r="M1494" t="s">
        <v>26</v>
      </c>
      <c r="N1494" t="s">
        <v>14</v>
      </c>
      <c r="O1494">
        <v>3</v>
      </c>
      <c r="P1494" t="s">
        <v>16</v>
      </c>
      <c r="Q1494" t="s">
        <v>46</v>
      </c>
      <c r="R1494" t="str" cm="1">
        <f t="array" ref="R1494">_xlfn.IFS(B1494&lt;31,"Young-Adult",B1494&lt;41,"Adult",B1494&lt;61,"Middle-aged",B1494&gt;=61,"Senior")</f>
        <v>Senior</v>
      </c>
      <c r="S1494" cm="1">
        <f t="array" ref="S1494">_xlfn.IFS(Q1494 ="Fortnightly",14,Q1494="Weekly",7,Q1494="Monthly",30,Q1494="Quarterly",90,Q1494="Bi-Weekly",14,Q1494="Annually",365,Q1494="Every 3 Months",90,TRUE,"NOT FOUND")</f>
        <v>90</v>
      </c>
    </row>
    <row r="1495" spans="1:19" x14ac:dyDescent="0.35">
      <c r="A1495">
        <v>1494</v>
      </c>
      <c r="B1495">
        <v>70</v>
      </c>
      <c r="C1495" t="s">
        <v>7</v>
      </c>
      <c r="D1495" t="s">
        <v>121</v>
      </c>
      <c r="E1495" t="s">
        <v>55</v>
      </c>
      <c r="F1495">
        <v>44</v>
      </c>
      <c r="G1495" t="s">
        <v>102</v>
      </c>
      <c r="H1495" t="s">
        <v>24</v>
      </c>
      <c r="I1495" t="s">
        <v>68</v>
      </c>
      <c r="J1495" t="s">
        <v>45</v>
      </c>
      <c r="K1495">
        <v>2.7</v>
      </c>
      <c r="L1495" t="s">
        <v>140</v>
      </c>
      <c r="M1495" t="s">
        <v>42</v>
      </c>
      <c r="N1495" t="s">
        <v>14</v>
      </c>
      <c r="O1495">
        <v>44</v>
      </c>
      <c r="P1495" t="s">
        <v>27</v>
      </c>
      <c r="Q1495" t="s">
        <v>46</v>
      </c>
      <c r="R1495" t="str" cm="1">
        <f t="array" ref="R1495">_xlfn.IFS(B1495&lt;31,"Young-Adult",B1495&lt;41,"Adult",B1495&lt;61,"Middle-aged",B1495&gt;=61,"Senior")</f>
        <v>Senior</v>
      </c>
      <c r="S1495" cm="1">
        <f t="array" ref="S1495">_xlfn.IFS(Q1495 ="Fortnightly",14,Q1495="Weekly",7,Q1495="Monthly",30,Q1495="Quarterly",90,Q1495="Bi-Weekly",14,Q1495="Annually",365,Q1495="Every 3 Months",90,TRUE,"NOT FOUND")</f>
        <v>90</v>
      </c>
    </row>
    <row r="1496" spans="1:19" x14ac:dyDescent="0.35">
      <c r="A1496">
        <v>1495</v>
      </c>
      <c r="B1496">
        <v>43</v>
      </c>
      <c r="C1496" t="s">
        <v>7</v>
      </c>
      <c r="D1496" t="s">
        <v>101</v>
      </c>
      <c r="E1496" t="s">
        <v>9</v>
      </c>
      <c r="F1496">
        <v>76</v>
      </c>
      <c r="G1496" t="s">
        <v>44</v>
      </c>
      <c r="H1496" t="s">
        <v>32</v>
      </c>
      <c r="I1496" t="s">
        <v>12</v>
      </c>
      <c r="J1496" t="s">
        <v>25</v>
      </c>
      <c r="K1496">
        <v>3</v>
      </c>
      <c r="L1496" t="s">
        <v>140</v>
      </c>
      <c r="M1496" t="s">
        <v>33</v>
      </c>
      <c r="N1496" t="s">
        <v>14</v>
      </c>
      <c r="O1496">
        <v>23</v>
      </c>
      <c r="P1496" t="s">
        <v>63</v>
      </c>
      <c r="Q1496" t="s">
        <v>17</v>
      </c>
      <c r="R1496" t="str" cm="1">
        <f t="array" ref="R1496">_xlfn.IFS(B1496&lt;31,"Young-Adult",B1496&lt;41,"Adult",B1496&lt;61,"Middle-aged",B1496&gt;=61,"Senior")</f>
        <v>Middle-aged</v>
      </c>
      <c r="S1496" cm="1">
        <f t="array" ref="S1496">_xlfn.IFS(Q1496 ="Fortnightly",14,Q1496="Weekly",7,Q1496="Monthly",30,Q1496="Quarterly",90,Q1496="Bi-Weekly",14,Q1496="Annually",365,Q1496="Every 3 Months",90,TRUE,"NOT FOUND")</f>
        <v>14</v>
      </c>
    </row>
    <row r="1497" spans="1:19" x14ac:dyDescent="0.35">
      <c r="A1497">
        <v>1496</v>
      </c>
      <c r="B1497">
        <v>45</v>
      </c>
      <c r="C1497" t="s">
        <v>7</v>
      </c>
      <c r="D1497" t="s">
        <v>94</v>
      </c>
      <c r="E1497" t="s">
        <v>55</v>
      </c>
      <c r="F1497">
        <v>23</v>
      </c>
      <c r="G1497" t="s">
        <v>31</v>
      </c>
      <c r="H1497" t="s">
        <v>32</v>
      </c>
      <c r="I1497" t="s">
        <v>98</v>
      </c>
      <c r="J1497" t="s">
        <v>13</v>
      </c>
      <c r="K1497">
        <v>4.5</v>
      </c>
      <c r="L1497" t="s">
        <v>140</v>
      </c>
      <c r="M1497" t="s">
        <v>33</v>
      </c>
      <c r="N1497" t="s">
        <v>14</v>
      </c>
      <c r="O1497">
        <v>6</v>
      </c>
      <c r="P1497" t="s">
        <v>34</v>
      </c>
      <c r="Q1497" t="s">
        <v>28</v>
      </c>
      <c r="R1497" t="str" cm="1">
        <f t="array" ref="R1497">_xlfn.IFS(B1497&lt;31,"Young-Adult",B1497&lt;41,"Adult",B1497&lt;61,"Middle-aged",B1497&gt;=61,"Senior")</f>
        <v>Middle-aged</v>
      </c>
      <c r="S1497" cm="1">
        <f t="array" ref="S1497">_xlfn.IFS(Q1497 ="Fortnightly",14,Q1497="Weekly",7,Q1497="Monthly",30,Q1497="Quarterly",90,Q1497="Bi-Weekly",14,Q1497="Annually",365,Q1497="Every 3 Months",90,TRUE,"NOT FOUND")</f>
        <v>7</v>
      </c>
    </row>
    <row r="1498" spans="1:19" x14ac:dyDescent="0.35">
      <c r="A1498">
        <v>1497</v>
      </c>
      <c r="B1498">
        <v>63</v>
      </c>
      <c r="C1498" t="s">
        <v>7</v>
      </c>
      <c r="D1498" t="s">
        <v>101</v>
      </c>
      <c r="E1498" t="s">
        <v>9</v>
      </c>
      <c r="F1498">
        <v>98</v>
      </c>
      <c r="G1498" t="s">
        <v>123</v>
      </c>
      <c r="H1498" t="s">
        <v>32</v>
      </c>
      <c r="I1498" t="s">
        <v>61</v>
      </c>
      <c r="J1498" t="s">
        <v>13</v>
      </c>
      <c r="K1498">
        <v>5</v>
      </c>
      <c r="L1498" t="s">
        <v>140</v>
      </c>
      <c r="M1498" t="s">
        <v>42</v>
      </c>
      <c r="N1498" t="s">
        <v>14</v>
      </c>
      <c r="O1498">
        <v>9</v>
      </c>
      <c r="P1498" t="s">
        <v>16</v>
      </c>
      <c r="Q1498" t="s">
        <v>64</v>
      </c>
      <c r="R1498" t="str" cm="1">
        <f t="array" ref="R1498">_xlfn.IFS(B1498&lt;31,"Young-Adult",B1498&lt;41,"Adult",B1498&lt;61,"Middle-aged",B1498&gt;=61,"Senior")</f>
        <v>Senior</v>
      </c>
      <c r="S1498" cm="1">
        <f t="array" ref="S1498">_xlfn.IFS(Q1498 ="Fortnightly",14,Q1498="Weekly",7,Q1498="Monthly",30,Q1498="Quarterly",90,Q1498="Bi-Weekly",14,Q1498="Annually",365,Q1498="Every 3 Months",90,TRUE,"NOT FOUND")</f>
        <v>14</v>
      </c>
    </row>
    <row r="1499" spans="1:19" x14ac:dyDescent="0.35">
      <c r="A1499">
        <v>1498</v>
      </c>
      <c r="B1499">
        <v>69</v>
      </c>
      <c r="C1499" t="s">
        <v>7</v>
      </c>
      <c r="D1499" t="s">
        <v>90</v>
      </c>
      <c r="E1499" t="s">
        <v>51</v>
      </c>
      <c r="F1499">
        <v>33</v>
      </c>
      <c r="G1499" t="s">
        <v>139</v>
      </c>
      <c r="H1499" t="s">
        <v>24</v>
      </c>
      <c r="I1499" t="s">
        <v>124</v>
      </c>
      <c r="J1499" t="s">
        <v>25</v>
      </c>
      <c r="K1499">
        <v>3.8</v>
      </c>
      <c r="L1499" t="s">
        <v>140</v>
      </c>
      <c r="M1499" t="s">
        <v>58</v>
      </c>
      <c r="N1499" t="s">
        <v>14</v>
      </c>
      <c r="O1499">
        <v>16</v>
      </c>
      <c r="P1499" t="s">
        <v>74</v>
      </c>
      <c r="Q1499" t="s">
        <v>85</v>
      </c>
      <c r="R1499" t="str" cm="1">
        <f t="array" ref="R1499">_xlfn.IFS(B1499&lt;31,"Young-Adult",B1499&lt;41,"Adult",B1499&lt;61,"Middle-aged",B1499&gt;=61,"Senior")</f>
        <v>Senior</v>
      </c>
      <c r="S1499" cm="1">
        <f t="array" ref="S1499">_xlfn.IFS(Q1499 ="Fortnightly",14,Q1499="Weekly",7,Q1499="Monthly",30,Q1499="Quarterly",90,Q1499="Bi-Weekly",14,Q1499="Annually",365,Q1499="Every 3 Months",90,TRUE,"NOT FOUND")</f>
        <v>90</v>
      </c>
    </row>
    <row r="1500" spans="1:19" x14ac:dyDescent="0.35">
      <c r="A1500">
        <v>1499</v>
      </c>
      <c r="B1500">
        <v>59</v>
      </c>
      <c r="C1500" t="s">
        <v>7</v>
      </c>
      <c r="D1500" t="s">
        <v>18</v>
      </c>
      <c r="E1500" t="s">
        <v>9</v>
      </c>
      <c r="F1500">
        <v>32</v>
      </c>
      <c r="G1500" t="s">
        <v>103</v>
      </c>
      <c r="H1500" t="s">
        <v>32</v>
      </c>
      <c r="I1500" t="s">
        <v>73</v>
      </c>
      <c r="J1500" t="s">
        <v>41</v>
      </c>
      <c r="K1500">
        <v>3.1</v>
      </c>
      <c r="L1500" t="s">
        <v>140</v>
      </c>
      <c r="M1500" t="s">
        <v>42</v>
      </c>
      <c r="N1500" t="s">
        <v>14</v>
      </c>
      <c r="O1500">
        <v>46</v>
      </c>
      <c r="P1500" t="s">
        <v>16</v>
      </c>
      <c r="Q1500" t="s">
        <v>17</v>
      </c>
      <c r="R1500" t="str" cm="1">
        <f t="array" ref="R1500">_xlfn.IFS(B1500&lt;31,"Young-Adult",B1500&lt;41,"Adult",B1500&lt;61,"Middle-aged",B1500&gt;=61,"Senior")</f>
        <v>Middle-aged</v>
      </c>
      <c r="S1500" cm="1">
        <f t="array" ref="S1500">_xlfn.IFS(Q1500 ="Fortnightly",14,Q1500="Weekly",7,Q1500="Monthly",30,Q1500="Quarterly",90,Q1500="Bi-Weekly",14,Q1500="Annually",365,Q1500="Every 3 Months",90,TRUE,"NOT FOUND")</f>
        <v>14</v>
      </c>
    </row>
    <row r="1501" spans="1:19" x14ac:dyDescent="0.35">
      <c r="A1501">
        <v>1500</v>
      </c>
      <c r="B1501">
        <v>19</v>
      </c>
      <c r="C1501" t="s">
        <v>7</v>
      </c>
      <c r="D1501" t="s">
        <v>125</v>
      </c>
      <c r="E1501" t="s">
        <v>30</v>
      </c>
      <c r="F1501">
        <v>85</v>
      </c>
      <c r="G1501" t="s">
        <v>130</v>
      </c>
      <c r="H1501" t="s">
        <v>24</v>
      </c>
      <c r="I1501" t="s">
        <v>66</v>
      </c>
      <c r="J1501" t="s">
        <v>45</v>
      </c>
      <c r="K1501">
        <v>3.4</v>
      </c>
      <c r="L1501" t="s">
        <v>140</v>
      </c>
      <c r="M1501" t="s">
        <v>26</v>
      </c>
      <c r="N1501" t="s">
        <v>14</v>
      </c>
      <c r="O1501">
        <v>24</v>
      </c>
      <c r="P1501" t="s">
        <v>27</v>
      </c>
      <c r="Q1501" t="s">
        <v>85</v>
      </c>
      <c r="R1501" t="str" cm="1">
        <f t="array" ref="R1501">_xlfn.IFS(B1501&lt;31,"Young-Adult",B1501&lt;41,"Adult",B1501&lt;61,"Middle-aged",B1501&gt;=61,"Senior")</f>
        <v>Young-Adult</v>
      </c>
      <c r="S1501" cm="1">
        <f t="array" ref="S1501">_xlfn.IFS(Q1501 ="Fortnightly",14,Q1501="Weekly",7,Q1501="Monthly",30,Q1501="Quarterly",90,Q1501="Bi-Weekly",14,Q1501="Annually",365,Q1501="Every 3 Months",90,TRUE,"NOT FOUND")</f>
        <v>90</v>
      </c>
    </row>
    <row r="1502" spans="1:19" x14ac:dyDescent="0.35">
      <c r="A1502">
        <v>1501</v>
      </c>
      <c r="B1502">
        <v>63</v>
      </c>
      <c r="C1502" t="s">
        <v>7</v>
      </c>
      <c r="D1502" t="s">
        <v>22</v>
      </c>
      <c r="E1502" t="s">
        <v>9</v>
      </c>
      <c r="F1502">
        <v>69</v>
      </c>
      <c r="G1502" t="s">
        <v>78</v>
      </c>
      <c r="H1502" t="s">
        <v>11</v>
      </c>
      <c r="I1502" t="s">
        <v>20</v>
      </c>
      <c r="J1502" t="s">
        <v>41</v>
      </c>
      <c r="K1502">
        <v>4.8</v>
      </c>
      <c r="L1502" t="s">
        <v>140</v>
      </c>
      <c r="M1502" t="s">
        <v>33</v>
      </c>
      <c r="N1502" t="s">
        <v>14</v>
      </c>
      <c r="O1502">
        <v>22</v>
      </c>
      <c r="P1502" t="s">
        <v>74</v>
      </c>
      <c r="Q1502" t="s">
        <v>76</v>
      </c>
      <c r="R1502" t="str" cm="1">
        <f t="array" ref="R1502">_xlfn.IFS(B1502&lt;31,"Young-Adult",B1502&lt;41,"Adult",B1502&lt;61,"Middle-aged",B1502&gt;=61,"Senior")</f>
        <v>Senior</v>
      </c>
      <c r="S1502" cm="1">
        <f t="array" ref="S1502">_xlfn.IFS(Q1502 ="Fortnightly",14,Q1502="Weekly",7,Q1502="Monthly",30,Q1502="Quarterly",90,Q1502="Bi-Weekly",14,Q1502="Annually",365,Q1502="Every 3 Months",90,TRUE,"NOT FOUND")</f>
        <v>30</v>
      </c>
    </row>
    <row r="1503" spans="1:19" x14ac:dyDescent="0.35">
      <c r="A1503">
        <v>1502</v>
      </c>
      <c r="B1503">
        <v>37</v>
      </c>
      <c r="C1503" t="s">
        <v>7</v>
      </c>
      <c r="D1503" t="s">
        <v>22</v>
      </c>
      <c r="E1503" t="s">
        <v>9</v>
      </c>
      <c r="F1503">
        <v>55</v>
      </c>
      <c r="G1503" t="s">
        <v>108</v>
      </c>
      <c r="H1503" t="s">
        <v>80</v>
      </c>
      <c r="I1503" t="s">
        <v>53</v>
      </c>
      <c r="J1503" t="s">
        <v>25</v>
      </c>
      <c r="K1503">
        <v>2.7</v>
      </c>
      <c r="L1503" t="s">
        <v>140</v>
      </c>
      <c r="M1503" t="s">
        <v>42</v>
      </c>
      <c r="N1503" t="s">
        <v>14</v>
      </c>
      <c r="O1503">
        <v>13</v>
      </c>
      <c r="P1503" t="s">
        <v>74</v>
      </c>
      <c r="Q1503" t="s">
        <v>85</v>
      </c>
      <c r="R1503" t="str" cm="1">
        <f t="array" ref="R1503">_xlfn.IFS(B1503&lt;31,"Young-Adult",B1503&lt;41,"Adult",B1503&lt;61,"Middle-aged",B1503&gt;=61,"Senior")</f>
        <v>Adult</v>
      </c>
      <c r="S1503" cm="1">
        <f t="array" ref="S1503">_xlfn.IFS(Q1503 ="Fortnightly",14,Q1503="Weekly",7,Q1503="Monthly",30,Q1503="Quarterly",90,Q1503="Bi-Weekly",14,Q1503="Annually",365,Q1503="Every 3 Months",90,TRUE,"NOT FOUND")</f>
        <v>90</v>
      </c>
    </row>
    <row r="1504" spans="1:19" x14ac:dyDescent="0.35">
      <c r="A1504">
        <v>1503</v>
      </c>
      <c r="B1504">
        <v>37</v>
      </c>
      <c r="C1504" t="s">
        <v>7</v>
      </c>
      <c r="D1504" t="s">
        <v>83</v>
      </c>
      <c r="E1504" t="s">
        <v>9</v>
      </c>
      <c r="F1504">
        <v>66</v>
      </c>
      <c r="G1504" t="s">
        <v>23</v>
      </c>
      <c r="H1504" t="s">
        <v>32</v>
      </c>
      <c r="I1504" t="s">
        <v>82</v>
      </c>
      <c r="J1504" t="s">
        <v>41</v>
      </c>
      <c r="K1504">
        <v>3.2</v>
      </c>
      <c r="L1504" t="s">
        <v>140</v>
      </c>
      <c r="M1504" t="s">
        <v>62</v>
      </c>
      <c r="N1504" t="s">
        <v>14</v>
      </c>
      <c r="O1504">
        <v>20</v>
      </c>
      <c r="P1504" t="s">
        <v>21</v>
      </c>
      <c r="Q1504" t="s">
        <v>17</v>
      </c>
      <c r="R1504" t="str" cm="1">
        <f t="array" ref="R1504">_xlfn.IFS(B1504&lt;31,"Young-Adult",B1504&lt;41,"Adult",B1504&lt;61,"Middle-aged",B1504&gt;=61,"Senior")</f>
        <v>Adult</v>
      </c>
      <c r="S1504" cm="1">
        <f t="array" ref="S1504">_xlfn.IFS(Q1504 ="Fortnightly",14,Q1504="Weekly",7,Q1504="Monthly",30,Q1504="Quarterly",90,Q1504="Bi-Weekly",14,Q1504="Annually",365,Q1504="Every 3 Months",90,TRUE,"NOT FOUND")</f>
        <v>14</v>
      </c>
    </row>
    <row r="1505" spans="1:19" x14ac:dyDescent="0.35">
      <c r="A1505">
        <v>1504</v>
      </c>
      <c r="B1505">
        <v>50</v>
      </c>
      <c r="C1505" t="s">
        <v>7</v>
      </c>
      <c r="D1505" t="s">
        <v>90</v>
      </c>
      <c r="E1505" t="s">
        <v>51</v>
      </c>
      <c r="F1505">
        <v>30</v>
      </c>
      <c r="G1505" t="s">
        <v>139</v>
      </c>
      <c r="H1505" t="s">
        <v>32</v>
      </c>
      <c r="I1505" t="s">
        <v>20</v>
      </c>
      <c r="J1505" t="s">
        <v>45</v>
      </c>
      <c r="K1505">
        <v>3.9</v>
      </c>
      <c r="L1505" t="s">
        <v>140</v>
      </c>
      <c r="M1505" t="s">
        <v>58</v>
      </c>
      <c r="N1505" t="s">
        <v>14</v>
      </c>
      <c r="O1505">
        <v>46</v>
      </c>
      <c r="P1505" t="s">
        <v>21</v>
      </c>
      <c r="Q1505" t="s">
        <v>46</v>
      </c>
      <c r="R1505" t="str" cm="1">
        <f t="array" ref="R1505">_xlfn.IFS(B1505&lt;31,"Young-Adult",B1505&lt;41,"Adult",B1505&lt;61,"Middle-aged",B1505&gt;=61,"Senior")</f>
        <v>Middle-aged</v>
      </c>
      <c r="S1505" cm="1">
        <f t="array" ref="S1505">_xlfn.IFS(Q1505 ="Fortnightly",14,Q1505="Weekly",7,Q1505="Monthly",30,Q1505="Quarterly",90,Q1505="Bi-Weekly",14,Q1505="Annually",365,Q1505="Every 3 Months",90,TRUE,"NOT FOUND")</f>
        <v>90</v>
      </c>
    </row>
    <row r="1506" spans="1:19" x14ac:dyDescent="0.35">
      <c r="A1506">
        <v>1505</v>
      </c>
      <c r="B1506">
        <v>60</v>
      </c>
      <c r="C1506" t="s">
        <v>7</v>
      </c>
      <c r="D1506" t="s">
        <v>90</v>
      </c>
      <c r="E1506" t="s">
        <v>51</v>
      </c>
      <c r="F1506">
        <v>80</v>
      </c>
      <c r="G1506" t="s">
        <v>108</v>
      </c>
      <c r="H1506" t="s">
        <v>32</v>
      </c>
      <c r="I1506" t="s">
        <v>73</v>
      </c>
      <c r="J1506" t="s">
        <v>13</v>
      </c>
      <c r="K1506">
        <v>4.2</v>
      </c>
      <c r="L1506" t="s">
        <v>140</v>
      </c>
      <c r="M1506" t="s">
        <v>33</v>
      </c>
      <c r="N1506" t="s">
        <v>14</v>
      </c>
      <c r="O1506">
        <v>10</v>
      </c>
      <c r="P1506" t="s">
        <v>63</v>
      </c>
      <c r="Q1506" t="s">
        <v>76</v>
      </c>
      <c r="R1506" t="str" cm="1">
        <f t="array" ref="R1506">_xlfn.IFS(B1506&lt;31,"Young-Adult",B1506&lt;41,"Adult",B1506&lt;61,"Middle-aged",B1506&gt;=61,"Senior")</f>
        <v>Middle-aged</v>
      </c>
      <c r="S1506" cm="1">
        <f t="array" ref="S1506">_xlfn.IFS(Q1506 ="Fortnightly",14,Q1506="Weekly",7,Q1506="Monthly",30,Q1506="Quarterly",90,Q1506="Bi-Weekly",14,Q1506="Annually",365,Q1506="Every 3 Months",90,TRUE,"NOT FOUND")</f>
        <v>30</v>
      </c>
    </row>
    <row r="1507" spans="1:19" x14ac:dyDescent="0.35">
      <c r="A1507">
        <v>1506</v>
      </c>
      <c r="B1507">
        <v>46</v>
      </c>
      <c r="C1507" t="s">
        <v>7</v>
      </c>
      <c r="D1507" t="s">
        <v>121</v>
      </c>
      <c r="E1507" t="s">
        <v>55</v>
      </c>
      <c r="F1507">
        <v>20</v>
      </c>
      <c r="G1507" t="s">
        <v>102</v>
      </c>
      <c r="H1507" t="s">
        <v>32</v>
      </c>
      <c r="I1507" t="s">
        <v>73</v>
      </c>
      <c r="J1507" t="s">
        <v>41</v>
      </c>
      <c r="K1507">
        <v>3</v>
      </c>
      <c r="L1507" t="s">
        <v>140</v>
      </c>
      <c r="M1507" t="s">
        <v>15</v>
      </c>
      <c r="N1507" t="s">
        <v>14</v>
      </c>
      <c r="O1507">
        <v>39</v>
      </c>
      <c r="P1507" t="s">
        <v>21</v>
      </c>
      <c r="Q1507" t="s">
        <v>76</v>
      </c>
      <c r="R1507" t="str" cm="1">
        <f t="array" ref="R1507">_xlfn.IFS(B1507&lt;31,"Young-Adult",B1507&lt;41,"Adult",B1507&lt;61,"Middle-aged",B1507&gt;=61,"Senior")</f>
        <v>Middle-aged</v>
      </c>
      <c r="S1507" cm="1">
        <f t="array" ref="S1507">_xlfn.IFS(Q1507 ="Fortnightly",14,Q1507="Weekly",7,Q1507="Monthly",30,Q1507="Quarterly",90,Q1507="Bi-Weekly",14,Q1507="Annually",365,Q1507="Every 3 Months",90,TRUE,"NOT FOUND")</f>
        <v>30</v>
      </c>
    </row>
    <row r="1508" spans="1:19" x14ac:dyDescent="0.35">
      <c r="A1508">
        <v>1507</v>
      </c>
      <c r="B1508">
        <v>35</v>
      </c>
      <c r="C1508" t="s">
        <v>7</v>
      </c>
      <c r="D1508" t="s">
        <v>43</v>
      </c>
      <c r="E1508" t="s">
        <v>9</v>
      </c>
      <c r="F1508">
        <v>30</v>
      </c>
      <c r="G1508" t="s">
        <v>119</v>
      </c>
      <c r="H1508" t="s">
        <v>11</v>
      </c>
      <c r="I1508" t="s">
        <v>106</v>
      </c>
      <c r="J1508" t="s">
        <v>45</v>
      </c>
      <c r="K1508">
        <v>3</v>
      </c>
      <c r="L1508" t="s">
        <v>140</v>
      </c>
      <c r="M1508" t="s">
        <v>58</v>
      </c>
      <c r="N1508" t="s">
        <v>14</v>
      </c>
      <c r="O1508">
        <v>44</v>
      </c>
      <c r="P1508" t="s">
        <v>34</v>
      </c>
      <c r="Q1508" t="s">
        <v>46</v>
      </c>
      <c r="R1508" t="str" cm="1">
        <f t="array" ref="R1508">_xlfn.IFS(B1508&lt;31,"Young-Adult",B1508&lt;41,"Adult",B1508&lt;61,"Middle-aged",B1508&gt;=61,"Senior")</f>
        <v>Adult</v>
      </c>
      <c r="S1508" cm="1">
        <f t="array" ref="S1508">_xlfn.IFS(Q1508 ="Fortnightly",14,Q1508="Weekly",7,Q1508="Monthly",30,Q1508="Quarterly",90,Q1508="Bi-Weekly",14,Q1508="Annually",365,Q1508="Every 3 Months",90,TRUE,"NOT FOUND")</f>
        <v>90</v>
      </c>
    </row>
    <row r="1509" spans="1:19" x14ac:dyDescent="0.35">
      <c r="A1509">
        <v>1508</v>
      </c>
      <c r="B1509">
        <v>66</v>
      </c>
      <c r="C1509" t="s">
        <v>7</v>
      </c>
      <c r="D1509" t="s">
        <v>69</v>
      </c>
      <c r="E1509" t="s">
        <v>9</v>
      </c>
      <c r="F1509">
        <v>86</v>
      </c>
      <c r="G1509" t="s">
        <v>126</v>
      </c>
      <c r="H1509" t="s">
        <v>24</v>
      </c>
      <c r="I1509" t="s">
        <v>20</v>
      </c>
      <c r="J1509" t="s">
        <v>13</v>
      </c>
      <c r="K1509">
        <v>3.7</v>
      </c>
      <c r="L1509" t="s">
        <v>140</v>
      </c>
      <c r="M1509" t="s">
        <v>58</v>
      </c>
      <c r="N1509" t="s">
        <v>14</v>
      </c>
      <c r="O1509">
        <v>7</v>
      </c>
      <c r="P1509" t="s">
        <v>16</v>
      </c>
      <c r="Q1509" t="s">
        <v>37</v>
      </c>
      <c r="R1509" t="str" cm="1">
        <f t="array" ref="R1509">_xlfn.IFS(B1509&lt;31,"Young-Adult",B1509&lt;41,"Adult",B1509&lt;61,"Middle-aged",B1509&gt;=61,"Senior")</f>
        <v>Senior</v>
      </c>
      <c r="S1509" cm="1">
        <f t="array" ref="S1509">_xlfn.IFS(Q1509 ="Fortnightly",14,Q1509="Weekly",7,Q1509="Monthly",30,Q1509="Quarterly",90,Q1509="Bi-Weekly",14,Q1509="Annually",365,Q1509="Every 3 Months",90,TRUE,"NOT FOUND")</f>
        <v>365</v>
      </c>
    </row>
    <row r="1510" spans="1:19" x14ac:dyDescent="0.35">
      <c r="A1510">
        <v>1509</v>
      </c>
      <c r="B1510">
        <v>35</v>
      </c>
      <c r="C1510" t="s">
        <v>7</v>
      </c>
      <c r="D1510" t="s">
        <v>8</v>
      </c>
      <c r="E1510" t="s">
        <v>9</v>
      </c>
      <c r="F1510">
        <v>84</v>
      </c>
      <c r="G1510" t="s">
        <v>100</v>
      </c>
      <c r="H1510" t="s">
        <v>11</v>
      </c>
      <c r="I1510" t="s">
        <v>106</v>
      </c>
      <c r="J1510" t="s">
        <v>25</v>
      </c>
      <c r="K1510">
        <v>4.4000000000000004</v>
      </c>
      <c r="L1510" t="s">
        <v>140</v>
      </c>
      <c r="M1510" t="s">
        <v>62</v>
      </c>
      <c r="N1510" t="s">
        <v>14</v>
      </c>
      <c r="O1510">
        <v>3</v>
      </c>
      <c r="P1510" t="s">
        <v>21</v>
      </c>
      <c r="Q1510" t="s">
        <v>85</v>
      </c>
      <c r="R1510" t="str" cm="1">
        <f t="array" ref="R1510">_xlfn.IFS(B1510&lt;31,"Young-Adult",B1510&lt;41,"Adult",B1510&lt;61,"Middle-aged",B1510&gt;=61,"Senior")</f>
        <v>Adult</v>
      </c>
      <c r="S1510" cm="1">
        <f t="array" ref="S1510">_xlfn.IFS(Q1510 ="Fortnightly",14,Q1510="Weekly",7,Q1510="Monthly",30,Q1510="Quarterly",90,Q1510="Bi-Weekly",14,Q1510="Annually",365,Q1510="Every 3 Months",90,TRUE,"NOT FOUND")</f>
        <v>90</v>
      </c>
    </row>
    <row r="1511" spans="1:19" x14ac:dyDescent="0.35">
      <c r="A1511">
        <v>1510</v>
      </c>
      <c r="B1511">
        <v>20</v>
      </c>
      <c r="C1511" t="s">
        <v>7</v>
      </c>
      <c r="D1511" t="s">
        <v>69</v>
      </c>
      <c r="E1511" t="s">
        <v>9</v>
      </c>
      <c r="F1511">
        <v>54</v>
      </c>
      <c r="G1511" t="s">
        <v>70</v>
      </c>
      <c r="H1511" t="s">
        <v>80</v>
      </c>
      <c r="I1511" t="s">
        <v>40</v>
      </c>
      <c r="J1511" t="s">
        <v>41</v>
      </c>
      <c r="K1511">
        <v>4.5999999999999996</v>
      </c>
      <c r="L1511" t="s">
        <v>140</v>
      </c>
      <c r="M1511" t="s">
        <v>26</v>
      </c>
      <c r="N1511" t="s">
        <v>14</v>
      </c>
      <c r="O1511">
        <v>44</v>
      </c>
      <c r="P1511" t="s">
        <v>74</v>
      </c>
      <c r="Q1511" t="s">
        <v>37</v>
      </c>
      <c r="R1511" t="str" cm="1">
        <f t="array" ref="R1511">_xlfn.IFS(B1511&lt;31,"Young-Adult",B1511&lt;41,"Adult",B1511&lt;61,"Middle-aged",B1511&gt;=61,"Senior")</f>
        <v>Young-Adult</v>
      </c>
      <c r="S1511" cm="1">
        <f t="array" ref="S1511">_xlfn.IFS(Q1511 ="Fortnightly",14,Q1511="Weekly",7,Q1511="Monthly",30,Q1511="Quarterly",90,Q1511="Bi-Weekly",14,Q1511="Annually",365,Q1511="Every 3 Months",90,TRUE,"NOT FOUND")</f>
        <v>365</v>
      </c>
    </row>
    <row r="1512" spans="1:19" x14ac:dyDescent="0.35">
      <c r="A1512">
        <v>1511</v>
      </c>
      <c r="B1512">
        <v>55</v>
      </c>
      <c r="C1512" t="s">
        <v>7</v>
      </c>
      <c r="D1512" t="s">
        <v>8</v>
      </c>
      <c r="E1512" t="s">
        <v>9</v>
      </c>
      <c r="F1512">
        <v>30</v>
      </c>
      <c r="G1512" t="s">
        <v>116</v>
      </c>
      <c r="H1512" t="s">
        <v>80</v>
      </c>
      <c r="I1512" t="s">
        <v>12</v>
      </c>
      <c r="J1512" t="s">
        <v>45</v>
      </c>
      <c r="K1512">
        <v>3</v>
      </c>
      <c r="L1512" t="s">
        <v>140</v>
      </c>
      <c r="M1512" t="s">
        <v>26</v>
      </c>
      <c r="N1512" t="s">
        <v>14</v>
      </c>
      <c r="O1512">
        <v>31</v>
      </c>
      <c r="P1512" t="s">
        <v>16</v>
      </c>
      <c r="Q1512" t="s">
        <v>37</v>
      </c>
      <c r="R1512" t="str" cm="1">
        <f t="array" ref="R1512">_xlfn.IFS(B1512&lt;31,"Young-Adult",B1512&lt;41,"Adult",B1512&lt;61,"Middle-aged",B1512&gt;=61,"Senior")</f>
        <v>Middle-aged</v>
      </c>
      <c r="S1512" cm="1">
        <f t="array" ref="S1512">_xlfn.IFS(Q1512 ="Fortnightly",14,Q1512="Weekly",7,Q1512="Monthly",30,Q1512="Quarterly",90,Q1512="Bi-Weekly",14,Q1512="Annually",365,Q1512="Every 3 Months",90,TRUE,"NOT FOUND")</f>
        <v>365</v>
      </c>
    </row>
    <row r="1513" spans="1:19" x14ac:dyDescent="0.35">
      <c r="A1513">
        <v>1512</v>
      </c>
      <c r="B1513">
        <v>34</v>
      </c>
      <c r="C1513" t="s">
        <v>7</v>
      </c>
      <c r="D1513" t="s">
        <v>69</v>
      </c>
      <c r="E1513" t="s">
        <v>9</v>
      </c>
      <c r="F1513">
        <v>91</v>
      </c>
      <c r="G1513" t="s">
        <v>130</v>
      </c>
      <c r="H1513" t="s">
        <v>32</v>
      </c>
      <c r="I1513" t="s">
        <v>71</v>
      </c>
      <c r="J1513" t="s">
        <v>13</v>
      </c>
      <c r="K1513">
        <v>3.6</v>
      </c>
      <c r="L1513" t="s">
        <v>140</v>
      </c>
      <c r="M1513" t="s">
        <v>15</v>
      </c>
      <c r="N1513" t="s">
        <v>14</v>
      </c>
      <c r="O1513">
        <v>48</v>
      </c>
      <c r="P1513" t="s">
        <v>27</v>
      </c>
      <c r="Q1513" t="s">
        <v>28</v>
      </c>
      <c r="R1513" t="str" cm="1">
        <f t="array" ref="R1513">_xlfn.IFS(B1513&lt;31,"Young-Adult",B1513&lt;41,"Adult",B1513&lt;61,"Middle-aged",B1513&gt;=61,"Senior")</f>
        <v>Adult</v>
      </c>
      <c r="S1513" cm="1">
        <f t="array" ref="S1513">_xlfn.IFS(Q1513 ="Fortnightly",14,Q1513="Weekly",7,Q1513="Monthly",30,Q1513="Quarterly",90,Q1513="Bi-Weekly",14,Q1513="Annually",365,Q1513="Every 3 Months",90,TRUE,"NOT FOUND")</f>
        <v>7</v>
      </c>
    </row>
    <row r="1514" spans="1:19" x14ac:dyDescent="0.35">
      <c r="A1514">
        <v>1513</v>
      </c>
      <c r="B1514">
        <v>60</v>
      </c>
      <c r="C1514" t="s">
        <v>7</v>
      </c>
      <c r="D1514" t="s">
        <v>38</v>
      </c>
      <c r="E1514" t="s">
        <v>30</v>
      </c>
      <c r="F1514">
        <v>23</v>
      </c>
      <c r="G1514" t="s">
        <v>138</v>
      </c>
      <c r="H1514" t="s">
        <v>11</v>
      </c>
      <c r="I1514" t="s">
        <v>53</v>
      </c>
      <c r="J1514" t="s">
        <v>13</v>
      </c>
      <c r="K1514">
        <v>3.9</v>
      </c>
      <c r="L1514" t="s">
        <v>140</v>
      </c>
      <c r="M1514" t="s">
        <v>42</v>
      </c>
      <c r="N1514" t="s">
        <v>14</v>
      </c>
      <c r="O1514">
        <v>18</v>
      </c>
      <c r="P1514" t="s">
        <v>34</v>
      </c>
      <c r="Q1514" t="s">
        <v>64</v>
      </c>
      <c r="R1514" t="str" cm="1">
        <f t="array" ref="R1514">_xlfn.IFS(B1514&lt;31,"Young-Adult",B1514&lt;41,"Adult",B1514&lt;61,"Middle-aged",B1514&gt;=61,"Senior")</f>
        <v>Middle-aged</v>
      </c>
      <c r="S1514" cm="1">
        <f t="array" ref="S1514">_xlfn.IFS(Q1514 ="Fortnightly",14,Q1514="Weekly",7,Q1514="Monthly",30,Q1514="Quarterly",90,Q1514="Bi-Weekly",14,Q1514="Annually",365,Q1514="Every 3 Months",90,TRUE,"NOT FOUND")</f>
        <v>14</v>
      </c>
    </row>
    <row r="1515" spans="1:19" x14ac:dyDescent="0.35">
      <c r="A1515">
        <v>1514</v>
      </c>
      <c r="B1515">
        <v>22</v>
      </c>
      <c r="C1515" t="s">
        <v>7</v>
      </c>
      <c r="D1515" t="s">
        <v>113</v>
      </c>
      <c r="E1515" t="s">
        <v>9</v>
      </c>
      <c r="F1515">
        <v>35</v>
      </c>
      <c r="G1515" t="s">
        <v>93</v>
      </c>
      <c r="H1515" t="s">
        <v>32</v>
      </c>
      <c r="I1515" t="s">
        <v>96</v>
      </c>
      <c r="J1515" t="s">
        <v>25</v>
      </c>
      <c r="K1515">
        <v>4.0999999999999996</v>
      </c>
      <c r="L1515" t="s">
        <v>140</v>
      </c>
      <c r="M1515" t="s">
        <v>26</v>
      </c>
      <c r="N1515" t="s">
        <v>14</v>
      </c>
      <c r="O1515">
        <v>27</v>
      </c>
      <c r="P1515" t="s">
        <v>21</v>
      </c>
      <c r="Q1515" t="s">
        <v>76</v>
      </c>
      <c r="R1515" t="str" cm="1">
        <f t="array" ref="R1515">_xlfn.IFS(B1515&lt;31,"Young-Adult",B1515&lt;41,"Adult",B1515&lt;61,"Middle-aged",B1515&gt;=61,"Senior")</f>
        <v>Young-Adult</v>
      </c>
      <c r="S1515" cm="1">
        <f t="array" ref="S1515">_xlfn.IFS(Q1515 ="Fortnightly",14,Q1515="Weekly",7,Q1515="Monthly",30,Q1515="Quarterly",90,Q1515="Bi-Weekly",14,Q1515="Annually",365,Q1515="Every 3 Months",90,TRUE,"NOT FOUND")</f>
        <v>30</v>
      </c>
    </row>
    <row r="1516" spans="1:19" x14ac:dyDescent="0.35">
      <c r="A1516">
        <v>1515</v>
      </c>
      <c r="B1516">
        <v>26</v>
      </c>
      <c r="C1516" t="s">
        <v>7</v>
      </c>
      <c r="D1516" t="s">
        <v>59</v>
      </c>
      <c r="E1516" t="s">
        <v>30</v>
      </c>
      <c r="F1516">
        <v>90</v>
      </c>
      <c r="G1516" t="s">
        <v>128</v>
      </c>
      <c r="H1516" t="s">
        <v>11</v>
      </c>
      <c r="I1516" t="s">
        <v>98</v>
      </c>
      <c r="J1516" t="s">
        <v>13</v>
      </c>
      <c r="K1516">
        <v>3.9</v>
      </c>
      <c r="L1516" t="s">
        <v>140</v>
      </c>
      <c r="M1516" t="s">
        <v>58</v>
      </c>
      <c r="N1516" t="s">
        <v>14</v>
      </c>
      <c r="O1516">
        <v>1</v>
      </c>
      <c r="P1516" t="s">
        <v>16</v>
      </c>
      <c r="Q1516" t="s">
        <v>28</v>
      </c>
      <c r="R1516" t="str" cm="1">
        <f t="array" ref="R1516">_xlfn.IFS(B1516&lt;31,"Young-Adult",B1516&lt;41,"Adult",B1516&lt;61,"Middle-aged",B1516&gt;=61,"Senior")</f>
        <v>Young-Adult</v>
      </c>
      <c r="S1516" cm="1">
        <f t="array" ref="S1516">_xlfn.IFS(Q1516 ="Fortnightly",14,Q1516="Weekly",7,Q1516="Monthly",30,Q1516="Quarterly",90,Q1516="Bi-Weekly",14,Q1516="Annually",365,Q1516="Every 3 Months",90,TRUE,"NOT FOUND")</f>
        <v>7</v>
      </c>
    </row>
    <row r="1517" spans="1:19" x14ac:dyDescent="0.35">
      <c r="A1517">
        <v>1516</v>
      </c>
      <c r="B1517">
        <v>39</v>
      </c>
      <c r="C1517" t="s">
        <v>7</v>
      </c>
      <c r="D1517" t="s">
        <v>22</v>
      </c>
      <c r="E1517" t="s">
        <v>9</v>
      </c>
      <c r="F1517">
        <v>93</v>
      </c>
      <c r="G1517" t="s">
        <v>104</v>
      </c>
      <c r="H1517" t="s">
        <v>24</v>
      </c>
      <c r="I1517" t="s">
        <v>36</v>
      </c>
      <c r="J1517" t="s">
        <v>45</v>
      </c>
      <c r="K1517">
        <v>3.9</v>
      </c>
      <c r="L1517" t="s">
        <v>140</v>
      </c>
      <c r="M1517" t="s">
        <v>58</v>
      </c>
      <c r="N1517" t="s">
        <v>14</v>
      </c>
      <c r="O1517">
        <v>34</v>
      </c>
      <c r="P1517" t="s">
        <v>21</v>
      </c>
      <c r="Q1517" t="s">
        <v>28</v>
      </c>
      <c r="R1517" t="str" cm="1">
        <f t="array" ref="R1517">_xlfn.IFS(B1517&lt;31,"Young-Adult",B1517&lt;41,"Adult",B1517&lt;61,"Middle-aged",B1517&gt;=61,"Senior")</f>
        <v>Adult</v>
      </c>
      <c r="S1517" cm="1">
        <f t="array" ref="S1517">_xlfn.IFS(Q1517 ="Fortnightly",14,Q1517="Weekly",7,Q1517="Monthly",30,Q1517="Quarterly",90,Q1517="Bi-Weekly",14,Q1517="Annually",365,Q1517="Every 3 Months",90,TRUE,"NOT FOUND")</f>
        <v>7</v>
      </c>
    </row>
    <row r="1518" spans="1:19" x14ac:dyDescent="0.35">
      <c r="A1518">
        <v>1517</v>
      </c>
      <c r="B1518">
        <v>20</v>
      </c>
      <c r="C1518" t="s">
        <v>7</v>
      </c>
      <c r="D1518" t="s">
        <v>22</v>
      </c>
      <c r="E1518" t="s">
        <v>9</v>
      </c>
      <c r="F1518">
        <v>68</v>
      </c>
      <c r="G1518" t="s">
        <v>95</v>
      </c>
      <c r="H1518" t="s">
        <v>11</v>
      </c>
      <c r="I1518" t="s">
        <v>114</v>
      </c>
      <c r="J1518" t="s">
        <v>13</v>
      </c>
      <c r="K1518">
        <v>4.5</v>
      </c>
      <c r="L1518" t="s">
        <v>140</v>
      </c>
      <c r="M1518" t="s">
        <v>15</v>
      </c>
      <c r="N1518" t="s">
        <v>14</v>
      </c>
      <c r="O1518">
        <v>5</v>
      </c>
      <c r="P1518" t="s">
        <v>63</v>
      </c>
      <c r="Q1518" t="s">
        <v>64</v>
      </c>
      <c r="R1518" t="str" cm="1">
        <f t="array" ref="R1518">_xlfn.IFS(B1518&lt;31,"Young-Adult",B1518&lt;41,"Adult",B1518&lt;61,"Middle-aged",B1518&gt;=61,"Senior")</f>
        <v>Young-Adult</v>
      </c>
      <c r="S1518" cm="1">
        <f t="array" ref="S1518">_xlfn.IFS(Q1518 ="Fortnightly",14,Q1518="Weekly",7,Q1518="Monthly",30,Q1518="Quarterly",90,Q1518="Bi-Weekly",14,Q1518="Annually",365,Q1518="Every 3 Months",90,TRUE,"NOT FOUND")</f>
        <v>14</v>
      </c>
    </row>
    <row r="1519" spans="1:19" x14ac:dyDescent="0.35">
      <c r="A1519">
        <v>1518</v>
      </c>
      <c r="B1519">
        <v>57</v>
      </c>
      <c r="C1519" t="s">
        <v>7</v>
      </c>
      <c r="D1519" t="s">
        <v>131</v>
      </c>
      <c r="E1519" t="s">
        <v>55</v>
      </c>
      <c r="F1519">
        <v>41</v>
      </c>
      <c r="G1519" t="s">
        <v>70</v>
      </c>
      <c r="H1519" t="s">
        <v>32</v>
      </c>
      <c r="I1519" t="s">
        <v>71</v>
      </c>
      <c r="J1519" t="s">
        <v>25</v>
      </c>
      <c r="K1519">
        <v>3.4</v>
      </c>
      <c r="L1519" t="s">
        <v>140</v>
      </c>
      <c r="M1519" t="s">
        <v>42</v>
      </c>
      <c r="N1519" t="s">
        <v>14</v>
      </c>
      <c r="O1519">
        <v>12</v>
      </c>
      <c r="P1519" t="s">
        <v>21</v>
      </c>
      <c r="Q1519" t="s">
        <v>46</v>
      </c>
      <c r="R1519" t="str" cm="1">
        <f t="array" ref="R1519">_xlfn.IFS(B1519&lt;31,"Young-Adult",B1519&lt;41,"Adult",B1519&lt;61,"Middle-aged",B1519&gt;=61,"Senior")</f>
        <v>Middle-aged</v>
      </c>
      <c r="S1519" cm="1">
        <f t="array" ref="S1519">_xlfn.IFS(Q1519 ="Fortnightly",14,Q1519="Weekly",7,Q1519="Monthly",30,Q1519="Quarterly",90,Q1519="Bi-Weekly",14,Q1519="Annually",365,Q1519="Every 3 Months",90,TRUE,"NOT FOUND")</f>
        <v>90</v>
      </c>
    </row>
    <row r="1520" spans="1:19" x14ac:dyDescent="0.35">
      <c r="A1520">
        <v>1519</v>
      </c>
      <c r="B1520">
        <v>68</v>
      </c>
      <c r="C1520" t="s">
        <v>7</v>
      </c>
      <c r="D1520" t="s">
        <v>121</v>
      </c>
      <c r="E1520" t="s">
        <v>55</v>
      </c>
      <c r="F1520">
        <v>73</v>
      </c>
      <c r="G1520" t="s">
        <v>72</v>
      </c>
      <c r="H1520" t="s">
        <v>32</v>
      </c>
      <c r="I1520" t="s">
        <v>122</v>
      </c>
      <c r="J1520" t="s">
        <v>13</v>
      </c>
      <c r="K1520">
        <v>4.0999999999999996</v>
      </c>
      <c r="L1520" t="s">
        <v>140</v>
      </c>
      <c r="M1520" t="s">
        <v>33</v>
      </c>
      <c r="N1520" t="s">
        <v>14</v>
      </c>
      <c r="O1520">
        <v>14</v>
      </c>
      <c r="P1520" t="s">
        <v>16</v>
      </c>
      <c r="Q1520" t="s">
        <v>17</v>
      </c>
      <c r="R1520" t="str" cm="1">
        <f t="array" ref="R1520">_xlfn.IFS(B1520&lt;31,"Young-Adult",B1520&lt;41,"Adult",B1520&lt;61,"Middle-aged",B1520&gt;=61,"Senior")</f>
        <v>Senior</v>
      </c>
      <c r="S1520" cm="1">
        <f t="array" ref="S1520">_xlfn.IFS(Q1520 ="Fortnightly",14,Q1520="Weekly",7,Q1520="Monthly",30,Q1520="Quarterly",90,Q1520="Bi-Weekly",14,Q1520="Annually",365,Q1520="Every 3 Months",90,TRUE,"NOT FOUND")</f>
        <v>14</v>
      </c>
    </row>
    <row r="1521" spans="1:19" x14ac:dyDescent="0.35">
      <c r="A1521">
        <v>1520</v>
      </c>
      <c r="B1521">
        <v>50</v>
      </c>
      <c r="C1521" t="s">
        <v>7</v>
      </c>
      <c r="D1521" t="s">
        <v>77</v>
      </c>
      <c r="E1521" t="s">
        <v>55</v>
      </c>
      <c r="F1521">
        <v>73</v>
      </c>
      <c r="G1521" t="s">
        <v>93</v>
      </c>
      <c r="H1521" t="s">
        <v>11</v>
      </c>
      <c r="I1521" t="s">
        <v>97</v>
      </c>
      <c r="J1521" t="s">
        <v>45</v>
      </c>
      <c r="K1521">
        <v>4.9000000000000004</v>
      </c>
      <c r="L1521" t="s">
        <v>140</v>
      </c>
      <c r="M1521" t="s">
        <v>33</v>
      </c>
      <c r="N1521" t="s">
        <v>14</v>
      </c>
      <c r="O1521">
        <v>40</v>
      </c>
      <c r="P1521" t="s">
        <v>34</v>
      </c>
      <c r="Q1521" t="s">
        <v>28</v>
      </c>
      <c r="R1521" t="str" cm="1">
        <f t="array" ref="R1521">_xlfn.IFS(B1521&lt;31,"Young-Adult",B1521&lt;41,"Adult",B1521&lt;61,"Middle-aged",B1521&gt;=61,"Senior")</f>
        <v>Middle-aged</v>
      </c>
      <c r="S1521" cm="1">
        <f t="array" ref="S1521">_xlfn.IFS(Q1521 ="Fortnightly",14,Q1521="Weekly",7,Q1521="Monthly",30,Q1521="Quarterly",90,Q1521="Bi-Weekly",14,Q1521="Annually",365,Q1521="Every 3 Months",90,TRUE,"NOT FOUND")</f>
        <v>7</v>
      </c>
    </row>
    <row r="1522" spans="1:19" x14ac:dyDescent="0.35">
      <c r="A1522">
        <v>1521</v>
      </c>
      <c r="B1522">
        <v>21</v>
      </c>
      <c r="C1522" t="s">
        <v>7</v>
      </c>
      <c r="D1522" t="s">
        <v>112</v>
      </c>
      <c r="E1522" t="s">
        <v>55</v>
      </c>
      <c r="F1522">
        <v>66</v>
      </c>
      <c r="G1522" t="s">
        <v>134</v>
      </c>
      <c r="H1522" t="s">
        <v>32</v>
      </c>
      <c r="I1522" t="s">
        <v>98</v>
      </c>
      <c r="J1522" t="s">
        <v>41</v>
      </c>
      <c r="K1522">
        <v>4.4000000000000004</v>
      </c>
      <c r="L1522" t="s">
        <v>140</v>
      </c>
      <c r="M1522" t="s">
        <v>58</v>
      </c>
      <c r="N1522" t="s">
        <v>14</v>
      </c>
      <c r="O1522">
        <v>39</v>
      </c>
      <c r="P1522" t="s">
        <v>21</v>
      </c>
      <c r="Q1522" t="s">
        <v>46</v>
      </c>
      <c r="R1522" t="str" cm="1">
        <f t="array" ref="R1522">_xlfn.IFS(B1522&lt;31,"Young-Adult",B1522&lt;41,"Adult",B1522&lt;61,"Middle-aged",B1522&gt;=61,"Senior")</f>
        <v>Young-Adult</v>
      </c>
      <c r="S1522" cm="1">
        <f t="array" ref="S1522">_xlfn.IFS(Q1522 ="Fortnightly",14,Q1522="Weekly",7,Q1522="Monthly",30,Q1522="Quarterly",90,Q1522="Bi-Weekly",14,Q1522="Annually",365,Q1522="Every 3 Months",90,TRUE,"NOT FOUND")</f>
        <v>90</v>
      </c>
    </row>
    <row r="1523" spans="1:19" x14ac:dyDescent="0.35">
      <c r="A1523">
        <v>1522</v>
      </c>
      <c r="B1523">
        <v>29</v>
      </c>
      <c r="C1523" t="s">
        <v>7</v>
      </c>
      <c r="D1523" t="s">
        <v>120</v>
      </c>
      <c r="E1523" t="s">
        <v>55</v>
      </c>
      <c r="F1523">
        <v>59</v>
      </c>
      <c r="G1523" t="s">
        <v>137</v>
      </c>
      <c r="H1523" t="s">
        <v>32</v>
      </c>
      <c r="I1523" t="s">
        <v>40</v>
      </c>
      <c r="J1523" t="s">
        <v>41</v>
      </c>
      <c r="K1523">
        <v>2.7</v>
      </c>
      <c r="L1523" t="s">
        <v>140</v>
      </c>
      <c r="M1523" t="s">
        <v>58</v>
      </c>
      <c r="N1523" t="s">
        <v>14</v>
      </c>
      <c r="O1523">
        <v>50</v>
      </c>
      <c r="P1523" t="s">
        <v>63</v>
      </c>
      <c r="Q1523" t="s">
        <v>28</v>
      </c>
      <c r="R1523" t="str" cm="1">
        <f t="array" ref="R1523">_xlfn.IFS(B1523&lt;31,"Young-Adult",B1523&lt;41,"Adult",B1523&lt;61,"Middle-aged",B1523&gt;=61,"Senior")</f>
        <v>Young-Adult</v>
      </c>
      <c r="S1523" cm="1">
        <f t="array" ref="S1523">_xlfn.IFS(Q1523 ="Fortnightly",14,Q1523="Weekly",7,Q1523="Monthly",30,Q1523="Quarterly",90,Q1523="Bi-Weekly",14,Q1523="Annually",365,Q1523="Every 3 Months",90,TRUE,"NOT FOUND")</f>
        <v>7</v>
      </c>
    </row>
    <row r="1524" spans="1:19" x14ac:dyDescent="0.35">
      <c r="A1524">
        <v>1523</v>
      </c>
      <c r="B1524">
        <v>38</v>
      </c>
      <c r="C1524" t="s">
        <v>7</v>
      </c>
      <c r="D1524" t="s">
        <v>47</v>
      </c>
      <c r="E1524" t="s">
        <v>9</v>
      </c>
      <c r="F1524">
        <v>72</v>
      </c>
      <c r="G1524" t="s">
        <v>110</v>
      </c>
      <c r="H1524" t="s">
        <v>11</v>
      </c>
      <c r="I1524" t="s">
        <v>122</v>
      </c>
      <c r="J1524" t="s">
        <v>25</v>
      </c>
      <c r="K1524">
        <v>4.8</v>
      </c>
      <c r="L1524" t="s">
        <v>140</v>
      </c>
      <c r="M1524" t="s">
        <v>26</v>
      </c>
      <c r="N1524" t="s">
        <v>14</v>
      </c>
      <c r="O1524">
        <v>5</v>
      </c>
      <c r="P1524" t="s">
        <v>74</v>
      </c>
      <c r="Q1524" t="s">
        <v>76</v>
      </c>
      <c r="R1524" t="str" cm="1">
        <f t="array" ref="R1524">_xlfn.IFS(B1524&lt;31,"Young-Adult",B1524&lt;41,"Adult",B1524&lt;61,"Middle-aged",B1524&gt;=61,"Senior")</f>
        <v>Adult</v>
      </c>
      <c r="S1524" cm="1">
        <f t="array" ref="S1524">_xlfn.IFS(Q1524 ="Fortnightly",14,Q1524="Weekly",7,Q1524="Monthly",30,Q1524="Quarterly",90,Q1524="Bi-Weekly",14,Q1524="Annually",365,Q1524="Every 3 Months",90,TRUE,"NOT FOUND")</f>
        <v>30</v>
      </c>
    </row>
    <row r="1525" spans="1:19" x14ac:dyDescent="0.35">
      <c r="A1525">
        <v>1524</v>
      </c>
      <c r="B1525">
        <v>54</v>
      </c>
      <c r="C1525" t="s">
        <v>7</v>
      </c>
      <c r="D1525" t="s">
        <v>113</v>
      </c>
      <c r="E1525" t="s">
        <v>9</v>
      </c>
      <c r="F1525">
        <v>88</v>
      </c>
      <c r="G1525" t="s">
        <v>130</v>
      </c>
      <c r="H1525" t="s">
        <v>32</v>
      </c>
      <c r="I1525" t="s">
        <v>40</v>
      </c>
      <c r="J1525" t="s">
        <v>41</v>
      </c>
      <c r="K1525">
        <v>3.3</v>
      </c>
      <c r="L1525" t="s">
        <v>140</v>
      </c>
      <c r="M1525" t="s">
        <v>58</v>
      </c>
      <c r="N1525" t="s">
        <v>14</v>
      </c>
      <c r="O1525">
        <v>35</v>
      </c>
      <c r="P1525" t="s">
        <v>74</v>
      </c>
      <c r="Q1525" t="s">
        <v>37</v>
      </c>
      <c r="R1525" t="str" cm="1">
        <f t="array" ref="R1525">_xlfn.IFS(B1525&lt;31,"Young-Adult",B1525&lt;41,"Adult",B1525&lt;61,"Middle-aged",B1525&gt;=61,"Senior")</f>
        <v>Middle-aged</v>
      </c>
      <c r="S1525" cm="1">
        <f t="array" ref="S1525">_xlfn.IFS(Q1525 ="Fortnightly",14,Q1525="Weekly",7,Q1525="Monthly",30,Q1525="Quarterly",90,Q1525="Bi-Weekly",14,Q1525="Annually",365,Q1525="Every 3 Months",90,TRUE,"NOT FOUND")</f>
        <v>365</v>
      </c>
    </row>
    <row r="1526" spans="1:19" x14ac:dyDescent="0.35">
      <c r="A1526">
        <v>1525</v>
      </c>
      <c r="B1526">
        <v>22</v>
      </c>
      <c r="C1526" t="s">
        <v>7</v>
      </c>
      <c r="D1526" t="s">
        <v>113</v>
      </c>
      <c r="E1526" t="s">
        <v>9</v>
      </c>
      <c r="F1526">
        <v>76</v>
      </c>
      <c r="G1526" t="s">
        <v>23</v>
      </c>
      <c r="H1526" t="s">
        <v>11</v>
      </c>
      <c r="I1526" t="s">
        <v>57</v>
      </c>
      <c r="J1526" t="s">
        <v>41</v>
      </c>
      <c r="K1526">
        <v>4.4000000000000004</v>
      </c>
      <c r="L1526" t="s">
        <v>140</v>
      </c>
      <c r="M1526" t="s">
        <v>26</v>
      </c>
      <c r="N1526" t="s">
        <v>14</v>
      </c>
      <c r="O1526">
        <v>6</v>
      </c>
      <c r="P1526" t="s">
        <v>21</v>
      </c>
      <c r="Q1526" t="s">
        <v>64</v>
      </c>
      <c r="R1526" t="str" cm="1">
        <f t="array" ref="R1526">_xlfn.IFS(B1526&lt;31,"Young-Adult",B1526&lt;41,"Adult",B1526&lt;61,"Middle-aged",B1526&gt;=61,"Senior")</f>
        <v>Young-Adult</v>
      </c>
      <c r="S1526" cm="1">
        <f t="array" ref="S1526">_xlfn.IFS(Q1526 ="Fortnightly",14,Q1526="Weekly",7,Q1526="Monthly",30,Q1526="Quarterly",90,Q1526="Bi-Weekly",14,Q1526="Annually",365,Q1526="Every 3 Months",90,TRUE,"NOT FOUND")</f>
        <v>14</v>
      </c>
    </row>
    <row r="1527" spans="1:19" x14ac:dyDescent="0.35">
      <c r="A1527">
        <v>1526</v>
      </c>
      <c r="B1527">
        <v>29</v>
      </c>
      <c r="C1527" t="s">
        <v>7</v>
      </c>
      <c r="D1527" t="s">
        <v>121</v>
      </c>
      <c r="E1527" t="s">
        <v>55</v>
      </c>
      <c r="F1527">
        <v>31</v>
      </c>
      <c r="G1527" t="s">
        <v>35</v>
      </c>
      <c r="H1527" t="s">
        <v>32</v>
      </c>
      <c r="I1527" t="s">
        <v>114</v>
      </c>
      <c r="J1527" t="s">
        <v>13</v>
      </c>
      <c r="K1527">
        <v>4.5999999999999996</v>
      </c>
      <c r="L1527" t="s">
        <v>140</v>
      </c>
      <c r="M1527" t="s">
        <v>58</v>
      </c>
      <c r="N1527" t="s">
        <v>14</v>
      </c>
      <c r="O1527">
        <v>22</v>
      </c>
      <c r="P1527" t="s">
        <v>21</v>
      </c>
      <c r="Q1527" t="s">
        <v>17</v>
      </c>
      <c r="R1527" t="str" cm="1">
        <f t="array" ref="R1527">_xlfn.IFS(B1527&lt;31,"Young-Adult",B1527&lt;41,"Adult",B1527&lt;61,"Middle-aged",B1527&gt;=61,"Senior")</f>
        <v>Young-Adult</v>
      </c>
      <c r="S1527" cm="1">
        <f t="array" ref="S1527">_xlfn.IFS(Q1527 ="Fortnightly",14,Q1527="Weekly",7,Q1527="Monthly",30,Q1527="Quarterly",90,Q1527="Bi-Weekly",14,Q1527="Annually",365,Q1527="Every 3 Months",90,TRUE,"NOT FOUND")</f>
        <v>14</v>
      </c>
    </row>
    <row r="1528" spans="1:19" x14ac:dyDescent="0.35">
      <c r="A1528">
        <v>1527</v>
      </c>
      <c r="B1528">
        <v>41</v>
      </c>
      <c r="C1528" t="s">
        <v>7</v>
      </c>
      <c r="D1528" t="s">
        <v>90</v>
      </c>
      <c r="E1528" t="s">
        <v>51</v>
      </c>
      <c r="F1528">
        <v>22</v>
      </c>
      <c r="G1528" t="s">
        <v>89</v>
      </c>
      <c r="H1528" t="s">
        <v>11</v>
      </c>
      <c r="I1528" t="s">
        <v>40</v>
      </c>
      <c r="J1528" t="s">
        <v>41</v>
      </c>
      <c r="K1528">
        <v>3.1</v>
      </c>
      <c r="L1528" t="s">
        <v>140</v>
      </c>
      <c r="M1528" t="s">
        <v>33</v>
      </c>
      <c r="N1528" t="s">
        <v>14</v>
      </c>
      <c r="O1528">
        <v>27</v>
      </c>
      <c r="P1528" t="s">
        <v>34</v>
      </c>
      <c r="Q1528" t="s">
        <v>76</v>
      </c>
      <c r="R1528" t="str" cm="1">
        <f t="array" ref="R1528">_xlfn.IFS(B1528&lt;31,"Young-Adult",B1528&lt;41,"Adult",B1528&lt;61,"Middle-aged",B1528&gt;=61,"Senior")</f>
        <v>Middle-aged</v>
      </c>
      <c r="S1528" cm="1">
        <f t="array" ref="S1528">_xlfn.IFS(Q1528 ="Fortnightly",14,Q1528="Weekly",7,Q1528="Monthly",30,Q1528="Quarterly",90,Q1528="Bi-Weekly",14,Q1528="Annually",365,Q1528="Every 3 Months",90,TRUE,"NOT FOUND")</f>
        <v>30</v>
      </c>
    </row>
    <row r="1529" spans="1:19" x14ac:dyDescent="0.35">
      <c r="A1529">
        <v>1528</v>
      </c>
      <c r="B1529">
        <v>26</v>
      </c>
      <c r="C1529" t="s">
        <v>7</v>
      </c>
      <c r="D1529" t="s">
        <v>112</v>
      </c>
      <c r="E1529" t="s">
        <v>55</v>
      </c>
      <c r="F1529">
        <v>75</v>
      </c>
      <c r="G1529" t="s">
        <v>138</v>
      </c>
      <c r="H1529" t="s">
        <v>11</v>
      </c>
      <c r="I1529" t="s">
        <v>96</v>
      </c>
      <c r="J1529" t="s">
        <v>45</v>
      </c>
      <c r="K1529">
        <v>4.5</v>
      </c>
      <c r="L1529" t="s">
        <v>140</v>
      </c>
      <c r="M1529" t="s">
        <v>58</v>
      </c>
      <c r="N1529" t="s">
        <v>14</v>
      </c>
      <c r="O1529">
        <v>33</v>
      </c>
      <c r="P1529" t="s">
        <v>74</v>
      </c>
      <c r="Q1529" t="s">
        <v>17</v>
      </c>
      <c r="R1529" t="str" cm="1">
        <f t="array" ref="R1529">_xlfn.IFS(B1529&lt;31,"Young-Adult",B1529&lt;41,"Adult",B1529&lt;61,"Middle-aged",B1529&gt;=61,"Senior")</f>
        <v>Young-Adult</v>
      </c>
      <c r="S1529" cm="1">
        <f t="array" ref="S1529">_xlfn.IFS(Q1529 ="Fortnightly",14,Q1529="Weekly",7,Q1529="Monthly",30,Q1529="Quarterly",90,Q1529="Bi-Weekly",14,Q1529="Annually",365,Q1529="Every 3 Months",90,TRUE,"NOT FOUND")</f>
        <v>14</v>
      </c>
    </row>
    <row r="1530" spans="1:19" x14ac:dyDescent="0.35">
      <c r="A1530">
        <v>1529</v>
      </c>
      <c r="B1530">
        <v>69</v>
      </c>
      <c r="C1530" t="s">
        <v>7</v>
      </c>
      <c r="D1530" t="s">
        <v>101</v>
      </c>
      <c r="E1530" t="s">
        <v>9</v>
      </c>
      <c r="F1530">
        <v>75</v>
      </c>
      <c r="G1530" t="s">
        <v>35</v>
      </c>
      <c r="H1530" t="s">
        <v>24</v>
      </c>
      <c r="I1530" t="s">
        <v>96</v>
      </c>
      <c r="J1530" t="s">
        <v>25</v>
      </c>
      <c r="K1530">
        <v>4</v>
      </c>
      <c r="L1530" t="s">
        <v>140</v>
      </c>
      <c r="M1530" t="s">
        <v>62</v>
      </c>
      <c r="N1530" t="s">
        <v>14</v>
      </c>
      <c r="O1530">
        <v>47</v>
      </c>
      <c r="P1530" t="s">
        <v>16</v>
      </c>
      <c r="Q1530" t="s">
        <v>64</v>
      </c>
      <c r="R1530" t="str" cm="1">
        <f t="array" ref="R1530">_xlfn.IFS(B1530&lt;31,"Young-Adult",B1530&lt;41,"Adult",B1530&lt;61,"Middle-aged",B1530&gt;=61,"Senior")</f>
        <v>Senior</v>
      </c>
      <c r="S1530" cm="1">
        <f t="array" ref="S1530">_xlfn.IFS(Q1530 ="Fortnightly",14,Q1530="Weekly",7,Q1530="Monthly",30,Q1530="Quarterly",90,Q1530="Bi-Weekly",14,Q1530="Annually",365,Q1530="Every 3 Months",90,TRUE,"NOT FOUND")</f>
        <v>14</v>
      </c>
    </row>
    <row r="1531" spans="1:19" x14ac:dyDescent="0.35">
      <c r="A1531">
        <v>1530</v>
      </c>
      <c r="B1531">
        <v>20</v>
      </c>
      <c r="C1531" t="s">
        <v>7</v>
      </c>
      <c r="D1531" t="s">
        <v>120</v>
      </c>
      <c r="E1531" t="s">
        <v>55</v>
      </c>
      <c r="F1531">
        <v>63</v>
      </c>
      <c r="G1531" t="s">
        <v>130</v>
      </c>
      <c r="H1531" t="s">
        <v>32</v>
      </c>
      <c r="I1531" t="s">
        <v>81</v>
      </c>
      <c r="J1531" t="s">
        <v>13</v>
      </c>
      <c r="K1531">
        <v>3.1</v>
      </c>
      <c r="L1531" t="s">
        <v>140</v>
      </c>
      <c r="M1531" t="s">
        <v>26</v>
      </c>
      <c r="N1531" t="s">
        <v>14</v>
      </c>
      <c r="O1531">
        <v>48</v>
      </c>
      <c r="P1531" t="s">
        <v>27</v>
      </c>
      <c r="Q1531" t="s">
        <v>64</v>
      </c>
      <c r="R1531" t="str" cm="1">
        <f t="array" ref="R1531">_xlfn.IFS(B1531&lt;31,"Young-Adult",B1531&lt;41,"Adult",B1531&lt;61,"Middle-aged",B1531&gt;=61,"Senior")</f>
        <v>Young-Adult</v>
      </c>
      <c r="S1531" cm="1">
        <f t="array" ref="S1531">_xlfn.IFS(Q1531 ="Fortnightly",14,Q1531="Weekly",7,Q1531="Monthly",30,Q1531="Quarterly",90,Q1531="Bi-Weekly",14,Q1531="Annually",365,Q1531="Every 3 Months",90,TRUE,"NOT FOUND")</f>
        <v>14</v>
      </c>
    </row>
    <row r="1532" spans="1:19" x14ac:dyDescent="0.35">
      <c r="A1532">
        <v>1531</v>
      </c>
      <c r="B1532">
        <v>59</v>
      </c>
      <c r="C1532" t="s">
        <v>7</v>
      </c>
      <c r="D1532" t="s">
        <v>50</v>
      </c>
      <c r="E1532" t="s">
        <v>51</v>
      </c>
      <c r="F1532">
        <v>21</v>
      </c>
      <c r="G1532" t="s">
        <v>118</v>
      </c>
      <c r="H1532" t="s">
        <v>32</v>
      </c>
      <c r="I1532" t="s">
        <v>73</v>
      </c>
      <c r="J1532" t="s">
        <v>25</v>
      </c>
      <c r="K1532">
        <v>3.9</v>
      </c>
      <c r="L1532" t="s">
        <v>140</v>
      </c>
      <c r="M1532" t="s">
        <v>33</v>
      </c>
      <c r="N1532" t="s">
        <v>14</v>
      </c>
      <c r="O1532">
        <v>22</v>
      </c>
      <c r="P1532" t="s">
        <v>63</v>
      </c>
      <c r="Q1532" t="s">
        <v>46</v>
      </c>
      <c r="R1532" t="str" cm="1">
        <f t="array" ref="R1532">_xlfn.IFS(B1532&lt;31,"Young-Adult",B1532&lt;41,"Adult",B1532&lt;61,"Middle-aged",B1532&gt;=61,"Senior")</f>
        <v>Middle-aged</v>
      </c>
      <c r="S1532" cm="1">
        <f t="array" ref="S1532">_xlfn.IFS(Q1532 ="Fortnightly",14,Q1532="Weekly",7,Q1532="Monthly",30,Q1532="Quarterly",90,Q1532="Bi-Weekly",14,Q1532="Annually",365,Q1532="Every 3 Months",90,TRUE,"NOT FOUND")</f>
        <v>90</v>
      </c>
    </row>
    <row r="1533" spans="1:19" x14ac:dyDescent="0.35">
      <c r="A1533">
        <v>1532</v>
      </c>
      <c r="B1533">
        <v>63</v>
      </c>
      <c r="C1533" t="s">
        <v>7</v>
      </c>
      <c r="D1533" t="s">
        <v>120</v>
      </c>
      <c r="E1533" t="s">
        <v>55</v>
      </c>
      <c r="F1533">
        <v>83</v>
      </c>
      <c r="G1533" t="s">
        <v>79</v>
      </c>
      <c r="H1533" t="s">
        <v>24</v>
      </c>
      <c r="I1533" t="s">
        <v>71</v>
      </c>
      <c r="J1533" t="s">
        <v>25</v>
      </c>
      <c r="K1533">
        <v>4.5</v>
      </c>
      <c r="L1533" t="s">
        <v>140</v>
      </c>
      <c r="M1533" t="s">
        <v>33</v>
      </c>
      <c r="N1533" t="s">
        <v>14</v>
      </c>
      <c r="O1533">
        <v>8</v>
      </c>
      <c r="P1533" t="s">
        <v>34</v>
      </c>
      <c r="Q1533" t="s">
        <v>64</v>
      </c>
      <c r="R1533" t="str" cm="1">
        <f t="array" ref="R1533">_xlfn.IFS(B1533&lt;31,"Young-Adult",B1533&lt;41,"Adult",B1533&lt;61,"Middle-aged",B1533&gt;=61,"Senior")</f>
        <v>Senior</v>
      </c>
      <c r="S1533" cm="1">
        <f t="array" ref="S1533">_xlfn.IFS(Q1533 ="Fortnightly",14,Q1533="Weekly",7,Q1533="Monthly",30,Q1533="Quarterly",90,Q1533="Bi-Weekly",14,Q1533="Annually",365,Q1533="Every 3 Months",90,TRUE,"NOT FOUND")</f>
        <v>14</v>
      </c>
    </row>
    <row r="1534" spans="1:19" x14ac:dyDescent="0.35">
      <c r="A1534">
        <v>1533</v>
      </c>
      <c r="B1534">
        <v>68</v>
      </c>
      <c r="C1534" t="s">
        <v>7</v>
      </c>
      <c r="D1534" t="s">
        <v>90</v>
      </c>
      <c r="E1534" t="s">
        <v>51</v>
      </c>
      <c r="F1534">
        <v>46</v>
      </c>
      <c r="G1534" t="s">
        <v>138</v>
      </c>
      <c r="H1534" t="s">
        <v>24</v>
      </c>
      <c r="I1534" t="s">
        <v>53</v>
      </c>
      <c r="J1534" t="s">
        <v>13</v>
      </c>
      <c r="K1534">
        <v>4.4000000000000004</v>
      </c>
      <c r="L1534" t="s">
        <v>140</v>
      </c>
      <c r="M1534" t="s">
        <v>33</v>
      </c>
      <c r="N1534" t="s">
        <v>14</v>
      </c>
      <c r="O1534">
        <v>5</v>
      </c>
      <c r="P1534" t="s">
        <v>34</v>
      </c>
      <c r="Q1534" t="s">
        <v>85</v>
      </c>
      <c r="R1534" t="str" cm="1">
        <f t="array" ref="R1534">_xlfn.IFS(B1534&lt;31,"Young-Adult",B1534&lt;41,"Adult",B1534&lt;61,"Middle-aged",B1534&gt;=61,"Senior")</f>
        <v>Senior</v>
      </c>
      <c r="S1534" cm="1">
        <f t="array" ref="S1534">_xlfn.IFS(Q1534 ="Fortnightly",14,Q1534="Weekly",7,Q1534="Monthly",30,Q1534="Quarterly",90,Q1534="Bi-Weekly",14,Q1534="Annually",365,Q1534="Every 3 Months",90,TRUE,"NOT FOUND")</f>
        <v>90</v>
      </c>
    </row>
    <row r="1535" spans="1:19" x14ac:dyDescent="0.35">
      <c r="A1535">
        <v>1534</v>
      </c>
      <c r="B1535">
        <v>50</v>
      </c>
      <c r="C1535" t="s">
        <v>7</v>
      </c>
      <c r="D1535" t="s">
        <v>59</v>
      </c>
      <c r="E1535" t="s">
        <v>30</v>
      </c>
      <c r="F1535">
        <v>59</v>
      </c>
      <c r="G1535" t="s">
        <v>70</v>
      </c>
      <c r="H1535" t="s">
        <v>32</v>
      </c>
      <c r="I1535" t="s">
        <v>68</v>
      </c>
      <c r="J1535" t="s">
        <v>41</v>
      </c>
      <c r="K1535">
        <v>3.6</v>
      </c>
      <c r="L1535" t="s">
        <v>140</v>
      </c>
      <c r="M1535" t="s">
        <v>58</v>
      </c>
      <c r="N1535" t="s">
        <v>14</v>
      </c>
      <c r="O1535">
        <v>16</v>
      </c>
      <c r="P1535" t="s">
        <v>63</v>
      </c>
      <c r="Q1535" t="s">
        <v>46</v>
      </c>
      <c r="R1535" t="str" cm="1">
        <f t="array" ref="R1535">_xlfn.IFS(B1535&lt;31,"Young-Adult",B1535&lt;41,"Adult",B1535&lt;61,"Middle-aged",B1535&gt;=61,"Senior")</f>
        <v>Middle-aged</v>
      </c>
      <c r="S1535" cm="1">
        <f t="array" ref="S1535">_xlfn.IFS(Q1535 ="Fortnightly",14,Q1535="Weekly",7,Q1535="Monthly",30,Q1535="Quarterly",90,Q1535="Bi-Weekly",14,Q1535="Annually",365,Q1535="Every 3 Months",90,TRUE,"NOT FOUND")</f>
        <v>90</v>
      </c>
    </row>
    <row r="1536" spans="1:19" x14ac:dyDescent="0.35">
      <c r="A1536">
        <v>1535</v>
      </c>
      <c r="B1536">
        <v>55</v>
      </c>
      <c r="C1536" t="s">
        <v>7</v>
      </c>
      <c r="D1536" t="s">
        <v>8</v>
      </c>
      <c r="E1536" t="s">
        <v>9</v>
      </c>
      <c r="F1536">
        <v>66</v>
      </c>
      <c r="G1536" t="s">
        <v>39</v>
      </c>
      <c r="H1536" t="s">
        <v>32</v>
      </c>
      <c r="I1536" t="s">
        <v>84</v>
      </c>
      <c r="J1536" t="s">
        <v>41</v>
      </c>
      <c r="K1536">
        <v>3.4</v>
      </c>
      <c r="L1536" t="s">
        <v>140</v>
      </c>
      <c r="M1536" t="s">
        <v>26</v>
      </c>
      <c r="N1536" t="s">
        <v>14</v>
      </c>
      <c r="O1536">
        <v>26</v>
      </c>
      <c r="P1536" t="s">
        <v>16</v>
      </c>
      <c r="Q1536" t="s">
        <v>17</v>
      </c>
      <c r="R1536" t="str" cm="1">
        <f t="array" ref="R1536">_xlfn.IFS(B1536&lt;31,"Young-Adult",B1536&lt;41,"Adult",B1536&lt;61,"Middle-aged",B1536&gt;=61,"Senior")</f>
        <v>Middle-aged</v>
      </c>
      <c r="S1536" cm="1">
        <f t="array" ref="S1536">_xlfn.IFS(Q1536 ="Fortnightly",14,Q1536="Weekly",7,Q1536="Monthly",30,Q1536="Quarterly",90,Q1536="Bi-Weekly",14,Q1536="Annually",365,Q1536="Every 3 Months",90,TRUE,"NOT FOUND")</f>
        <v>14</v>
      </c>
    </row>
    <row r="1537" spans="1:19" x14ac:dyDescent="0.35">
      <c r="A1537">
        <v>1536</v>
      </c>
      <c r="B1537">
        <v>36</v>
      </c>
      <c r="C1537" t="s">
        <v>7</v>
      </c>
      <c r="D1537" t="s">
        <v>29</v>
      </c>
      <c r="E1537" t="s">
        <v>30</v>
      </c>
      <c r="F1537">
        <v>74</v>
      </c>
      <c r="G1537" t="s">
        <v>52</v>
      </c>
      <c r="H1537" t="s">
        <v>24</v>
      </c>
      <c r="I1537" t="s">
        <v>36</v>
      </c>
      <c r="J1537" t="s">
        <v>45</v>
      </c>
      <c r="K1537">
        <v>4</v>
      </c>
      <c r="L1537" t="s">
        <v>140</v>
      </c>
      <c r="M1537" t="s">
        <v>58</v>
      </c>
      <c r="N1537" t="s">
        <v>14</v>
      </c>
      <c r="O1537">
        <v>8</v>
      </c>
      <c r="P1537" t="s">
        <v>16</v>
      </c>
      <c r="Q1537" t="s">
        <v>76</v>
      </c>
      <c r="R1537" t="str" cm="1">
        <f t="array" ref="R1537">_xlfn.IFS(B1537&lt;31,"Young-Adult",B1537&lt;41,"Adult",B1537&lt;61,"Middle-aged",B1537&gt;=61,"Senior")</f>
        <v>Adult</v>
      </c>
      <c r="S1537" cm="1">
        <f t="array" ref="S1537">_xlfn.IFS(Q1537 ="Fortnightly",14,Q1537="Weekly",7,Q1537="Monthly",30,Q1537="Quarterly",90,Q1537="Bi-Weekly",14,Q1537="Annually",365,Q1537="Every 3 Months",90,TRUE,"NOT FOUND")</f>
        <v>30</v>
      </c>
    </row>
    <row r="1538" spans="1:19" x14ac:dyDescent="0.35">
      <c r="A1538">
        <v>1537</v>
      </c>
      <c r="B1538">
        <v>18</v>
      </c>
      <c r="C1538" t="s">
        <v>7</v>
      </c>
      <c r="D1538" t="s">
        <v>77</v>
      </c>
      <c r="E1538" t="s">
        <v>55</v>
      </c>
      <c r="F1538">
        <v>82</v>
      </c>
      <c r="G1538" t="s">
        <v>139</v>
      </c>
      <c r="H1538" t="s">
        <v>32</v>
      </c>
      <c r="I1538" t="s">
        <v>114</v>
      </c>
      <c r="J1538" t="s">
        <v>41</v>
      </c>
      <c r="K1538">
        <v>2.6</v>
      </c>
      <c r="L1538" t="s">
        <v>140</v>
      </c>
      <c r="M1538" t="s">
        <v>62</v>
      </c>
      <c r="N1538" t="s">
        <v>14</v>
      </c>
      <c r="O1538">
        <v>17</v>
      </c>
      <c r="P1538" t="s">
        <v>21</v>
      </c>
      <c r="Q1538" t="s">
        <v>46</v>
      </c>
      <c r="R1538" t="str" cm="1">
        <f t="array" ref="R1538">_xlfn.IFS(B1538&lt;31,"Young-Adult",B1538&lt;41,"Adult",B1538&lt;61,"Middle-aged",B1538&gt;=61,"Senior")</f>
        <v>Young-Adult</v>
      </c>
      <c r="S1538" cm="1">
        <f t="array" ref="S1538">_xlfn.IFS(Q1538 ="Fortnightly",14,Q1538="Weekly",7,Q1538="Monthly",30,Q1538="Quarterly",90,Q1538="Bi-Weekly",14,Q1538="Annually",365,Q1538="Every 3 Months",90,TRUE,"NOT FOUND")</f>
        <v>90</v>
      </c>
    </row>
    <row r="1539" spans="1:19" x14ac:dyDescent="0.35">
      <c r="A1539">
        <v>1538</v>
      </c>
      <c r="B1539">
        <v>68</v>
      </c>
      <c r="C1539" t="s">
        <v>7</v>
      </c>
      <c r="D1539" t="s">
        <v>59</v>
      </c>
      <c r="E1539" t="s">
        <v>30</v>
      </c>
      <c r="F1539">
        <v>89</v>
      </c>
      <c r="G1539" t="s">
        <v>108</v>
      </c>
      <c r="H1539" t="s">
        <v>11</v>
      </c>
      <c r="I1539" t="s">
        <v>82</v>
      </c>
      <c r="J1539" t="s">
        <v>25</v>
      </c>
      <c r="K1539">
        <v>3.2</v>
      </c>
      <c r="L1539" t="s">
        <v>140</v>
      </c>
      <c r="M1539" t="s">
        <v>33</v>
      </c>
      <c r="N1539" t="s">
        <v>14</v>
      </c>
      <c r="O1539">
        <v>50</v>
      </c>
      <c r="P1539" t="s">
        <v>16</v>
      </c>
      <c r="Q1539" t="s">
        <v>37</v>
      </c>
      <c r="R1539" t="str" cm="1">
        <f t="array" ref="R1539">_xlfn.IFS(B1539&lt;31,"Young-Adult",B1539&lt;41,"Adult",B1539&lt;61,"Middle-aged",B1539&gt;=61,"Senior")</f>
        <v>Senior</v>
      </c>
      <c r="S1539" cm="1">
        <f t="array" ref="S1539">_xlfn.IFS(Q1539 ="Fortnightly",14,Q1539="Weekly",7,Q1539="Monthly",30,Q1539="Quarterly",90,Q1539="Bi-Weekly",14,Q1539="Annually",365,Q1539="Every 3 Months",90,TRUE,"NOT FOUND")</f>
        <v>365</v>
      </c>
    </row>
    <row r="1540" spans="1:19" x14ac:dyDescent="0.35">
      <c r="A1540">
        <v>1539</v>
      </c>
      <c r="B1540">
        <v>56</v>
      </c>
      <c r="C1540" t="s">
        <v>7</v>
      </c>
      <c r="D1540" t="s">
        <v>69</v>
      </c>
      <c r="E1540" t="s">
        <v>9</v>
      </c>
      <c r="F1540">
        <v>65</v>
      </c>
      <c r="G1540" t="s">
        <v>103</v>
      </c>
      <c r="H1540" t="s">
        <v>11</v>
      </c>
      <c r="I1540" t="s">
        <v>49</v>
      </c>
      <c r="J1540" t="s">
        <v>45</v>
      </c>
      <c r="K1540">
        <v>3.2</v>
      </c>
      <c r="L1540" t="s">
        <v>140</v>
      </c>
      <c r="M1540" t="s">
        <v>42</v>
      </c>
      <c r="N1540" t="s">
        <v>14</v>
      </c>
      <c r="O1540">
        <v>22</v>
      </c>
      <c r="P1540" t="s">
        <v>16</v>
      </c>
      <c r="Q1540" t="s">
        <v>64</v>
      </c>
      <c r="R1540" t="str" cm="1">
        <f t="array" ref="R1540">_xlfn.IFS(B1540&lt;31,"Young-Adult",B1540&lt;41,"Adult",B1540&lt;61,"Middle-aged",B1540&gt;=61,"Senior")</f>
        <v>Middle-aged</v>
      </c>
      <c r="S1540" cm="1">
        <f t="array" ref="S1540">_xlfn.IFS(Q1540 ="Fortnightly",14,Q1540="Weekly",7,Q1540="Monthly",30,Q1540="Quarterly",90,Q1540="Bi-Weekly",14,Q1540="Annually",365,Q1540="Every 3 Months",90,TRUE,"NOT FOUND")</f>
        <v>14</v>
      </c>
    </row>
    <row r="1541" spans="1:19" x14ac:dyDescent="0.35">
      <c r="A1541">
        <v>1540</v>
      </c>
      <c r="B1541">
        <v>32</v>
      </c>
      <c r="C1541" t="s">
        <v>7</v>
      </c>
      <c r="D1541" t="s">
        <v>121</v>
      </c>
      <c r="E1541" t="s">
        <v>55</v>
      </c>
      <c r="F1541">
        <v>55</v>
      </c>
      <c r="G1541" t="s">
        <v>65</v>
      </c>
      <c r="H1541" t="s">
        <v>32</v>
      </c>
      <c r="I1541" t="s">
        <v>36</v>
      </c>
      <c r="J1541" t="s">
        <v>25</v>
      </c>
      <c r="K1541">
        <v>5</v>
      </c>
      <c r="L1541" t="s">
        <v>140</v>
      </c>
      <c r="M1541" t="s">
        <v>58</v>
      </c>
      <c r="N1541" t="s">
        <v>14</v>
      </c>
      <c r="O1541">
        <v>19</v>
      </c>
      <c r="P1541" t="s">
        <v>21</v>
      </c>
      <c r="Q1541" t="s">
        <v>85</v>
      </c>
      <c r="R1541" t="str" cm="1">
        <f t="array" ref="R1541">_xlfn.IFS(B1541&lt;31,"Young-Adult",B1541&lt;41,"Adult",B1541&lt;61,"Middle-aged",B1541&gt;=61,"Senior")</f>
        <v>Adult</v>
      </c>
      <c r="S1541" cm="1">
        <f t="array" ref="S1541">_xlfn.IFS(Q1541 ="Fortnightly",14,Q1541="Weekly",7,Q1541="Monthly",30,Q1541="Quarterly",90,Q1541="Bi-Weekly",14,Q1541="Annually",365,Q1541="Every 3 Months",90,TRUE,"NOT FOUND")</f>
        <v>90</v>
      </c>
    </row>
    <row r="1542" spans="1:19" x14ac:dyDescent="0.35">
      <c r="A1542">
        <v>1541</v>
      </c>
      <c r="B1542">
        <v>28</v>
      </c>
      <c r="C1542" t="s">
        <v>7</v>
      </c>
      <c r="D1542" t="s">
        <v>47</v>
      </c>
      <c r="E1542" t="s">
        <v>9</v>
      </c>
      <c r="F1542">
        <v>95</v>
      </c>
      <c r="G1542" t="s">
        <v>100</v>
      </c>
      <c r="H1542" t="s">
        <v>32</v>
      </c>
      <c r="I1542" t="s">
        <v>96</v>
      </c>
      <c r="J1542" t="s">
        <v>13</v>
      </c>
      <c r="K1542">
        <v>2.9</v>
      </c>
      <c r="L1542" t="s">
        <v>140</v>
      </c>
      <c r="M1542" t="s">
        <v>33</v>
      </c>
      <c r="N1542" t="s">
        <v>14</v>
      </c>
      <c r="O1542">
        <v>14</v>
      </c>
      <c r="P1542" t="s">
        <v>63</v>
      </c>
      <c r="Q1542" t="s">
        <v>76</v>
      </c>
      <c r="R1542" t="str" cm="1">
        <f t="array" ref="R1542">_xlfn.IFS(B1542&lt;31,"Young-Adult",B1542&lt;41,"Adult",B1542&lt;61,"Middle-aged",B1542&gt;=61,"Senior")</f>
        <v>Young-Adult</v>
      </c>
      <c r="S1542" cm="1">
        <f t="array" ref="S1542">_xlfn.IFS(Q1542 ="Fortnightly",14,Q1542="Weekly",7,Q1542="Monthly",30,Q1542="Quarterly",90,Q1542="Bi-Weekly",14,Q1542="Annually",365,Q1542="Every 3 Months",90,TRUE,"NOT FOUND")</f>
        <v>30</v>
      </c>
    </row>
    <row r="1543" spans="1:19" x14ac:dyDescent="0.35">
      <c r="A1543">
        <v>1542</v>
      </c>
      <c r="B1543">
        <v>24</v>
      </c>
      <c r="C1543" t="s">
        <v>7</v>
      </c>
      <c r="D1543" t="s">
        <v>54</v>
      </c>
      <c r="E1543" t="s">
        <v>55</v>
      </c>
      <c r="F1543">
        <v>77</v>
      </c>
      <c r="G1543" t="s">
        <v>103</v>
      </c>
      <c r="H1543" t="s">
        <v>24</v>
      </c>
      <c r="I1543" t="s">
        <v>114</v>
      </c>
      <c r="J1543" t="s">
        <v>13</v>
      </c>
      <c r="K1543">
        <v>2.9</v>
      </c>
      <c r="L1543" t="s">
        <v>140</v>
      </c>
      <c r="M1543" t="s">
        <v>62</v>
      </c>
      <c r="N1543" t="s">
        <v>14</v>
      </c>
      <c r="O1543">
        <v>35</v>
      </c>
      <c r="P1543" t="s">
        <v>21</v>
      </c>
      <c r="Q1543" t="s">
        <v>64</v>
      </c>
      <c r="R1543" t="str" cm="1">
        <f t="array" ref="R1543">_xlfn.IFS(B1543&lt;31,"Young-Adult",B1543&lt;41,"Adult",B1543&lt;61,"Middle-aged",B1543&gt;=61,"Senior")</f>
        <v>Young-Adult</v>
      </c>
      <c r="S1543" cm="1">
        <f t="array" ref="S1543">_xlfn.IFS(Q1543 ="Fortnightly",14,Q1543="Weekly",7,Q1543="Monthly",30,Q1543="Quarterly",90,Q1543="Bi-Weekly",14,Q1543="Annually",365,Q1543="Every 3 Months",90,TRUE,"NOT FOUND")</f>
        <v>14</v>
      </c>
    </row>
    <row r="1544" spans="1:19" x14ac:dyDescent="0.35">
      <c r="A1544">
        <v>1543</v>
      </c>
      <c r="B1544">
        <v>59</v>
      </c>
      <c r="C1544" t="s">
        <v>7</v>
      </c>
      <c r="D1544" t="s">
        <v>8</v>
      </c>
      <c r="E1544" t="s">
        <v>9</v>
      </c>
      <c r="F1544">
        <v>44</v>
      </c>
      <c r="G1544" t="s">
        <v>65</v>
      </c>
      <c r="H1544" t="s">
        <v>32</v>
      </c>
      <c r="I1544" t="s">
        <v>20</v>
      </c>
      <c r="J1544" t="s">
        <v>13</v>
      </c>
      <c r="K1544">
        <v>3.5</v>
      </c>
      <c r="L1544" t="s">
        <v>140</v>
      </c>
      <c r="M1544" t="s">
        <v>33</v>
      </c>
      <c r="N1544" t="s">
        <v>14</v>
      </c>
      <c r="O1544">
        <v>43</v>
      </c>
      <c r="P1544" t="s">
        <v>34</v>
      </c>
      <c r="Q1544" t="s">
        <v>28</v>
      </c>
      <c r="R1544" t="str" cm="1">
        <f t="array" ref="R1544">_xlfn.IFS(B1544&lt;31,"Young-Adult",B1544&lt;41,"Adult",B1544&lt;61,"Middle-aged",B1544&gt;=61,"Senior")</f>
        <v>Middle-aged</v>
      </c>
      <c r="S1544" cm="1">
        <f t="array" ref="S1544">_xlfn.IFS(Q1544 ="Fortnightly",14,Q1544="Weekly",7,Q1544="Monthly",30,Q1544="Quarterly",90,Q1544="Bi-Weekly",14,Q1544="Annually",365,Q1544="Every 3 Months",90,TRUE,"NOT FOUND")</f>
        <v>7</v>
      </c>
    </row>
    <row r="1545" spans="1:19" x14ac:dyDescent="0.35">
      <c r="A1545">
        <v>1544</v>
      </c>
      <c r="B1545">
        <v>56</v>
      </c>
      <c r="C1545" t="s">
        <v>7</v>
      </c>
      <c r="D1545" t="s">
        <v>22</v>
      </c>
      <c r="E1545" t="s">
        <v>9</v>
      </c>
      <c r="F1545">
        <v>89</v>
      </c>
      <c r="G1545" t="s">
        <v>138</v>
      </c>
      <c r="H1545" t="s">
        <v>32</v>
      </c>
      <c r="I1545" t="s">
        <v>114</v>
      </c>
      <c r="J1545" t="s">
        <v>45</v>
      </c>
      <c r="K1545">
        <v>4</v>
      </c>
      <c r="L1545" t="s">
        <v>140</v>
      </c>
      <c r="M1545" t="s">
        <v>42</v>
      </c>
      <c r="N1545" t="s">
        <v>14</v>
      </c>
      <c r="O1545">
        <v>24</v>
      </c>
      <c r="P1545" t="s">
        <v>16</v>
      </c>
      <c r="Q1545" t="s">
        <v>37</v>
      </c>
      <c r="R1545" t="str" cm="1">
        <f t="array" ref="R1545">_xlfn.IFS(B1545&lt;31,"Young-Adult",B1545&lt;41,"Adult",B1545&lt;61,"Middle-aged",B1545&gt;=61,"Senior")</f>
        <v>Middle-aged</v>
      </c>
      <c r="S1545" cm="1">
        <f t="array" ref="S1545">_xlfn.IFS(Q1545 ="Fortnightly",14,Q1545="Weekly",7,Q1545="Monthly",30,Q1545="Quarterly",90,Q1545="Bi-Weekly",14,Q1545="Annually",365,Q1545="Every 3 Months",90,TRUE,"NOT FOUND")</f>
        <v>365</v>
      </c>
    </row>
    <row r="1546" spans="1:19" x14ac:dyDescent="0.35">
      <c r="A1546">
        <v>1545</v>
      </c>
      <c r="B1546">
        <v>30</v>
      </c>
      <c r="C1546" t="s">
        <v>7</v>
      </c>
      <c r="D1546" t="s">
        <v>94</v>
      </c>
      <c r="E1546" t="s">
        <v>55</v>
      </c>
      <c r="F1546">
        <v>24</v>
      </c>
      <c r="G1546" t="s">
        <v>60</v>
      </c>
      <c r="H1546" t="s">
        <v>32</v>
      </c>
      <c r="I1546" t="s">
        <v>20</v>
      </c>
      <c r="J1546" t="s">
        <v>25</v>
      </c>
      <c r="K1546">
        <v>3.9</v>
      </c>
      <c r="L1546" t="s">
        <v>140</v>
      </c>
      <c r="M1546" t="s">
        <v>42</v>
      </c>
      <c r="N1546" t="s">
        <v>14</v>
      </c>
      <c r="O1546">
        <v>17</v>
      </c>
      <c r="P1546" t="s">
        <v>74</v>
      </c>
      <c r="Q1546" t="s">
        <v>64</v>
      </c>
      <c r="R1546" t="str" cm="1">
        <f t="array" ref="R1546">_xlfn.IFS(B1546&lt;31,"Young-Adult",B1546&lt;41,"Adult",B1546&lt;61,"Middle-aged",B1546&gt;=61,"Senior")</f>
        <v>Young-Adult</v>
      </c>
      <c r="S1546" cm="1">
        <f t="array" ref="S1546">_xlfn.IFS(Q1546 ="Fortnightly",14,Q1546="Weekly",7,Q1546="Monthly",30,Q1546="Quarterly",90,Q1546="Bi-Weekly",14,Q1546="Annually",365,Q1546="Every 3 Months",90,TRUE,"NOT FOUND")</f>
        <v>14</v>
      </c>
    </row>
    <row r="1547" spans="1:19" x14ac:dyDescent="0.35">
      <c r="A1547">
        <v>1546</v>
      </c>
      <c r="B1547">
        <v>48</v>
      </c>
      <c r="C1547" t="s">
        <v>7</v>
      </c>
      <c r="D1547" t="s">
        <v>121</v>
      </c>
      <c r="E1547" t="s">
        <v>55</v>
      </c>
      <c r="F1547">
        <v>43</v>
      </c>
      <c r="G1547" t="s">
        <v>67</v>
      </c>
      <c r="H1547" t="s">
        <v>32</v>
      </c>
      <c r="I1547" t="s">
        <v>82</v>
      </c>
      <c r="J1547" t="s">
        <v>13</v>
      </c>
      <c r="K1547">
        <v>4.9000000000000004</v>
      </c>
      <c r="L1547" t="s">
        <v>140</v>
      </c>
      <c r="M1547" t="s">
        <v>62</v>
      </c>
      <c r="N1547" t="s">
        <v>14</v>
      </c>
      <c r="O1547">
        <v>49</v>
      </c>
      <c r="P1547" t="s">
        <v>63</v>
      </c>
      <c r="Q1547" t="s">
        <v>37</v>
      </c>
      <c r="R1547" t="str" cm="1">
        <f t="array" ref="R1547">_xlfn.IFS(B1547&lt;31,"Young-Adult",B1547&lt;41,"Adult",B1547&lt;61,"Middle-aged",B1547&gt;=61,"Senior")</f>
        <v>Middle-aged</v>
      </c>
      <c r="S1547" cm="1">
        <f t="array" ref="S1547">_xlfn.IFS(Q1547 ="Fortnightly",14,Q1547="Weekly",7,Q1547="Monthly",30,Q1547="Quarterly",90,Q1547="Bi-Weekly",14,Q1547="Annually",365,Q1547="Every 3 Months",90,TRUE,"NOT FOUND")</f>
        <v>365</v>
      </c>
    </row>
    <row r="1548" spans="1:19" x14ac:dyDescent="0.35">
      <c r="A1548">
        <v>1547</v>
      </c>
      <c r="B1548">
        <v>60</v>
      </c>
      <c r="C1548" t="s">
        <v>7</v>
      </c>
      <c r="D1548" t="s">
        <v>38</v>
      </c>
      <c r="E1548" t="s">
        <v>30</v>
      </c>
      <c r="F1548">
        <v>51</v>
      </c>
      <c r="G1548" t="s">
        <v>35</v>
      </c>
      <c r="H1548" t="s">
        <v>80</v>
      </c>
      <c r="I1548" t="s">
        <v>61</v>
      </c>
      <c r="J1548" t="s">
        <v>41</v>
      </c>
      <c r="K1548">
        <v>3.8</v>
      </c>
      <c r="L1548" t="s">
        <v>140</v>
      </c>
      <c r="M1548" t="s">
        <v>15</v>
      </c>
      <c r="N1548" t="s">
        <v>14</v>
      </c>
      <c r="O1548">
        <v>17</v>
      </c>
      <c r="P1548" t="s">
        <v>63</v>
      </c>
      <c r="Q1548" t="s">
        <v>37</v>
      </c>
      <c r="R1548" t="str" cm="1">
        <f t="array" ref="R1548">_xlfn.IFS(B1548&lt;31,"Young-Adult",B1548&lt;41,"Adult",B1548&lt;61,"Middle-aged",B1548&gt;=61,"Senior")</f>
        <v>Middle-aged</v>
      </c>
      <c r="S1548" cm="1">
        <f t="array" ref="S1548">_xlfn.IFS(Q1548 ="Fortnightly",14,Q1548="Weekly",7,Q1548="Monthly",30,Q1548="Quarterly",90,Q1548="Bi-Weekly",14,Q1548="Annually",365,Q1548="Every 3 Months",90,TRUE,"NOT FOUND")</f>
        <v>365</v>
      </c>
    </row>
    <row r="1549" spans="1:19" x14ac:dyDescent="0.35">
      <c r="A1549">
        <v>1548</v>
      </c>
      <c r="B1549">
        <v>46</v>
      </c>
      <c r="C1549" t="s">
        <v>7</v>
      </c>
      <c r="D1549" t="s">
        <v>112</v>
      </c>
      <c r="E1549" t="s">
        <v>55</v>
      </c>
      <c r="F1549">
        <v>46</v>
      </c>
      <c r="G1549" t="s">
        <v>119</v>
      </c>
      <c r="H1549" t="s">
        <v>11</v>
      </c>
      <c r="I1549" t="s">
        <v>73</v>
      </c>
      <c r="J1549" t="s">
        <v>41</v>
      </c>
      <c r="K1549">
        <v>3.5</v>
      </c>
      <c r="L1549" t="s">
        <v>140</v>
      </c>
      <c r="M1549" t="s">
        <v>42</v>
      </c>
      <c r="N1549" t="s">
        <v>14</v>
      </c>
      <c r="O1549">
        <v>40</v>
      </c>
      <c r="P1549" t="s">
        <v>21</v>
      </c>
      <c r="Q1549" t="s">
        <v>46</v>
      </c>
      <c r="R1549" t="str" cm="1">
        <f t="array" ref="R1549">_xlfn.IFS(B1549&lt;31,"Young-Adult",B1549&lt;41,"Adult",B1549&lt;61,"Middle-aged",B1549&gt;=61,"Senior")</f>
        <v>Middle-aged</v>
      </c>
      <c r="S1549" cm="1">
        <f t="array" ref="S1549">_xlfn.IFS(Q1549 ="Fortnightly",14,Q1549="Weekly",7,Q1549="Monthly",30,Q1549="Quarterly",90,Q1549="Bi-Weekly",14,Q1549="Annually",365,Q1549="Every 3 Months",90,TRUE,"NOT FOUND")</f>
        <v>90</v>
      </c>
    </row>
    <row r="1550" spans="1:19" x14ac:dyDescent="0.35">
      <c r="A1550">
        <v>1549</v>
      </c>
      <c r="B1550">
        <v>69</v>
      </c>
      <c r="C1550" t="s">
        <v>7</v>
      </c>
      <c r="D1550" t="s">
        <v>69</v>
      </c>
      <c r="E1550" t="s">
        <v>9</v>
      </c>
      <c r="F1550">
        <v>32</v>
      </c>
      <c r="G1550" t="s">
        <v>116</v>
      </c>
      <c r="H1550" t="s">
        <v>32</v>
      </c>
      <c r="I1550" t="s">
        <v>53</v>
      </c>
      <c r="J1550" t="s">
        <v>41</v>
      </c>
      <c r="K1550">
        <v>3.7</v>
      </c>
      <c r="L1550" t="s">
        <v>140</v>
      </c>
      <c r="M1550" t="s">
        <v>62</v>
      </c>
      <c r="N1550" t="s">
        <v>14</v>
      </c>
      <c r="O1550">
        <v>43</v>
      </c>
      <c r="P1550" t="s">
        <v>63</v>
      </c>
      <c r="Q1550" t="s">
        <v>28</v>
      </c>
      <c r="R1550" t="str" cm="1">
        <f t="array" ref="R1550">_xlfn.IFS(B1550&lt;31,"Young-Adult",B1550&lt;41,"Adult",B1550&lt;61,"Middle-aged",B1550&gt;=61,"Senior")</f>
        <v>Senior</v>
      </c>
      <c r="S1550" cm="1">
        <f t="array" ref="S1550">_xlfn.IFS(Q1550 ="Fortnightly",14,Q1550="Weekly",7,Q1550="Monthly",30,Q1550="Quarterly",90,Q1550="Bi-Weekly",14,Q1550="Annually",365,Q1550="Every 3 Months",90,TRUE,"NOT FOUND")</f>
        <v>7</v>
      </c>
    </row>
    <row r="1551" spans="1:19" x14ac:dyDescent="0.35">
      <c r="A1551">
        <v>1550</v>
      </c>
      <c r="B1551">
        <v>19</v>
      </c>
      <c r="C1551" t="s">
        <v>7</v>
      </c>
      <c r="D1551" t="s">
        <v>38</v>
      </c>
      <c r="E1551" t="s">
        <v>30</v>
      </c>
      <c r="F1551">
        <v>55</v>
      </c>
      <c r="G1551" t="s">
        <v>99</v>
      </c>
      <c r="H1551" t="s">
        <v>32</v>
      </c>
      <c r="I1551" t="s">
        <v>82</v>
      </c>
      <c r="J1551" t="s">
        <v>25</v>
      </c>
      <c r="K1551">
        <v>2.9</v>
      </c>
      <c r="L1551" t="s">
        <v>140</v>
      </c>
      <c r="M1551" t="s">
        <v>58</v>
      </c>
      <c r="N1551" t="s">
        <v>14</v>
      </c>
      <c r="O1551">
        <v>19</v>
      </c>
      <c r="P1551" t="s">
        <v>74</v>
      </c>
      <c r="Q1551" t="s">
        <v>85</v>
      </c>
      <c r="R1551" t="str" cm="1">
        <f t="array" ref="R1551">_xlfn.IFS(B1551&lt;31,"Young-Adult",B1551&lt;41,"Adult",B1551&lt;61,"Middle-aged",B1551&gt;=61,"Senior")</f>
        <v>Young-Adult</v>
      </c>
      <c r="S1551" cm="1">
        <f t="array" ref="S1551">_xlfn.IFS(Q1551 ="Fortnightly",14,Q1551="Weekly",7,Q1551="Monthly",30,Q1551="Quarterly",90,Q1551="Bi-Weekly",14,Q1551="Annually",365,Q1551="Every 3 Months",90,TRUE,"NOT FOUND")</f>
        <v>90</v>
      </c>
    </row>
    <row r="1552" spans="1:19" x14ac:dyDescent="0.35">
      <c r="A1552">
        <v>1551</v>
      </c>
      <c r="B1552">
        <v>66</v>
      </c>
      <c r="C1552" t="s">
        <v>7</v>
      </c>
      <c r="D1552" t="s">
        <v>77</v>
      </c>
      <c r="E1552" t="s">
        <v>55</v>
      </c>
      <c r="F1552">
        <v>26</v>
      </c>
      <c r="G1552" t="s">
        <v>60</v>
      </c>
      <c r="H1552" t="s">
        <v>24</v>
      </c>
      <c r="I1552" t="s">
        <v>82</v>
      </c>
      <c r="J1552" t="s">
        <v>41</v>
      </c>
      <c r="K1552">
        <v>2.8</v>
      </c>
      <c r="L1552" t="s">
        <v>140</v>
      </c>
      <c r="M1552" t="s">
        <v>26</v>
      </c>
      <c r="N1552" t="s">
        <v>14</v>
      </c>
      <c r="O1552">
        <v>40</v>
      </c>
      <c r="P1552" t="s">
        <v>63</v>
      </c>
      <c r="Q1552" t="s">
        <v>46</v>
      </c>
      <c r="R1552" t="str" cm="1">
        <f t="array" ref="R1552">_xlfn.IFS(B1552&lt;31,"Young-Adult",B1552&lt;41,"Adult",B1552&lt;61,"Middle-aged",B1552&gt;=61,"Senior")</f>
        <v>Senior</v>
      </c>
      <c r="S1552" cm="1">
        <f t="array" ref="S1552">_xlfn.IFS(Q1552 ="Fortnightly",14,Q1552="Weekly",7,Q1552="Monthly",30,Q1552="Quarterly",90,Q1552="Bi-Weekly",14,Q1552="Annually",365,Q1552="Every 3 Months",90,TRUE,"NOT FOUND")</f>
        <v>90</v>
      </c>
    </row>
    <row r="1553" spans="1:19" x14ac:dyDescent="0.35">
      <c r="A1553">
        <v>1552</v>
      </c>
      <c r="B1553">
        <v>64</v>
      </c>
      <c r="C1553" t="s">
        <v>7</v>
      </c>
      <c r="D1553" t="s">
        <v>54</v>
      </c>
      <c r="E1553" t="s">
        <v>55</v>
      </c>
      <c r="F1553">
        <v>29</v>
      </c>
      <c r="G1553" t="s">
        <v>136</v>
      </c>
      <c r="H1553" t="s">
        <v>32</v>
      </c>
      <c r="I1553" t="s">
        <v>66</v>
      </c>
      <c r="J1553" t="s">
        <v>41</v>
      </c>
      <c r="K1553">
        <v>3.7</v>
      </c>
      <c r="L1553" t="s">
        <v>140</v>
      </c>
      <c r="M1553" t="s">
        <v>58</v>
      </c>
      <c r="N1553" t="s">
        <v>14</v>
      </c>
      <c r="O1553">
        <v>13</v>
      </c>
      <c r="P1553" t="s">
        <v>27</v>
      </c>
      <c r="Q1553" t="s">
        <v>76</v>
      </c>
      <c r="R1553" t="str" cm="1">
        <f t="array" ref="R1553">_xlfn.IFS(B1553&lt;31,"Young-Adult",B1553&lt;41,"Adult",B1553&lt;61,"Middle-aged",B1553&gt;=61,"Senior")</f>
        <v>Senior</v>
      </c>
      <c r="S1553" cm="1">
        <f t="array" ref="S1553">_xlfn.IFS(Q1553 ="Fortnightly",14,Q1553="Weekly",7,Q1553="Monthly",30,Q1553="Quarterly",90,Q1553="Bi-Weekly",14,Q1553="Annually",365,Q1553="Every 3 Months",90,TRUE,"NOT FOUND")</f>
        <v>30</v>
      </c>
    </row>
    <row r="1554" spans="1:19" x14ac:dyDescent="0.35">
      <c r="A1554">
        <v>1553</v>
      </c>
      <c r="B1554">
        <v>54</v>
      </c>
      <c r="C1554" t="s">
        <v>7</v>
      </c>
      <c r="D1554" t="s">
        <v>8</v>
      </c>
      <c r="E1554" t="s">
        <v>9</v>
      </c>
      <c r="F1554">
        <v>49</v>
      </c>
      <c r="G1554" t="s">
        <v>118</v>
      </c>
      <c r="H1554" t="s">
        <v>11</v>
      </c>
      <c r="I1554" t="s">
        <v>61</v>
      </c>
      <c r="J1554" t="s">
        <v>25</v>
      </c>
      <c r="K1554">
        <v>3</v>
      </c>
      <c r="L1554" t="s">
        <v>140</v>
      </c>
      <c r="M1554" t="s">
        <v>15</v>
      </c>
      <c r="N1554" t="s">
        <v>14</v>
      </c>
      <c r="O1554">
        <v>20</v>
      </c>
      <c r="P1554" t="s">
        <v>27</v>
      </c>
      <c r="Q1554" t="s">
        <v>76</v>
      </c>
      <c r="R1554" t="str" cm="1">
        <f t="array" ref="R1554">_xlfn.IFS(B1554&lt;31,"Young-Adult",B1554&lt;41,"Adult",B1554&lt;61,"Middle-aged",B1554&gt;=61,"Senior")</f>
        <v>Middle-aged</v>
      </c>
      <c r="S1554" cm="1">
        <f t="array" ref="S1554">_xlfn.IFS(Q1554 ="Fortnightly",14,Q1554="Weekly",7,Q1554="Monthly",30,Q1554="Quarterly",90,Q1554="Bi-Weekly",14,Q1554="Annually",365,Q1554="Every 3 Months",90,TRUE,"NOT FOUND")</f>
        <v>30</v>
      </c>
    </row>
    <row r="1555" spans="1:19" x14ac:dyDescent="0.35">
      <c r="A1555">
        <v>1554</v>
      </c>
      <c r="B1555">
        <v>27</v>
      </c>
      <c r="C1555" t="s">
        <v>7</v>
      </c>
      <c r="D1555" t="s">
        <v>8</v>
      </c>
      <c r="E1555" t="s">
        <v>9</v>
      </c>
      <c r="F1555">
        <v>45</v>
      </c>
      <c r="G1555" t="s">
        <v>67</v>
      </c>
      <c r="H1555" t="s">
        <v>32</v>
      </c>
      <c r="I1555" t="s">
        <v>114</v>
      </c>
      <c r="J1555" t="s">
        <v>25</v>
      </c>
      <c r="K1555">
        <v>4.8</v>
      </c>
      <c r="L1555" t="s">
        <v>140</v>
      </c>
      <c r="M1555" t="s">
        <v>26</v>
      </c>
      <c r="N1555" t="s">
        <v>14</v>
      </c>
      <c r="O1555">
        <v>21</v>
      </c>
      <c r="P1555" t="s">
        <v>74</v>
      </c>
      <c r="Q1555" t="s">
        <v>46</v>
      </c>
      <c r="R1555" t="str" cm="1">
        <f t="array" ref="R1555">_xlfn.IFS(B1555&lt;31,"Young-Adult",B1555&lt;41,"Adult",B1555&lt;61,"Middle-aged",B1555&gt;=61,"Senior")</f>
        <v>Young-Adult</v>
      </c>
      <c r="S1555" cm="1">
        <f t="array" ref="S1555">_xlfn.IFS(Q1555 ="Fortnightly",14,Q1555="Weekly",7,Q1555="Monthly",30,Q1555="Quarterly",90,Q1555="Bi-Weekly",14,Q1555="Annually",365,Q1555="Every 3 Months",90,TRUE,"NOT FOUND")</f>
        <v>90</v>
      </c>
    </row>
    <row r="1556" spans="1:19" x14ac:dyDescent="0.35">
      <c r="A1556">
        <v>1555</v>
      </c>
      <c r="B1556">
        <v>64</v>
      </c>
      <c r="C1556" t="s">
        <v>7</v>
      </c>
      <c r="D1556" t="s">
        <v>47</v>
      </c>
      <c r="E1556" t="s">
        <v>9</v>
      </c>
      <c r="F1556">
        <v>48</v>
      </c>
      <c r="G1556" t="s">
        <v>128</v>
      </c>
      <c r="H1556" t="s">
        <v>24</v>
      </c>
      <c r="I1556" t="s">
        <v>81</v>
      </c>
      <c r="J1556" t="s">
        <v>13</v>
      </c>
      <c r="K1556">
        <v>2.7</v>
      </c>
      <c r="L1556" t="s">
        <v>140</v>
      </c>
      <c r="M1556" t="s">
        <v>42</v>
      </c>
      <c r="N1556" t="s">
        <v>14</v>
      </c>
      <c r="O1556">
        <v>18</v>
      </c>
      <c r="P1556" t="s">
        <v>21</v>
      </c>
      <c r="Q1556" t="s">
        <v>64</v>
      </c>
      <c r="R1556" t="str" cm="1">
        <f t="array" ref="R1556">_xlfn.IFS(B1556&lt;31,"Young-Adult",B1556&lt;41,"Adult",B1556&lt;61,"Middle-aged",B1556&gt;=61,"Senior")</f>
        <v>Senior</v>
      </c>
      <c r="S1556" cm="1">
        <f t="array" ref="S1556">_xlfn.IFS(Q1556 ="Fortnightly",14,Q1556="Weekly",7,Q1556="Monthly",30,Q1556="Quarterly",90,Q1556="Bi-Weekly",14,Q1556="Annually",365,Q1556="Every 3 Months",90,TRUE,"NOT FOUND")</f>
        <v>14</v>
      </c>
    </row>
    <row r="1557" spans="1:19" x14ac:dyDescent="0.35">
      <c r="A1557">
        <v>1556</v>
      </c>
      <c r="B1557">
        <v>43</v>
      </c>
      <c r="C1557" t="s">
        <v>7</v>
      </c>
      <c r="D1557" t="s">
        <v>47</v>
      </c>
      <c r="E1557" t="s">
        <v>9</v>
      </c>
      <c r="F1557">
        <v>47</v>
      </c>
      <c r="G1557" t="s">
        <v>111</v>
      </c>
      <c r="H1557" t="s">
        <v>24</v>
      </c>
      <c r="I1557" t="s">
        <v>97</v>
      </c>
      <c r="J1557" t="s">
        <v>13</v>
      </c>
      <c r="K1557">
        <v>4.5</v>
      </c>
      <c r="L1557" t="s">
        <v>140</v>
      </c>
      <c r="M1557" t="s">
        <v>26</v>
      </c>
      <c r="N1557" t="s">
        <v>14</v>
      </c>
      <c r="O1557">
        <v>44</v>
      </c>
      <c r="P1557" t="s">
        <v>21</v>
      </c>
      <c r="Q1557" t="s">
        <v>46</v>
      </c>
      <c r="R1557" t="str" cm="1">
        <f t="array" ref="R1557">_xlfn.IFS(B1557&lt;31,"Young-Adult",B1557&lt;41,"Adult",B1557&lt;61,"Middle-aged",B1557&gt;=61,"Senior")</f>
        <v>Middle-aged</v>
      </c>
      <c r="S1557" cm="1">
        <f t="array" ref="S1557">_xlfn.IFS(Q1557 ="Fortnightly",14,Q1557="Weekly",7,Q1557="Monthly",30,Q1557="Quarterly",90,Q1557="Bi-Weekly",14,Q1557="Annually",365,Q1557="Every 3 Months",90,TRUE,"NOT FOUND")</f>
        <v>90</v>
      </c>
    </row>
    <row r="1558" spans="1:19" x14ac:dyDescent="0.35">
      <c r="A1558">
        <v>1557</v>
      </c>
      <c r="B1558">
        <v>43</v>
      </c>
      <c r="C1558" t="s">
        <v>7</v>
      </c>
      <c r="D1558" t="s">
        <v>92</v>
      </c>
      <c r="E1558" t="s">
        <v>9</v>
      </c>
      <c r="F1558">
        <v>57</v>
      </c>
      <c r="G1558" t="s">
        <v>78</v>
      </c>
      <c r="H1558" t="s">
        <v>32</v>
      </c>
      <c r="I1558" t="s">
        <v>68</v>
      </c>
      <c r="J1558" t="s">
        <v>45</v>
      </c>
      <c r="K1558">
        <v>2.7</v>
      </c>
      <c r="L1558" t="s">
        <v>140</v>
      </c>
      <c r="M1558" t="s">
        <v>42</v>
      </c>
      <c r="N1558" t="s">
        <v>14</v>
      </c>
      <c r="O1558">
        <v>26</v>
      </c>
      <c r="P1558" t="s">
        <v>27</v>
      </c>
      <c r="Q1558" t="s">
        <v>46</v>
      </c>
      <c r="R1558" t="str" cm="1">
        <f t="array" ref="R1558">_xlfn.IFS(B1558&lt;31,"Young-Adult",B1558&lt;41,"Adult",B1558&lt;61,"Middle-aged",B1558&gt;=61,"Senior")</f>
        <v>Middle-aged</v>
      </c>
      <c r="S1558" cm="1">
        <f t="array" ref="S1558">_xlfn.IFS(Q1558 ="Fortnightly",14,Q1558="Weekly",7,Q1558="Monthly",30,Q1558="Quarterly",90,Q1558="Bi-Weekly",14,Q1558="Annually",365,Q1558="Every 3 Months",90,TRUE,"NOT FOUND")</f>
        <v>90</v>
      </c>
    </row>
    <row r="1559" spans="1:19" x14ac:dyDescent="0.35">
      <c r="A1559">
        <v>1558</v>
      </c>
      <c r="B1559">
        <v>27</v>
      </c>
      <c r="C1559" t="s">
        <v>7</v>
      </c>
      <c r="D1559" t="s">
        <v>120</v>
      </c>
      <c r="E1559" t="s">
        <v>55</v>
      </c>
      <c r="F1559">
        <v>34</v>
      </c>
      <c r="G1559" t="s">
        <v>135</v>
      </c>
      <c r="H1559" t="s">
        <v>11</v>
      </c>
      <c r="I1559" t="s">
        <v>124</v>
      </c>
      <c r="J1559" t="s">
        <v>45</v>
      </c>
      <c r="K1559">
        <v>3.5</v>
      </c>
      <c r="L1559" t="s">
        <v>140</v>
      </c>
      <c r="M1559" t="s">
        <v>33</v>
      </c>
      <c r="N1559" t="s">
        <v>14</v>
      </c>
      <c r="O1559">
        <v>34</v>
      </c>
      <c r="P1559" t="s">
        <v>34</v>
      </c>
      <c r="Q1559" t="s">
        <v>46</v>
      </c>
      <c r="R1559" t="str" cm="1">
        <f t="array" ref="R1559">_xlfn.IFS(B1559&lt;31,"Young-Adult",B1559&lt;41,"Adult",B1559&lt;61,"Middle-aged",B1559&gt;=61,"Senior")</f>
        <v>Young-Adult</v>
      </c>
      <c r="S1559" cm="1">
        <f t="array" ref="S1559">_xlfn.IFS(Q1559 ="Fortnightly",14,Q1559="Weekly",7,Q1559="Monthly",30,Q1559="Quarterly",90,Q1559="Bi-Weekly",14,Q1559="Annually",365,Q1559="Every 3 Months",90,TRUE,"NOT FOUND")</f>
        <v>90</v>
      </c>
    </row>
    <row r="1560" spans="1:19" x14ac:dyDescent="0.35">
      <c r="A1560">
        <v>1559</v>
      </c>
      <c r="B1560">
        <v>35</v>
      </c>
      <c r="C1560" t="s">
        <v>7</v>
      </c>
      <c r="D1560" t="s">
        <v>77</v>
      </c>
      <c r="E1560" t="s">
        <v>55</v>
      </c>
      <c r="F1560">
        <v>75</v>
      </c>
      <c r="G1560" t="s">
        <v>118</v>
      </c>
      <c r="H1560" t="s">
        <v>80</v>
      </c>
      <c r="I1560" t="s">
        <v>73</v>
      </c>
      <c r="J1560" t="s">
        <v>45</v>
      </c>
      <c r="K1560">
        <v>3.5</v>
      </c>
      <c r="L1560" t="s">
        <v>140</v>
      </c>
      <c r="M1560" t="s">
        <v>15</v>
      </c>
      <c r="N1560" t="s">
        <v>14</v>
      </c>
      <c r="O1560">
        <v>24</v>
      </c>
      <c r="P1560" t="s">
        <v>27</v>
      </c>
      <c r="Q1560" t="s">
        <v>85</v>
      </c>
      <c r="R1560" t="str" cm="1">
        <f t="array" ref="R1560">_xlfn.IFS(B1560&lt;31,"Young-Adult",B1560&lt;41,"Adult",B1560&lt;61,"Middle-aged",B1560&gt;=61,"Senior")</f>
        <v>Adult</v>
      </c>
      <c r="S1560" cm="1">
        <f t="array" ref="S1560">_xlfn.IFS(Q1560 ="Fortnightly",14,Q1560="Weekly",7,Q1560="Monthly",30,Q1560="Quarterly",90,Q1560="Bi-Weekly",14,Q1560="Annually",365,Q1560="Every 3 Months",90,TRUE,"NOT FOUND")</f>
        <v>90</v>
      </c>
    </row>
    <row r="1561" spans="1:19" x14ac:dyDescent="0.35">
      <c r="A1561">
        <v>1560</v>
      </c>
      <c r="B1561">
        <v>43</v>
      </c>
      <c r="C1561" t="s">
        <v>7</v>
      </c>
      <c r="D1561" t="s">
        <v>107</v>
      </c>
      <c r="E1561" t="s">
        <v>55</v>
      </c>
      <c r="F1561">
        <v>94</v>
      </c>
      <c r="G1561" t="s">
        <v>35</v>
      </c>
      <c r="H1561" t="s">
        <v>11</v>
      </c>
      <c r="I1561" t="s">
        <v>106</v>
      </c>
      <c r="J1561" t="s">
        <v>45</v>
      </c>
      <c r="K1561">
        <v>4.5</v>
      </c>
      <c r="L1561" t="s">
        <v>140</v>
      </c>
      <c r="M1561" t="s">
        <v>62</v>
      </c>
      <c r="N1561" t="s">
        <v>14</v>
      </c>
      <c r="O1561">
        <v>23</v>
      </c>
      <c r="P1561" t="s">
        <v>34</v>
      </c>
      <c r="Q1561" t="s">
        <v>17</v>
      </c>
      <c r="R1561" t="str" cm="1">
        <f t="array" ref="R1561">_xlfn.IFS(B1561&lt;31,"Young-Adult",B1561&lt;41,"Adult",B1561&lt;61,"Middle-aged",B1561&gt;=61,"Senior")</f>
        <v>Middle-aged</v>
      </c>
      <c r="S1561" cm="1">
        <f t="array" ref="S1561">_xlfn.IFS(Q1561 ="Fortnightly",14,Q1561="Weekly",7,Q1561="Monthly",30,Q1561="Quarterly",90,Q1561="Bi-Weekly",14,Q1561="Annually",365,Q1561="Every 3 Months",90,TRUE,"NOT FOUND")</f>
        <v>14</v>
      </c>
    </row>
    <row r="1562" spans="1:19" x14ac:dyDescent="0.35">
      <c r="A1562">
        <v>1561</v>
      </c>
      <c r="B1562">
        <v>57</v>
      </c>
      <c r="C1562" t="s">
        <v>7</v>
      </c>
      <c r="D1562" t="s">
        <v>112</v>
      </c>
      <c r="E1562" t="s">
        <v>55</v>
      </c>
      <c r="F1562">
        <v>84</v>
      </c>
      <c r="G1562" t="s">
        <v>35</v>
      </c>
      <c r="H1562" t="s">
        <v>32</v>
      </c>
      <c r="I1562" t="s">
        <v>73</v>
      </c>
      <c r="J1562" t="s">
        <v>13</v>
      </c>
      <c r="K1562">
        <v>3.8</v>
      </c>
      <c r="L1562" t="s">
        <v>140</v>
      </c>
      <c r="M1562" t="s">
        <v>26</v>
      </c>
      <c r="N1562" t="s">
        <v>14</v>
      </c>
      <c r="O1562">
        <v>3</v>
      </c>
      <c r="P1562" t="s">
        <v>74</v>
      </c>
      <c r="Q1562" t="s">
        <v>28</v>
      </c>
      <c r="R1562" t="str" cm="1">
        <f t="array" ref="R1562">_xlfn.IFS(B1562&lt;31,"Young-Adult",B1562&lt;41,"Adult",B1562&lt;61,"Middle-aged",B1562&gt;=61,"Senior")</f>
        <v>Middle-aged</v>
      </c>
      <c r="S1562" cm="1">
        <f t="array" ref="S1562">_xlfn.IFS(Q1562 ="Fortnightly",14,Q1562="Weekly",7,Q1562="Monthly",30,Q1562="Quarterly",90,Q1562="Bi-Weekly",14,Q1562="Annually",365,Q1562="Every 3 Months",90,TRUE,"NOT FOUND")</f>
        <v>7</v>
      </c>
    </row>
    <row r="1563" spans="1:19" x14ac:dyDescent="0.35">
      <c r="A1563">
        <v>1562</v>
      </c>
      <c r="B1563">
        <v>50</v>
      </c>
      <c r="C1563" t="s">
        <v>7</v>
      </c>
      <c r="D1563" t="s">
        <v>107</v>
      </c>
      <c r="E1563" t="s">
        <v>55</v>
      </c>
      <c r="F1563">
        <v>38</v>
      </c>
      <c r="G1563" t="s">
        <v>79</v>
      </c>
      <c r="H1563" t="s">
        <v>32</v>
      </c>
      <c r="I1563" t="s">
        <v>114</v>
      </c>
      <c r="J1563" t="s">
        <v>41</v>
      </c>
      <c r="K1563">
        <v>3.8</v>
      </c>
      <c r="L1563" t="s">
        <v>140</v>
      </c>
      <c r="M1563" t="s">
        <v>42</v>
      </c>
      <c r="N1563" t="s">
        <v>14</v>
      </c>
      <c r="O1563">
        <v>2</v>
      </c>
      <c r="P1563" t="s">
        <v>63</v>
      </c>
      <c r="Q1563" t="s">
        <v>46</v>
      </c>
      <c r="R1563" t="str" cm="1">
        <f t="array" ref="R1563">_xlfn.IFS(B1563&lt;31,"Young-Adult",B1563&lt;41,"Adult",B1563&lt;61,"Middle-aged",B1563&gt;=61,"Senior")</f>
        <v>Middle-aged</v>
      </c>
      <c r="S1563" cm="1">
        <f t="array" ref="S1563">_xlfn.IFS(Q1563 ="Fortnightly",14,Q1563="Weekly",7,Q1563="Monthly",30,Q1563="Quarterly",90,Q1563="Bi-Weekly",14,Q1563="Annually",365,Q1563="Every 3 Months",90,TRUE,"NOT FOUND")</f>
        <v>90</v>
      </c>
    </row>
    <row r="1564" spans="1:19" x14ac:dyDescent="0.35">
      <c r="A1564">
        <v>1563</v>
      </c>
      <c r="B1564">
        <v>37</v>
      </c>
      <c r="C1564" t="s">
        <v>7</v>
      </c>
      <c r="D1564" t="s">
        <v>107</v>
      </c>
      <c r="E1564" t="s">
        <v>55</v>
      </c>
      <c r="F1564">
        <v>75</v>
      </c>
      <c r="G1564" t="s">
        <v>78</v>
      </c>
      <c r="H1564" t="s">
        <v>32</v>
      </c>
      <c r="I1564" t="s">
        <v>61</v>
      </c>
      <c r="J1564" t="s">
        <v>13</v>
      </c>
      <c r="K1564">
        <v>3.2</v>
      </c>
      <c r="L1564" t="s">
        <v>140</v>
      </c>
      <c r="M1564" t="s">
        <v>33</v>
      </c>
      <c r="N1564" t="s">
        <v>14</v>
      </c>
      <c r="O1564">
        <v>23</v>
      </c>
      <c r="P1564" t="s">
        <v>16</v>
      </c>
      <c r="Q1564" t="s">
        <v>64</v>
      </c>
      <c r="R1564" t="str" cm="1">
        <f t="array" ref="R1564">_xlfn.IFS(B1564&lt;31,"Young-Adult",B1564&lt;41,"Adult",B1564&lt;61,"Middle-aged",B1564&gt;=61,"Senior")</f>
        <v>Adult</v>
      </c>
      <c r="S1564" cm="1">
        <f t="array" ref="S1564">_xlfn.IFS(Q1564 ="Fortnightly",14,Q1564="Weekly",7,Q1564="Monthly",30,Q1564="Quarterly",90,Q1564="Bi-Weekly",14,Q1564="Annually",365,Q1564="Every 3 Months",90,TRUE,"NOT FOUND")</f>
        <v>14</v>
      </c>
    </row>
    <row r="1565" spans="1:19" x14ac:dyDescent="0.35">
      <c r="A1565">
        <v>1564</v>
      </c>
      <c r="B1565">
        <v>68</v>
      </c>
      <c r="C1565" t="s">
        <v>7</v>
      </c>
      <c r="D1565" t="s">
        <v>83</v>
      </c>
      <c r="E1565" t="s">
        <v>9</v>
      </c>
      <c r="F1565">
        <v>44</v>
      </c>
      <c r="G1565" t="s">
        <v>99</v>
      </c>
      <c r="H1565" t="s">
        <v>32</v>
      </c>
      <c r="I1565" t="s">
        <v>73</v>
      </c>
      <c r="J1565" t="s">
        <v>45</v>
      </c>
      <c r="K1565">
        <v>4.3</v>
      </c>
      <c r="L1565" t="s">
        <v>140</v>
      </c>
      <c r="M1565" t="s">
        <v>33</v>
      </c>
      <c r="N1565" t="s">
        <v>14</v>
      </c>
      <c r="O1565">
        <v>8</v>
      </c>
      <c r="P1565" t="s">
        <v>21</v>
      </c>
      <c r="Q1565" t="s">
        <v>28</v>
      </c>
      <c r="R1565" t="str" cm="1">
        <f t="array" ref="R1565">_xlfn.IFS(B1565&lt;31,"Young-Adult",B1565&lt;41,"Adult",B1565&lt;61,"Middle-aged",B1565&gt;=61,"Senior")</f>
        <v>Senior</v>
      </c>
      <c r="S1565" cm="1">
        <f t="array" ref="S1565">_xlfn.IFS(Q1565 ="Fortnightly",14,Q1565="Weekly",7,Q1565="Monthly",30,Q1565="Quarterly",90,Q1565="Bi-Weekly",14,Q1565="Annually",365,Q1565="Every 3 Months",90,TRUE,"NOT FOUND")</f>
        <v>7</v>
      </c>
    </row>
    <row r="1566" spans="1:19" x14ac:dyDescent="0.35">
      <c r="A1566">
        <v>1565</v>
      </c>
      <c r="B1566">
        <v>22</v>
      </c>
      <c r="C1566" t="s">
        <v>7</v>
      </c>
      <c r="D1566" t="s">
        <v>120</v>
      </c>
      <c r="E1566" t="s">
        <v>55</v>
      </c>
      <c r="F1566">
        <v>33</v>
      </c>
      <c r="G1566" t="s">
        <v>87</v>
      </c>
      <c r="H1566" t="s">
        <v>80</v>
      </c>
      <c r="I1566" t="s">
        <v>36</v>
      </c>
      <c r="J1566" t="s">
        <v>41</v>
      </c>
      <c r="K1566">
        <v>4.5</v>
      </c>
      <c r="L1566" t="s">
        <v>140</v>
      </c>
      <c r="M1566" t="s">
        <v>33</v>
      </c>
      <c r="N1566" t="s">
        <v>14</v>
      </c>
      <c r="O1566">
        <v>30</v>
      </c>
      <c r="P1566" t="s">
        <v>74</v>
      </c>
      <c r="Q1566" t="s">
        <v>85</v>
      </c>
      <c r="R1566" t="str" cm="1">
        <f t="array" ref="R1566">_xlfn.IFS(B1566&lt;31,"Young-Adult",B1566&lt;41,"Adult",B1566&lt;61,"Middle-aged",B1566&gt;=61,"Senior")</f>
        <v>Young-Adult</v>
      </c>
      <c r="S1566" cm="1">
        <f t="array" ref="S1566">_xlfn.IFS(Q1566 ="Fortnightly",14,Q1566="Weekly",7,Q1566="Monthly",30,Q1566="Quarterly",90,Q1566="Bi-Weekly",14,Q1566="Annually",365,Q1566="Every 3 Months",90,TRUE,"NOT FOUND")</f>
        <v>90</v>
      </c>
    </row>
    <row r="1567" spans="1:19" x14ac:dyDescent="0.35">
      <c r="A1567">
        <v>1566</v>
      </c>
      <c r="B1567">
        <v>58</v>
      </c>
      <c r="C1567" t="s">
        <v>7</v>
      </c>
      <c r="D1567" t="s">
        <v>77</v>
      </c>
      <c r="E1567" t="s">
        <v>55</v>
      </c>
      <c r="F1567">
        <v>93</v>
      </c>
      <c r="G1567" t="s">
        <v>123</v>
      </c>
      <c r="H1567" t="s">
        <v>11</v>
      </c>
      <c r="I1567" t="s">
        <v>88</v>
      </c>
      <c r="J1567" t="s">
        <v>45</v>
      </c>
      <c r="K1567">
        <v>4.2</v>
      </c>
      <c r="L1567" t="s">
        <v>140</v>
      </c>
      <c r="M1567" t="s">
        <v>26</v>
      </c>
      <c r="N1567" t="s">
        <v>14</v>
      </c>
      <c r="O1567">
        <v>48</v>
      </c>
      <c r="P1567" t="s">
        <v>34</v>
      </c>
      <c r="Q1567" t="s">
        <v>37</v>
      </c>
      <c r="R1567" t="str" cm="1">
        <f t="array" ref="R1567">_xlfn.IFS(B1567&lt;31,"Young-Adult",B1567&lt;41,"Adult",B1567&lt;61,"Middle-aged",B1567&gt;=61,"Senior")</f>
        <v>Middle-aged</v>
      </c>
      <c r="S1567" cm="1">
        <f t="array" ref="S1567">_xlfn.IFS(Q1567 ="Fortnightly",14,Q1567="Weekly",7,Q1567="Monthly",30,Q1567="Quarterly",90,Q1567="Bi-Weekly",14,Q1567="Annually",365,Q1567="Every 3 Months",90,TRUE,"NOT FOUND")</f>
        <v>365</v>
      </c>
    </row>
    <row r="1568" spans="1:19" x14ac:dyDescent="0.35">
      <c r="A1568">
        <v>1567</v>
      </c>
      <c r="B1568">
        <v>48</v>
      </c>
      <c r="C1568" t="s">
        <v>7</v>
      </c>
      <c r="D1568" t="s">
        <v>38</v>
      </c>
      <c r="E1568" t="s">
        <v>30</v>
      </c>
      <c r="F1568">
        <v>99</v>
      </c>
      <c r="G1568" t="s">
        <v>39</v>
      </c>
      <c r="H1568" t="s">
        <v>24</v>
      </c>
      <c r="I1568" t="s">
        <v>84</v>
      </c>
      <c r="J1568" t="s">
        <v>13</v>
      </c>
      <c r="K1568">
        <v>3</v>
      </c>
      <c r="L1568" t="s">
        <v>140</v>
      </c>
      <c r="M1568" t="s">
        <v>26</v>
      </c>
      <c r="N1568" t="s">
        <v>14</v>
      </c>
      <c r="O1568">
        <v>21</v>
      </c>
      <c r="P1568" t="s">
        <v>21</v>
      </c>
      <c r="Q1568" t="s">
        <v>64</v>
      </c>
      <c r="R1568" t="str" cm="1">
        <f t="array" ref="R1568">_xlfn.IFS(B1568&lt;31,"Young-Adult",B1568&lt;41,"Adult",B1568&lt;61,"Middle-aged",B1568&gt;=61,"Senior")</f>
        <v>Middle-aged</v>
      </c>
      <c r="S1568" cm="1">
        <f t="array" ref="S1568">_xlfn.IFS(Q1568 ="Fortnightly",14,Q1568="Weekly",7,Q1568="Monthly",30,Q1568="Quarterly",90,Q1568="Bi-Weekly",14,Q1568="Annually",365,Q1568="Every 3 Months",90,TRUE,"NOT FOUND")</f>
        <v>14</v>
      </c>
    </row>
    <row r="1569" spans="1:19" x14ac:dyDescent="0.35">
      <c r="A1569">
        <v>1568</v>
      </c>
      <c r="B1569">
        <v>30</v>
      </c>
      <c r="C1569" t="s">
        <v>7</v>
      </c>
      <c r="D1569" t="s">
        <v>120</v>
      </c>
      <c r="E1569" t="s">
        <v>55</v>
      </c>
      <c r="F1569">
        <v>33</v>
      </c>
      <c r="G1569" t="s">
        <v>136</v>
      </c>
      <c r="H1569" t="s">
        <v>32</v>
      </c>
      <c r="I1569" t="s">
        <v>36</v>
      </c>
      <c r="J1569" t="s">
        <v>25</v>
      </c>
      <c r="K1569">
        <v>4.0999999999999996</v>
      </c>
      <c r="L1569" t="s">
        <v>140</v>
      </c>
      <c r="M1569" t="s">
        <v>42</v>
      </c>
      <c r="N1569" t="s">
        <v>14</v>
      </c>
      <c r="O1569">
        <v>9</v>
      </c>
      <c r="P1569" t="s">
        <v>21</v>
      </c>
      <c r="Q1569" t="s">
        <v>76</v>
      </c>
      <c r="R1569" t="str" cm="1">
        <f t="array" ref="R1569">_xlfn.IFS(B1569&lt;31,"Young-Adult",B1569&lt;41,"Adult",B1569&lt;61,"Middle-aged",B1569&gt;=61,"Senior")</f>
        <v>Young-Adult</v>
      </c>
      <c r="S1569" cm="1">
        <f t="array" ref="S1569">_xlfn.IFS(Q1569 ="Fortnightly",14,Q1569="Weekly",7,Q1569="Monthly",30,Q1569="Quarterly",90,Q1569="Bi-Weekly",14,Q1569="Annually",365,Q1569="Every 3 Months",90,TRUE,"NOT FOUND")</f>
        <v>30</v>
      </c>
    </row>
    <row r="1570" spans="1:19" x14ac:dyDescent="0.35">
      <c r="A1570">
        <v>1569</v>
      </c>
      <c r="B1570">
        <v>51</v>
      </c>
      <c r="C1570" t="s">
        <v>7</v>
      </c>
      <c r="D1570" t="s">
        <v>38</v>
      </c>
      <c r="E1570" t="s">
        <v>30</v>
      </c>
      <c r="F1570">
        <v>76</v>
      </c>
      <c r="G1570" t="s">
        <v>137</v>
      </c>
      <c r="H1570" t="s">
        <v>11</v>
      </c>
      <c r="I1570" t="s">
        <v>122</v>
      </c>
      <c r="J1570" t="s">
        <v>25</v>
      </c>
      <c r="K1570">
        <v>4.5999999999999996</v>
      </c>
      <c r="L1570" t="s">
        <v>140</v>
      </c>
      <c r="M1570" t="s">
        <v>62</v>
      </c>
      <c r="N1570" t="s">
        <v>14</v>
      </c>
      <c r="O1570">
        <v>8</v>
      </c>
      <c r="P1570" t="s">
        <v>74</v>
      </c>
      <c r="Q1570" t="s">
        <v>76</v>
      </c>
      <c r="R1570" t="str" cm="1">
        <f t="array" ref="R1570">_xlfn.IFS(B1570&lt;31,"Young-Adult",B1570&lt;41,"Adult",B1570&lt;61,"Middle-aged",B1570&gt;=61,"Senior")</f>
        <v>Middle-aged</v>
      </c>
      <c r="S1570" cm="1">
        <f t="array" ref="S1570">_xlfn.IFS(Q1570 ="Fortnightly",14,Q1570="Weekly",7,Q1570="Monthly",30,Q1570="Quarterly",90,Q1570="Bi-Weekly",14,Q1570="Annually",365,Q1570="Every 3 Months",90,TRUE,"NOT FOUND")</f>
        <v>30</v>
      </c>
    </row>
    <row r="1571" spans="1:19" x14ac:dyDescent="0.35">
      <c r="A1571">
        <v>1570</v>
      </c>
      <c r="B1571">
        <v>20</v>
      </c>
      <c r="C1571" t="s">
        <v>7</v>
      </c>
      <c r="D1571" t="s">
        <v>75</v>
      </c>
      <c r="E1571" t="s">
        <v>9</v>
      </c>
      <c r="F1571">
        <v>63</v>
      </c>
      <c r="G1571" t="s">
        <v>65</v>
      </c>
      <c r="H1571" t="s">
        <v>32</v>
      </c>
      <c r="I1571" t="s">
        <v>109</v>
      </c>
      <c r="J1571" t="s">
        <v>41</v>
      </c>
      <c r="K1571">
        <v>2.9</v>
      </c>
      <c r="L1571" t="s">
        <v>140</v>
      </c>
      <c r="M1571" t="s">
        <v>42</v>
      </c>
      <c r="N1571" t="s">
        <v>14</v>
      </c>
      <c r="O1571">
        <v>29</v>
      </c>
      <c r="P1571" t="s">
        <v>74</v>
      </c>
      <c r="Q1571" t="s">
        <v>28</v>
      </c>
      <c r="R1571" t="str" cm="1">
        <f t="array" ref="R1571">_xlfn.IFS(B1571&lt;31,"Young-Adult",B1571&lt;41,"Adult",B1571&lt;61,"Middle-aged",B1571&gt;=61,"Senior")</f>
        <v>Young-Adult</v>
      </c>
      <c r="S1571" cm="1">
        <f t="array" ref="S1571">_xlfn.IFS(Q1571 ="Fortnightly",14,Q1571="Weekly",7,Q1571="Monthly",30,Q1571="Quarterly",90,Q1571="Bi-Weekly",14,Q1571="Annually",365,Q1571="Every 3 Months",90,TRUE,"NOT FOUND")</f>
        <v>7</v>
      </c>
    </row>
    <row r="1572" spans="1:19" x14ac:dyDescent="0.35">
      <c r="A1572">
        <v>1571</v>
      </c>
      <c r="B1572">
        <v>30</v>
      </c>
      <c r="C1572" t="s">
        <v>7</v>
      </c>
      <c r="D1572" t="s">
        <v>83</v>
      </c>
      <c r="E1572" t="s">
        <v>9</v>
      </c>
      <c r="F1572">
        <v>41</v>
      </c>
      <c r="G1572" t="s">
        <v>56</v>
      </c>
      <c r="H1572" t="s">
        <v>11</v>
      </c>
      <c r="I1572" t="s">
        <v>98</v>
      </c>
      <c r="J1572" t="s">
        <v>13</v>
      </c>
      <c r="K1572">
        <v>4.8</v>
      </c>
      <c r="L1572" t="s">
        <v>140</v>
      </c>
      <c r="M1572" t="s">
        <v>33</v>
      </c>
      <c r="N1572" t="s">
        <v>14</v>
      </c>
      <c r="O1572">
        <v>3</v>
      </c>
      <c r="P1572" t="s">
        <v>63</v>
      </c>
      <c r="Q1572" t="s">
        <v>85</v>
      </c>
      <c r="R1572" t="str" cm="1">
        <f t="array" ref="R1572">_xlfn.IFS(B1572&lt;31,"Young-Adult",B1572&lt;41,"Adult",B1572&lt;61,"Middle-aged",B1572&gt;=61,"Senior")</f>
        <v>Young-Adult</v>
      </c>
      <c r="S1572" cm="1">
        <f t="array" ref="S1572">_xlfn.IFS(Q1572 ="Fortnightly",14,Q1572="Weekly",7,Q1572="Monthly",30,Q1572="Quarterly",90,Q1572="Bi-Weekly",14,Q1572="Annually",365,Q1572="Every 3 Months",90,TRUE,"NOT FOUND")</f>
        <v>90</v>
      </c>
    </row>
    <row r="1573" spans="1:19" x14ac:dyDescent="0.35">
      <c r="A1573">
        <v>1572</v>
      </c>
      <c r="B1573">
        <v>28</v>
      </c>
      <c r="C1573" t="s">
        <v>7</v>
      </c>
      <c r="D1573" t="s">
        <v>94</v>
      </c>
      <c r="E1573" t="s">
        <v>55</v>
      </c>
      <c r="F1573">
        <v>88</v>
      </c>
      <c r="G1573" t="s">
        <v>100</v>
      </c>
      <c r="H1573" t="s">
        <v>11</v>
      </c>
      <c r="I1573" t="s">
        <v>53</v>
      </c>
      <c r="J1573" t="s">
        <v>13</v>
      </c>
      <c r="K1573">
        <v>4.5</v>
      </c>
      <c r="L1573" t="s">
        <v>140</v>
      </c>
      <c r="M1573" t="s">
        <v>33</v>
      </c>
      <c r="N1573" t="s">
        <v>14</v>
      </c>
      <c r="O1573">
        <v>11</v>
      </c>
      <c r="P1573" t="s">
        <v>63</v>
      </c>
      <c r="Q1573" t="s">
        <v>17</v>
      </c>
      <c r="R1573" t="str" cm="1">
        <f t="array" ref="R1573">_xlfn.IFS(B1573&lt;31,"Young-Adult",B1573&lt;41,"Adult",B1573&lt;61,"Middle-aged",B1573&gt;=61,"Senior")</f>
        <v>Young-Adult</v>
      </c>
      <c r="S1573" cm="1">
        <f t="array" ref="S1573">_xlfn.IFS(Q1573 ="Fortnightly",14,Q1573="Weekly",7,Q1573="Monthly",30,Q1573="Quarterly",90,Q1573="Bi-Weekly",14,Q1573="Annually",365,Q1573="Every 3 Months",90,TRUE,"NOT FOUND")</f>
        <v>14</v>
      </c>
    </row>
    <row r="1574" spans="1:19" x14ac:dyDescent="0.35">
      <c r="A1574">
        <v>1573</v>
      </c>
      <c r="B1574">
        <v>37</v>
      </c>
      <c r="C1574" t="s">
        <v>7</v>
      </c>
      <c r="D1574" t="s">
        <v>75</v>
      </c>
      <c r="E1574" t="s">
        <v>9</v>
      </c>
      <c r="F1574">
        <v>92</v>
      </c>
      <c r="G1574" t="s">
        <v>137</v>
      </c>
      <c r="H1574" t="s">
        <v>11</v>
      </c>
      <c r="I1574" t="s">
        <v>40</v>
      </c>
      <c r="J1574" t="s">
        <v>41</v>
      </c>
      <c r="K1574">
        <v>3.4</v>
      </c>
      <c r="L1574" t="s">
        <v>140</v>
      </c>
      <c r="M1574" t="s">
        <v>58</v>
      </c>
      <c r="N1574" t="s">
        <v>14</v>
      </c>
      <c r="O1574">
        <v>16</v>
      </c>
      <c r="P1574" t="s">
        <v>74</v>
      </c>
      <c r="Q1574" t="s">
        <v>76</v>
      </c>
      <c r="R1574" t="str" cm="1">
        <f t="array" ref="R1574">_xlfn.IFS(B1574&lt;31,"Young-Adult",B1574&lt;41,"Adult",B1574&lt;61,"Middle-aged",B1574&gt;=61,"Senior")</f>
        <v>Adult</v>
      </c>
      <c r="S1574" cm="1">
        <f t="array" ref="S1574">_xlfn.IFS(Q1574 ="Fortnightly",14,Q1574="Weekly",7,Q1574="Monthly",30,Q1574="Quarterly",90,Q1574="Bi-Weekly",14,Q1574="Annually",365,Q1574="Every 3 Months",90,TRUE,"NOT FOUND")</f>
        <v>30</v>
      </c>
    </row>
    <row r="1575" spans="1:19" x14ac:dyDescent="0.35">
      <c r="A1575">
        <v>1574</v>
      </c>
      <c r="B1575">
        <v>36</v>
      </c>
      <c r="C1575" t="s">
        <v>7</v>
      </c>
      <c r="D1575" t="s">
        <v>101</v>
      </c>
      <c r="E1575" t="s">
        <v>9</v>
      </c>
      <c r="F1575">
        <v>31</v>
      </c>
      <c r="G1575" t="s">
        <v>102</v>
      </c>
      <c r="H1575" t="s">
        <v>11</v>
      </c>
      <c r="I1575" t="s">
        <v>114</v>
      </c>
      <c r="J1575" t="s">
        <v>41</v>
      </c>
      <c r="K1575">
        <v>4.3</v>
      </c>
      <c r="L1575" t="s">
        <v>140</v>
      </c>
      <c r="M1575" t="s">
        <v>58</v>
      </c>
      <c r="N1575" t="s">
        <v>14</v>
      </c>
      <c r="O1575">
        <v>25</v>
      </c>
      <c r="P1575" t="s">
        <v>74</v>
      </c>
      <c r="Q1575" t="s">
        <v>28</v>
      </c>
      <c r="R1575" t="str" cm="1">
        <f t="array" ref="R1575">_xlfn.IFS(B1575&lt;31,"Young-Adult",B1575&lt;41,"Adult",B1575&lt;61,"Middle-aged",B1575&gt;=61,"Senior")</f>
        <v>Adult</v>
      </c>
      <c r="S1575" cm="1">
        <f t="array" ref="S1575">_xlfn.IFS(Q1575 ="Fortnightly",14,Q1575="Weekly",7,Q1575="Monthly",30,Q1575="Quarterly",90,Q1575="Bi-Weekly",14,Q1575="Annually",365,Q1575="Every 3 Months",90,TRUE,"NOT FOUND")</f>
        <v>7</v>
      </c>
    </row>
    <row r="1576" spans="1:19" x14ac:dyDescent="0.35">
      <c r="A1576">
        <v>1575</v>
      </c>
      <c r="B1576">
        <v>18</v>
      </c>
      <c r="C1576" t="s">
        <v>7</v>
      </c>
      <c r="D1576" t="s">
        <v>75</v>
      </c>
      <c r="E1576" t="s">
        <v>9</v>
      </c>
      <c r="F1576">
        <v>25</v>
      </c>
      <c r="G1576" t="s">
        <v>136</v>
      </c>
      <c r="H1576" t="s">
        <v>24</v>
      </c>
      <c r="I1576" t="s">
        <v>124</v>
      </c>
      <c r="J1576" t="s">
        <v>25</v>
      </c>
      <c r="K1576">
        <v>4.2</v>
      </c>
      <c r="L1576" t="s">
        <v>140</v>
      </c>
      <c r="M1576" t="s">
        <v>26</v>
      </c>
      <c r="N1576" t="s">
        <v>14</v>
      </c>
      <c r="O1576">
        <v>32</v>
      </c>
      <c r="P1576" t="s">
        <v>34</v>
      </c>
      <c r="Q1576" t="s">
        <v>64</v>
      </c>
      <c r="R1576" t="str" cm="1">
        <f t="array" ref="R1576">_xlfn.IFS(B1576&lt;31,"Young-Adult",B1576&lt;41,"Adult",B1576&lt;61,"Middle-aged",B1576&gt;=61,"Senior")</f>
        <v>Young-Adult</v>
      </c>
      <c r="S1576" cm="1">
        <f t="array" ref="S1576">_xlfn.IFS(Q1576 ="Fortnightly",14,Q1576="Weekly",7,Q1576="Monthly",30,Q1576="Quarterly",90,Q1576="Bi-Weekly",14,Q1576="Annually",365,Q1576="Every 3 Months",90,TRUE,"NOT FOUND")</f>
        <v>14</v>
      </c>
    </row>
    <row r="1577" spans="1:19" x14ac:dyDescent="0.35">
      <c r="A1577">
        <v>1576</v>
      </c>
      <c r="B1577">
        <v>52</v>
      </c>
      <c r="C1577" t="s">
        <v>7</v>
      </c>
      <c r="D1577" t="s">
        <v>43</v>
      </c>
      <c r="E1577" t="s">
        <v>9</v>
      </c>
      <c r="F1577">
        <v>28</v>
      </c>
      <c r="G1577" t="s">
        <v>87</v>
      </c>
      <c r="H1577" t="s">
        <v>32</v>
      </c>
      <c r="I1577" t="s">
        <v>36</v>
      </c>
      <c r="J1577" t="s">
        <v>25</v>
      </c>
      <c r="K1577">
        <v>3.6</v>
      </c>
      <c r="L1577" t="s">
        <v>140</v>
      </c>
      <c r="M1577" t="s">
        <v>33</v>
      </c>
      <c r="N1577" t="s">
        <v>14</v>
      </c>
      <c r="O1577">
        <v>28</v>
      </c>
      <c r="P1577" t="s">
        <v>21</v>
      </c>
      <c r="Q1577" t="s">
        <v>17</v>
      </c>
      <c r="R1577" t="str" cm="1">
        <f t="array" ref="R1577">_xlfn.IFS(B1577&lt;31,"Young-Adult",B1577&lt;41,"Adult",B1577&lt;61,"Middle-aged",B1577&gt;=61,"Senior")</f>
        <v>Middle-aged</v>
      </c>
      <c r="S1577" cm="1">
        <f t="array" ref="S1577">_xlfn.IFS(Q1577 ="Fortnightly",14,Q1577="Weekly",7,Q1577="Monthly",30,Q1577="Quarterly",90,Q1577="Bi-Weekly",14,Q1577="Annually",365,Q1577="Every 3 Months",90,TRUE,"NOT FOUND")</f>
        <v>14</v>
      </c>
    </row>
    <row r="1578" spans="1:19" x14ac:dyDescent="0.35">
      <c r="A1578">
        <v>1577</v>
      </c>
      <c r="B1578">
        <v>56</v>
      </c>
      <c r="C1578" t="s">
        <v>7</v>
      </c>
      <c r="D1578" t="s">
        <v>69</v>
      </c>
      <c r="E1578" t="s">
        <v>9</v>
      </c>
      <c r="F1578">
        <v>75</v>
      </c>
      <c r="G1578" t="s">
        <v>139</v>
      </c>
      <c r="H1578" t="s">
        <v>32</v>
      </c>
      <c r="I1578" t="s">
        <v>40</v>
      </c>
      <c r="J1578" t="s">
        <v>25</v>
      </c>
      <c r="K1578">
        <v>3.7</v>
      </c>
      <c r="L1578" t="s">
        <v>140</v>
      </c>
      <c r="M1578" t="s">
        <v>58</v>
      </c>
      <c r="N1578" t="s">
        <v>14</v>
      </c>
      <c r="O1578">
        <v>36</v>
      </c>
      <c r="P1578" t="s">
        <v>34</v>
      </c>
      <c r="Q1578" t="s">
        <v>76</v>
      </c>
      <c r="R1578" t="str" cm="1">
        <f t="array" ref="R1578">_xlfn.IFS(B1578&lt;31,"Young-Adult",B1578&lt;41,"Adult",B1578&lt;61,"Middle-aged",B1578&gt;=61,"Senior")</f>
        <v>Middle-aged</v>
      </c>
      <c r="S1578" cm="1">
        <f t="array" ref="S1578">_xlfn.IFS(Q1578 ="Fortnightly",14,Q1578="Weekly",7,Q1578="Monthly",30,Q1578="Quarterly",90,Q1578="Bi-Weekly",14,Q1578="Annually",365,Q1578="Every 3 Months",90,TRUE,"NOT FOUND")</f>
        <v>30</v>
      </c>
    </row>
    <row r="1579" spans="1:19" x14ac:dyDescent="0.35">
      <c r="A1579">
        <v>1578</v>
      </c>
      <c r="B1579">
        <v>68</v>
      </c>
      <c r="C1579" t="s">
        <v>7</v>
      </c>
      <c r="D1579" t="s">
        <v>125</v>
      </c>
      <c r="E1579" t="s">
        <v>30</v>
      </c>
      <c r="F1579">
        <v>34</v>
      </c>
      <c r="G1579" t="s">
        <v>67</v>
      </c>
      <c r="H1579" t="s">
        <v>24</v>
      </c>
      <c r="I1579" t="s">
        <v>66</v>
      </c>
      <c r="J1579" t="s">
        <v>25</v>
      </c>
      <c r="K1579">
        <v>4</v>
      </c>
      <c r="L1579" t="s">
        <v>140</v>
      </c>
      <c r="M1579" t="s">
        <v>42</v>
      </c>
      <c r="N1579" t="s">
        <v>14</v>
      </c>
      <c r="O1579">
        <v>7</v>
      </c>
      <c r="P1579" t="s">
        <v>16</v>
      </c>
      <c r="Q1579" t="s">
        <v>17</v>
      </c>
      <c r="R1579" t="str" cm="1">
        <f t="array" ref="R1579">_xlfn.IFS(B1579&lt;31,"Young-Adult",B1579&lt;41,"Adult",B1579&lt;61,"Middle-aged",B1579&gt;=61,"Senior")</f>
        <v>Senior</v>
      </c>
      <c r="S1579" cm="1">
        <f t="array" ref="S1579">_xlfn.IFS(Q1579 ="Fortnightly",14,Q1579="Weekly",7,Q1579="Monthly",30,Q1579="Quarterly",90,Q1579="Bi-Weekly",14,Q1579="Annually",365,Q1579="Every 3 Months",90,TRUE,"NOT FOUND")</f>
        <v>14</v>
      </c>
    </row>
    <row r="1580" spans="1:19" x14ac:dyDescent="0.35">
      <c r="A1580">
        <v>1579</v>
      </c>
      <c r="B1580">
        <v>62</v>
      </c>
      <c r="C1580" t="s">
        <v>7</v>
      </c>
      <c r="D1580" t="s">
        <v>83</v>
      </c>
      <c r="E1580" t="s">
        <v>9</v>
      </c>
      <c r="F1580">
        <v>97</v>
      </c>
      <c r="G1580" t="s">
        <v>87</v>
      </c>
      <c r="H1580" t="s">
        <v>24</v>
      </c>
      <c r="I1580" t="s">
        <v>20</v>
      </c>
      <c r="J1580" t="s">
        <v>13</v>
      </c>
      <c r="K1580">
        <v>4.9000000000000004</v>
      </c>
      <c r="L1580" t="s">
        <v>140</v>
      </c>
      <c r="M1580" t="s">
        <v>58</v>
      </c>
      <c r="N1580" t="s">
        <v>14</v>
      </c>
      <c r="O1580">
        <v>2</v>
      </c>
      <c r="P1580" t="s">
        <v>34</v>
      </c>
      <c r="Q1580" t="s">
        <v>46</v>
      </c>
      <c r="R1580" t="str" cm="1">
        <f t="array" ref="R1580">_xlfn.IFS(B1580&lt;31,"Young-Adult",B1580&lt;41,"Adult",B1580&lt;61,"Middle-aged",B1580&gt;=61,"Senior")</f>
        <v>Senior</v>
      </c>
      <c r="S1580" cm="1">
        <f t="array" ref="S1580">_xlfn.IFS(Q1580 ="Fortnightly",14,Q1580="Weekly",7,Q1580="Monthly",30,Q1580="Quarterly",90,Q1580="Bi-Weekly",14,Q1580="Annually",365,Q1580="Every 3 Months",90,TRUE,"NOT FOUND")</f>
        <v>90</v>
      </c>
    </row>
    <row r="1581" spans="1:19" x14ac:dyDescent="0.35">
      <c r="A1581">
        <v>1580</v>
      </c>
      <c r="B1581">
        <v>35</v>
      </c>
      <c r="C1581" t="s">
        <v>7</v>
      </c>
      <c r="D1581" t="s">
        <v>90</v>
      </c>
      <c r="E1581" t="s">
        <v>51</v>
      </c>
      <c r="F1581">
        <v>80</v>
      </c>
      <c r="G1581" t="s">
        <v>89</v>
      </c>
      <c r="H1581" t="s">
        <v>32</v>
      </c>
      <c r="I1581" t="s">
        <v>71</v>
      </c>
      <c r="J1581" t="s">
        <v>41</v>
      </c>
      <c r="K1581">
        <v>3.1</v>
      </c>
      <c r="L1581" t="s">
        <v>140</v>
      </c>
      <c r="M1581" t="s">
        <v>26</v>
      </c>
      <c r="N1581" t="s">
        <v>14</v>
      </c>
      <c r="O1581">
        <v>6</v>
      </c>
      <c r="P1581" t="s">
        <v>63</v>
      </c>
      <c r="Q1581" t="s">
        <v>76</v>
      </c>
      <c r="R1581" t="str" cm="1">
        <f t="array" ref="R1581">_xlfn.IFS(B1581&lt;31,"Young-Adult",B1581&lt;41,"Adult",B1581&lt;61,"Middle-aged",B1581&gt;=61,"Senior")</f>
        <v>Adult</v>
      </c>
      <c r="S1581" cm="1">
        <f t="array" ref="S1581">_xlfn.IFS(Q1581 ="Fortnightly",14,Q1581="Weekly",7,Q1581="Monthly",30,Q1581="Quarterly",90,Q1581="Bi-Weekly",14,Q1581="Annually",365,Q1581="Every 3 Months",90,TRUE,"NOT FOUND")</f>
        <v>30</v>
      </c>
    </row>
    <row r="1582" spans="1:19" x14ac:dyDescent="0.35">
      <c r="A1582">
        <v>1581</v>
      </c>
      <c r="B1582">
        <v>65</v>
      </c>
      <c r="C1582" t="s">
        <v>7</v>
      </c>
      <c r="D1582" t="s">
        <v>38</v>
      </c>
      <c r="E1582" t="s">
        <v>30</v>
      </c>
      <c r="F1582">
        <v>71</v>
      </c>
      <c r="G1582" t="s">
        <v>102</v>
      </c>
      <c r="H1582" t="s">
        <v>11</v>
      </c>
      <c r="I1582" t="s">
        <v>97</v>
      </c>
      <c r="J1582" t="s">
        <v>41</v>
      </c>
      <c r="K1582">
        <v>3.7</v>
      </c>
      <c r="L1582" t="s">
        <v>140</v>
      </c>
      <c r="M1582" t="s">
        <v>42</v>
      </c>
      <c r="N1582" t="s">
        <v>14</v>
      </c>
      <c r="O1582">
        <v>30</v>
      </c>
      <c r="P1582" t="s">
        <v>21</v>
      </c>
      <c r="Q1582" t="s">
        <v>37</v>
      </c>
      <c r="R1582" t="str" cm="1">
        <f t="array" ref="R1582">_xlfn.IFS(B1582&lt;31,"Young-Adult",B1582&lt;41,"Adult",B1582&lt;61,"Middle-aged",B1582&gt;=61,"Senior")</f>
        <v>Senior</v>
      </c>
      <c r="S1582" cm="1">
        <f t="array" ref="S1582">_xlfn.IFS(Q1582 ="Fortnightly",14,Q1582="Weekly",7,Q1582="Monthly",30,Q1582="Quarterly",90,Q1582="Bi-Weekly",14,Q1582="Annually",365,Q1582="Every 3 Months",90,TRUE,"NOT FOUND")</f>
        <v>365</v>
      </c>
    </row>
    <row r="1583" spans="1:19" x14ac:dyDescent="0.35">
      <c r="A1583">
        <v>1582</v>
      </c>
      <c r="B1583">
        <v>69</v>
      </c>
      <c r="C1583" t="s">
        <v>7</v>
      </c>
      <c r="D1583" t="s">
        <v>94</v>
      </c>
      <c r="E1583" t="s">
        <v>55</v>
      </c>
      <c r="F1583">
        <v>77</v>
      </c>
      <c r="G1583" t="s">
        <v>111</v>
      </c>
      <c r="H1583" t="s">
        <v>11</v>
      </c>
      <c r="I1583" t="s">
        <v>73</v>
      </c>
      <c r="J1583" t="s">
        <v>45</v>
      </c>
      <c r="K1583">
        <v>4.2</v>
      </c>
      <c r="L1583" t="s">
        <v>140</v>
      </c>
      <c r="M1583" t="s">
        <v>26</v>
      </c>
      <c r="N1583" t="s">
        <v>14</v>
      </c>
      <c r="O1583">
        <v>46</v>
      </c>
      <c r="P1583" t="s">
        <v>21</v>
      </c>
      <c r="Q1583" t="s">
        <v>46</v>
      </c>
      <c r="R1583" t="str" cm="1">
        <f t="array" ref="R1583">_xlfn.IFS(B1583&lt;31,"Young-Adult",B1583&lt;41,"Adult",B1583&lt;61,"Middle-aged",B1583&gt;=61,"Senior")</f>
        <v>Senior</v>
      </c>
      <c r="S1583" cm="1">
        <f t="array" ref="S1583">_xlfn.IFS(Q1583 ="Fortnightly",14,Q1583="Weekly",7,Q1583="Monthly",30,Q1583="Quarterly",90,Q1583="Bi-Weekly",14,Q1583="Annually",365,Q1583="Every 3 Months",90,TRUE,"NOT FOUND")</f>
        <v>90</v>
      </c>
    </row>
    <row r="1584" spans="1:19" x14ac:dyDescent="0.35">
      <c r="A1584">
        <v>1583</v>
      </c>
      <c r="B1584">
        <v>28</v>
      </c>
      <c r="C1584" t="s">
        <v>7</v>
      </c>
      <c r="D1584" t="s">
        <v>121</v>
      </c>
      <c r="E1584" t="s">
        <v>55</v>
      </c>
      <c r="F1584">
        <v>41</v>
      </c>
      <c r="G1584" t="s">
        <v>65</v>
      </c>
      <c r="H1584" t="s">
        <v>11</v>
      </c>
      <c r="I1584" t="s">
        <v>96</v>
      </c>
      <c r="J1584" t="s">
        <v>25</v>
      </c>
      <c r="K1584">
        <v>2.5</v>
      </c>
      <c r="L1584" t="s">
        <v>140</v>
      </c>
      <c r="M1584" t="s">
        <v>33</v>
      </c>
      <c r="N1584" t="s">
        <v>14</v>
      </c>
      <c r="O1584">
        <v>39</v>
      </c>
      <c r="P1584" t="s">
        <v>21</v>
      </c>
      <c r="Q1584" t="s">
        <v>76</v>
      </c>
      <c r="R1584" t="str" cm="1">
        <f t="array" ref="R1584">_xlfn.IFS(B1584&lt;31,"Young-Adult",B1584&lt;41,"Adult",B1584&lt;61,"Middle-aged",B1584&gt;=61,"Senior")</f>
        <v>Young-Adult</v>
      </c>
      <c r="S1584" cm="1">
        <f t="array" ref="S1584">_xlfn.IFS(Q1584 ="Fortnightly",14,Q1584="Weekly",7,Q1584="Monthly",30,Q1584="Quarterly",90,Q1584="Bi-Weekly",14,Q1584="Annually",365,Q1584="Every 3 Months",90,TRUE,"NOT FOUND")</f>
        <v>30</v>
      </c>
    </row>
    <row r="1585" spans="1:19" x14ac:dyDescent="0.35">
      <c r="A1585">
        <v>1584</v>
      </c>
      <c r="B1585">
        <v>37</v>
      </c>
      <c r="C1585" t="s">
        <v>7</v>
      </c>
      <c r="D1585" t="s">
        <v>107</v>
      </c>
      <c r="E1585" t="s">
        <v>55</v>
      </c>
      <c r="F1585">
        <v>92</v>
      </c>
      <c r="G1585" t="s">
        <v>116</v>
      </c>
      <c r="H1585" t="s">
        <v>80</v>
      </c>
      <c r="I1585" t="s">
        <v>122</v>
      </c>
      <c r="J1585" t="s">
        <v>41</v>
      </c>
      <c r="K1585">
        <v>4.3</v>
      </c>
      <c r="L1585" t="s">
        <v>140</v>
      </c>
      <c r="M1585" t="s">
        <v>33</v>
      </c>
      <c r="N1585" t="s">
        <v>14</v>
      </c>
      <c r="O1585">
        <v>8</v>
      </c>
      <c r="P1585" t="s">
        <v>16</v>
      </c>
      <c r="Q1585" t="s">
        <v>37</v>
      </c>
      <c r="R1585" t="str" cm="1">
        <f t="array" ref="R1585">_xlfn.IFS(B1585&lt;31,"Young-Adult",B1585&lt;41,"Adult",B1585&lt;61,"Middle-aged",B1585&gt;=61,"Senior")</f>
        <v>Adult</v>
      </c>
      <c r="S1585" cm="1">
        <f t="array" ref="S1585">_xlfn.IFS(Q1585 ="Fortnightly",14,Q1585="Weekly",7,Q1585="Monthly",30,Q1585="Quarterly",90,Q1585="Bi-Weekly",14,Q1585="Annually",365,Q1585="Every 3 Months",90,TRUE,"NOT FOUND")</f>
        <v>365</v>
      </c>
    </row>
    <row r="1586" spans="1:19" x14ac:dyDescent="0.35">
      <c r="A1586">
        <v>1585</v>
      </c>
      <c r="B1586">
        <v>41</v>
      </c>
      <c r="C1586" t="s">
        <v>7</v>
      </c>
      <c r="D1586" t="s">
        <v>8</v>
      </c>
      <c r="E1586" t="s">
        <v>9</v>
      </c>
      <c r="F1586">
        <v>95</v>
      </c>
      <c r="G1586" t="s">
        <v>65</v>
      </c>
      <c r="H1586" t="s">
        <v>24</v>
      </c>
      <c r="I1586" t="s">
        <v>53</v>
      </c>
      <c r="J1586" t="s">
        <v>25</v>
      </c>
      <c r="K1586">
        <v>3.1</v>
      </c>
      <c r="L1586" t="s">
        <v>140</v>
      </c>
      <c r="M1586" t="s">
        <v>62</v>
      </c>
      <c r="N1586" t="s">
        <v>14</v>
      </c>
      <c r="O1586">
        <v>46</v>
      </c>
      <c r="P1586" t="s">
        <v>27</v>
      </c>
      <c r="Q1586" t="s">
        <v>46</v>
      </c>
      <c r="R1586" t="str" cm="1">
        <f t="array" ref="R1586">_xlfn.IFS(B1586&lt;31,"Young-Adult",B1586&lt;41,"Adult",B1586&lt;61,"Middle-aged",B1586&gt;=61,"Senior")</f>
        <v>Middle-aged</v>
      </c>
      <c r="S1586" cm="1">
        <f t="array" ref="S1586">_xlfn.IFS(Q1586 ="Fortnightly",14,Q1586="Weekly",7,Q1586="Monthly",30,Q1586="Quarterly",90,Q1586="Bi-Weekly",14,Q1586="Annually",365,Q1586="Every 3 Months",90,TRUE,"NOT FOUND")</f>
        <v>90</v>
      </c>
    </row>
    <row r="1587" spans="1:19" x14ac:dyDescent="0.35">
      <c r="A1587">
        <v>1586</v>
      </c>
      <c r="B1587">
        <v>37</v>
      </c>
      <c r="C1587" t="s">
        <v>7</v>
      </c>
      <c r="D1587" t="s">
        <v>18</v>
      </c>
      <c r="E1587" t="s">
        <v>9</v>
      </c>
      <c r="F1587">
        <v>25</v>
      </c>
      <c r="G1587" t="s">
        <v>78</v>
      </c>
      <c r="H1587" t="s">
        <v>32</v>
      </c>
      <c r="I1587" t="s">
        <v>49</v>
      </c>
      <c r="J1587" t="s">
        <v>45</v>
      </c>
      <c r="K1587">
        <v>3</v>
      </c>
      <c r="L1587" t="s">
        <v>140</v>
      </c>
      <c r="M1587" t="s">
        <v>33</v>
      </c>
      <c r="N1587" t="s">
        <v>14</v>
      </c>
      <c r="O1587">
        <v>40</v>
      </c>
      <c r="P1587" t="s">
        <v>74</v>
      </c>
      <c r="Q1587" t="s">
        <v>17</v>
      </c>
      <c r="R1587" t="str" cm="1">
        <f t="array" ref="R1587">_xlfn.IFS(B1587&lt;31,"Young-Adult",B1587&lt;41,"Adult",B1587&lt;61,"Middle-aged",B1587&gt;=61,"Senior")</f>
        <v>Adult</v>
      </c>
      <c r="S1587" cm="1">
        <f t="array" ref="S1587">_xlfn.IFS(Q1587 ="Fortnightly",14,Q1587="Weekly",7,Q1587="Monthly",30,Q1587="Quarterly",90,Q1587="Bi-Weekly",14,Q1587="Annually",365,Q1587="Every 3 Months",90,TRUE,"NOT FOUND")</f>
        <v>14</v>
      </c>
    </row>
    <row r="1588" spans="1:19" x14ac:dyDescent="0.35">
      <c r="A1588">
        <v>1587</v>
      </c>
      <c r="B1588">
        <v>25</v>
      </c>
      <c r="C1588" t="s">
        <v>7</v>
      </c>
      <c r="D1588" t="s">
        <v>125</v>
      </c>
      <c r="E1588" t="s">
        <v>30</v>
      </c>
      <c r="F1588">
        <v>77</v>
      </c>
      <c r="G1588" t="s">
        <v>89</v>
      </c>
      <c r="H1588" t="s">
        <v>32</v>
      </c>
      <c r="I1588" t="s">
        <v>61</v>
      </c>
      <c r="J1588" t="s">
        <v>45</v>
      </c>
      <c r="K1588">
        <v>4</v>
      </c>
      <c r="L1588" t="s">
        <v>140</v>
      </c>
      <c r="M1588" t="s">
        <v>15</v>
      </c>
      <c r="N1588" t="s">
        <v>14</v>
      </c>
      <c r="O1588">
        <v>21</v>
      </c>
      <c r="P1588" t="s">
        <v>63</v>
      </c>
      <c r="Q1588" t="s">
        <v>28</v>
      </c>
      <c r="R1588" t="str" cm="1">
        <f t="array" ref="R1588">_xlfn.IFS(B1588&lt;31,"Young-Adult",B1588&lt;41,"Adult",B1588&lt;61,"Middle-aged",B1588&gt;=61,"Senior")</f>
        <v>Young-Adult</v>
      </c>
      <c r="S1588" cm="1">
        <f t="array" ref="S1588">_xlfn.IFS(Q1588 ="Fortnightly",14,Q1588="Weekly",7,Q1588="Monthly",30,Q1588="Quarterly",90,Q1588="Bi-Weekly",14,Q1588="Annually",365,Q1588="Every 3 Months",90,TRUE,"NOT FOUND")</f>
        <v>7</v>
      </c>
    </row>
    <row r="1589" spans="1:19" x14ac:dyDescent="0.35">
      <c r="A1589">
        <v>1588</v>
      </c>
      <c r="B1589">
        <v>41</v>
      </c>
      <c r="C1589" t="s">
        <v>7</v>
      </c>
      <c r="D1589" t="s">
        <v>113</v>
      </c>
      <c r="E1589" t="s">
        <v>9</v>
      </c>
      <c r="F1589">
        <v>99</v>
      </c>
      <c r="G1589" t="s">
        <v>78</v>
      </c>
      <c r="H1589" t="s">
        <v>32</v>
      </c>
      <c r="I1589" t="s">
        <v>106</v>
      </c>
      <c r="J1589" t="s">
        <v>41</v>
      </c>
      <c r="K1589">
        <v>3.5</v>
      </c>
      <c r="L1589" t="s">
        <v>140</v>
      </c>
      <c r="M1589" t="s">
        <v>26</v>
      </c>
      <c r="N1589" t="s">
        <v>14</v>
      </c>
      <c r="O1589">
        <v>33</v>
      </c>
      <c r="P1589" t="s">
        <v>27</v>
      </c>
      <c r="Q1589" t="s">
        <v>17</v>
      </c>
      <c r="R1589" t="str" cm="1">
        <f t="array" ref="R1589">_xlfn.IFS(B1589&lt;31,"Young-Adult",B1589&lt;41,"Adult",B1589&lt;61,"Middle-aged",B1589&gt;=61,"Senior")</f>
        <v>Middle-aged</v>
      </c>
      <c r="S1589" cm="1">
        <f t="array" ref="S1589">_xlfn.IFS(Q1589 ="Fortnightly",14,Q1589="Weekly",7,Q1589="Monthly",30,Q1589="Quarterly",90,Q1589="Bi-Weekly",14,Q1589="Annually",365,Q1589="Every 3 Months",90,TRUE,"NOT FOUND")</f>
        <v>14</v>
      </c>
    </row>
    <row r="1590" spans="1:19" x14ac:dyDescent="0.35">
      <c r="A1590">
        <v>1589</v>
      </c>
      <c r="B1590">
        <v>48</v>
      </c>
      <c r="C1590" t="s">
        <v>7</v>
      </c>
      <c r="D1590" t="s">
        <v>121</v>
      </c>
      <c r="E1590" t="s">
        <v>55</v>
      </c>
      <c r="F1590">
        <v>24</v>
      </c>
      <c r="G1590" t="s">
        <v>117</v>
      </c>
      <c r="H1590" t="s">
        <v>11</v>
      </c>
      <c r="I1590" t="s">
        <v>97</v>
      </c>
      <c r="J1590" t="s">
        <v>13</v>
      </c>
      <c r="K1590">
        <v>3.2</v>
      </c>
      <c r="L1590" t="s">
        <v>140</v>
      </c>
      <c r="M1590" t="s">
        <v>33</v>
      </c>
      <c r="N1590" t="s">
        <v>14</v>
      </c>
      <c r="O1590">
        <v>3</v>
      </c>
      <c r="P1590" t="s">
        <v>16</v>
      </c>
      <c r="Q1590" t="s">
        <v>76</v>
      </c>
      <c r="R1590" t="str" cm="1">
        <f t="array" ref="R1590">_xlfn.IFS(B1590&lt;31,"Young-Adult",B1590&lt;41,"Adult",B1590&lt;61,"Middle-aged",B1590&gt;=61,"Senior")</f>
        <v>Middle-aged</v>
      </c>
      <c r="S1590" cm="1">
        <f t="array" ref="S1590">_xlfn.IFS(Q1590 ="Fortnightly",14,Q1590="Weekly",7,Q1590="Monthly",30,Q1590="Quarterly",90,Q1590="Bi-Weekly",14,Q1590="Annually",365,Q1590="Every 3 Months",90,TRUE,"NOT FOUND")</f>
        <v>30</v>
      </c>
    </row>
    <row r="1591" spans="1:19" x14ac:dyDescent="0.35">
      <c r="A1591">
        <v>1590</v>
      </c>
      <c r="B1591">
        <v>42</v>
      </c>
      <c r="C1591" t="s">
        <v>7</v>
      </c>
      <c r="D1591" t="s">
        <v>38</v>
      </c>
      <c r="E1591" t="s">
        <v>30</v>
      </c>
      <c r="F1591">
        <v>72</v>
      </c>
      <c r="G1591" t="s">
        <v>111</v>
      </c>
      <c r="H1591" t="s">
        <v>32</v>
      </c>
      <c r="I1591" t="s">
        <v>53</v>
      </c>
      <c r="J1591" t="s">
        <v>41</v>
      </c>
      <c r="K1591">
        <v>2.7</v>
      </c>
      <c r="L1591" t="s">
        <v>140</v>
      </c>
      <c r="M1591" t="s">
        <v>62</v>
      </c>
      <c r="N1591" t="s">
        <v>14</v>
      </c>
      <c r="O1591">
        <v>48</v>
      </c>
      <c r="P1591" t="s">
        <v>21</v>
      </c>
      <c r="Q1591" t="s">
        <v>28</v>
      </c>
      <c r="R1591" t="str" cm="1">
        <f t="array" ref="R1591">_xlfn.IFS(B1591&lt;31,"Young-Adult",B1591&lt;41,"Adult",B1591&lt;61,"Middle-aged",B1591&gt;=61,"Senior")</f>
        <v>Middle-aged</v>
      </c>
      <c r="S1591" cm="1">
        <f t="array" ref="S1591">_xlfn.IFS(Q1591 ="Fortnightly",14,Q1591="Weekly",7,Q1591="Monthly",30,Q1591="Quarterly",90,Q1591="Bi-Weekly",14,Q1591="Annually",365,Q1591="Every 3 Months",90,TRUE,"NOT FOUND")</f>
        <v>7</v>
      </c>
    </row>
    <row r="1592" spans="1:19" x14ac:dyDescent="0.35">
      <c r="A1592">
        <v>1591</v>
      </c>
      <c r="B1592">
        <v>54</v>
      </c>
      <c r="C1592" t="s">
        <v>7</v>
      </c>
      <c r="D1592" t="s">
        <v>22</v>
      </c>
      <c r="E1592" t="s">
        <v>9</v>
      </c>
      <c r="F1592">
        <v>80</v>
      </c>
      <c r="G1592" t="s">
        <v>138</v>
      </c>
      <c r="H1592" t="s">
        <v>24</v>
      </c>
      <c r="I1592" t="s">
        <v>57</v>
      </c>
      <c r="J1592" t="s">
        <v>13</v>
      </c>
      <c r="K1592">
        <v>3</v>
      </c>
      <c r="L1592" t="s">
        <v>140</v>
      </c>
      <c r="M1592" t="s">
        <v>26</v>
      </c>
      <c r="N1592" t="s">
        <v>14</v>
      </c>
      <c r="O1592">
        <v>8</v>
      </c>
      <c r="P1592" t="s">
        <v>34</v>
      </c>
      <c r="Q1592" t="s">
        <v>37</v>
      </c>
      <c r="R1592" t="str" cm="1">
        <f t="array" ref="R1592">_xlfn.IFS(B1592&lt;31,"Young-Adult",B1592&lt;41,"Adult",B1592&lt;61,"Middle-aged",B1592&gt;=61,"Senior")</f>
        <v>Middle-aged</v>
      </c>
      <c r="S1592" cm="1">
        <f t="array" ref="S1592">_xlfn.IFS(Q1592 ="Fortnightly",14,Q1592="Weekly",7,Q1592="Monthly",30,Q1592="Quarterly",90,Q1592="Bi-Weekly",14,Q1592="Annually",365,Q1592="Every 3 Months",90,TRUE,"NOT FOUND")</f>
        <v>365</v>
      </c>
    </row>
    <row r="1593" spans="1:19" x14ac:dyDescent="0.35">
      <c r="A1593">
        <v>1592</v>
      </c>
      <c r="B1593">
        <v>18</v>
      </c>
      <c r="C1593" t="s">
        <v>7</v>
      </c>
      <c r="D1593" t="s">
        <v>75</v>
      </c>
      <c r="E1593" t="s">
        <v>9</v>
      </c>
      <c r="F1593">
        <v>100</v>
      </c>
      <c r="G1593" t="s">
        <v>135</v>
      </c>
      <c r="H1593" t="s">
        <v>11</v>
      </c>
      <c r="I1593" t="s">
        <v>68</v>
      </c>
      <c r="J1593" t="s">
        <v>13</v>
      </c>
      <c r="K1593">
        <v>2.9</v>
      </c>
      <c r="L1593" t="s">
        <v>140</v>
      </c>
      <c r="M1593" t="s">
        <v>33</v>
      </c>
      <c r="N1593" t="s">
        <v>14</v>
      </c>
      <c r="O1593">
        <v>24</v>
      </c>
      <c r="P1593" t="s">
        <v>34</v>
      </c>
      <c r="Q1593" t="s">
        <v>37</v>
      </c>
      <c r="R1593" t="str" cm="1">
        <f t="array" ref="R1593">_xlfn.IFS(B1593&lt;31,"Young-Adult",B1593&lt;41,"Adult",B1593&lt;61,"Middle-aged",B1593&gt;=61,"Senior")</f>
        <v>Young-Adult</v>
      </c>
      <c r="S1593" cm="1">
        <f t="array" ref="S1593">_xlfn.IFS(Q1593 ="Fortnightly",14,Q1593="Weekly",7,Q1593="Monthly",30,Q1593="Quarterly",90,Q1593="Bi-Weekly",14,Q1593="Annually",365,Q1593="Every 3 Months",90,TRUE,"NOT FOUND")</f>
        <v>365</v>
      </c>
    </row>
    <row r="1594" spans="1:19" x14ac:dyDescent="0.35">
      <c r="A1594">
        <v>1593</v>
      </c>
      <c r="B1594">
        <v>56</v>
      </c>
      <c r="C1594" t="s">
        <v>7</v>
      </c>
      <c r="D1594" t="s">
        <v>59</v>
      </c>
      <c r="E1594" t="s">
        <v>30</v>
      </c>
      <c r="F1594">
        <v>83</v>
      </c>
      <c r="G1594" t="s">
        <v>134</v>
      </c>
      <c r="H1594" t="s">
        <v>32</v>
      </c>
      <c r="I1594" t="s">
        <v>97</v>
      </c>
      <c r="J1594" t="s">
        <v>41</v>
      </c>
      <c r="K1594">
        <v>3.3</v>
      </c>
      <c r="L1594" t="s">
        <v>140</v>
      </c>
      <c r="M1594" t="s">
        <v>26</v>
      </c>
      <c r="N1594" t="s">
        <v>14</v>
      </c>
      <c r="O1594">
        <v>10</v>
      </c>
      <c r="P1594" t="s">
        <v>63</v>
      </c>
      <c r="Q1594" t="s">
        <v>85</v>
      </c>
      <c r="R1594" t="str" cm="1">
        <f t="array" ref="R1594">_xlfn.IFS(B1594&lt;31,"Young-Adult",B1594&lt;41,"Adult",B1594&lt;61,"Middle-aged",B1594&gt;=61,"Senior")</f>
        <v>Middle-aged</v>
      </c>
      <c r="S1594" cm="1">
        <f t="array" ref="S1594">_xlfn.IFS(Q1594 ="Fortnightly",14,Q1594="Weekly",7,Q1594="Monthly",30,Q1594="Quarterly",90,Q1594="Bi-Weekly",14,Q1594="Annually",365,Q1594="Every 3 Months",90,TRUE,"NOT FOUND")</f>
        <v>90</v>
      </c>
    </row>
    <row r="1595" spans="1:19" x14ac:dyDescent="0.35">
      <c r="A1595">
        <v>1594</v>
      </c>
      <c r="B1595">
        <v>61</v>
      </c>
      <c r="C1595" t="s">
        <v>7</v>
      </c>
      <c r="D1595" t="s">
        <v>69</v>
      </c>
      <c r="E1595" t="s">
        <v>9</v>
      </c>
      <c r="F1595">
        <v>95</v>
      </c>
      <c r="G1595" t="s">
        <v>116</v>
      </c>
      <c r="H1595" t="s">
        <v>32</v>
      </c>
      <c r="I1595" t="s">
        <v>82</v>
      </c>
      <c r="J1595" t="s">
        <v>25</v>
      </c>
      <c r="K1595">
        <v>4.9000000000000004</v>
      </c>
      <c r="L1595" t="s">
        <v>140</v>
      </c>
      <c r="M1595" t="s">
        <v>58</v>
      </c>
      <c r="N1595" t="s">
        <v>14</v>
      </c>
      <c r="O1595">
        <v>25</v>
      </c>
      <c r="P1595" t="s">
        <v>63</v>
      </c>
      <c r="Q1595" t="s">
        <v>76</v>
      </c>
      <c r="R1595" t="str" cm="1">
        <f t="array" ref="R1595">_xlfn.IFS(B1595&lt;31,"Young-Adult",B1595&lt;41,"Adult",B1595&lt;61,"Middle-aged",B1595&gt;=61,"Senior")</f>
        <v>Senior</v>
      </c>
      <c r="S1595" cm="1">
        <f t="array" ref="S1595">_xlfn.IFS(Q1595 ="Fortnightly",14,Q1595="Weekly",7,Q1595="Monthly",30,Q1595="Quarterly",90,Q1595="Bi-Weekly",14,Q1595="Annually",365,Q1595="Every 3 Months",90,TRUE,"NOT FOUND")</f>
        <v>30</v>
      </c>
    </row>
    <row r="1596" spans="1:19" x14ac:dyDescent="0.35">
      <c r="A1596">
        <v>1595</v>
      </c>
      <c r="B1596">
        <v>40</v>
      </c>
      <c r="C1596" t="s">
        <v>7</v>
      </c>
      <c r="D1596" t="s">
        <v>54</v>
      </c>
      <c r="E1596" t="s">
        <v>55</v>
      </c>
      <c r="F1596">
        <v>41</v>
      </c>
      <c r="G1596" t="s">
        <v>100</v>
      </c>
      <c r="H1596" t="s">
        <v>80</v>
      </c>
      <c r="I1596" t="s">
        <v>49</v>
      </c>
      <c r="J1596" t="s">
        <v>41</v>
      </c>
      <c r="K1596">
        <v>3.7</v>
      </c>
      <c r="L1596" t="s">
        <v>140</v>
      </c>
      <c r="M1596" t="s">
        <v>62</v>
      </c>
      <c r="N1596" t="s">
        <v>14</v>
      </c>
      <c r="O1596">
        <v>3</v>
      </c>
      <c r="P1596" t="s">
        <v>21</v>
      </c>
      <c r="Q1596" t="s">
        <v>17</v>
      </c>
      <c r="R1596" t="str" cm="1">
        <f t="array" ref="R1596">_xlfn.IFS(B1596&lt;31,"Young-Adult",B1596&lt;41,"Adult",B1596&lt;61,"Middle-aged",B1596&gt;=61,"Senior")</f>
        <v>Adult</v>
      </c>
      <c r="S1596" cm="1">
        <f t="array" ref="S1596">_xlfn.IFS(Q1596 ="Fortnightly",14,Q1596="Weekly",7,Q1596="Monthly",30,Q1596="Quarterly",90,Q1596="Bi-Weekly",14,Q1596="Annually",365,Q1596="Every 3 Months",90,TRUE,"NOT FOUND")</f>
        <v>14</v>
      </c>
    </row>
    <row r="1597" spans="1:19" x14ac:dyDescent="0.35">
      <c r="A1597">
        <v>1596</v>
      </c>
      <c r="B1597">
        <v>34</v>
      </c>
      <c r="C1597" t="s">
        <v>7</v>
      </c>
      <c r="D1597" t="s">
        <v>120</v>
      </c>
      <c r="E1597" t="s">
        <v>55</v>
      </c>
      <c r="F1597">
        <v>35</v>
      </c>
      <c r="G1597" t="s">
        <v>138</v>
      </c>
      <c r="H1597" t="s">
        <v>24</v>
      </c>
      <c r="I1597" t="s">
        <v>124</v>
      </c>
      <c r="J1597" t="s">
        <v>25</v>
      </c>
      <c r="K1597">
        <v>3.5</v>
      </c>
      <c r="L1597" t="s">
        <v>140</v>
      </c>
      <c r="M1597" t="s">
        <v>42</v>
      </c>
      <c r="N1597" t="s">
        <v>14</v>
      </c>
      <c r="O1597">
        <v>45</v>
      </c>
      <c r="P1597" t="s">
        <v>74</v>
      </c>
      <c r="Q1597" t="s">
        <v>17</v>
      </c>
      <c r="R1597" t="str" cm="1">
        <f t="array" ref="R1597">_xlfn.IFS(B1597&lt;31,"Young-Adult",B1597&lt;41,"Adult",B1597&lt;61,"Middle-aged",B1597&gt;=61,"Senior")</f>
        <v>Adult</v>
      </c>
      <c r="S1597" cm="1">
        <f t="array" ref="S1597">_xlfn.IFS(Q1597 ="Fortnightly",14,Q1597="Weekly",7,Q1597="Monthly",30,Q1597="Quarterly",90,Q1597="Bi-Weekly",14,Q1597="Annually",365,Q1597="Every 3 Months",90,TRUE,"NOT FOUND")</f>
        <v>14</v>
      </c>
    </row>
    <row r="1598" spans="1:19" x14ac:dyDescent="0.35">
      <c r="A1598">
        <v>1597</v>
      </c>
      <c r="B1598">
        <v>42</v>
      </c>
      <c r="C1598" t="s">
        <v>7</v>
      </c>
      <c r="D1598" t="s">
        <v>94</v>
      </c>
      <c r="E1598" t="s">
        <v>55</v>
      </c>
      <c r="F1598">
        <v>30</v>
      </c>
      <c r="G1598" t="s">
        <v>79</v>
      </c>
      <c r="H1598" t="s">
        <v>24</v>
      </c>
      <c r="I1598" t="s">
        <v>57</v>
      </c>
      <c r="J1598" t="s">
        <v>45</v>
      </c>
      <c r="K1598">
        <v>4.7</v>
      </c>
      <c r="L1598" t="s">
        <v>140</v>
      </c>
      <c r="M1598" t="s">
        <v>62</v>
      </c>
      <c r="N1598" t="s">
        <v>14</v>
      </c>
      <c r="O1598">
        <v>15</v>
      </c>
      <c r="P1598" t="s">
        <v>74</v>
      </c>
      <c r="Q1598" t="s">
        <v>76</v>
      </c>
      <c r="R1598" t="str" cm="1">
        <f t="array" ref="R1598">_xlfn.IFS(B1598&lt;31,"Young-Adult",B1598&lt;41,"Adult",B1598&lt;61,"Middle-aged",B1598&gt;=61,"Senior")</f>
        <v>Middle-aged</v>
      </c>
      <c r="S1598" cm="1">
        <f t="array" ref="S1598">_xlfn.IFS(Q1598 ="Fortnightly",14,Q1598="Weekly",7,Q1598="Monthly",30,Q1598="Quarterly",90,Q1598="Bi-Weekly",14,Q1598="Annually",365,Q1598="Every 3 Months",90,TRUE,"NOT FOUND")</f>
        <v>30</v>
      </c>
    </row>
    <row r="1599" spans="1:19" x14ac:dyDescent="0.35">
      <c r="A1599">
        <v>1598</v>
      </c>
      <c r="B1599">
        <v>43</v>
      </c>
      <c r="C1599" t="s">
        <v>7</v>
      </c>
      <c r="D1599" t="s">
        <v>112</v>
      </c>
      <c r="E1599" t="s">
        <v>55</v>
      </c>
      <c r="F1599">
        <v>21</v>
      </c>
      <c r="G1599" t="s">
        <v>79</v>
      </c>
      <c r="H1599" t="s">
        <v>80</v>
      </c>
      <c r="I1599" t="s">
        <v>20</v>
      </c>
      <c r="J1599" t="s">
        <v>13</v>
      </c>
      <c r="K1599">
        <v>2.6</v>
      </c>
      <c r="L1599" t="s">
        <v>140</v>
      </c>
      <c r="M1599" t="s">
        <v>62</v>
      </c>
      <c r="N1599" t="s">
        <v>14</v>
      </c>
      <c r="O1599">
        <v>34</v>
      </c>
      <c r="P1599" t="s">
        <v>63</v>
      </c>
      <c r="Q1599" t="s">
        <v>46</v>
      </c>
      <c r="R1599" t="str" cm="1">
        <f t="array" ref="R1599">_xlfn.IFS(B1599&lt;31,"Young-Adult",B1599&lt;41,"Adult",B1599&lt;61,"Middle-aged",B1599&gt;=61,"Senior")</f>
        <v>Middle-aged</v>
      </c>
      <c r="S1599" cm="1">
        <f t="array" ref="S1599">_xlfn.IFS(Q1599 ="Fortnightly",14,Q1599="Weekly",7,Q1599="Monthly",30,Q1599="Quarterly",90,Q1599="Bi-Weekly",14,Q1599="Annually",365,Q1599="Every 3 Months",90,TRUE,"NOT FOUND")</f>
        <v>90</v>
      </c>
    </row>
    <row r="1600" spans="1:19" x14ac:dyDescent="0.35">
      <c r="A1600">
        <v>1599</v>
      </c>
      <c r="B1600">
        <v>47</v>
      </c>
      <c r="C1600" t="s">
        <v>7</v>
      </c>
      <c r="D1600" t="s">
        <v>94</v>
      </c>
      <c r="E1600" t="s">
        <v>55</v>
      </c>
      <c r="F1600">
        <v>85</v>
      </c>
      <c r="G1600" t="s">
        <v>87</v>
      </c>
      <c r="H1600" t="s">
        <v>32</v>
      </c>
      <c r="I1600" t="s">
        <v>73</v>
      </c>
      <c r="J1600" t="s">
        <v>45</v>
      </c>
      <c r="K1600">
        <v>4.0999999999999996</v>
      </c>
      <c r="L1600" t="s">
        <v>140</v>
      </c>
      <c r="M1600" t="s">
        <v>15</v>
      </c>
      <c r="N1600" t="s">
        <v>14</v>
      </c>
      <c r="O1600">
        <v>21</v>
      </c>
      <c r="P1600" t="s">
        <v>16</v>
      </c>
      <c r="Q1600" t="s">
        <v>64</v>
      </c>
      <c r="R1600" t="str" cm="1">
        <f t="array" ref="R1600">_xlfn.IFS(B1600&lt;31,"Young-Adult",B1600&lt;41,"Adult",B1600&lt;61,"Middle-aged",B1600&gt;=61,"Senior")</f>
        <v>Middle-aged</v>
      </c>
      <c r="S1600" cm="1">
        <f t="array" ref="S1600">_xlfn.IFS(Q1600 ="Fortnightly",14,Q1600="Weekly",7,Q1600="Monthly",30,Q1600="Quarterly",90,Q1600="Bi-Weekly",14,Q1600="Annually",365,Q1600="Every 3 Months",90,TRUE,"NOT FOUND")</f>
        <v>14</v>
      </c>
    </row>
    <row r="1601" spans="1:19" x14ac:dyDescent="0.35">
      <c r="A1601">
        <v>1600</v>
      </c>
      <c r="B1601">
        <v>48</v>
      </c>
      <c r="C1601" t="s">
        <v>7</v>
      </c>
      <c r="D1601" t="s">
        <v>43</v>
      </c>
      <c r="E1601" t="s">
        <v>9</v>
      </c>
      <c r="F1601">
        <v>54</v>
      </c>
      <c r="G1601" t="s">
        <v>67</v>
      </c>
      <c r="H1601" t="s">
        <v>32</v>
      </c>
      <c r="I1601" t="s">
        <v>109</v>
      </c>
      <c r="J1601" t="s">
        <v>13</v>
      </c>
      <c r="K1601">
        <v>2.8</v>
      </c>
      <c r="L1601" t="s">
        <v>140</v>
      </c>
      <c r="M1601" t="s">
        <v>58</v>
      </c>
      <c r="N1601" t="s">
        <v>14</v>
      </c>
      <c r="O1601">
        <v>22</v>
      </c>
      <c r="P1601" t="s">
        <v>74</v>
      </c>
      <c r="Q1601" t="s">
        <v>64</v>
      </c>
      <c r="R1601" t="str" cm="1">
        <f t="array" ref="R1601">_xlfn.IFS(B1601&lt;31,"Young-Adult",B1601&lt;41,"Adult",B1601&lt;61,"Middle-aged",B1601&gt;=61,"Senior")</f>
        <v>Middle-aged</v>
      </c>
      <c r="S1601" cm="1">
        <f t="array" ref="S1601">_xlfn.IFS(Q1601 ="Fortnightly",14,Q1601="Weekly",7,Q1601="Monthly",30,Q1601="Quarterly",90,Q1601="Bi-Weekly",14,Q1601="Annually",365,Q1601="Every 3 Months",90,TRUE,"NOT FOUND")</f>
        <v>14</v>
      </c>
    </row>
    <row r="1602" spans="1:19" x14ac:dyDescent="0.35">
      <c r="A1602">
        <v>1601</v>
      </c>
      <c r="B1602">
        <v>20</v>
      </c>
      <c r="C1602" t="s">
        <v>7</v>
      </c>
      <c r="D1602" t="s">
        <v>125</v>
      </c>
      <c r="E1602" t="s">
        <v>30</v>
      </c>
      <c r="F1602">
        <v>26</v>
      </c>
      <c r="G1602" t="s">
        <v>44</v>
      </c>
      <c r="H1602" t="s">
        <v>24</v>
      </c>
      <c r="I1602" t="s">
        <v>122</v>
      </c>
      <c r="J1602" t="s">
        <v>25</v>
      </c>
      <c r="K1602">
        <v>4.7</v>
      </c>
      <c r="L1602" t="s">
        <v>140</v>
      </c>
      <c r="M1602" t="s">
        <v>33</v>
      </c>
      <c r="N1602" t="s">
        <v>14</v>
      </c>
      <c r="O1602">
        <v>24</v>
      </c>
      <c r="P1602" t="s">
        <v>34</v>
      </c>
      <c r="Q1602" t="s">
        <v>28</v>
      </c>
      <c r="R1602" t="str" cm="1">
        <f t="array" ref="R1602">_xlfn.IFS(B1602&lt;31,"Young-Adult",B1602&lt;41,"Adult",B1602&lt;61,"Middle-aged",B1602&gt;=61,"Senior")</f>
        <v>Young-Adult</v>
      </c>
      <c r="S1602" cm="1">
        <f t="array" ref="S1602">_xlfn.IFS(Q1602 ="Fortnightly",14,Q1602="Weekly",7,Q1602="Monthly",30,Q1602="Quarterly",90,Q1602="Bi-Weekly",14,Q1602="Annually",365,Q1602="Every 3 Months",90,TRUE,"NOT FOUND")</f>
        <v>7</v>
      </c>
    </row>
    <row r="1603" spans="1:19" x14ac:dyDescent="0.35">
      <c r="A1603">
        <v>1602</v>
      </c>
      <c r="B1603">
        <v>65</v>
      </c>
      <c r="C1603" t="s">
        <v>7</v>
      </c>
      <c r="D1603" t="s">
        <v>43</v>
      </c>
      <c r="E1603" t="s">
        <v>9</v>
      </c>
      <c r="F1603">
        <v>59</v>
      </c>
      <c r="G1603" t="s">
        <v>104</v>
      </c>
      <c r="H1603" t="s">
        <v>80</v>
      </c>
      <c r="I1603" t="s">
        <v>96</v>
      </c>
      <c r="J1603" t="s">
        <v>25</v>
      </c>
      <c r="K1603">
        <v>2.9</v>
      </c>
      <c r="L1603" t="s">
        <v>140</v>
      </c>
      <c r="M1603" t="s">
        <v>62</v>
      </c>
      <c r="N1603" t="s">
        <v>14</v>
      </c>
      <c r="O1603">
        <v>33</v>
      </c>
      <c r="P1603" t="s">
        <v>27</v>
      </c>
      <c r="Q1603" t="s">
        <v>76</v>
      </c>
      <c r="R1603" t="str" cm="1">
        <f t="array" ref="R1603">_xlfn.IFS(B1603&lt;31,"Young-Adult",B1603&lt;41,"Adult",B1603&lt;61,"Middle-aged",B1603&gt;=61,"Senior")</f>
        <v>Senior</v>
      </c>
      <c r="S1603" cm="1">
        <f t="array" ref="S1603">_xlfn.IFS(Q1603 ="Fortnightly",14,Q1603="Weekly",7,Q1603="Monthly",30,Q1603="Quarterly",90,Q1603="Bi-Weekly",14,Q1603="Annually",365,Q1603="Every 3 Months",90,TRUE,"NOT FOUND")</f>
        <v>30</v>
      </c>
    </row>
    <row r="1604" spans="1:19" x14ac:dyDescent="0.35">
      <c r="A1604">
        <v>1603</v>
      </c>
      <c r="B1604">
        <v>54</v>
      </c>
      <c r="C1604" t="s">
        <v>7</v>
      </c>
      <c r="D1604" t="s">
        <v>77</v>
      </c>
      <c r="E1604" t="s">
        <v>55</v>
      </c>
      <c r="F1604">
        <v>48</v>
      </c>
      <c r="G1604" t="s">
        <v>52</v>
      </c>
      <c r="H1604" t="s">
        <v>24</v>
      </c>
      <c r="I1604" t="s">
        <v>49</v>
      </c>
      <c r="J1604" t="s">
        <v>13</v>
      </c>
      <c r="K1604">
        <v>2.8</v>
      </c>
      <c r="L1604" t="s">
        <v>140</v>
      </c>
      <c r="M1604" t="s">
        <v>26</v>
      </c>
      <c r="N1604" t="s">
        <v>14</v>
      </c>
      <c r="O1604">
        <v>13</v>
      </c>
      <c r="P1604" t="s">
        <v>16</v>
      </c>
      <c r="Q1604" t="s">
        <v>17</v>
      </c>
      <c r="R1604" t="str" cm="1">
        <f t="array" ref="R1604">_xlfn.IFS(B1604&lt;31,"Young-Adult",B1604&lt;41,"Adult",B1604&lt;61,"Middle-aged",B1604&gt;=61,"Senior")</f>
        <v>Middle-aged</v>
      </c>
      <c r="S1604" cm="1">
        <f t="array" ref="S1604">_xlfn.IFS(Q1604 ="Fortnightly",14,Q1604="Weekly",7,Q1604="Monthly",30,Q1604="Quarterly",90,Q1604="Bi-Weekly",14,Q1604="Annually",365,Q1604="Every 3 Months",90,TRUE,"NOT FOUND")</f>
        <v>14</v>
      </c>
    </row>
    <row r="1605" spans="1:19" x14ac:dyDescent="0.35">
      <c r="A1605">
        <v>1604</v>
      </c>
      <c r="B1605">
        <v>23</v>
      </c>
      <c r="C1605" t="s">
        <v>7</v>
      </c>
      <c r="D1605" t="s">
        <v>47</v>
      </c>
      <c r="E1605" t="s">
        <v>9</v>
      </c>
      <c r="F1605">
        <v>98</v>
      </c>
      <c r="G1605" t="s">
        <v>134</v>
      </c>
      <c r="H1605" t="s">
        <v>11</v>
      </c>
      <c r="I1605" t="s">
        <v>82</v>
      </c>
      <c r="J1605" t="s">
        <v>41</v>
      </c>
      <c r="K1605">
        <v>4.3</v>
      </c>
      <c r="L1605" t="s">
        <v>140</v>
      </c>
      <c r="M1605" t="s">
        <v>33</v>
      </c>
      <c r="N1605" t="s">
        <v>14</v>
      </c>
      <c r="O1605">
        <v>17</v>
      </c>
      <c r="P1605" t="s">
        <v>74</v>
      </c>
      <c r="Q1605" t="s">
        <v>64</v>
      </c>
      <c r="R1605" t="str" cm="1">
        <f t="array" ref="R1605">_xlfn.IFS(B1605&lt;31,"Young-Adult",B1605&lt;41,"Adult",B1605&lt;61,"Middle-aged",B1605&gt;=61,"Senior")</f>
        <v>Young-Adult</v>
      </c>
      <c r="S1605" cm="1">
        <f t="array" ref="S1605">_xlfn.IFS(Q1605 ="Fortnightly",14,Q1605="Weekly",7,Q1605="Monthly",30,Q1605="Quarterly",90,Q1605="Bi-Weekly",14,Q1605="Annually",365,Q1605="Every 3 Months",90,TRUE,"NOT FOUND")</f>
        <v>14</v>
      </c>
    </row>
    <row r="1606" spans="1:19" x14ac:dyDescent="0.35">
      <c r="A1606">
        <v>1605</v>
      </c>
      <c r="B1606">
        <v>18</v>
      </c>
      <c r="C1606" t="s">
        <v>7</v>
      </c>
      <c r="D1606" t="s">
        <v>18</v>
      </c>
      <c r="E1606" t="s">
        <v>9</v>
      </c>
      <c r="F1606">
        <v>92</v>
      </c>
      <c r="G1606" t="s">
        <v>19</v>
      </c>
      <c r="H1606" t="s">
        <v>32</v>
      </c>
      <c r="I1606" t="s">
        <v>40</v>
      </c>
      <c r="J1606" t="s">
        <v>41</v>
      </c>
      <c r="K1606">
        <v>4.8</v>
      </c>
      <c r="L1606" t="s">
        <v>140</v>
      </c>
      <c r="M1606" t="s">
        <v>58</v>
      </c>
      <c r="N1606" t="s">
        <v>14</v>
      </c>
      <c r="O1606">
        <v>25</v>
      </c>
      <c r="P1606" t="s">
        <v>27</v>
      </c>
      <c r="Q1606" t="s">
        <v>85</v>
      </c>
      <c r="R1606" t="str" cm="1">
        <f t="array" ref="R1606">_xlfn.IFS(B1606&lt;31,"Young-Adult",B1606&lt;41,"Adult",B1606&lt;61,"Middle-aged",B1606&gt;=61,"Senior")</f>
        <v>Young-Adult</v>
      </c>
      <c r="S1606" cm="1">
        <f t="array" ref="S1606">_xlfn.IFS(Q1606 ="Fortnightly",14,Q1606="Weekly",7,Q1606="Monthly",30,Q1606="Quarterly",90,Q1606="Bi-Weekly",14,Q1606="Annually",365,Q1606="Every 3 Months",90,TRUE,"NOT FOUND")</f>
        <v>90</v>
      </c>
    </row>
    <row r="1607" spans="1:19" x14ac:dyDescent="0.35">
      <c r="A1607">
        <v>1606</v>
      </c>
      <c r="B1607">
        <v>70</v>
      </c>
      <c r="C1607" t="s">
        <v>7</v>
      </c>
      <c r="D1607" t="s">
        <v>121</v>
      </c>
      <c r="E1607" t="s">
        <v>55</v>
      </c>
      <c r="F1607">
        <v>46</v>
      </c>
      <c r="G1607" t="s">
        <v>127</v>
      </c>
      <c r="H1607" t="s">
        <v>32</v>
      </c>
      <c r="I1607" t="s">
        <v>81</v>
      </c>
      <c r="J1607" t="s">
        <v>13</v>
      </c>
      <c r="K1607">
        <v>3.4</v>
      </c>
      <c r="L1607" t="s">
        <v>140</v>
      </c>
      <c r="M1607" t="s">
        <v>33</v>
      </c>
      <c r="N1607" t="s">
        <v>14</v>
      </c>
      <c r="O1607">
        <v>15</v>
      </c>
      <c r="P1607" t="s">
        <v>27</v>
      </c>
      <c r="Q1607" t="s">
        <v>64</v>
      </c>
      <c r="R1607" t="str" cm="1">
        <f t="array" ref="R1607">_xlfn.IFS(B1607&lt;31,"Young-Adult",B1607&lt;41,"Adult",B1607&lt;61,"Middle-aged",B1607&gt;=61,"Senior")</f>
        <v>Senior</v>
      </c>
      <c r="S1607" cm="1">
        <f t="array" ref="S1607">_xlfn.IFS(Q1607 ="Fortnightly",14,Q1607="Weekly",7,Q1607="Monthly",30,Q1607="Quarterly",90,Q1607="Bi-Weekly",14,Q1607="Annually",365,Q1607="Every 3 Months",90,TRUE,"NOT FOUND")</f>
        <v>14</v>
      </c>
    </row>
    <row r="1608" spans="1:19" x14ac:dyDescent="0.35">
      <c r="A1608">
        <v>1607</v>
      </c>
      <c r="B1608">
        <v>55</v>
      </c>
      <c r="C1608" t="s">
        <v>7</v>
      </c>
      <c r="D1608" t="s">
        <v>101</v>
      </c>
      <c r="E1608" t="s">
        <v>9</v>
      </c>
      <c r="F1608">
        <v>21</v>
      </c>
      <c r="G1608" t="s">
        <v>99</v>
      </c>
      <c r="H1608" t="s">
        <v>24</v>
      </c>
      <c r="I1608" t="s">
        <v>40</v>
      </c>
      <c r="J1608" t="s">
        <v>25</v>
      </c>
      <c r="K1608">
        <v>4.3</v>
      </c>
      <c r="L1608" t="s">
        <v>140</v>
      </c>
      <c r="M1608" t="s">
        <v>42</v>
      </c>
      <c r="N1608" t="s">
        <v>14</v>
      </c>
      <c r="O1608">
        <v>4</v>
      </c>
      <c r="P1608" t="s">
        <v>34</v>
      </c>
      <c r="Q1608" t="s">
        <v>17</v>
      </c>
      <c r="R1608" t="str" cm="1">
        <f t="array" ref="R1608">_xlfn.IFS(B1608&lt;31,"Young-Adult",B1608&lt;41,"Adult",B1608&lt;61,"Middle-aged",B1608&gt;=61,"Senior")</f>
        <v>Middle-aged</v>
      </c>
      <c r="S1608" cm="1">
        <f t="array" ref="S1608">_xlfn.IFS(Q1608 ="Fortnightly",14,Q1608="Weekly",7,Q1608="Monthly",30,Q1608="Quarterly",90,Q1608="Bi-Weekly",14,Q1608="Annually",365,Q1608="Every 3 Months",90,TRUE,"NOT FOUND")</f>
        <v>14</v>
      </c>
    </row>
    <row r="1609" spans="1:19" x14ac:dyDescent="0.35">
      <c r="A1609">
        <v>1608</v>
      </c>
      <c r="B1609">
        <v>49</v>
      </c>
      <c r="C1609" t="s">
        <v>7</v>
      </c>
      <c r="D1609" t="s">
        <v>47</v>
      </c>
      <c r="E1609" t="s">
        <v>9</v>
      </c>
      <c r="F1609">
        <v>72</v>
      </c>
      <c r="G1609" t="s">
        <v>117</v>
      </c>
      <c r="H1609" t="s">
        <v>24</v>
      </c>
      <c r="I1609" t="s">
        <v>12</v>
      </c>
      <c r="J1609" t="s">
        <v>45</v>
      </c>
      <c r="K1609">
        <v>2.7</v>
      </c>
      <c r="L1609" t="s">
        <v>140</v>
      </c>
      <c r="M1609" t="s">
        <v>26</v>
      </c>
      <c r="N1609" t="s">
        <v>14</v>
      </c>
      <c r="O1609">
        <v>43</v>
      </c>
      <c r="P1609" t="s">
        <v>74</v>
      </c>
      <c r="Q1609" t="s">
        <v>46</v>
      </c>
      <c r="R1609" t="str" cm="1">
        <f t="array" ref="R1609">_xlfn.IFS(B1609&lt;31,"Young-Adult",B1609&lt;41,"Adult",B1609&lt;61,"Middle-aged",B1609&gt;=61,"Senior")</f>
        <v>Middle-aged</v>
      </c>
      <c r="S1609" cm="1">
        <f t="array" ref="S1609">_xlfn.IFS(Q1609 ="Fortnightly",14,Q1609="Weekly",7,Q1609="Monthly",30,Q1609="Quarterly",90,Q1609="Bi-Weekly",14,Q1609="Annually",365,Q1609="Every 3 Months",90,TRUE,"NOT FOUND")</f>
        <v>90</v>
      </c>
    </row>
    <row r="1610" spans="1:19" x14ac:dyDescent="0.35">
      <c r="A1610">
        <v>1609</v>
      </c>
      <c r="B1610">
        <v>26</v>
      </c>
      <c r="C1610" t="s">
        <v>7</v>
      </c>
      <c r="D1610" t="s">
        <v>29</v>
      </c>
      <c r="E1610" t="s">
        <v>30</v>
      </c>
      <c r="F1610">
        <v>58</v>
      </c>
      <c r="G1610" t="s">
        <v>133</v>
      </c>
      <c r="H1610" t="s">
        <v>80</v>
      </c>
      <c r="I1610" t="s">
        <v>97</v>
      </c>
      <c r="J1610" t="s">
        <v>45</v>
      </c>
      <c r="K1610">
        <v>4.5999999999999996</v>
      </c>
      <c r="L1610" t="s">
        <v>140</v>
      </c>
      <c r="M1610" t="s">
        <v>33</v>
      </c>
      <c r="N1610" t="s">
        <v>14</v>
      </c>
      <c r="O1610">
        <v>12</v>
      </c>
      <c r="P1610" t="s">
        <v>63</v>
      </c>
      <c r="Q1610" t="s">
        <v>64</v>
      </c>
      <c r="R1610" t="str" cm="1">
        <f t="array" ref="R1610">_xlfn.IFS(B1610&lt;31,"Young-Adult",B1610&lt;41,"Adult",B1610&lt;61,"Middle-aged",B1610&gt;=61,"Senior")</f>
        <v>Young-Adult</v>
      </c>
      <c r="S1610" cm="1">
        <f t="array" ref="S1610">_xlfn.IFS(Q1610 ="Fortnightly",14,Q1610="Weekly",7,Q1610="Monthly",30,Q1610="Quarterly",90,Q1610="Bi-Weekly",14,Q1610="Annually",365,Q1610="Every 3 Months",90,TRUE,"NOT FOUND")</f>
        <v>14</v>
      </c>
    </row>
    <row r="1611" spans="1:19" x14ac:dyDescent="0.35">
      <c r="A1611">
        <v>1610</v>
      </c>
      <c r="B1611">
        <v>33</v>
      </c>
      <c r="C1611" t="s">
        <v>7</v>
      </c>
      <c r="D1611" t="s">
        <v>43</v>
      </c>
      <c r="E1611" t="s">
        <v>9</v>
      </c>
      <c r="F1611">
        <v>93</v>
      </c>
      <c r="G1611" t="s">
        <v>95</v>
      </c>
      <c r="H1611" t="s">
        <v>24</v>
      </c>
      <c r="I1611" t="s">
        <v>98</v>
      </c>
      <c r="J1611" t="s">
        <v>45</v>
      </c>
      <c r="K1611">
        <v>4.0999999999999996</v>
      </c>
      <c r="L1611" t="s">
        <v>140</v>
      </c>
      <c r="M1611" t="s">
        <v>42</v>
      </c>
      <c r="N1611" t="s">
        <v>14</v>
      </c>
      <c r="O1611">
        <v>3</v>
      </c>
      <c r="P1611" t="s">
        <v>16</v>
      </c>
      <c r="Q1611" t="s">
        <v>76</v>
      </c>
      <c r="R1611" t="str" cm="1">
        <f t="array" ref="R1611">_xlfn.IFS(B1611&lt;31,"Young-Adult",B1611&lt;41,"Adult",B1611&lt;61,"Middle-aged",B1611&gt;=61,"Senior")</f>
        <v>Adult</v>
      </c>
      <c r="S1611" cm="1">
        <f t="array" ref="S1611">_xlfn.IFS(Q1611 ="Fortnightly",14,Q1611="Weekly",7,Q1611="Monthly",30,Q1611="Quarterly",90,Q1611="Bi-Weekly",14,Q1611="Annually",365,Q1611="Every 3 Months",90,TRUE,"NOT FOUND")</f>
        <v>30</v>
      </c>
    </row>
    <row r="1612" spans="1:19" x14ac:dyDescent="0.35">
      <c r="A1612">
        <v>1611</v>
      </c>
      <c r="B1612">
        <v>20</v>
      </c>
      <c r="C1612" t="s">
        <v>7</v>
      </c>
      <c r="D1612" t="s">
        <v>113</v>
      </c>
      <c r="E1612" t="s">
        <v>9</v>
      </c>
      <c r="F1612">
        <v>31</v>
      </c>
      <c r="G1612" t="s">
        <v>110</v>
      </c>
      <c r="H1612" t="s">
        <v>11</v>
      </c>
      <c r="I1612" t="s">
        <v>61</v>
      </c>
      <c r="J1612" t="s">
        <v>25</v>
      </c>
      <c r="K1612">
        <v>3.4</v>
      </c>
      <c r="L1612" t="s">
        <v>140</v>
      </c>
      <c r="M1612" t="s">
        <v>58</v>
      </c>
      <c r="N1612" t="s">
        <v>14</v>
      </c>
      <c r="O1612">
        <v>1</v>
      </c>
      <c r="P1612" t="s">
        <v>34</v>
      </c>
      <c r="Q1612" t="s">
        <v>37</v>
      </c>
      <c r="R1612" t="str" cm="1">
        <f t="array" ref="R1612">_xlfn.IFS(B1612&lt;31,"Young-Adult",B1612&lt;41,"Adult",B1612&lt;61,"Middle-aged",B1612&gt;=61,"Senior")</f>
        <v>Young-Adult</v>
      </c>
      <c r="S1612" cm="1">
        <f t="array" ref="S1612">_xlfn.IFS(Q1612 ="Fortnightly",14,Q1612="Weekly",7,Q1612="Monthly",30,Q1612="Quarterly",90,Q1612="Bi-Weekly",14,Q1612="Annually",365,Q1612="Every 3 Months",90,TRUE,"NOT FOUND")</f>
        <v>365</v>
      </c>
    </row>
    <row r="1613" spans="1:19" x14ac:dyDescent="0.35">
      <c r="A1613">
        <v>1612</v>
      </c>
      <c r="B1613">
        <v>41</v>
      </c>
      <c r="C1613" t="s">
        <v>7</v>
      </c>
      <c r="D1613" t="s">
        <v>83</v>
      </c>
      <c r="E1613" t="s">
        <v>9</v>
      </c>
      <c r="F1613">
        <v>26</v>
      </c>
      <c r="G1613" t="s">
        <v>60</v>
      </c>
      <c r="H1613" t="s">
        <v>11</v>
      </c>
      <c r="I1613" t="s">
        <v>122</v>
      </c>
      <c r="J1613" t="s">
        <v>13</v>
      </c>
      <c r="K1613">
        <v>4.5</v>
      </c>
      <c r="L1613" t="s">
        <v>140</v>
      </c>
      <c r="M1613" t="s">
        <v>33</v>
      </c>
      <c r="N1613" t="s">
        <v>14</v>
      </c>
      <c r="O1613">
        <v>6</v>
      </c>
      <c r="P1613" t="s">
        <v>74</v>
      </c>
      <c r="Q1613" t="s">
        <v>76</v>
      </c>
      <c r="R1613" t="str" cm="1">
        <f t="array" ref="R1613">_xlfn.IFS(B1613&lt;31,"Young-Adult",B1613&lt;41,"Adult",B1613&lt;61,"Middle-aged",B1613&gt;=61,"Senior")</f>
        <v>Middle-aged</v>
      </c>
      <c r="S1613" cm="1">
        <f t="array" ref="S1613">_xlfn.IFS(Q1613 ="Fortnightly",14,Q1613="Weekly",7,Q1613="Monthly",30,Q1613="Quarterly",90,Q1613="Bi-Weekly",14,Q1613="Annually",365,Q1613="Every 3 Months",90,TRUE,"NOT FOUND")</f>
        <v>30</v>
      </c>
    </row>
    <row r="1614" spans="1:19" x14ac:dyDescent="0.35">
      <c r="A1614">
        <v>1613</v>
      </c>
      <c r="B1614">
        <v>18</v>
      </c>
      <c r="C1614" t="s">
        <v>7</v>
      </c>
      <c r="D1614" t="s">
        <v>75</v>
      </c>
      <c r="E1614" t="s">
        <v>9</v>
      </c>
      <c r="F1614">
        <v>68</v>
      </c>
      <c r="G1614" t="s">
        <v>138</v>
      </c>
      <c r="H1614" t="s">
        <v>32</v>
      </c>
      <c r="I1614" t="s">
        <v>114</v>
      </c>
      <c r="J1614" t="s">
        <v>41</v>
      </c>
      <c r="K1614">
        <v>4.4000000000000004</v>
      </c>
      <c r="L1614" t="s">
        <v>140</v>
      </c>
      <c r="M1614" t="s">
        <v>42</v>
      </c>
      <c r="N1614" t="s">
        <v>14</v>
      </c>
      <c r="O1614">
        <v>26</v>
      </c>
      <c r="P1614" t="s">
        <v>16</v>
      </c>
      <c r="Q1614" t="s">
        <v>76</v>
      </c>
      <c r="R1614" t="str" cm="1">
        <f t="array" ref="R1614">_xlfn.IFS(B1614&lt;31,"Young-Adult",B1614&lt;41,"Adult",B1614&lt;61,"Middle-aged",B1614&gt;=61,"Senior")</f>
        <v>Young-Adult</v>
      </c>
      <c r="S1614" cm="1">
        <f t="array" ref="S1614">_xlfn.IFS(Q1614 ="Fortnightly",14,Q1614="Weekly",7,Q1614="Monthly",30,Q1614="Quarterly",90,Q1614="Bi-Weekly",14,Q1614="Annually",365,Q1614="Every 3 Months",90,TRUE,"NOT FOUND")</f>
        <v>30</v>
      </c>
    </row>
    <row r="1615" spans="1:19" x14ac:dyDescent="0.35">
      <c r="A1615">
        <v>1614</v>
      </c>
      <c r="B1615">
        <v>26</v>
      </c>
      <c r="C1615" t="s">
        <v>7</v>
      </c>
      <c r="D1615" t="s">
        <v>94</v>
      </c>
      <c r="E1615" t="s">
        <v>55</v>
      </c>
      <c r="F1615">
        <v>31</v>
      </c>
      <c r="G1615" t="s">
        <v>103</v>
      </c>
      <c r="H1615" t="s">
        <v>24</v>
      </c>
      <c r="I1615" t="s">
        <v>82</v>
      </c>
      <c r="J1615" t="s">
        <v>41</v>
      </c>
      <c r="K1615">
        <v>4</v>
      </c>
      <c r="L1615" t="s">
        <v>140</v>
      </c>
      <c r="M1615" t="s">
        <v>33</v>
      </c>
      <c r="N1615" t="s">
        <v>14</v>
      </c>
      <c r="O1615">
        <v>6</v>
      </c>
      <c r="P1615" t="s">
        <v>27</v>
      </c>
      <c r="Q1615" t="s">
        <v>17</v>
      </c>
      <c r="R1615" t="str" cm="1">
        <f t="array" ref="R1615">_xlfn.IFS(B1615&lt;31,"Young-Adult",B1615&lt;41,"Adult",B1615&lt;61,"Middle-aged",B1615&gt;=61,"Senior")</f>
        <v>Young-Adult</v>
      </c>
      <c r="S1615" cm="1">
        <f t="array" ref="S1615">_xlfn.IFS(Q1615 ="Fortnightly",14,Q1615="Weekly",7,Q1615="Monthly",30,Q1615="Quarterly",90,Q1615="Bi-Weekly",14,Q1615="Annually",365,Q1615="Every 3 Months",90,TRUE,"NOT FOUND")</f>
        <v>14</v>
      </c>
    </row>
    <row r="1616" spans="1:19" x14ac:dyDescent="0.35">
      <c r="A1616">
        <v>1615</v>
      </c>
      <c r="B1616">
        <v>30</v>
      </c>
      <c r="C1616" t="s">
        <v>7</v>
      </c>
      <c r="D1616" t="s">
        <v>101</v>
      </c>
      <c r="E1616" t="s">
        <v>9</v>
      </c>
      <c r="F1616">
        <v>41</v>
      </c>
      <c r="G1616" t="s">
        <v>99</v>
      </c>
      <c r="H1616" t="s">
        <v>24</v>
      </c>
      <c r="I1616" t="s">
        <v>12</v>
      </c>
      <c r="J1616" t="s">
        <v>41</v>
      </c>
      <c r="K1616">
        <v>3.4</v>
      </c>
      <c r="L1616" t="s">
        <v>140</v>
      </c>
      <c r="M1616" t="s">
        <v>26</v>
      </c>
      <c r="N1616" t="s">
        <v>14</v>
      </c>
      <c r="O1616">
        <v>22</v>
      </c>
      <c r="P1616" t="s">
        <v>21</v>
      </c>
      <c r="Q1616" t="s">
        <v>64</v>
      </c>
      <c r="R1616" t="str" cm="1">
        <f t="array" ref="R1616">_xlfn.IFS(B1616&lt;31,"Young-Adult",B1616&lt;41,"Adult",B1616&lt;61,"Middle-aged",B1616&gt;=61,"Senior")</f>
        <v>Young-Adult</v>
      </c>
      <c r="S1616" cm="1">
        <f t="array" ref="S1616">_xlfn.IFS(Q1616 ="Fortnightly",14,Q1616="Weekly",7,Q1616="Monthly",30,Q1616="Quarterly",90,Q1616="Bi-Weekly",14,Q1616="Annually",365,Q1616="Every 3 Months",90,TRUE,"NOT FOUND")</f>
        <v>14</v>
      </c>
    </row>
    <row r="1617" spans="1:19" x14ac:dyDescent="0.35">
      <c r="A1617">
        <v>1616</v>
      </c>
      <c r="B1617">
        <v>64</v>
      </c>
      <c r="C1617" t="s">
        <v>7</v>
      </c>
      <c r="D1617" t="s">
        <v>94</v>
      </c>
      <c r="E1617" t="s">
        <v>55</v>
      </c>
      <c r="F1617">
        <v>62</v>
      </c>
      <c r="G1617" t="s">
        <v>72</v>
      </c>
      <c r="H1617" t="s">
        <v>32</v>
      </c>
      <c r="I1617" t="s">
        <v>114</v>
      </c>
      <c r="J1617" t="s">
        <v>45</v>
      </c>
      <c r="K1617">
        <v>3.2</v>
      </c>
      <c r="L1617" t="s">
        <v>140</v>
      </c>
      <c r="M1617" t="s">
        <v>42</v>
      </c>
      <c r="N1617" t="s">
        <v>14</v>
      </c>
      <c r="O1617">
        <v>45</v>
      </c>
      <c r="P1617" t="s">
        <v>21</v>
      </c>
      <c r="Q1617" t="s">
        <v>64</v>
      </c>
      <c r="R1617" t="str" cm="1">
        <f t="array" ref="R1617">_xlfn.IFS(B1617&lt;31,"Young-Adult",B1617&lt;41,"Adult",B1617&lt;61,"Middle-aged",B1617&gt;=61,"Senior")</f>
        <v>Senior</v>
      </c>
      <c r="S1617" cm="1">
        <f t="array" ref="S1617">_xlfn.IFS(Q1617 ="Fortnightly",14,Q1617="Weekly",7,Q1617="Monthly",30,Q1617="Quarterly",90,Q1617="Bi-Weekly",14,Q1617="Annually",365,Q1617="Every 3 Months",90,TRUE,"NOT FOUND")</f>
        <v>14</v>
      </c>
    </row>
    <row r="1618" spans="1:19" x14ac:dyDescent="0.35">
      <c r="A1618">
        <v>1617</v>
      </c>
      <c r="B1618">
        <v>26</v>
      </c>
      <c r="C1618" t="s">
        <v>7</v>
      </c>
      <c r="D1618" t="s">
        <v>112</v>
      </c>
      <c r="E1618" t="s">
        <v>55</v>
      </c>
      <c r="F1618">
        <v>41</v>
      </c>
      <c r="G1618" t="s">
        <v>100</v>
      </c>
      <c r="H1618" t="s">
        <v>32</v>
      </c>
      <c r="I1618" t="s">
        <v>84</v>
      </c>
      <c r="J1618" t="s">
        <v>25</v>
      </c>
      <c r="K1618">
        <v>3.4</v>
      </c>
      <c r="L1618" t="s">
        <v>140</v>
      </c>
      <c r="M1618" t="s">
        <v>42</v>
      </c>
      <c r="N1618" t="s">
        <v>14</v>
      </c>
      <c r="O1618">
        <v>50</v>
      </c>
      <c r="P1618" t="s">
        <v>21</v>
      </c>
      <c r="Q1618" t="s">
        <v>46</v>
      </c>
      <c r="R1618" t="str" cm="1">
        <f t="array" ref="R1618">_xlfn.IFS(B1618&lt;31,"Young-Adult",B1618&lt;41,"Adult",B1618&lt;61,"Middle-aged",B1618&gt;=61,"Senior")</f>
        <v>Young-Adult</v>
      </c>
      <c r="S1618" cm="1">
        <f t="array" ref="S1618">_xlfn.IFS(Q1618 ="Fortnightly",14,Q1618="Weekly",7,Q1618="Monthly",30,Q1618="Quarterly",90,Q1618="Bi-Weekly",14,Q1618="Annually",365,Q1618="Every 3 Months",90,TRUE,"NOT FOUND")</f>
        <v>90</v>
      </c>
    </row>
    <row r="1619" spans="1:19" x14ac:dyDescent="0.35">
      <c r="A1619">
        <v>1618</v>
      </c>
      <c r="B1619">
        <v>43</v>
      </c>
      <c r="C1619" t="s">
        <v>7</v>
      </c>
      <c r="D1619" t="s">
        <v>8</v>
      </c>
      <c r="E1619" t="s">
        <v>9</v>
      </c>
      <c r="F1619">
        <v>64</v>
      </c>
      <c r="G1619" t="s">
        <v>138</v>
      </c>
      <c r="H1619" t="s">
        <v>32</v>
      </c>
      <c r="I1619" t="s">
        <v>88</v>
      </c>
      <c r="J1619" t="s">
        <v>13</v>
      </c>
      <c r="K1619">
        <v>4.3</v>
      </c>
      <c r="L1619" t="s">
        <v>140</v>
      </c>
      <c r="M1619" t="s">
        <v>42</v>
      </c>
      <c r="N1619" t="s">
        <v>14</v>
      </c>
      <c r="O1619">
        <v>50</v>
      </c>
      <c r="P1619" t="s">
        <v>27</v>
      </c>
      <c r="Q1619" t="s">
        <v>17</v>
      </c>
      <c r="R1619" t="str" cm="1">
        <f t="array" ref="R1619">_xlfn.IFS(B1619&lt;31,"Young-Adult",B1619&lt;41,"Adult",B1619&lt;61,"Middle-aged",B1619&gt;=61,"Senior")</f>
        <v>Middle-aged</v>
      </c>
      <c r="S1619" cm="1">
        <f t="array" ref="S1619">_xlfn.IFS(Q1619 ="Fortnightly",14,Q1619="Weekly",7,Q1619="Monthly",30,Q1619="Quarterly",90,Q1619="Bi-Weekly",14,Q1619="Annually",365,Q1619="Every 3 Months",90,TRUE,"NOT FOUND")</f>
        <v>14</v>
      </c>
    </row>
    <row r="1620" spans="1:19" x14ac:dyDescent="0.35">
      <c r="A1620">
        <v>1619</v>
      </c>
      <c r="B1620">
        <v>63</v>
      </c>
      <c r="C1620" t="s">
        <v>7</v>
      </c>
      <c r="D1620" t="s">
        <v>29</v>
      </c>
      <c r="E1620" t="s">
        <v>30</v>
      </c>
      <c r="F1620">
        <v>72</v>
      </c>
      <c r="G1620" t="s">
        <v>139</v>
      </c>
      <c r="H1620" t="s">
        <v>11</v>
      </c>
      <c r="I1620" t="s">
        <v>61</v>
      </c>
      <c r="J1620" t="s">
        <v>41</v>
      </c>
      <c r="K1620">
        <v>5</v>
      </c>
      <c r="L1620" t="s">
        <v>140</v>
      </c>
      <c r="M1620" t="s">
        <v>42</v>
      </c>
      <c r="N1620" t="s">
        <v>14</v>
      </c>
      <c r="O1620">
        <v>39</v>
      </c>
      <c r="P1620" t="s">
        <v>74</v>
      </c>
      <c r="Q1620" t="s">
        <v>46</v>
      </c>
      <c r="R1620" t="str" cm="1">
        <f t="array" ref="R1620">_xlfn.IFS(B1620&lt;31,"Young-Adult",B1620&lt;41,"Adult",B1620&lt;61,"Middle-aged",B1620&gt;=61,"Senior")</f>
        <v>Senior</v>
      </c>
      <c r="S1620" cm="1">
        <f t="array" ref="S1620">_xlfn.IFS(Q1620 ="Fortnightly",14,Q1620="Weekly",7,Q1620="Monthly",30,Q1620="Quarterly",90,Q1620="Bi-Weekly",14,Q1620="Annually",365,Q1620="Every 3 Months",90,TRUE,"NOT FOUND")</f>
        <v>90</v>
      </c>
    </row>
    <row r="1621" spans="1:19" x14ac:dyDescent="0.35">
      <c r="A1621">
        <v>1620</v>
      </c>
      <c r="B1621">
        <v>57</v>
      </c>
      <c r="C1621" t="s">
        <v>7</v>
      </c>
      <c r="D1621" t="s">
        <v>54</v>
      </c>
      <c r="E1621" t="s">
        <v>55</v>
      </c>
      <c r="F1621">
        <v>78</v>
      </c>
      <c r="G1621" t="s">
        <v>65</v>
      </c>
      <c r="H1621" t="s">
        <v>11</v>
      </c>
      <c r="I1621" t="s">
        <v>106</v>
      </c>
      <c r="J1621" t="s">
        <v>13</v>
      </c>
      <c r="K1621">
        <v>3.5</v>
      </c>
      <c r="L1621" t="s">
        <v>140</v>
      </c>
      <c r="M1621" t="s">
        <v>62</v>
      </c>
      <c r="N1621" t="s">
        <v>14</v>
      </c>
      <c r="O1621">
        <v>50</v>
      </c>
      <c r="P1621" t="s">
        <v>16</v>
      </c>
      <c r="Q1621" t="s">
        <v>64</v>
      </c>
      <c r="R1621" t="str" cm="1">
        <f t="array" ref="R1621">_xlfn.IFS(B1621&lt;31,"Young-Adult",B1621&lt;41,"Adult",B1621&lt;61,"Middle-aged",B1621&gt;=61,"Senior")</f>
        <v>Middle-aged</v>
      </c>
      <c r="S1621" cm="1">
        <f t="array" ref="S1621">_xlfn.IFS(Q1621 ="Fortnightly",14,Q1621="Weekly",7,Q1621="Monthly",30,Q1621="Quarterly",90,Q1621="Bi-Weekly",14,Q1621="Annually",365,Q1621="Every 3 Months",90,TRUE,"NOT FOUND")</f>
        <v>14</v>
      </c>
    </row>
    <row r="1622" spans="1:19" x14ac:dyDescent="0.35">
      <c r="A1622">
        <v>1621</v>
      </c>
      <c r="B1622">
        <v>25</v>
      </c>
      <c r="C1622" t="s">
        <v>7</v>
      </c>
      <c r="D1622" t="s">
        <v>112</v>
      </c>
      <c r="E1622" t="s">
        <v>55</v>
      </c>
      <c r="F1622">
        <v>47</v>
      </c>
      <c r="G1622" t="s">
        <v>129</v>
      </c>
      <c r="H1622" t="s">
        <v>32</v>
      </c>
      <c r="I1622" t="s">
        <v>49</v>
      </c>
      <c r="J1622" t="s">
        <v>13</v>
      </c>
      <c r="K1622">
        <v>3.1</v>
      </c>
      <c r="L1622" t="s">
        <v>140</v>
      </c>
      <c r="M1622" t="s">
        <v>58</v>
      </c>
      <c r="N1622" t="s">
        <v>14</v>
      </c>
      <c r="O1622">
        <v>27</v>
      </c>
      <c r="P1622" t="s">
        <v>34</v>
      </c>
      <c r="Q1622" t="s">
        <v>85</v>
      </c>
      <c r="R1622" t="str" cm="1">
        <f t="array" ref="R1622">_xlfn.IFS(B1622&lt;31,"Young-Adult",B1622&lt;41,"Adult",B1622&lt;61,"Middle-aged",B1622&gt;=61,"Senior")</f>
        <v>Young-Adult</v>
      </c>
      <c r="S1622" cm="1">
        <f t="array" ref="S1622">_xlfn.IFS(Q1622 ="Fortnightly",14,Q1622="Weekly",7,Q1622="Monthly",30,Q1622="Quarterly",90,Q1622="Bi-Weekly",14,Q1622="Annually",365,Q1622="Every 3 Months",90,TRUE,"NOT FOUND")</f>
        <v>90</v>
      </c>
    </row>
    <row r="1623" spans="1:19" x14ac:dyDescent="0.35">
      <c r="A1623">
        <v>1622</v>
      </c>
      <c r="B1623">
        <v>68</v>
      </c>
      <c r="C1623" t="s">
        <v>7</v>
      </c>
      <c r="D1623" t="s">
        <v>107</v>
      </c>
      <c r="E1623" t="s">
        <v>55</v>
      </c>
      <c r="F1623">
        <v>46</v>
      </c>
      <c r="G1623" t="s">
        <v>111</v>
      </c>
      <c r="H1623" t="s">
        <v>11</v>
      </c>
      <c r="I1623" t="s">
        <v>12</v>
      </c>
      <c r="J1623" t="s">
        <v>41</v>
      </c>
      <c r="K1623">
        <v>3.9</v>
      </c>
      <c r="L1623" t="s">
        <v>140</v>
      </c>
      <c r="M1623" t="s">
        <v>58</v>
      </c>
      <c r="N1623" t="s">
        <v>14</v>
      </c>
      <c r="O1623">
        <v>38</v>
      </c>
      <c r="P1623" t="s">
        <v>74</v>
      </c>
      <c r="Q1623" t="s">
        <v>17</v>
      </c>
      <c r="R1623" t="str" cm="1">
        <f t="array" ref="R1623">_xlfn.IFS(B1623&lt;31,"Young-Adult",B1623&lt;41,"Adult",B1623&lt;61,"Middle-aged",B1623&gt;=61,"Senior")</f>
        <v>Senior</v>
      </c>
      <c r="S1623" cm="1">
        <f t="array" ref="S1623">_xlfn.IFS(Q1623 ="Fortnightly",14,Q1623="Weekly",7,Q1623="Monthly",30,Q1623="Quarterly",90,Q1623="Bi-Weekly",14,Q1623="Annually",365,Q1623="Every 3 Months",90,TRUE,"NOT FOUND")</f>
        <v>14</v>
      </c>
    </row>
    <row r="1624" spans="1:19" x14ac:dyDescent="0.35">
      <c r="A1624">
        <v>1623</v>
      </c>
      <c r="B1624">
        <v>31</v>
      </c>
      <c r="C1624" t="s">
        <v>7</v>
      </c>
      <c r="D1624" t="s">
        <v>47</v>
      </c>
      <c r="E1624" t="s">
        <v>9</v>
      </c>
      <c r="F1624">
        <v>43</v>
      </c>
      <c r="G1624" t="s">
        <v>56</v>
      </c>
      <c r="H1624" t="s">
        <v>24</v>
      </c>
      <c r="I1624" t="s">
        <v>98</v>
      </c>
      <c r="J1624" t="s">
        <v>13</v>
      </c>
      <c r="K1624">
        <v>4</v>
      </c>
      <c r="L1624" t="s">
        <v>140</v>
      </c>
      <c r="M1624" t="s">
        <v>62</v>
      </c>
      <c r="N1624" t="s">
        <v>14</v>
      </c>
      <c r="O1624">
        <v>37</v>
      </c>
      <c r="P1624" t="s">
        <v>63</v>
      </c>
      <c r="Q1624" t="s">
        <v>85</v>
      </c>
      <c r="R1624" t="str" cm="1">
        <f t="array" ref="R1624">_xlfn.IFS(B1624&lt;31,"Young-Adult",B1624&lt;41,"Adult",B1624&lt;61,"Middle-aged",B1624&gt;=61,"Senior")</f>
        <v>Adult</v>
      </c>
      <c r="S1624" cm="1">
        <f t="array" ref="S1624">_xlfn.IFS(Q1624 ="Fortnightly",14,Q1624="Weekly",7,Q1624="Monthly",30,Q1624="Quarterly",90,Q1624="Bi-Weekly",14,Q1624="Annually",365,Q1624="Every 3 Months",90,TRUE,"NOT FOUND")</f>
        <v>90</v>
      </c>
    </row>
    <row r="1625" spans="1:19" x14ac:dyDescent="0.35">
      <c r="A1625">
        <v>1624</v>
      </c>
      <c r="B1625">
        <v>64</v>
      </c>
      <c r="C1625" t="s">
        <v>7</v>
      </c>
      <c r="D1625" t="s">
        <v>120</v>
      </c>
      <c r="E1625" t="s">
        <v>55</v>
      </c>
      <c r="F1625">
        <v>58</v>
      </c>
      <c r="G1625" t="s">
        <v>104</v>
      </c>
      <c r="H1625" t="s">
        <v>32</v>
      </c>
      <c r="I1625" t="s">
        <v>97</v>
      </c>
      <c r="J1625" t="s">
        <v>41</v>
      </c>
      <c r="K1625">
        <v>3.5</v>
      </c>
      <c r="L1625" t="s">
        <v>140</v>
      </c>
      <c r="M1625" t="s">
        <v>33</v>
      </c>
      <c r="N1625" t="s">
        <v>14</v>
      </c>
      <c r="O1625">
        <v>50</v>
      </c>
      <c r="P1625" t="s">
        <v>74</v>
      </c>
      <c r="Q1625" t="s">
        <v>37</v>
      </c>
      <c r="R1625" t="str" cm="1">
        <f t="array" ref="R1625">_xlfn.IFS(B1625&lt;31,"Young-Adult",B1625&lt;41,"Adult",B1625&lt;61,"Middle-aged",B1625&gt;=61,"Senior")</f>
        <v>Senior</v>
      </c>
      <c r="S1625" cm="1">
        <f t="array" ref="S1625">_xlfn.IFS(Q1625 ="Fortnightly",14,Q1625="Weekly",7,Q1625="Monthly",30,Q1625="Quarterly",90,Q1625="Bi-Weekly",14,Q1625="Annually",365,Q1625="Every 3 Months",90,TRUE,"NOT FOUND")</f>
        <v>365</v>
      </c>
    </row>
    <row r="1626" spans="1:19" x14ac:dyDescent="0.35">
      <c r="A1626">
        <v>1625</v>
      </c>
      <c r="B1626">
        <v>38</v>
      </c>
      <c r="C1626" t="s">
        <v>7</v>
      </c>
      <c r="D1626" t="s">
        <v>18</v>
      </c>
      <c r="E1626" t="s">
        <v>9</v>
      </c>
      <c r="F1626">
        <v>32</v>
      </c>
      <c r="G1626" t="s">
        <v>91</v>
      </c>
      <c r="H1626" t="s">
        <v>32</v>
      </c>
      <c r="I1626" t="s">
        <v>40</v>
      </c>
      <c r="J1626" t="s">
        <v>13</v>
      </c>
      <c r="K1626">
        <v>3.6</v>
      </c>
      <c r="L1626" t="s">
        <v>140</v>
      </c>
      <c r="M1626" t="s">
        <v>26</v>
      </c>
      <c r="N1626" t="s">
        <v>14</v>
      </c>
      <c r="O1626">
        <v>40</v>
      </c>
      <c r="P1626" t="s">
        <v>34</v>
      </c>
      <c r="Q1626" t="s">
        <v>85</v>
      </c>
      <c r="R1626" t="str" cm="1">
        <f t="array" ref="R1626">_xlfn.IFS(B1626&lt;31,"Young-Adult",B1626&lt;41,"Adult",B1626&lt;61,"Middle-aged",B1626&gt;=61,"Senior")</f>
        <v>Adult</v>
      </c>
      <c r="S1626" cm="1">
        <f t="array" ref="S1626">_xlfn.IFS(Q1626 ="Fortnightly",14,Q1626="Weekly",7,Q1626="Monthly",30,Q1626="Quarterly",90,Q1626="Bi-Weekly",14,Q1626="Annually",365,Q1626="Every 3 Months",90,TRUE,"NOT FOUND")</f>
        <v>90</v>
      </c>
    </row>
    <row r="1627" spans="1:19" x14ac:dyDescent="0.35">
      <c r="A1627">
        <v>1626</v>
      </c>
      <c r="B1627">
        <v>34</v>
      </c>
      <c r="C1627" t="s">
        <v>7</v>
      </c>
      <c r="D1627" t="s">
        <v>75</v>
      </c>
      <c r="E1627" t="s">
        <v>9</v>
      </c>
      <c r="F1627">
        <v>45</v>
      </c>
      <c r="G1627" t="s">
        <v>136</v>
      </c>
      <c r="H1627" t="s">
        <v>11</v>
      </c>
      <c r="I1627" t="s">
        <v>106</v>
      </c>
      <c r="J1627" t="s">
        <v>13</v>
      </c>
      <c r="K1627">
        <v>3</v>
      </c>
      <c r="L1627" t="s">
        <v>140</v>
      </c>
      <c r="M1627" t="s">
        <v>33</v>
      </c>
      <c r="N1627" t="s">
        <v>14</v>
      </c>
      <c r="O1627">
        <v>3</v>
      </c>
      <c r="P1627" t="s">
        <v>34</v>
      </c>
      <c r="Q1627" t="s">
        <v>64</v>
      </c>
      <c r="R1627" t="str" cm="1">
        <f t="array" ref="R1627">_xlfn.IFS(B1627&lt;31,"Young-Adult",B1627&lt;41,"Adult",B1627&lt;61,"Middle-aged",B1627&gt;=61,"Senior")</f>
        <v>Adult</v>
      </c>
      <c r="S1627" cm="1">
        <f t="array" ref="S1627">_xlfn.IFS(Q1627 ="Fortnightly",14,Q1627="Weekly",7,Q1627="Monthly",30,Q1627="Quarterly",90,Q1627="Bi-Weekly",14,Q1627="Annually",365,Q1627="Every 3 Months",90,TRUE,"NOT FOUND")</f>
        <v>14</v>
      </c>
    </row>
    <row r="1628" spans="1:19" x14ac:dyDescent="0.35">
      <c r="A1628">
        <v>1627</v>
      </c>
      <c r="B1628">
        <v>32</v>
      </c>
      <c r="C1628" t="s">
        <v>7</v>
      </c>
      <c r="D1628" t="s">
        <v>38</v>
      </c>
      <c r="E1628" t="s">
        <v>30</v>
      </c>
      <c r="F1628">
        <v>35</v>
      </c>
      <c r="G1628" t="s">
        <v>95</v>
      </c>
      <c r="H1628" t="s">
        <v>11</v>
      </c>
      <c r="I1628" t="s">
        <v>109</v>
      </c>
      <c r="J1628" t="s">
        <v>41</v>
      </c>
      <c r="K1628">
        <v>2.6</v>
      </c>
      <c r="L1628" t="s">
        <v>140</v>
      </c>
      <c r="M1628" t="s">
        <v>33</v>
      </c>
      <c r="N1628" t="s">
        <v>14</v>
      </c>
      <c r="O1628">
        <v>45</v>
      </c>
      <c r="P1628" t="s">
        <v>27</v>
      </c>
      <c r="Q1628" t="s">
        <v>64</v>
      </c>
      <c r="R1628" t="str" cm="1">
        <f t="array" ref="R1628">_xlfn.IFS(B1628&lt;31,"Young-Adult",B1628&lt;41,"Adult",B1628&lt;61,"Middle-aged",B1628&gt;=61,"Senior")</f>
        <v>Adult</v>
      </c>
      <c r="S1628" cm="1">
        <f t="array" ref="S1628">_xlfn.IFS(Q1628 ="Fortnightly",14,Q1628="Weekly",7,Q1628="Monthly",30,Q1628="Quarterly",90,Q1628="Bi-Weekly",14,Q1628="Annually",365,Q1628="Every 3 Months",90,TRUE,"NOT FOUND")</f>
        <v>14</v>
      </c>
    </row>
    <row r="1629" spans="1:19" x14ac:dyDescent="0.35">
      <c r="A1629">
        <v>1628</v>
      </c>
      <c r="B1629">
        <v>69</v>
      </c>
      <c r="C1629" t="s">
        <v>7</v>
      </c>
      <c r="D1629" t="s">
        <v>77</v>
      </c>
      <c r="E1629" t="s">
        <v>55</v>
      </c>
      <c r="F1629">
        <v>21</v>
      </c>
      <c r="G1629" t="s">
        <v>19</v>
      </c>
      <c r="H1629" t="s">
        <v>32</v>
      </c>
      <c r="I1629" t="s">
        <v>66</v>
      </c>
      <c r="J1629" t="s">
        <v>13</v>
      </c>
      <c r="K1629">
        <v>2.9</v>
      </c>
      <c r="L1629" t="s">
        <v>140</v>
      </c>
      <c r="M1629" t="s">
        <v>33</v>
      </c>
      <c r="N1629" t="s">
        <v>14</v>
      </c>
      <c r="O1629">
        <v>8</v>
      </c>
      <c r="P1629" t="s">
        <v>27</v>
      </c>
      <c r="Q1629" t="s">
        <v>37</v>
      </c>
      <c r="R1629" t="str" cm="1">
        <f t="array" ref="R1629">_xlfn.IFS(B1629&lt;31,"Young-Adult",B1629&lt;41,"Adult",B1629&lt;61,"Middle-aged",B1629&gt;=61,"Senior")</f>
        <v>Senior</v>
      </c>
      <c r="S1629" cm="1">
        <f t="array" ref="S1629">_xlfn.IFS(Q1629 ="Fortnightly",14,Q1629="Weekly",7,Q1629="Monthly",30,Q1629="Quarterly",90,Q1629="Bi-Weekly",14,Q1629="Annually",365,Q1629="Every 3 Months",90,TRUE,"NOT FOUND")</f>
        <v>365</v>
      </c>
    </row>
    <row r="1630" spans="1:19" x14ac:dyDescent="0.35">
      <c r="A1630">
        <v>1629</v>
      </c>
      <c r="B1630">
        <v>45</v>
      </c>
      <c r="C1630" t="s">
        <v>7</v>
      </c>
      <c r="D1630" t="s">
        <v>69</v>
      </c>
      <c r="E1630" t="s">
        <v>9</v>
      </c>
      <c r="F1630">
        <v>64</v>
      </c>
      <c r="G1630" t="s">
        <v>23</v>
      </c>
      <c r="H1630" t="s">
        <v>24</v>
      </c>
      <c r="I1630" t="s">
        <v>73</v>
      </c>
      <c r="J1630" t="s">
        <v>13</v>
      </c>
      <c r="K1630">
        <v>3.1</v>
      </c>
      <c r="L1630" t="s">
        <v>140</v>
      </c>
      <c r="M1630" t="s">
        <v>33</v>
      </c>
      <c r="N1630" t="s">
        <v>14</v>
      </c>
      <c r="O1630">
        <v>7</v>
      </c>
      <c r="P1630" t="s">
        <v>21</v>
      </c>
      <c r="Q1630" t="s">
        <v>76</v>
      </c>
      <c r="R1630" t="str" cm="1">
        <f t="array" ref="R1630">_xlfn.IFS(B1630&lt;31,"Young-Adult",B1630&lt;41,"Adult",B1630&lt;61,"Middle-aged",B1630&gt;=61,"Senior")</f>
        <v>Middle-aged</v>
      </c>
      <c r="S1630" cm="1">
        <f t="array" ref="S1630">_xlfn.IFS(Q1630 ="Fortnightly",14,Q1630="Weekly",7,Q1630="Monthly",30,Q1630="Quarterly",90,Q1630="Bi-Weekly",14,Q1630="Annually",365,Q1630="Every 3 Months",90,TRUE,"NOT FOUND")</f>
        <v>30</v>
      </c>
    </row>
    <row r="1631" spans="1:19" x14ac:dyDescent="0.35">
      <c r="A1631">
        <v>1630</v>
      </c>
      <c r="B1631">
        <v>35</v>
      </c>
      <c r="C1631" t="s">
        <v>7</v>
      </c>
      <c r="D1631" t="s">
        <v>8</v>
      </c>
      <c r="E1631" t="s">
        <v>9</v>
      </c>
      <c r="F1631">
        <v>88</v>
      </c>
      <c r="G1631" t="s">
        <v>102</v>
      </c>
      <c r="H1631" t="s">
        <v>24</v>
      </c>
      <c r="I1631" t="s">
        <v>53</v>
      </c>
      <c r="J1631" t="s">
        <v>25</v>
      </c>
      <c r="K1631">
        <v>3.3</v>
      </c>
      <c r="L1631" t="s">
        <v>140</v>
      </c>
      <c r="M1631" t="s">
        <v>33</v>
      </c>
      <c r="N1631" t="s">
        <v>14</v>
      </c>
      <c r="O1631">
        <v>13</v>
      </c>
      <c r="P1631" t="s">
        <v>16</v>
      </c>
      <c r="Q1631" t="s">
        <v>46</v>
      </c>
      <c r="R1631" t="str" cm="1">
        <f t="array" ref="R1631">_xlfn.IFS(B1631&lt;31,"Young-Adult",B1631&lt;41,"Adult",B1631&lt;61,"Middle-aged",B1631&gt;=61,"Senior")</f>
        <v>Adult</v>
      </c>
      <c r="S1631" cm="1">
        <f t="array" ref="S1631">_xlfn.IFS(Q1631 ="Fortnightly",14,Q1631="Weekly",7,Q1631="Monthly",30,Q1631="Quarterly",90,Q1631="Bi-Weekly",14,Q1631="Annually",365,Q1631="Every 3 Months",90,TRUE,"NOT FOUND")</f>
        <v>90</v>
      </c>
    </row>
    <row r="1632" spans="1:19" x14ac:dyDescent="0.35">
      <c r="A1632">
        <v>1631</v>
      </c>
      <c r="B1632">
        <v>63</v>
      </c>
      <c r="C1632" t="s">
        <v>7</v>
      </c>
      <c r="D1632" t="s">
        <v>59</v>
      </c>
      <c r="E1632" t="s">
        <v>30</v>
      </c>
      <c r="F1632">
        <v>48</v>
      </c>
      <c r="G1632" t="s">
        <v>115</v>
      </c>
      <c r="H1632" t="s">
        <v>32</v>
      </c>
      <c r="I1632" t="s">
        <v>68</v>
      </c>
      <c r="J1632" t="s">
        <v>41</v>
      </c>
      <c r="K1632">
        <v>2.9</v>
      </c>
      <c r="L1632" t="s">
        <v>140</v>
      </c>
      <c r="M1632" t="s">
        <v>62</v>
      </c>
      <c r="N1632" t="s">
        <v>14</v>
      </c>
      <c r="O1632">
        <v>29</v>
      </c>
      <c r="P1632" t="s">
        <v>16</v>
      </c>
      <c r="Q1632" t="s">
        <v>85</v>
      </c>
      <c r="R1632" t="str" cm="1">
        <f t="array" ref="R1632">_xlfn.IFS(B1632&lt;31,"Young-Adult",B1632&lt;41,"Adult",B1632&lt;61,"Middle-aged",B1632&gt;=61,"Senior")</f>
        <v>Senior</v>
      </c>
      <c r="S1632" cm="1">
        <f t="array" ref="S1632">_xlfn.IFS(Q1632 ="Fortnightly",14,Q1632="Weekly",7,Q1632="Monthly",30,Q1632="Quarterly",90,Q1632="Bi-Weekly",14,Q1632="Annually",365,Q1632="Every 3 Months",90,TRUE,"NOT FOUND")</f>
        <v>90</v>
      </c>
    </row>
    <row r="1633" spans="1:19" x14ac:dyDescent="0.35">
      <c r="A1633">
        <v>1632</v>
      </c>
      <c r="B1633">
        <v>65</v>
      </c>
      <c r="C1633" t="s">
        <v>7</v>
      </c>
      <c r="D1633" t="s">
        <v>18</v>
      </c>
      <c r="E1633" t="s">
        <v>9</v>
      </c>
      <c r="F1633">
        <v>36</v>
      </c>
      <c r="G1633" t="s">
        <v>104</v>
      </c>
      <c r="H1633" t="s">
        <v>11</v>
      </c>
      <c r="I1633" t="s">
        <v>71</v>
      </c>
      <c r="J1633" t="s">
        <v>41</v>
      </c>
      <c r="K1633">
        <v>3.9</v>
      </c>
      <c r="L1633" t="s">
        <v>140</v>
      </c>
      <c r="M1633" t="s">
        <v>58</v>
      </c>
      <c r="N1633" t="s">
        <v>14</v>
      </c>
      <c r="O1633">
        <v>7</v>
      </c>
      <c r="P1633" t="s">
        <v>63</v>
      </c>
      <c r="Q1633" t="s">
        <v>17</v>
      </c>
      <c r="R1633" t="str" cm="1">
        <f t="array" ref="R1633">_xlfn.IFS(B1633&lt;31,"Young-Adult",B1633&lt;41,"Adult",B1633&lt;61,"Middle-aged",B1633&gt;=61,"Senior")</f>
        <v>Senior</v>
      </c>
      <c r="S1633" cm="1">
        <f t="array" ref="S1633">_xlfn.IFS(Q1633 ="Fortnightly",14,Q1633="Weekly",7,Q1633="Monthly",30,Q1633="Quarterly",90,Q1633="Bi-Weekly",14,Q1633="Annually",365,Q1633="Every 3 Months",90,TRUE,"NOT FOUND")</f>
        <v>14</v>
      </c>
    </row>
    <row r="1634" spans="1:19" x14ac:dyDescent="0.35">
      <c r="A1634">
        <v>1633</v>
      </c>
      <c r="B1634">
        <v>35</v>
      </c>
      <c r="C1634" t="s">
        <v>7</v>
      </c>
      <c r="D1634" t="s">
        <v>131</v>
      </c>
      <c r="E1634" t="s">
        <v>55</v>
      </c>
      <c r="F1634">
        <v>28</v>
      </c>
      <c r="G1634" t="s">
        <v>35</v>
      </c>
      <c r="H1634" t="s">
        <v>24</v>
      </c>
      <c r="I1634" t="s">
        <v>40</v>
      </c>
      <c r="J1634" t="s">
        <v>41</v>
      </c>
      <c r="K1634">
        <v>4.7</v>
      </c>
      <c r="L1634" t="s">
        <v>140</v>
      </c>
      <c r="M1634" t="s">
        <v>58</v>
      </c>
      <c r="N1634" t="s">
        <v>14</v>
      </c>
      <c r="O1634">
        <v>50</v>
      </c>
      <c r="P1634" t="s">
        <v>74</v>
      </c>
      <c r="Q1634" t="s">
        <v>85</v>
      </c>
      <c r="R1634" t="str" cm="1">
        <f t="array" ref="R1634">_xlfn.IFS(B1634&lt;31,"Young-Adult",B1634&lt;41,"Adult",B1634&lt;61,"Middle-aged",B1634&gt;=61,"Senior")</f>
        <v>Adult</v>
      </c>
      <c r="S1634" cm="1">
        <f t="array" ref="S1634">_xlfn.IFS(Q1634 ="Fortnightly",14,Q1634="Weekly",7,Q1634="Monthly",30,Q1634="Quarterly",90,Q1634="Bi-Weekly",14,Q1634="Annually",365,Q1634="Every 3 Months",90,TRUE,"NOT FOUND")</f>
        <v>90</v>
      </c>
    </row>
    <row r="1635" spans="1:19" x14ac:dyDescent="0.35">
      <c r="A1635">
        <v>1634</v>
      </c>
      <c r="B1635">
        <v>54</v>
      </c>
      <c r="C1635" t="s">
        <v>7</v>
      </c>
      <c r="D1635" t="s">
        <v>113</v>
      </c>
      <c r="E1635" t="s">
        <v>9</v>
      </c>
      <c r="F1635">
        <v>80</v>
      </c>
      <c r="G1635" t="s">
        <v>102</v>
      </c>
      <c r="H1635" t="s">
        <v>32</v>
      </c>
      <c r="I1635" t="s">
        <v>88</v>
      </c>
      <c r="J1635" t="s">
        <v>25</v>
      </c>
      <c r="K1635">
        <v>4.4000000000000004</v>
      </c>
      <c r="L1635" t="s">
        <v>140</v>
      </c>
      <c r="M1635" t="s">
        <v>58</v>
      </c>
      <c r="N1635" t="s">
        <v>14</v>
      </c>
      <c r="O1635">
        <v>33</v>
      </c>
      <c r="P1635" t="s">
        <v>74</v>
      </c>
      <c r="Q1635" t="s">
        <v>64</v>
      </c>
      <c r="R1635" t="str" cm="1">
        <f t="array" ref="R1635">_xlfn.IFS(B1635&lt;31,"Young-Adult",B1635&lt;41,"Adult",B1635&lt;61,"Middle-aged",B1635&gt;=61,"Senior")</f>
        <v>Middle-aged</v>
      </c>
      <c r="S1635" cm="1">
        <f t="array" ref="S1635">_xlfn.IFS(Q1635 ="Fortnightly",14,Q1635="Weekly",7,Q1635="Monthly",30,Q1635="Quarterly",90,Q1635="Bi-Weekly",14,Q1635="Annually",365,Q1635="Every 3 Months",90,TRUE,"NOT FOUND")</f>
        <v>14</v>
      </c>
    </row>
    <row r="1636" spans="1:19" x14ac:dyDescent="0.35">
      <c r="A1636">
        <v>1635</v>
      </c>
      <c r="B1636">
        <v>28</v>
      </c>
      <c r="C1636" t="s">
        <v>7</v>
      </c>
      <c r="D1636" t="s">
        <v>50</v>
      </c>
      <c r="E1636" t="s">
        <v>51</v>
      </c>
      <c r="F1636">
        <v>23</v>
      </c>
      <c r="G1636" t="s">
        <v>119</v>
      </c>
      <c r="H1636" t="s">
        <v>24</v>
      </c>
      <c r="I1636" t="s">
        <v>109</v>
      </c>
      <c r="J1636" t="s">
        <v>41</v>
      </c>
      <c r="K1636">
        <v>3.6</v>
      </c>
      <c r="L1636" t="s">
        <v>140</v>
      </c>
      <c r="M1636" t="s">
        <v>62</v>
      </c>
      <c r="N1636" t="s">
        <v>14</v>
      </c>
      <c r="O1636">
        <v>30</v>
      </c>
      <c r="P1636" t="s">
        <v>21</v>
      </c>
      <c r="Q1636" t="s">
        <v>85</v>
      </c>
      <c r="R1636" t="str" cm="1">
        <f t="array" ref="R1636">_xlfn.IFS(B1636&lt;31,"Young-Adult",B1636&lt;41,"Adult",B1636&lt;61,"Middle-aged",B1636&gt;=61,"Senior")</f>
        <v>Young-Adult</v>
      </c>
      <c r="S1636" cm="1">
        <f t="array" ref="S1636">_xlfn.IFS(Q1636 ="Fortnightly",14,Q1636="Weekly",7,Q1636="Monthly",30,Q1636="Quarterly",90,Q1636="Bi-Weekly",14,Q1636="Annually",365,Q1636="Every 3 Months",90,TRUE,"NOT FOUND")</f>
        <v>90</v>
      </c>
    </row>
    <row r="1637" spans="1:19" x14ac:dyDescent="0.35">
      <c r="A1637">
        <v>1636</v>
      </c>
      <c r="B1637">
        <v>68</v>
      </c>
      <c r="C1637" t="s">
        <v>7</v>
      </c>
      <c r="D1637" t="s">
        <v>77</v>
      </c>
      <c r="E1637" t="s">
        <v>55</v>
      </c>
      <c r="F1637">
        <v>24</v>
      </c>
      <c r="G1637" t="s">
        <v>86</v>
      </c>
      <c r="H1637" t="s">
        <v>11</v>
      </c>
      <c r="I1637" t="s">
        <v>71</v>
      </c>
      <c r="J1637" t="s">
        <v>41</v>
      </c>
      <c r="K1637">
        <v>3.2</v>
      </c>
      <c r="L1637" t="s">
        <v>140</v>
      </c>
      <c r="M1637" t="s">
        <v>42</v>
      </c>
      <c r="N1637" t="s">
        <v>14</v>
      </c>
      <c r="O1637">
        <v>40</v>
      </c>
      <c r="P1637" t="s">
        <v>21</v>
      </c>
      <c r="Q1637" t="s">
        <v>37</v>
      </c>
      <c r="R1637" t="str" cm="1">
        <f t="array" ref="R1637">_xlfn.IFS(B1637&lt;31,"Young-Adult",B1637&lt;41,"Adult",B1637&lt;61,"Middle-aged",B1637&gt;=61,"Senior")</f>
        <v>Senior</v>
      </c>
      <c r="S1637" cm="1">
        <f t="array" ref="S1637">_xlfn.IFS(Q1637 ="Fortnightly",14,Q1637="Weekly",7,Q1637="Monthly",30,Q1637="Quarterly",90,Q1637="Bi-Weekly",14,Q1637="Annually",365,Q1637="Every 3 Months",90,TRUE,"NOT FOUND")</f>
        <v>365</v>
      </c>
    </row>
    <row r="1638" spans="1:19" x14ac:dyDescent="0.35">
      <c r="A1638">
        <v>1637</v>
      </c>
      <c r="B1638">
        <v>58</v>
      </c>
      <c r="C1638" t="s">
        <v>7</v>
      </c>
      <c r="D1638" t="s">
        <v>125</v>
      </c>
      <c r="E1638" t="s">
        <v>30</v>
      </c>
      <c r="F1638">
        <v>22</v>
      </c>
      <c r="G1638" t="s">
        <v>102</v>
      </c>
      <c r="H1638" t="s">
        <v>11</v>
      </c>
      <c r="I1638" t="s">
        <v>84</v>
      </c>
      <c r="J1638" t="s">
        <v>45</v>
      </c>
      <c r="K1638">
        <v>4</v>
      </c>
      <c r="L1638" t="s">
        <v>140</v>
      </c>
      <c r="M1638" t="s">
        <v>26</v>
      </c>
      <c r="N1638" t="s">
        <v>14</v>
      </c>
      <c r="O1638">
        <v>49</v>
      </c>
      <c r="P1638" t="s">
        <v>21</v>
      </c>
      <c r="Q1638" t="s">
        <v>17</v>
      </c>
      <c r="R1638" t="str" cm="1">
        <f t="array" ref="R1638">_xlfn.IFS(B1638&lt;31,"Young-Adult",B1638&lt;41,"Adult",B1638&lt;61,"Middle-aged",B1638&gt;=61,"Senior")</f>
        <v>Middle-aged</v>
      </c>
      <c r="S1638" cm="1">
        <f t="array" ref="S1638">_xlfn.IFS(Q1638 ="Fortnightly",14,Q1638="Weekly",7,Q1638="Monthly",30,Q1638="Quarterly",90,Q1638="Bi-Weekly",14,Q1638="Annually",365,Q1638="Every 3 Months",90,TRUE,"NOT FOUND")</f>
        <v>14</v>
      </c>
    </row>
    <row r="1639" spans="1:19" x14ac:dyDescent="0.35">
      <c r="A1639">
        <v>1638</v>
      </c>
      <c r="B1639">
        <v>35</v>
      </c>
      <c r="C1639" t="s">
        <v>7</v>
      </c>
      <c r="D1639" t="s">
        <v>69</v>
      </c>
      <c r="E1639" t="s">
        <v>9</v>
      </c>
      <c r="F1639">
        <v>21</v>
      </c>
      <c r="G1639" t="s">
        <v>23</v>
      </c>
      <c r="H1639" t="s">
        <v>32</v>
      </c>
      <c r="I1639" t="s">
        <v>88</v>
      </c>
      <c r="J1639" t="s">
        <v>25</v>
      </c>
      <c r="K1639">
        <v>3.5</v>
      </c>
      <c r="L1639" t="s">
        <v>140</v>
      </c>
      <c r="M1639" t="s">
        <v>33</v>
      </c>
      <c r="N1639" t="s">
        <v>14</v>
      </c>
      <c r="O1639">
        <v>32</v>
      </c>
      <c r="P1639" t="s">
        <v>16</v>
      </c>
      <c r="Q1639" t="s">
        <v>17</v>
      </c>
      <c r="R1639" t="str" cm="1">
        <f t="array" ref="R1639">_xlfn.IFS(B1639&lt;31,"Young-Adult",B1639&lt;41,"Adult",B1639&lt;61,"Middle-aged",B1639&gt;=61,"Senior")</f>
        <v>Adult</v>
      </c>
      <c r="S1639" cm="1">
        <f t="array" ref="S1639">_xlfn.IFS(Q1639 ="Fortnightly",14,Q1639="Weekly",7,Q1639="Monthly",30,Q1639="Quarterly",90,Q1639="Bi-Weekly",14,Q1639="Annually",365,Q1639="Every 3 Months",90,TRUE,"NOT FOUND")</f>
        <v>14</v>
      </c>
    </row>
    <row r="1640" spans="1:19" x14ac:dyDescent="0.35">
      <c r="A1640">
        <v>1639</v>
      </c>
      <c r="B1640">
        <v>68</v>
      </c>
      <c r="C1640" t="s">
        <v>7</v>
      </c>
      <c r="D1640" t="s">
        <v>90</v>
      </c>
      <c r="E1640" t="s">
        <v>51</v>
      </c>
      <c r="F1640">
        <v>51</v>
      </c>
      <c r="G1640" t="s">
        <v>110</v>
      </c>
      <c r="H1640" t="s">
        <v>32</v>
      </c>
      <c r="I1640" t="s">
        <v>82</v>
      </c>
      <c r="J1640" t="s">
        <v>25</v>
      </c>
      <c r="K1640">
        <v>4.5999999999999996</v>
      </c>
      <c r="L1640" t="s">
        <v>140</v>
      </c>
      <c r="M1640" t="s">
        <v>26</v>
      </c>
      <c r="N1640" t="s">
        <v>14</v>
      </c>
      <c r="O1640">
        <v>18</v>
      </c>
      <c r="P1640" t="s">
        <v>16</v>
      </c>
      <c r="Q1640" t="s">
        <v>28</v>
      </c>
      <c r="R1640" t="str" cm="1">
        <f t="array" ref="R1640">_xlfn.IFS(B1640&lt;31,"Young-Adult",B1640&lt;41,"Adult",B1640&lt;61,"Middle-aged",B1640&gt;=61,"Senior")</f>
        <v>Senior</v>
      </c>
      <c r="S1640" cm="1">
        <f t="array" ref="S1640">_xlfn.IFS(Q1640 ="Fortnightly",14,Q1640="Weekly",7,Q1640="Monthly",30,Q1640="Quarterly",90,Q1640="Bi-Weekly",14,Q1640="Annually",365,Q1640="Every 3 Months",90,TRUE,"NOT FOUND")</f>
        <v>7</v>
      </c>
    </row>
    <row r="1641" spans="1:19" x14ac:dyDescent="0.35">
      <c r="A1641">
        <v>1640</v>
      </c>
      <c r="B1641">
        <v>41</v>
      </c>
      <c r="C1641" t="s">
        <v>7</v>
      </c>
      <c r="D1641" t="s">
        <v>131</v>
      </c>
      <c r="E1641" t="s">
        <v>55</v>
      </c>
      <c r="F1641">
        <v>65</v>
      </c>
      <c r="G1641" t="s">
        <v>56</v>
      </c>
      <c r="H1641" t="s">
        <v>11</v>
      </c>
      <c r="I1641" t="s">
        <v>132</v>
      </c>
      <c r="J1641" t="s">
        <v>41</v>
      </c>
      <c r="K1641">
        <v>3.3</v>
      </c>
      <c r="L1641" t="s">
        <v>140</v>
      </c>
      <c r="M1641" t="s">
        <v>26</v>
      </c>
      <c r="N1641" t="s">
        <v>14</v>
      </c>
      <c r="O1641">
        <v>50</v>
      </c>
      <c r="P1641" t="s">
        <v>34</v>
      </c>
      <c r="Q1641" t="s">
        <v>37</v>
      </c>
      <c r="R1641" t="str" cm="1">
        <f t="array" ref="R1641">_xlfn.IFS(B1641&lt;31,"Young-Adult",B1641&lt;41,"Adult",B1641&lt;61,"Middle-aged",B1641&gt;=61,"Senior")</f>
        <v>Middle-aged</v>
      </c>
      <c r="S1641" cm="1">
        <f t="array" ref="S1641">_xlfn.IFS(Q1641 ="Fortnightly",14,Q1641="Weekly",7,Q1641="Monthly",30,Q1641="Quarterly",90,Q1641="Bi-Weekly",14,Q1641="Annually",365,Q1641="Every 3 Months",90,TRUE,"NOT FOUND")</f>
        <v>365</v>
      </c>
    </row>
    <row r="1642" spans="1:19" x14ac:dyDescent="0.35">
      <c r="A1642">
        <v>1641</v>
      </c>
      <c r="B1642">
        <v>65</v>
      </c>
      <c r="C1642" t="s">
        <v>7</v>
      </c>
      <c r="D1642" t="s">
        <v>107</v>
      </c>
      <c r="E1642" t="s">
        <v>55</v>
      </c>
      <c r="F1642">
        <v>51</v>
      </c>
      <c r="G1642" t="s">
        <v>110</v>
      </c>
      <c r="H1642" t="s">
        <v>24</v>
      </c>
      <c r="I1642" t="s">
        <v>124</v>
      </c>
      <c r="J1642" t="s">
        <v>25</v>
      </c>
      <c r="K1642">
        <v>4</v>
      </c>
      <c r="L1642" t="s">
        <v>140</v>
      </c>
      <c r="M1642" t="s">
        <v>58</v>
      </c>
      <c r="N1642" t="s">
        <v>14</v>
      </c>
      <c r="O1642">
        <v>13</v>
      </c>
      <c r="P1642" t="s">
        <v>34</v>
      </c>
      <c r="Q1642" t="s">
        <v>28</v>
      </c>
      <c r="R1642" t="str" cm="1">
        <f t="array" ref="R1642">_xlfn.IFS(B1642&lt;31,"Young-Adult",B1642&lt;41,"Adult",B1642&lt;61,"Middle-aged",B1642&gt;=61,"Senior")</f>
        <v>Senior</v>
      </c>
      <c r="S1642" cm="1">
        <f t="array" ref="S1642">_xlfn.IFS(Q1642 ="Fortnightly",14,Q1642="Weekly",7,Q1642="Monthly",30,Q1642="Quarterly",90,Q1642="Bi-Weekly",14,Q1642="Annually",365,Q1642="Every 3 Months",90,TRUE,"NOT FOUND")</f>
        <v>7</v>
      </c>
    </row>
    <row r="1643" spans="1:19" x14ac:dyDescent="0.35">
      <c r="A1643">
        <v>1642</v>
      </c>
      <c r="B1643">
        <v>50</v>
      </c>
      <c r="C1643" t="s">
        <v>7</v>
      </c>
      <c r="D1643" t="s">
        <v>92</v>
      </c>
      <c r="E1643" t="s">
        <v>9</v>
      </c>
      <c r="F1643">
        <v>32</v>
      </c>
      <c r="G1643" t="s">
        <v>100</v>
      </c>
      <c r="H1643" t="s">
        <v>11</v>
      </c>
      <c r="I1643" t="s">
        <v>71</v>
      </c>
      <c r="J1643" t="s">
        <v>41</v>
      </c>
      <c r="K1643">
        <v>3.4</v>
      </c>
      <c r="L1643" t="s">
        <v>140</v>
      </c>
      <c r="M1643" t="s">
        <v>26</v>
      </c>
      <c r="N1643" t="s">
        <v>14</v>
      </c>
      <c r="O1643">
        <v>1</v>
      </c>
      <c r="P1643" t="s">
        <v>63</v>
      </c>
      <c r="Q1643" t="s">
        <v>85</v>
      </c>
      <c r="R1643" t="str" cm="1">
        <f t="array" ref="R1643">_xlfn.IFS(B1643&lt;31,"Young-Adult",B1643&lt;41,"Adult",B1643&lt;61,"Middle-aged",B1643&gt;=61,"Senior")</f>
        <v>Middle-aged</v>
      </c>
      <c r="S1643" cm="1">
        <f t="array" ref="S1643">_xlfn.IFS(Q1643 ="Fortnightly",14,Q1643="Weekly",7,Q1643="Monthly",30,Q1643="Quarterly",90,Q1643="Bi-Weekly",14,Q1643="Annually",365,Q1643="Every 3 Months",90,TRUE,"NOT FOUND")</f>
        <v>90</v>
      </c>
    </row>
    <row r="1644" spans="1:19" x14ac:dyDescent="0.35">
      <c r="A1644">
        <v>1643</v>
      </c>
      <c r="B1644">
        <v>18</v>
      </c>
      <c r="C1644" t="s">
        <v>7</v>
      </c>
      <c r="D1644" t="s">
        <v>50</v>
      </c>
      <c r="E1644" t="s">
        <v>51</v>
      </c>
      <c r="F1644">
        <v>70</v>
      </c>
      <c r="G1644" t="s">
        <v>79</v>
      </c>
      <c r="H1644" t="s">
        <v>32</v>
      </c>
      <c r="I1644" t="s">
        <v>106</v>
      </c>
      <c r="J1644" t="s">
        <v>25</v>
      </c>
      <c r="K1644">
        <v>4.2</v>
      </c>
      <c r="L1644" t="s">
        <v>140</v>
      </c>
      <c r="M1644" t="s">
        <v>62</v>
      </c>
      <c r="N1644" t="s">
        <v>14</v>
      </c>
      <c r="O1644">
        <v>16</v>
      </c>
      <c r="P1644" t="s">
        <v>34</v>
      </c>
      <c r="Q1644" t="s">
        <v>17</v>
      </c>
      <c r="R1644" t="str" cm="1">
        <f t="array" ref="R1644">_xlfn.IFS(B1644&lt;31,"Young-Adult",B1644&lt;41,"Adult",B1644&lt;61,"Middle-aged",B1644&gt;=61,"Senior")</f>
        <v>Young-Adult</v>
      </c>
      <c r="S1644" cm="1">
        <f t="array" ref="S1644">_xlfn.IFS(Q1644 ="Fortnightly",14,Q1644="Weekly",7,Q1644="Monthly",30,Q1644="Quarterly",90,Q1644="Bi-Weekly",14,Q1644="Annually",365,Q1644="Every 3 Months",90,TRUE,"NOT FOUND")</f>
        <v>14</v>
      </c>
    </row>
    <row r="1645" spans="1:19" x14ac:dyDescent="0.35">
      <c r="A1645">
        <v>1644</v>
      </c>
      <c r="B1645">
        <v>38</v>
      </c>
      <c r="C1645" t="s">
        <v>7</v>
      </c>
      <c r="D1645" t="s">
        <v>107</v>
      </c>
      <c r="E1645" t="s">
        <v>55</v>
      </c>
      <c r="F1645">
        <v>77</v>
      </c>
      <c r="G1645" t="s">
        <v>111</v>
      </c>
      <c r="H1645" t="s">
        <v>11</v>
      </c>
      <c r="I1645" t="s">
        <v>57</v>
      </c>
      <c r="J1645" t="s">
        <v>41</v>
      </c>
      <c r="K1645">
        <v>3.9</v>
      </c>
      <c r="L1645" t="s">
        <v>140</v>
      </c>
      <c r="M1645" t="s">
        <v>58</v>
      </c>
      <c r="N1645" t="s">
        <v>14</v>
      </c>
      <c r="O1645">
        <v>6</v>
      </c>
      <c r="P1645" t="s">
        <v>34</v>
      </c>
      <c r="Q1645" t="s">
        <v>76</v>
      </c>
      <c r="R1645" t="str" cm="1">
        <f t="array" ref="R1645">_xlfn.IFS(B1645&lt;31,"Young-Adult",B1645&lt;41,"Adult",B1645&lt;61,"Middle-aged",B1645&gt;=61,"Senior")</f>
        <v>Adult</v>
      </c>
      <c r="S1645" cm="1">
        <f t="array" ref="S1645">_xlfn.IFS(Q1645 ="Fortnightly",14,Q1645="Weekly",7,Q1645="Monthly",30,Q1645="Quarterly",90,Q1645="Bi-Weekly",14,Q1645="Annually",365,Q1645="Every 3 Months",90,TRUE,"NOT FOUND")</f>
        <v>30</v>
      </c>
    </row>
    <row r="1646" spans="1:19" x14ac:dyDescent="0.35">
      <c r="A1646">
        <v>1645</v>
      </c>
      <c r="B1646">
        <v>68</v>
      </c>
      <c r="C1646" t="s">
        <v>7</v>
      </c>
      <c r="D1646" t="s">
        <v>50</v>
      </c>
      <c r="E1646" t="s">
        <v>51</v>
      </c>
      <c r="F1646">
        <v>90</v>
      </c>
      <c r="G1646" t="s">
        <v>86</v>
      </c>
      <c r="H1646" t="s">
        <v>24</v>
      </c>
      <c r="I1646" t="s">
        <v>106</v>
      </c>
      <c r="J1646" t="s">
        <v>41</v>
      </c>
      <c r="K1646">
        <v>3.9</v>
      </c>
      <c r="L1646" t="s">
        <v>140</v>
      </c>
      <c r="M1646" t="s">
        <v>33</v>
      </c>
      <c r="N1646" t="s">
        <v>14</v>
      </c>
      <c r="O1646">
        <v>21</v>
      </c>
      <c r="P1646" t="s">
        <v>74</v>
      </c>
      <c r="Q1646" t="s">
        <v>76</v>
      </c>
      <c r="R1646" t="str" cm="1">
        <f t="array" ref="R1646">_xlfn.IFS(B1646&lt;31,"Young-Adult",B1646&lt;41,"Adult",B1646&lt;61,"Middle-aged",B1646&gt;=61,"Senior")</f>
        <v>Senior</v>
      </c>
      <c r="S1646" cm="1">
        <f t="array" ref="S1646">_xlfn.IFS(Q1646 ="Fortnightly",14,Q1646="Weekly",7,Q1646="Monthly",30,Q1646="Quarterly",90,Q1646="Bi-Weekly",14,Q1646="Annually",365,Q1646="Every 3 Months",90,TRUE,"NOT FOUND")</f>
        <v>30</v>
      </c>
    </row>
    <row r="1647" spans="1:19" x14ac:dyDescent="0.35">
      <c r="A1647">
        <v>1646</v>
      </c>
      <c r="B1647">
        <v>53</v>
      </c>
      <c r="C1647" t="s">
        <v>7</v>
      </c>
      <c r="D1647" t="s">
        <v>107</v>
      </c>
      <c r="E1647" t="s">
        <v>55</v>
      </c>
      <c r="F1647">
        <v>36</v>
      </c>
      <c r="G1647" t="s">
        <v>111</v>
      </c>
      <c r="H1647" t="s">
        <v>11</v>
      </c>
      <c r="I1647" t="s">
        <v>84</v>
      </c>
      <c r="J1647" t="s">
        <v>41</v>
      </c>
      <c r="K1647">
        <v>2.8</v>
      </c>
      <c r="L1647" t="s">
        <v>140</v>
      </c>
      <c r="M1647" t="s">
        <v>42</v>
      </c>
      <c r="N1647" t="s">
        <v>14</v>
      </c>
      <c r="O1647">
        <v>36</v>
      </c>
      <c r="P1647" t="s">
        <v>16</v>
      </c>
      <c r="Q1647" t="s">
        <v>85</v>
      </c>
      <c r="R1647" t="str" cm="1">
        <f t="array" ref="R1647">_xlfn.IFS(B1647&lt;31,"Young-Adult",B1647&lt;41,"Adult",B1647&lt;61,"Middle-aged",B1647&gt;=61,"Senior")</f>
        <v>Middle-aged</v>
      </c>
      <c r="S1647" cm="1">
        <f t="array" ref="S1647">_xlfn.IFS(Q1647 ="Fortnightly",14,Q1647="Weekly",7,Q1647="Monthly",30,Q1647="Quarterly",90,Q1647="Bi-Weekly",14,Q1647="Annually",365,Q1647="Every 3 Months",90,TRUE,"NOT FOUND")</f>
        <v>90</v>
      </c>
    </row>
    <row r="1648" spans="1:19" x14ac:dyDescent="0.35">
      <c r="A1648">
        <v>1647</v>
      </c>
      <c r="B1648">
        <v>58</v>
      </c>
      <c r="C1648" t="s">
        <v>7</v>
      </c>
      <c r="D1648" t="s">
        <v>54</v>
      </c>
      <c r="E1648" t="s">
        <v>55</v>
      </c>
      <c r="F1648">
        <v>77</v>
      </c>
      <c r="G1648" t="s">
        <v>133</v>
      </c>
      <c r="H1648" t="s">
        <v>24</v>
      </c>
      <c r="I1648" t="s">
        <v>53</v>
      </c>
      <c r="J1648" t="s">
        <v>41</v>
      </c>
      <c r="K1648">
        <v>3.7</v>
      </c>
      <c r="L1648" t="s">
        <v>140</v>
      </c>
      <c r="M1648" t="s">
        <v>42</v>
      </c>
      <c r="N1648" t="s">
        <v>14</v>
      </c>
      <c r="O1648">
        <v>20</v>
      </c>
      <c r="P1648" t="s">
        <v>63</v>
      </c>
      <c r="Q1648" t="s">
        <v>85</v>
      </c>
      <c r="R1648" t="str" cm="1">
        <f t="array" ref="R1648">_xlfn.IFS(B1648&lt;31,"Young-Adult",B1648&lt;41,"Adult",B1648&lt;61,"Middle-aged",B1648&gt;=61,"Senior")</f>
        <v>Middle-aged</v>
      </c>
      <c r="S1648" cm="1">
        <f t="array" ref="S1648">_xlfn.IFS(Q1648 ="Fortnightly",14,Q1648="Weekly",7,Q1648="Monthly",30,Q1648="Quarterly",90,Q1648="Bi-Weekly",14,Q1648="Annually",365,Q1648="Every 3 Months",90,TRUE,"NOT FOUND")</f>
        <v>90</v>
      </c>
    </row>
    <row r="1649" spans="1:19" x14ac:dyDescent="0.35">
      <c r="A1649">
        <v>1648</v>
      </c>
      <c r="B1649">
        <v>34</v>
      </c>
      <c r="C1649" t="s">
        <v>7</v>
      </c>
      <c r="D1649" t="s">
        <v>125</v>
      </c>
      <c r="E1649" t="s">
        <v>30</v>
      </c>
      <c r="F1649">
        <v>78</v>
      </c>
      <c r="G1649" t="s">
        <v>65</v>
      </c>
      <c r="H1649" t="s">
        <v>32</v>
      </c>
      <c r="I1649" t="s">
        <v>61</v>
      </c>
      <c r="J1649" t="s">
        <v>41</v>
      </c>
      <c r="K1649">
        <v>4.9000000000000004</v>
      </c>
      <c r="L1649" t="s">
        <v>140</v>
      </c>
      <c r="M1649" t="s">
        <v>62</v>
      </c>
      <c r="N1649" t="s">
        <v>14</v>
      </c>
      <c r="O1649">
        <v>8</v>
      </c>
      <c r="P1649" t="s">
        <v>74</v>
      </c>
      <c r="Q1649" t="s">
        <v>46</v>
      </c>
      <c r="R1649" t="str" cm="1">
        <f t="array" ref="R1649">_xlfn.IFS(B1649&lt;31,"Young-Adult",B1649&lt;41,"Adult",B1649&lt;61,"Middle-aged",B1649&gt;=61,"Senior")</f>
        <v>Adult</v>
      </c>
      <c r="S1649" cm="1">
        <f t="array" ref="S1649">_xlfn.IFS(Q1649 ="Fortnightly",14,Q1649="Weekly",7,Q1649="Monthly",30,Q1649="Quarterly",90,Q1649="Bi-Weekly",14,Q1649="Annually",365,Q1649="Every 3 Months",90,TRUE,"NOT FOUND")</f>
        <v>90</v>
      </c>
    </row>
    <row r="1650" spans="1:19" x14ac:dyDescent="0.35">
      <c r="A1650">
        <v>1649</v>
      </c>
      <c r="B1650">
        <v>36</v>
      </c>
      <c r="C1650" t="s">
        <v>7</v>
      </c>
      <c r="D1650" t="s">
        <v>83</v>
      </c>
      <c r="E1650" t="s">
        <v>9</v>
      </c>
      <c r="F1650">
        <v>69</v>
      </c>
      <c r="G1650" t="s">
        <v>89</v>
      </c>
      <c r="H1650" t="s">
        <v>32</v>
      </c>
      <c r="I1650" t="s">
        <v>12</v>
      </c>
      <c r="J1650" t="s">
        <v>41</v>
      </c>
      <c r="K1650">
        <v>2.6</v>
      </c>
      <c r="L1650" t="s">
        <v>140</v>
      </c>
      <c r="M1650" t="s">
        <v>15</v>
      </c>
      <c r="N1650" t="s">
        <v>14</v>
      </c>
      <c r="O1650">
        <v>22</v>
      </c>
      <c r="P1650" t="s">
        <v>27</v>
      </c>
      <c r="Q1650" t="s">
        <v>76</v>
      </c>
      <c r="R1650" t="str" cm="1">
        <f t="array" ref="R1650">_xlfn.IFS(B1650&lt;31,"Young-Adult",B1650&lt;41,"Adult",B1650&lt;61,"Middle-aged",B1650&gt;=61,"Senior")</f>
        <v>Adult</v>
      </c>
      <c r="S1650" cm="1">
        <f t="array" ref="S1650">_xlfn.IFS(Q1650 ="Fortnightly",14,Q1650="Weekly",7,Q1650="Monthly",30,Q1650="Quarterly",90,Q1650="Bi-Weekly",14,Q1650="Annually",365,Q1650="Every 3 Months",90,TRUE,"NOT FOUND")</f>
        <v>30</v>
      </c>
    </row>
    <row r="1651" spans="1:19" x14ac:dyDescent="0.35">
      <c r="A1651">
        <v>1650</v>
      </c>
      <c r="B1651">
        <v>58</v>
      </c>
      <c r="C1651" t="s">
        <v>7</v>
      </c>
      <c r="D1651" t="s">
        <v>101</v>
      </c>
      <c r="E1651" t="s">
        <v>9</v>
      </c>
      <c r="F1651">
        <v>63</v>
      </c>
      <c r="G1651" t="s">
        <v>138</v>
      </c>
      <c r="H1651" t="s">
        <v>32</v>
      </c>
      <c r="I1651" t="s">
        <v>40</v>
      </c>
      <c r="J1651" t="s">
        <v>41</v>
      </c>
      <c r="K1651">
        <v>4.9000000000000004</v>
      </c>
      <c r="L1651" t="s">
        <v>140</v>
      </c>
      <c r="M1651" t="s">
        <v>26</v>
      </c>
      <c r="N1651" t="s">
        <v>14</v>
      </c>
      <c r="O1651">
        <v>3</v>
      </c>
      <c r="P1651" t="s">
        <v>27</v>
      </c>
      <c r="Q1651" t="s">
        <v>46</v>
      </c>
      <c r="R1651" t="str" cm="1">
        <f t="array" ref="R1651">_xlfn.IFS(B1651&lt;31,"Young-Adult",B1651&lt;41,"Adult",B1651&lt;61,"Middle-aged",B1651&gt;=61,"Senior")</f>
        <v>Middle-aged</v>
      </c>
      <c r="S1651" cm="1">
        <f t="array" ref="S1651">_xlfn.IFS(Q1651 ="Fortnightly",14,Q1651="Weekly",7,Q1651="Monthly",30,Q1651="Quarterly",90,Q1651="Bi-Weekly",14,Q1651="Annually",365,Q1651="Every 3 Months",90,TRUE,"NOT FOUND")</f>
        <v>90</v>
      </c>
    </row>
    <row r="1652" spans="1:19" x14ac:dyDescent="0.35">
      <c r="A1652">
        <v>1651</v>
      </c>
      <c r="B1652">
        <v>60</v>
      </c>
      <c r="C1652" t="s">
        <v>7</v>
      </c>
      <c r="D1652" t="s">
        <v>107</v>
      </c>
      <c r="E1652" t="s">
        <v>55</v>
      </c>
      <c r="F1652">
        <v>36</v>
      </c>
      <c r="G1652" t="s">
        <v>60</v>
      </c>
      <c r="H1652" t="s">
        <v>32</v>
      </c>
      <c r="I1652" t="s">
        <v>53</v>
      </c>
      <c r="J1652" t="s">
        <v>13</v>
      </c>
      <c r="K1652">
        <v>3.4</v>
      </c>
      <c r="L1652" t="s">
        <v>140</v>
      </c>
      <c r="M1652" t="s">
        <v>33</v>
      </c>
      <c r="N1652" t="s">
        <v>14</v>
      </c>
      <c r="O1652">
        <v>46</v>
      </c>
      <c r="P1652" t="s">
        <v>27</v>
      </c>
      <c r="Q1652" t="s">
        <v>17</v>
      </c>
      <c r="R1652" t="str" cm="1">
        <f t="array" ref="R1652">_xlfn.IFS(B1652&lt;31,"Young-Adult",B1652&lt;41,"Adult",B1652&lt;61,"Middle-aged",B1652&gt;=61,"Senior")</f>
        <v>Middle-aged</v>
      </c>
      <c r="S1652" cm="1">
        <f t="array" ref="S1652">_xlfn.IFS(Q1652 ="Fortnightly",14,Q1652="Weekly",7,Q1652="Monthly",30,Q1652="Quarterly",90,Q1652="Bi-Weekly",14,Q1652="Annually",365,Q1652="Every 3 Months",90,TRUE,"NOT FOUND")</f>
        <v>14</v>
      </c>
    </row>
    <row r="1653" spans="1:19" x14ac:dyDescent="0.35">
      <c r="A1653">
        <v>1652</v>
      </c>
      <c r="B1653">
        <v>59</v>
      </c>
      <c r="C1653" t="s">
        <v>7</v>
      </c>
      <c r="D1653" t="s">
        <v>50</v>
      </c>
      <c r="E1653" t="s">
        <v>51</v>
      </c>
      <c r="F1653">
        <v>80</v>
      </c>
      <c r="G1653" t="s">
        <v>93</v>
      </c>
      <c r="H1653" t="s">
        <v>32</v>
      </c>
      <c r="I1653" t="s">
        <v>132</v>
      </c>
      <c r="J1653" t="s">
        <v>13</v>
      </c>
      <c r="K1653">
        <v>3.9</v>
      </c>
      <c r="L1653" t="s">
        <v>140</v>
      </c>
      <c r="M1653" t="s">
        <v>42</v>
      </c>
      <c r="N1653" t="s">
        <v>14</v>
      </c>
      <c r="O1653">
        <v>42</v>
      </c>
      <c r="P1653" t="s">
        <v>74</v>
      </c>
      <c r="Q1653" t="s">
        <v>76</v>
      </c>
      <c r="R1653" t="str" cm="1">
        <f t="array" ref="R1653">_xlfn.IFS(B1653&lt;31,"Young-Adult",B1653&lt;41,"Adult",B1653&lt;61,"Middle-aged",B1653&gt;=61,"Senior")</f>
        <v>Middle-aged</v>
      </c>
      <c r="S1653" cm="1">
        <f t="array" ref="S1653">_xlfn.IFS(Q1653 ="Fortnightly",14,Q1653="Weekly",7,Q1653="Monthly",30,Q1653="Quarterly",90,Q1653="Bi-Weekly",14,Q1653="Annually",365,Q1653="Every 3 Months",90,TRUE,"NOT FOUND")</f>
        <v>30</v>
      </c>
    </row>
    <row r="1654" spans="1:19" x14ac:dyDescent="0.35">
      <c r="A1654">
        <v>1653</v>
      </c>
      <c r="B1654">
        <v>65</v>
      </c>
      <c r="C1654" t="s">
        <v>7</v>
      </c>
      <c r="D1654" t="s">
        <v>18</v>
      </c>
      <c r="E1654" t="s">
        <v>9</v>
      </c>
      <c r="F1654">
        <v>35</v>
      </c>
      <c r="G1654" t="s">
        <v>118</v>
      </c>
      <c r="H1654" t="s">
        <v>32</v>
      </c>
      <c r="I1654" t="s">
        <v>109</v>
      </c>
      <c r="J1654" t="s">
        <v>41</v>
      </c>
      <c r="K1654">
        <v>4</v>
      </c>
      <c r="L1654" t="s">
        <v>140</v>
      </c>
      <c r="M1654" t="s">
        <v>33</v>
      </c>
      <c r="N1654" t="s">
        <v>14</v>
      </c>
      <c r="O1654">
        <v>1</v>
      </c>
      <c r="P1654" t="s">
        <v>63</v>
      </c>
      <c r="Q1654" t="s">
        <v>17</v>
      </c>
      <c r="R1654" t="str" cm="1">
        <f t="array" ref="R1654">_xlfn.IFS(B1654&lt;31,"Young-Adult",B1654&lt;41,"Adult",B1654&lt;61,"Middle-aged",B1654&gt;=61,"Senior")</f>
        <v>Senior</v>
      </c>
      <c r="S1654" cm="1">
        <f t="array" ref="S1654">_xlfn.IFS(Q1654 ="Fortnightly",14,Q1654="Weekly",7,Q1654="Monthly",30,Q1654="Quarterly",90,Q1654="Bi-Weekly",14,Q1654="Annually",365,Q1654="Every 3 Months",90,TRUE,"NOT FOUND")</f>
        <v>14</v>
      </c>
    </row>
    <row r="1655" spans="1:19" x14ac:dyDescent="0.35">
      <c r="A1655">
        <v>1654</v>
      </c>
      <c r="B1655">
        <v>31</v>
      </c>
      <c r="C1655" t="s">
        <v>7</v>
      </c>
      <c r="D1655" t="s">
        <v>121</v>
      </c>
      <c r="E1655" t="s">
        <v>55</v>
      </c>
      <c r="F1655">
        <v>93</v>
      </c>
      <c r="G1655" t="s">
        <v>100</v>
      </c>
      <c r="H1655" t="s">
        <v>11</v>
      </c>
      <c r="I1655" t="s">
        <v>53</v>
      </c>
      <c r="J1655" t="s">
        <v>13</v>
      </c>
      <c r="K1655">
        <v>3</v>
      </c>
      <c r="L1655" t="s">
        <v>140</v>
      </c>
      <c r="M1655" t="s">
        <v>58</v>
      </c>
      <c r="N1655" t="s">
        <v>14</v>
      </c>
      <c r="O1655">
        <v>29</v>
      </c>
      <c r="P1655" t="s">
        <v>74</v>
      </c>
      <c r="Q1655" t="s">
        <v>64</v>
      </c>
      <c r="R1655" t="str" cm="1">
        <f t="array" ref="R1655">_xlfn.IFS(B1655&lt;31,"Young-Adult",B1655&lt;41,"Adult",B1655&lt;61,"Middle-aged",B1655&gt;=61,"Senior")</f>
        <v>Adult</v>
      </c>
      <c r="S1655" cm="1">
        <f t="array" ref="S1655">_xlfn.IFS(Q1655 ="Fortnightly",14,Q1655="Weekly",7,Q1655="Monthly",30,Q1655="Quarterly",90,Q1655="Bi-Weekly",14,Q1655="Annually",365,Q1655="Every 3 Months",90,TRUE,"NOT FOUND")</f>
        <v>14</v>
      </c>
    </row>
    <row r="1656" spans="1:19" x14ac:dyDescent="0.35">
      <c r="A1656">
        <v>1655</v>
      </c>
      <c r="B1656">
        <v>43</v>
      </c>
      <c r="C1656" t="s">
        <v>7</v>
      </c>
      <c r="D1656" t="s">
        <v>121</v>
      </c>
      <c r="E1656" t="s">
        <v>55</v>
      </c>
      <c r="F1656">
        <v>25</v>
      </c>
      <c r="G1656" t="s">
        <v>104</v>
      </c>
      <c r="H1656" t="s">
        <v>11</v>
      </c>
      <c r="I1656" t="s">
        <v>12</v>
      </c>
      <c r="J1656" t="s">
        <v>25</v>
      </c>
      <c r="K1656">
        <v>2.6</v>
      </c>
      <c r="L1656" t="s">
        <v>140</v>
      </c>
      <c r="M1656" t="s">
        <v>62</v>
      </c>
      <c r="N1656" t="s">
        <v>14</v>
      </c>
      <c r="O1656">
        <v>14</v>
      </c>
      <c r="P1656" t="s">
        <v>27</v>
      </c>
      <c r="Q1656" t="s">
        <v>46</v>
      </c>
      <c r="R1656" t="str" cm="1">
        <f t="array" ref="R1656">_xlfn.IFS(B1656&lt;31,"Young-Adult",B1656&lt;41,"Adult",B1656&lt;61,"Middle-aged",B1656&gt;=61,"Senior")</f>
        <v>Middle-aged</v>
      </c>
      <c r="S1656" cm="1">
        <f t="array" ref="S1656">_xlfn.IFS(Q1656 ="Fortnightly",14,Q1656="Weekly",7,Q1656="Monthly",30,Q1656="Quarterly",90,Q1656="Bi-Weekly",14,Q1656="Annually",365,Q1656="Every 3 Months",90,TRUE,"NOT FOUND")</f>
        <v>90</v>
      </c>
    </row>
    <row r="1657" spans="1:19" x14ac:dyDescent="0.35">
      <c r="A1657">
        <v>1656</v>
      </c>
      <c r="B1657">
        <v>37</v>
      </c>
      <c r="C1657" t="s">
        <v>7</v>
      </c>
      <c r="D1657" t="s">
        <v>18</v>
      </c>
      <c r="E1657" t="s">
        <v>9</v>
      </c>
      <c r="F1657">
        <v>81</v>
      </c>
      <c r="G1657" t="s">
        <v>105</v>
      </c>
      <c r="H1657" t="s">
        <v>11</v>
      </c>
      <c r="I1657" t="s">
        <v>68</v>
      </c>
      <c r="J1657" t="s">
        <v>25</v>
      </c>
      <c r="K1657">
        <v>3.2</v>
      </c>
      <c r="L1657" t="s">
        <v>140</v>
      </c>
      <c r="M1657" t="s">
        <v>33</v>
      </c>
      <c r="N1657" t="s">
        <v>14</v>
      </c>
      <c r="O1657">
        <v>4</v>
      </c>
      <c r="P1657" t="s">
        <v>34</v>
      </c>
      <c r="Q1657" t="s">
        <v>76</v>
      </c>
      <c r="R1657" t="str" cm="1">
        <f t="array" ref="R1657">_xlfn.IFS(B1657&lt;31,"Young-Adult",B1657&lt;41,"Adult",B1657&lt;61,"Middle-aged",B1657&gt;=61,"Senior")</f>
        <v>Adult</v>
      </c>
      <c r="S1657" cm="1">
        <f t="array" ref="S1657">_xlfn.IFS(Q1657 ="Fortnightly",14,Q1657="Weekly",7,Q1657="Monthly",30,Q1657="Quarterly",90,Q1657="Bi-Weekly",14,Q1657="Annually",365,Q1657="Every 3 Months",90,TRUE,"NOT FOUND")</f>
        <v>30</v>
      </c>
    </row>
    <row r="1658" spans="1:19" x14ac:dyDescent="0.35">
      <c r="A1658">
        <v>1657</v>
      </c>
      <c r="B1658">
        <v>21</v>
      </c>
      <c r="C1658" t="s">
        <v>7</v>
      </c>
      <c r="D1658" t="s">
        <v>8</v>
      </c>
      <c r="E1658" t="s">
        <v>9</v>
      </c>
      <c r="F1658">
        <v>42</v>
      </c>
      <c r="G1658" t="s">
        <v>104</v>
      </c>
      <c r="H1658" t="s">
        <v>11</v>
      </c>
      <c r="I1658" t="s">
        <v>98</v>
      </c>
      <c r="J1658" t="s">
        <v>25</v>
      </c>
      <c r="K1658">
        <v>2.6</v>
      </c>
      <c r="L1658" t="s">
        <v>140</v>
      </c>
      <c r="M1658" t="s">
        <v>58</v>
      </c>
      <c r="N1658" t="s">
        <v>14</v>
      </c>
      <c r="O1658">
        <v>41</v>
      </c>
      <c r="P1658" t="s">
        <v>34</v>
      </c>
      <c r="Q1658" t="s">
        <v>85</v>
      </c>
      <c r="R1658" t="str" cm="1">
        <f t="array" ref="R1658">_xlfn.IFS(B1658&lt;31,"Young-Adult",B1658&lt;41,"Adult",B1658&lt;61,"Middle-aged",B1658&gt;=61,"Senior")</f>
        <v>Young-Adult</v>
      </c>
      <c r="S1658" cm="1">
        <f t="array" ref="S1658">_xlfn.IFS(Q1658 ="Fortnightly",14,Q1658="Weekly",7,Q1658="Monthly",30,Q1658="Quarterly",90,Q1658="Bi-Weekly",14,Q1658="Annually",365,Q1658="Every 3 Months",90,TRUE,"NOT FOUND")</f>
        <v>90</v>
      </c>
    </row>
    <row r="1659" spans="1:19" x14ac:dyDescent="0.35">
      <c r="A1659">
        <v>1658</v>
      </c>
      <c r="B1659">
        <v>69</v>
      </c>
      <c r="C1659" t="s">
        <v>7</v>
      </c>
      <c r="D1659" t="s">
        <v>75</v>
      </c>
      <c r="E1659" t="s">
        <v>9</v>
      </c>
      <c r="F1659">
        <v>36</v>
      </c>
      <c r="G1659" t="s">
        <v>104</v>
      </c>
      <c r="H1659" t="s">
        <v>11</v>
      </c>
      <c r="I1659" t="s">
        <v>36</v>
      </c>
      <c r="J1659" t="s">
        <v>25</v>
      </c>
      <c r="K1659">
        <v>3.2</v>
      </c>
      <c r="L1659" t="s">
        <v>140</v>
      </c>
      <c r="M1659" t="s">
        <v>62</v>
      </c>
      <c r="N1659" t="s">
        <v>14</v>
      </c>
      <c r="O1659">
        <v>4</v>
      </c>
      <c r="P1659" t="s">
        <v>74</v>
      </c>
      <c r="Q1659" t="s">
        <v>64</v>
      </c>
      <c r="R1659" t="str" cm="1">
        <f t="array" ref="R1659">_xlfn.IFS(B1659&lt;31,"Young-Adult",B1659&lt;41,"Adult",B1659&lt;61,"Middle-aged",B1659&gt;=61,"Senior")</f>
        <v>Senior</v>
      </c>
      <c r="S1659" cm="1">
        <f t="array" ref="S1659">_xlfn.IFS(Q1659 ="Fortnightly",14,Q1659="Weekly",7,Q1659="Monthly",30,Q1659="Quarterly",90,Q1659="Bi-Weekly",14,Q1659="Annually",365,Q1659="Every 3 Months",90,TRUE,"NOT FOUND")</f>
        <v>14</v>
      </c>
    </row>
    <row r="1660" spans="1:19" x14ac:dyDescent="0.35">
      <c r="A1660">
        <v>1659</v>
      </c>
      <c r="B1660">
        <v>32</v>
      </c>
      <c r="C1660" t="s">
        <v>7</v>
      </c>
      <c r="D1660" t="s">
        <v>94</v>
      </c>
      <c r="E1660" t="s">
        <v>55</v>
      </c>
      <c r="F1660">
        <v>66</v>
      </c>
      <c r="G1660" t="s">
        <v>108</v>
      </c>
      <c r="H1660" t="s">
        <v>24</v>
      </c>
      <c r="I1660" t="s">
        <v>57</v>
      </c>
      <c r="J1660" t="s">
        <v>25</v>
      </c>
      <c r="K1660">
        <v>4.0999999999999996</v>
      </c>
      <c r="L1660" t="s">
        <v>140</v>
      </c>
      <c r="M1660" t="s">
        <v>62</v>
      </c>
      <c r="N1660" t="s">
        <v>14</v>
      </c>
      <c r="O1660">
        <v>47</v>
      </c>
      <c r="P1660" t="s">
        <v>21</v>
      </c>
      <c r="Q1660" t="s">
        <v>28</v>
      </c>
      <c r="R1660" t="str" cm="1">
        <f t="array" ref="R1660">_xlfn.IFS(B1660&lt;31,"Young-Adult",B1660&lt;41,"Adult",B1660&lt;61,"Middle-aged",B1660&gt;=61,"Senior")</f>
        <v>Adult</v>
      </c>
      <c r="S1660" cm="1">
        <f t="array" ref="S1660">_xlfn.IFS(Q1660 ="Fortnightly",14,Q1660="Weekly",7,Q1660="Monthly",30,Q1660="Quarterly",90,Q1660="Bi-Weekly",14,Q1660="Annually",365,Q1660="Every 3 Months",90,TRUE,"NOT FOUND")</f>
        <v>7</v>
      </c>
    </row>
    <row r="1661" spans="1:19" x14ac:dyDescent="0.35">
      <c r="A1661">
        <v>1660</v>
      </c>
      <c r="B1661">
        <v>53</v>
      </c>
      <c r="C1661" t="s">
        <v>7</v>
      </c>
      <c r="D1661" t="s">
        <v>131</v>
      </c>
      <c r="E1661" t="s">
        <v>55</v>
      </c>
      <c r="F1661">
        <v>37</v>
      </c>
      <c r="G1661" t="s">
        <v>128</v>
      </c>
      <c r="H1661" t="s">
        <v>32</v>
      </c>
      <c r="I1661" t="s">
        <v>82</v>
      </c>
      <c r="J1661" t="s">
        <v>45</v>
      </c>
      <c r="K1661">
        <v>3.9</v>
      </c>
      <c r="L1661" t="s">
        <v>140</v>
      </c>
      <c r="M1661" t="s">
        <v>33</v>
      </c>
      <c r="N1661" t="s">
        <v>14</v>
      </c>
      <c r="O1661">
        <v>44</v>
      </c>
      <c r="P1661" t="s">
        <v>16</v>
      </c>
      <c r="Q1661" t="s">
        <v>37</v>
      </c>
      <c r="R1661" t="str" cm="1">
        <f t="array" ref="R1661">_xlfn.IFS(B1661&lt;31,"Young-Adult",B1661&lt;41,"Adult",B1661&lt;61,"Middle-aged",B1661&gt;=61,"Senior")</f>
        <v>Middle-aged</v>
      </c>
      <c r="S1661" cm="1">
        <f t="array" ref="S1661">_xlfn.IFS(Q1661 ="Fortnightly",14,Q1661="Weekly",7,Q1661="Monthly",30,Q1661="Quarterly",90,Q1661="Bi-Weekly",14,Q1661="Annually",365,Q1661="Every 3 Months",90,TRUE,"NOT FOUND")</f>
        <v>365</v>
      </c>
    </row>
    <row r="1662" spans="1:19" x14ac:dyDescent="0.35">
      <c r="A1662">
        <v>1661</v>
      </c>
      <c r="B1662">
        <v>59</v>
      </c>
      <c r="C1662" t="s">
        <v>7</v>
      </c>
      <c r="D1662" t="s">
        <v>101</v>
      </c>
      <c r="E1662" t="s">
        <v>9</v>
      </c>
      <c r="F1662">
        <v>45</v>
      </c>
      <c r="G1662" t="s">
        <v>48</v>
      </c>
      <c r="H1662" t="s">
        <v>11</v>
      </c>
      <c r="I1662" t="s">
        <v>122</v>
      </c>
      <c r="J1662" t="s">
        <v>13</v>
      </c>
      <c r="K1662">
        <v>4.0999999999999996</v>
      </c>
      <c r="L1662" t="s">
        <v>140</v>
      </c>
      <c r="M1662" t="s">
        <v>42</v>
      </c>
      <c r="N1662" t="s">
        <v>14</v>
      </c>
      <c r="O1662">
        <v>37</v>
      </c>
      <c r="P1662" t="s">
        <v>16</v>
      </c>
      <c r="Q1662" t="s">
        <v>76</v>
      </c>
      <c r="R1662" t="str" cm="1">
        <f t="array" ref="R1662">_xlfn.IFS(B1662&lt;31,"Young-Adult",B1662&lt;41,"Adult",B1662&lt;61,"Middle-aged",B1662&gt;=61,"Senior")</f>
        <v>Middle-aged</v>
      </c>
      <c r="S1662" cm="1">
        <f t="array" ref="S1662">_xlfn.IFS(Q1662 ="Fortnightly",14,Q1662="Weekly",7,Q1662="Monthly",30,Q1662="Quarterly",90,Q1662="Bi-Weekly",14,Q1662="Annually",365,Q1662="Every 3 Months",90,TRUE,"NOT FOUND")</f>
        <v>30</v>
      </c>
    </row>
    <row r="1663" spans="1:19" x14ac:dyDescent="0.35">
      <c r="A1663">
        <v>1662</v>
      </c>
      <c r="B1663">
        <v>64</v>
      </c>
      <c r="C1663" t="s">
        <v>7</v>
      </c>
      <c r="D1663" t="s">
        <v>131</v>
      </c>
      <c r="E1663" t="s">
        <v>55</v>
      </c>
      <c r="F1663">
        <v>86</v>
      </c>
      <c r="G1663" t="s">
        <v>134</v>
      </c>
      <c r="H1663" t="s">
        <v>24</v>
      </c>
      <c r="I1663" t="s">
        <v>106</v>
      </c>
      <c r="J1663" t="s">
        <v>41</v>
      </c>
      <c r="K1663">
        <v>2.7</v>
      </c>
      <c r="L1663" t="s">
        <v>140</v>
      </c>
      <c r="M1663" t="s">
        <v>58</v>
      </c>
      <c r="N1663" t="s">
        <v>14</v>
      </c>
      <c r="O1663">
        <v>21</v>
      </c>
      <c r="P1663" t="s">
        <v>74</v>
      </c>
      <c r="Q1663" t="s">
        <v>46</v>
      </c>
      <c r="R1663" t="str" cm="1">
        <f t="array" ref="R1663">_xlfn.IFS(B1663&lt;31,"Young-Adult",B1663&lt;41,"Adult",B1663&lt;61,"Middle-aged",B1663&gt;=61,"Senior")</f>
        <v>Senior</v>
      </c>
      <c r="S1663" cm="1">
        <f t="array" ref="S1663">_xlfn.IFS(Q1663 ="Fortnightly",14,Q1663="Weekly",7,Q1663="Monthly",30,Q1663="Quarterly",90,Q1663="Bi-Weekly",14,Q1663="Annually",365,Q1663="Every 3 Months",90,TRUE,"NOT FOUND")</f>
        <v>90</v>
      </c>
    </row>
    <row r="1664" spans="1:19" x14ac:dyDescent="0.35">
      <c r="A1664">
        <v>1663</v>
      </c>
      <c r="B1664">
        <v>63</v>
      </c>
      <c r="C1664" t="s">
        <v>7</v>
      </c>
      <c r="D1664" t="s">
        <v>77</v>
      </c>
      <c r="E1664" t="s">
        <v>55</v>
      </c>
      <c r="F1664">
        <v>24</v>
      </c>
      <c r="G1664" t="s">
        <v>118</v>
      </c>
      <c r="H1664" t="s">
        <v>32</v>
      </c>
      <c r="I1664" t="s">
        <v>66</v>
      </c>
      <c r="J1664" t="s">
        <v>13</v>
      </c>
      <c r="K1664">
        <v>4.5999999999999996</v>
      </c>
      <c r="L1664" t="s">
        <v>140</v>
      </c>
      <c r="M1664" t="s">
        <v>26</v>
      </c>
      <c r="N1664" t="s">
        <v>14</v>
      </c>
      <c r="O1664">
        <v>46</v>
      </c>
      <c r="P1664" t="s">
        <v>74</v>
      </c>
      <c r="Q1664" t="s">
        <v>17</v>
      </c>
      <c r="R1664" t="str" cm="1">
        <f t="array" ref="R1664">_xlfn.IFS(B1664&lt;31,"Young-Adult",B1664&lt;41,"Adult",B1664&lt;61,"Middle-aged",B1664&gt;=61,"Senior")</f>
        <v>Senior</v>
      </c>
      <c r="S1664" cm="1">
        <f t="array" ref="S1664">_xlfn.IFS(Q1664 ="Fortnightly",14,Q1664="Weekly",7,Q1664="Monthly",30,Q1664="Quarterly",90,Q1664="Bi-Weekly",14,Q1664="Annually",365,Q1664="Every 3 Months",90,TRUE,"NOT FOUND")</f>
        <v>14</v>
      </c>
    </row>
    <row r="1665" spans="1:19" x14ac:dyDescent="0.35">
      <c r="A1665">
        <v>1664</v>
      </c>
      <c r="B1665">
        <v>43</v>
      </c>
      <c r="C1665" t="s">
        <v>7</v>
      </c>
      <c r="D1665" t="s">
        <v>43</v>
      </c>
      <c r="E1665" t="s">
        <v>9</v>
      </c>
      <c r="F1665">
        <v>22</v>
      </c>
      <c r="G1665" t="s">
        <v>19</v>
      </c>
      <c r="H1665" t="s">
        <v>80</v>
      </c>
      <c r="I1665" t="s">
        <v>68</v>
      </c>
      <c r="J1665" t="s">
        <v>41</v>
      </c>
      <c r="K1665">
        <v>3.5</v>
      </c>
      <c r="L1665" t="s">
        <v>140</v>
      </c>
      <c r="M1665" t="s">
        <v>42</v>
      </c>
      <c r="N1665" t="s">
        <v>14</v>
      </c>
      <c r="O1665">
        <v>1</v>
      </c>
      <c r="P1665" t="s">
        <v>21</v>
      </c>
      <c r="Q1665" t="s">
        <v>64</v>
      </c>
      <c r="R1665" t="str" cm="1">
        <f t="array" ref="R1665">_xlfn.IFS(B1665&lt;31,"Young-Adult",B1665&lt;41,"Adult",B1665&lt;61,"Middle-aged",B1665&gt;=61,"Senior")</f>
        <v>Middle-aged</v>
      </c>
      <c r="S1665" cm="1">
        <f t="array" ref="S1665">_xlfn.IFS(Q1665 ="Fortnightly",14,Q1665="Weekly",7,Q1665="Monthly",30,Q1665="Quarterly",90,Q1665="Bi-Weekly",14,Q1665="Annually",365,Q1665="Every 3 Months",90,TRUE,"NOT FOUND")</f>
        <v>14</v>
      </c>
    </row>
    <row r="1666" spans="1:19" x14ac:dyDescent="0.35">
      <c r="A1666">
        <v>1665</v>
      </c>
      <c r="B1666">
        <v>19</v>
      </c>
      <c r="C1666" t="s">
        <v>7</v>
      </c>
      <c r="D1666" t="s">
        <v>54</v>
      </c>
      <c r="E1666" t="s">
        <v>55</v>
      </c>
      <c r="F1666">
        <v>53</v>
      </c>
      <c r="G1666" t="s">
        <v>136</v>
      </c>
      <c r="H1666" t="s">
        <v>32</v>
      </c>
      <c r="I1666" t="s">
        <v>61</v>
      </c>
      <c r="J1666" t="s">
        <v>25</v>
      </c>
      <c r="K1666">
        <v>5</v>
      </c>
      <c r="L1666" t="s">
        <v>140</v>
      </c>
      <c r="M1666" t="s">
        <v>33</v>
      </c>
      <c r="N1666" t="s">
        <v>14</v>
      </c>
      <c r="O1666">
        <v>35</v>
      </c>
      <c r="P1666" t="s">
        <v>34</v>
      </c>
      <c r="Q1666" t="s">
        <v>28</v>
      </c>
      <c r="R1666" t="str" cm="1">
        <f t="array" ref="R1666">_xlfn.IFS(B1666&lt;31,"Young-Adult",B1666&lt;41,"Adult",B1666&lt;61,"Middle-aged",B1666&gt;=61,"Senior")</f>
        <v>Young-Adult</v>
      </c>
      <c r="S1666" cm="1">
        <f t="array" ref="S1666">_xlfn.IFS(Q1666 ="Fortnightly",14,Q1666="Weekly",7,Q1666="Monthly",30,Q1666="Quarterly",90,Q1666="Bi-Weekly",14,Q1666="Annually",365,Q1666="Every 3 Months",90,TRUE,"NOT FOUND")</f>
        <v>7</v>
      </c>
    </row>
    <row r="1667" spans="1:19" x14ac:dyDescent="0.35">
      <c r="A1667">
        <v>1666</v>
      </c>
      <c r="B1667">
        <v>40</v>
      </c>
      <c r="C1667" t="s">
        <v>7</v>
      </c>
      <c r="D1667" t="s">
        <v>90</v>
      </c>
      <c r="E1667" t="s">
        <v>51</v>
      </c>
      <c r="F1667">
        <v>41</v>
      </c>
      <c r="G1667" t="s">
        <v>118</v>
      </c>
      <c r="H1667" t="s">
        <v>11</v>
      </c>
      <c r="I1667" t="s">
        <v>57</v>
      </c>
      <c r="J1667" t="s">
        <v>45</v>
      </c>
      <c r="K1667">
        <v>3.4</v>
      </c>
      <c r="L1667" t="s">
        <v>140</v>
      </c>
      <c r="M1667" t="s">
        <v>33</v>
      </c>
      <c r="N1667" t="s">
        <v>14</v>
      </c>
      <c r="O1667">
        <v>49</v>
      </c>
      <c r="P1667" t="s">
        <v>16</v>
      </c>
      <c r="Q1667" t="s">
        <v>76</v>
      </c>
      <c r="R1667" t="str" cm="1">
        <f t="array" ref="R1667">_xlfn.IFS(B1667&lt;31,"Young-Adult",B1667&lt;41,"Adult",B1667&lt;61,"Middle-aged",B1667&gt;=61,"Senior")</f>
        <v>Adult</v>
      </c>
      <c r="S1667" cm="1">
        <f t="array" ref="S1667">_xlfn.IFS(Q1667 ="Fortnightly",14,Q1667="Weekly",7,Q1667="Monthly",30,Q1667="Quarterly",90,Q1667="Bi-Weekly",14,Q1667="Annually",365,Q1667="Every 3 Months",90,TRUE,"NOT FOUND")</f>
        <v>30</v>
      </c>
    </row>
    <row r="1668" spans="1:19" x14ac:dyDescent="0.35">
      <c r="A1668">
        <v>1667</v>
      </c>
      <c r="B1668">
        <v>51</v>
      </c>
      <c r="C1668" t="s">
        <v>7</v>
      </c>
      <c r="D1668" t="s">
        <v>75</v>
      </c>
      <c r="E1668" t="s">
        <v>9</v>
      </c>
      <c r="F1668">
        <v>64</v>
      </c>
      <c r="G1668" t="s">
        <v>60</v>
      </c>
      <c r="H1668" t="s">
        <v>32</v>
      </c>
      <c r="I1668" t="s">
        <v>132</v>
      </c>
      <c r="J1668" t="s">
        <v>41</v>
      </c>
      <c r="K1668">
        <v>3.1</v>
      </c>
      <c r="L1668" t="s">
        <v>140</v>
      </c>
      <c r="M1668" t="s">
        <v>62</v>
      </c>
      <c r="N1668" t="s">
        <v>14</v>
      </c>
      <c r="O1668">
        <v>47</v>
      </c>
      <c r="P1668" t="s">
        <v>34</v>
      </c>
      <c r="Q1668" t="s">
        <v>37</v>
      </c>
      <c r="R1668" t="str" cm="1">
        <f t="array" ref="R1668">_xlfn.IFS(B1668&lt;31,"Young-Adult",B1668&lt;41,"Adult",B1668&lt;61,"Middle-aged",B1668&gt;=61,"Senior")</f>
        <v>Middle-aged</v>
      </c>
      <c r="S1668" cm="1">
        <f t="array" ref="S1668">_xlfn.IFS(Q1668 ="Fortnightly",14,Q1668="Weekly",7,Q1668="Monthly",30,Q1668="Quarterly",90,Q1668="Bi-Weekly",14,Q1668="Annually",365,Q1668="Every 3 Months",90,TRUE,"NOT FOUND")</f>
        <v>365</v>
      </c>
    </row>
    <row r="1669" spans="1:19" x14ac:dyDescent="0.35">
      <c r="A1669">
        <v>1668</v>
      </c>
      <c r="B1669">
        <v>51</v>
      </c>
      <c r="C1669" t="s">
        <v>7</v>
      </c>
      <c r="D1669" t="s">
        <v>54</v>
      </c>
      <c r="E1669" t="s">
        <v>55</v>
      </c>
      <c r="F1669">
        <v>40</v>
      </c>
      <c r="G1669" t="s">
        <v>89</v>
      </c>
      <c r="H1669" t="s">
        <v>11</v>
      </c>
      <c r="I1669" t="s">
        <v>98</v>
      </c>
      <c r="J1669" t="s">
        <v>13</v>
      </c>
      <c r="K1669">
        <v>3.4</v>
      </c>
      <c r="L1669" t="s">
        <v>140</v>
      </c>
      <c r="M1669" t="s">
        <v>58</v>
      </c>
      <c r="N1669" t="s">
        <v>14</v>
      </c>
      <c r="O1669">
        <v>24</v>
      </c>
      <c r="P1669" t="s">
        <v>63</v>
      </c>
      <c r="Q1669" t="s">
        <v>85</v>
      </c>
      <c r="R1669" t="str" cm="1">
        <f t="array" ref="R1669">_xlfn.IFS(B1669&lt;31,"Young-Adult",B1669&lt;41,"Adult",B1669&lt;61,"Middle-aged",B1669&gt;=61,"Senior")</f>
        <v>Middle-aged</v>
      </c>
      <c r="S1669" cm="1">
        <f t="array" ref="S1669">_xlfn.IFS(Q1669 ="Fortnightly",14,Q1669="Weekly",7,Q1669="Monthly",30,Q1669="Quarterly",90,Q1669="Bi-Weekly",14,Q1669="Annually",365,Q1669="Every 3 Months",90,TRUE,"NOT FOUND")</f>
        <v>90</v>
      </c>
    </row>
    <row r="1670" spans="1:19" x14ac:dyDescent="0.35">
      <c r="A1670">
        <v>1669</v>
      </c>
      <c r="B1670">
        <v>66</v>
      </c>
      <c r="C1670" t="s">
        <v>7</v>
      </c>
      <c r="D1670" t="s">
        <v>8</v>
      </c>
      <c r="E1670" t="s">
        <v>9</v>
      </c>
      <c r="F1670">
        <v>33</v>
      </c>
      <c r="G1670" t="s">
        <v>128</v>
      </c>
      <c r="H1670" t="s">
        <v>11</v>
      </c>
      <c r="I1670" t="s">
        <v>49</v>
      </c>
      <c r="J1670" t="s">
        <v>41</v>
      </c>
      <c r="K1670">
        <v>4</v>
      </c>
      <c r="L1670" t="s">
        <v>140</v>
      </c>
      <c r="M1670" t="s">
        <v>42</v>
      </c>
      <c r="N1670" t="s">
        <v>14</v>
      </c>
      <c r="O1670">
        <v>28</v>
      </c>
      <c r="P1670" t="s">
        <v>74</v>
      </c>
      <c r="Q1670" t="s">
        <v>17</v>
      </c>
      <c r="R1670" t="str" cm="1">
        <f t="array" ref="R1670">_xlfn.IFS(B1670&lt;31,"Young-Adult",B1670&lt;41,"Adult",B1670&lt;61,"Middle-aged",B1670&gt;=61,"Senior")</f>
        <v>Senior</v>
      </c>
      <c r="S1670" cm="1">
        <f t="array" ref="S1670">_xlfn.IFS(Q1670 ="Fortnightly",14,Q1670="Weekly",7,Q1670="Monthly",30,Q1670="Quarterly",90,Q1670="Bi-Weekly",14,Q1670="Annually",365,Q1670="Every 3 Months",90,TRUE,"NOT FOUND")</f>
        <v>14</v>
      </c>
    </row>
    <row r="1671" spans="1:19" x14ac:dyDescent="0.35">
      <c r="A1671">
        <v>1670</v>
      </c>
      <c r="B1671">
        <v>42</v>
      </c>
      <c r="C1671" t="s">
        <v>7</v>
      </c>
      <c r="D1671" t="s">
        <v>101</v>
      </c>
      <c r="E1671" t="s">
        <v>9</v>
      </c>
      <c r="F1671">
        <v>59</v>
      </c>
      <c r="G1671" t="s">
        <v>138</v>
      </c>
      <c r="H1671" t="s">
        <v>11</v>
      </c>
      <c r="I1671" t="s">
        <v>20</v>
      </c>
      <c r="J1671" t="s">
        <v>13</v>
      </c>
      <c r="K1671">
        <v>2.7</v>
      </c>
      <c r="L1671" t="s">
        <v>140</v>
      </c>
      <c r="M1671" t="s">
        <v>62</v>
      </c>
      <c r="N1671" t="s">
        <v>14</v>
      </c>
      <c r="O1671">
        <v>22</v>
      </c>
      <c r="P1671" t="s">
        <v>63</v>
      </c>
      <c r="Q1671" t="s">
        <v>46</v>
      </c>
      <c r="R1671" t="str" cm="1">
        <f t="array" ref="R1671">_xlfn.IFS(B1671&lt;31,"Young-Adult",B1671&lt;41,"Adult",B1671&lt;61,"Middle-aged",B1671&gt;=61,"Senior")</f>
        <v>Middle-aged</v>
      </c>
      <c r="S1671" cm="1">
        <f t="array" ref="S1671">_xlfn.IFS(Q1671 ="Fortnightly",14,Q1671="Weekly",7,Q1671="Monthly",30,Q1671="Quarterly",90,Q1671="Bi-Weekly",14,Q1671="Annually",365,Q1671="Every 3 Months",90,TRUE,"NOT FOUND")</f>
        <v>90</v>
      </c>
    </row>
    <row r="1672" spans="1:19" x14ac:dyDescent="0.35">
      <c r="A1672">
        <v>1671</v>
      </c>
      <c r="B1672">
        <v>22</v>
      </c>
      <c r="C1672" t="s">
        <v>7</v>
      </c>
      <c r="D1672" t="s">
        <v>83</v>
      </c>
      <c r="E1672" t="s">
        <v>9</v>
      </c>
      <c r="F1672">
        <v>73</v>
      </c>
      <c r="G1672" t="s">
        <v>128</v>
      </c>
      <c r="H1672" t="s">
        <v>11</v>
      </c>
      <c r="I1672" t="s">
        <v>97</v>
      </c>
      <c r="J1672" t="s">
        <v>45</v>
      </c>
      <c r="K1672">
        <v>3.6</v>
      </c>
      <c r="L1672" t="s">
        <v>140</v>
      </c>
      <c r="M1672" t="s">
        <v>26</v>
      </c>
      <c r="N1672" t="s">
        <v>14</v>
      </c>
      <c r="O1672">
        <v>20</v>
      </c>
      <c r="P1672" t="s">
        <v>21</v>
      </c>
      <c r="Q1672" t="s">
        <v>28</v>
      </c>
      <c r="R1672" t="str" cm="1">
        <f t="array" ref="R1672">_xlfn.IFS(B1672&lt;31,"Young-Adult",B1672&lt;41,"Adult",B1672&lt;61,"Middle-aged",B1672&gt;=61,"Senior")</f>
        <v>Young-Adult</v>
      </c>
      <c r="S1672" cm="1">
        <f t="array" ref="S1672">_xlfn.IFS(Q1672 ="Fortnightly",14,Q1672="Weekly",7,Q1672="Monthly",30,Q1672="Quarterly",90,Q1672="Bi-Weekly",14,Q1672="Annually",365,Q1672="Every 3 Months",90,TRUE,"NOT FOUND")</f>
        <v>7</v>
      </c>
    </row>
    <row r="1673" spans="1:19" x14ac:dyDescent="0.35">
      <c r="A1673">
        <v>1672</v>
      </c>
      <c r="B1673">
        <v>31</v>
      </c>
      <c r="C1673" t="s">
        <v>7</v>
      </c>
      <c r="D1673" t="s">
        <v>92</v>
      </c>
      <c r="E1673" t="s">
        <v>9</v>
      </c>
      <c r="F1673">
        <v>22</v>
      </c>
      <c r="G1673" t="s">
        <v>128</v>
      </c>
      <c r="H1673" t="s">
        <v>32</v>
      </c>
      <c r="I1673" t="s">
        <v>66</v>
      </c>
      <c r="J1673" t="s">
        <v>13</v>
      </c>
      <c r="K1673">
        <v>4</v>
      </c>
      <c r="L1673" t="s">
        <v>140</v>
      </c>
      <c r="M1673" t="s">
        <v>26</v>
      </c>
      <c r="N1673" t="s">
        <v>14</v>
      </c>
      <c r="O1673">
        <v>25</v>
      </c>
      <c r="P1673" t="s">
        <v>63</v>
      </c>
      <c r="Q1673" t="s">
        <v>28</v>
      </c>
      <c r="R1673" t="str" cm="1">
        <f t="array" ref="R1673">_xlfn.IFS(B1673&lt;31,"Young-Adult",B1673&lt;41,"Adult",B1673&lt;61,"Middle-aged",B1673&gt;=61,"Senior")</f>
        <v>Adult</v>
      </c>
      <c r="S1673" cm="1">
        <f t="array" ref="S1673">_xlfn.IFS(Q1673 ="Fortnightly",14,Q1673="Weekly",7,Q1673="Monthly",30,Q1673="Quarterly",90,Q1673="Bi-Weekly",14,Q1673="Annually",365,Q1673="Every 3 Months",90,TRUE,"NOT FOUND")</f>
        <v>7</v>
      </c>
    </row>
    <row r="1674" spans="1:19" x14ac:dyDescent="0.35">
      <c r="A1674">
        <v>1673</v>
      </c>
      <c r="B1674">
        <v>18</v>
      </c>
      <c r="C1674" t="s">
        <v>7</v>
      </c>
      <c r="D1674" t="s">
        <v>125</v>
      </c>
      <c r="E1674" t="s">
        <v>30</v>
      </c>
      <c r="F1674">
        <v>73</v>
      </c>
      <c r="G1674" t="s">
        <v>119</v>
      </c>
      <c r="H1674" t="s">
        <v>11</v>
      </c>
      <c r="I1674" t="s">
        <v>68</v>
      </c>
      <c r="J1674" t="s">
        <v>45</v>
      </c>
      <c r="K1674">
        <v>3.8</v>
      </c>
      <c r="L1674" t="s">
        <v>140</v>
      </c>
      <c r="M1674" t="s">
        <v>26</v>
      </c>
      <c r="N1674" t="s">
        <v>14</v>
      </c>
      <c r="O1674">
        <v>15</v>
      </c>
      <c r="P1674" t="s">
        <v>16</v>
      </c>
      <c r="Q1674" t="s">
        <v>46</v>
      </c>
      <c r="R1674" t="str" cm="1">
        <f t="array" ref="R1674">_xlfn.IFS(B1674&lt;31,"Young-Adult",B1674&lt;41,"Adult",B1674&lt;61,"Middle-aged",B1674&gt;=61,"Senior")</f>
        <v>Young-Adult</v>
      </c>
      <c r="S1674" cm="1">
        <f t="array" ref="S1674">_xlfn.IFS(Q1674 ="Fortnightly",14,Q1674="Weekly",7,Q1674="Monthly",30,Q1674="Quarterly",90,Q1674="Bi-Weekly",14,Q1674="Annually",365,Q1674="Every 3 Months",90,TRUE,"NOT FOUND")</f>
        <v>90</v>
      </c>
    </row>
    <row r="1675" spans="1:19" x14ac:dyDescent="0.35">
      <c r="A1675">
        <v>1674</v>
      </c>
      <c r="B1675">
        <v>21</v>
      </c>
      <c r="C1675" t="s">
        <v>7</v>
      </c>
      <c r="D1675" t="s">
        <v>8</v>
      </c>
      <c r="E1675" t="s">
        <v>9</v>
      </c>
      <c r="F1675">
        <v>62</v>
      </c>
      <c r="G1675" t="s">
        <v>65</v>
      </c>
      <c r="H1675" t="s">
        <v>32</v>
      </c>
      <c r="I1675" t="s">
        <v>71</v>
      </c>
      <c r="J1675" t="s">
        <v>45</v>
      </c>
      <c r="K1675">
        <v>3.4</v>
      </c>
      <c r="L1675" t="s">
        <v>140</v>
      </c>
      <c r="M1675" t="s">
        <v>33</v>
      </c>
      <c r="N1675" t="s">
        <v>14</v>
      </c>
      <c r="O1675">
        <v>49</v>
      </c>
      <c r="P1675" t="s">
        <v>16</v>
      </c>
      <c r="Q1675" t="s">
        <v>64</v>
      </c>
      <c r="R1675" t="str" cm="1">
        <f t="array" ref="R1675">_xlfn.IFS(B1675&lt;31,"Young-Adult",B1675&lt;41,"Adult",B1675&lt;61,"Middle-aged",B1675&gt;=61,"Senior")</f>
        <v>Young-Adult</v>
      </c>
      <c r="S1675" cm="1">
        <f t="array" ref="S1675">_xlfn.IFS(Q1675 ="Fortnightly",14,Q1675="Weekly",7,Q1675="Monthly",30,Q1675="Quarterly",90,Q1675="Bi-Weekly",14,Q1675="Annually",365,Q1675="Every 3 Months",90,TRUE,"NOT FOUND")</f>
        <v>14</v>
      </c>
    </row>
    <row r="1676" spans="1:19" x14ac:dyDescent="0.35">
      <c r="A1676">
        <v>1675</v>
      </c>
      <c r="B1676">
        <v>35</v>
      </c>
      <c r="C1676" t="s">
        <v>7</v>
      </c>
      <c r="D1676" t="s">
        <v>50</v>
      </c>
      <c r="E1676" t="s">
        <v>51</v>
      </c>
      <c r="F1676">
        <v>56</v>
      </c>
      <c r="G1676" t="s">
        <v>108</v>
      </c>
      <c r="H1676" t="s">
        <v>32</v>
      </c>
      <c r="I1676" t="s">
        <v>88</v>
      </c>
      <c r="J1676" t="s">
        <v>13</v>
      </c>
      <c r="K1676">
        <v>3.2</v>
      </c>
      <c r="L1676" t="s">
        <v>140</v>
      </c>
      <c r="M1676" t="s">
        <v>26</v>
      </c>
      <c r="N1676" t="s">
        <v>14</v>
      </c>
      <c r="O1676">
        <v>10</v>
      </c>
      <c r="P1676" t="s">
        <v>74</v>
      </c>
      <c r="Q1676" t="s">
        <v>17</v>
      </c>
      <c r="R1676" t="str" cm="1">
        <f t="array" ref="R1676">_xlfn.IFS(B1676&lt;31,"Young-Adult",B1676&lt;41,"Adult",B1676&lt;61,"Middle-aged",B1676&gt;=61,"Senior")</f>
        <v>Adult</v>
      </c>
      <c r="S1676" cm="1">
        <f t="array" ref="S1676">_xlfn.IFS(Q1676 ="Fortnightly",14,Q1676="Weekly",7,Q1676="Monthly",30,Q1676="Quarterly",90,Q1676="Bi-Weekly",14,Q1676="Annually",365,Q1676="Every 3 Months",90,TRUE,"NOT FOUND")</f>
        <v>14</v>
      </c>
    </row>
    <row r="1677" spans="1:19" x14ac:dyDescent="0.35">
      <c r="A1677">
        <v>1676</v>
      </c>
      <c r="B1677">
        <v>35</v>
      </c>
      <c r="C1677" t="s">
        <v>7</v>
      </c>
      <c r="D1677" t="s">
        <v>83</v>
      </c>
      <c r="E1677" t="s">
        <v>9</v>
      </c>
      <c r="F1677">
        <v>90</v>
      </c>
      <c r="G1677" t="s">
        <v>100</v>
      </c>
      <c r="H1677" t="s">
        <v>32</v>
      </c>
      <c r="I1677" t="s">
        <v>106</v>
      </c>
      <c r="J1677" t="s">
        <v>25</v>
      </c>
      <c r="K1677">
        <v>4.7</v>
      </c>
      <c r="L1677" t="s">
        <v>140</v>
      </c>
      <c r="M1677" t="s">
        <v>33</v>
      </c>
      <c r="N1677" t="s">
        <v>14</v>
      </c>
      <c r="O1677">
        <v>21</v>
      </c>
      <c r="P1677" t="s">
        <v>27</v>
      </c>
      <c r="Q1677" t="s">
        <v>37</v>
      </c>
      <c r="R1677" t="str" cm="1">
        <f t="array" ref="R1677">_xlfn.IFS(B1677&lt;31,"Young-Adult",B1677&lt;41,"Adult",B1677&lt;61,"Middle-aged",B1677&gt;=61,"Senior")</f>
        <v>Adult</v>
      </c>
      <c r="S1677" cm="1">
        <f t="array" ref="S1677">_xlfn.IFS(Q1677 ="Fortnightly",14,Q1677="Weekly",7,Q1677="Monthly",30,Q1677="Quarterly",90,Q1677="Bi-Weekly",14,Q1677="Annually",365,Q1677="Every 3 Months",90,TRUE,"NOT FOUND")</f>
        <v>365</v>
      </c>
    </row>
    <row r="1678" spans="1:19" x14ac:dyDescent="0.35">
      <c r="A1678">
        <v>1677</v>
      </c>
      <c r="B1678">
        <v>27</v>
      </c>
      <c r="C1678" t="s">
        <v>7</v>
      </c>
      <c r="D1678" t="s">
        <v>77</v>
      </c>
      <c r="E1678" t="s">
        <v>55</v>
      </c>
      <c r="F1678">
        <v>44</v>
      </c>
      <c r="G1678" t="s">
        <v>52</v>
      </c>
      <c r="H1678" t="s">
        <v>32</v>
      </c>
      <c r="I1678" t="s">
        <v>97</v>
      </c>
      <c r="J1678" t="s">
        <v>13</v>
      </c>
      <c r="K1678">
        <v>3.1</v>
      </c>
      <c r="L1678" t="s">
        <v>140</v>
      </c>
      <c r="M1678" t="s">
        <v>33</v>
      </c>
      <c r="N1678" t="s">
        <v>14</v>
      </c>
      <c r="O1678">
        <v>34</v>
      </c>
      <c r="P1678" t="s">
        <v>63</v>
      </c>
      <c r="Q1678" t="s">
        <v>28</v>
      </c>
      <c r="R1678" t="str" cm="1">
        <f t="array" ref="R1678">_xlfn.IFS(B1678&lt;31,"Young-Adult",B1678&lt;41,"Adult",B1678&lt;61,"Middle-aged",B1678&gt;=61,"Senior")</f>
        <v>Young-Adult</v>
      </c>
      <c r="S1678" cm="1">
        <f t="array" ref="S1678">_xlfn.IFS(Q1678 ="Fortnightly",14,Q1678="Weekly",7,Q1678="Monthly",30,Q1678="Quarterly",90,Q1678="Bi-Weekly",14,Q1678="Annually",365,Q1678="Every 3 Months",90,TRUE,"NOT FOUND")</f>
        <v>7</v>
      </c>
    </row>
    <row r="1679" spans="1:19" x14ac:dyDescent="0.35">
      <c r="A1679">
        <v>1678</v>
      </c>
      <c r="B1679">
        <v>65</v>
      </c>
      <c r="C1679" t="s">
        <v>7</v>
      </c>
      <c r="D1679" t="s">
        <v>22</v>
      </c>
      <c r="E1679" t="s">
        <v>9</v>
      </c>
      <c r="F1679">
        <v>35</v>
      </c>
      <c r="G1679" t="s">
        <v>35</v>
      </c>
      <c r="H1679" t="s">
        <v>11</v>
      </c>
      <c r="I1679" t="s">
        <v>53</v>
      </c>
      <c r="J1679" t="s">
        <v>41</v>
      </c>
      <c r="K1679">
        <v>3.3</v>
      </c>
      <c r="L1679" t="s">
        <v>140</v>
      </c>
      <c r="M1679" t="s">
        <v>33</v>
      </c>
      <c r="N1679" t="s">
        <v>140</v>
      </c>
      <c r="O1679">
        <v>41</v>
      </c>
      <c r="P1679" t="s">
        <v>74</v>
      </c>
      <c r="Q1679" t="s">
        <v>28</v>
      </c>
      <c r="R1679" t="str" cm="1">
        <f t="array" ref="R1679">_xlfn.IFS(B1679&lt;31,"Young-Adult",B1679&lt;41,"Adult",B1679&lt;61,"Middle-aged",B1679&gt;=61,"Senior")</f>
        <v>Senior</v>
      </c>
      <c r="S1679" cm="1">
        <f t="array" ref="S1679">_xlfn.IFS(Q1679 ="Fortnightly",14,Q1679="Weekly",7,Q1679="Monthly",30,Q1679="Quarterly",90,Q1679="Bi-Weekly",14,Q1679="Annually",365,Q1679="Every 3 Months",90,TRUE,"NOT FOUND")</f>
        <v>7</v>
      </c>
    </row>
    <row r="1680" spans="1:19" x14ac:dyDescent="0.35">
      <c r="A1680">
        <v>1679</v>
      </c>
      <c r="B1680">
        <v>41</v>
      </c>
      <c r="C1680" t="s">
        <v>7</v>
      </c>
      <c r="D1680" t="s">
        <v>83</v>
      </c>
      <c r="E1680" t="s">
        <v>9</v>
      </c>
      <c r="F1680">
        <v>71</v>
      </c>
      <c r="G1680" t="s">
        <v>111</v>
      </c>
      <c r="H1680" t="s">
        <v>24</v>
      </c>
      <c r="I1680" t="s">
        <v>124</v>
      </c>
      <c r="J1680" t="s">
        <v>41</v>
      </c>
      <c r="K1680">
        <v>4.8</v>
      </c>
      <c r="L1680" t="s">
        <v>140</v>
      </c>
      <c r="M1680" t="s">
        <v>58</v>
      </c>
      <c r="N1680" t="s">
        <v>140</v>
      </c>
      <c r="O1680">
        <v>30</v>
      </c>
      <c r="P1680" t="s">
        <v>16</v>
      </c>
      <c r="Q1680" t="s">
        <v>17</v>
      </c>
      <c r="R1680" t="str" cm="1">
        <f t="array" ref="R1680">_xlfn.IFS(B1680&lt;31,"Young-Adult",B1680&lt;41,"Adult",B1680&lt;61,"Middle-aged",B1680&gt;=61,"Senior")</f>
        <v>Middle-aged</v>
      </c>
      <c r="S1680" cm="1">
        <f t="array" ref="S1680">_xlfn.IFS(Q1680 ="Fortnightly",14,Q1680="Weekly",7,Q1680="Monthly",30,Q1680="Quarterly",90,Q1680="Bi-Weekly",14,Q1680="Annually",365,Q1680="Every 3 Months",90,TRUE,"NOT FOUND")</f>
        <v>14</v>
      </c>
    </row>
    <row r="1681" spans="1:19" x14ac:dyDescent="0.35">
      <c r="A1681">
        <v>1680</v>
      </c>
      <c r="B1681">
        <v>60</v>
      </c>
      <c r="C1681" t="s">
        <v>7</v>
      </c>
      <c r="D1681" t="s">
        <v>69</v>
      </c>
      <c r="E1681" t="s">
        <v>9</v>
      </c>
      <c r="F1681">
        <v>52</v>
      </c>
      <c r="G1681" t="s">
        <v>23</v>
      </c>
      <c r="H1681" t="s">
        <v>24</v>
      </c>
      <c r="I1681" t="s">
        <v>82</v>
      </c>
      <c r="J1681" t="s">
        <v>45</v>
      </c>
      <c r="K1681">
        <v>4.5</v>
      </c>
      <c r="L1681" t="s">
        <v>140</v>
      </c>
      <c r="M1681" t="s">
        <v>33</v>
      </c>
      <c r="N1681" t="s">
        <v>140</v>
      </c>
      <c r="O1681">
        <v>24</v>
      </c>
      <c r="P1681" t="s">
        <v>74</v>
      </c>
      <c r="Q1681" t="s">
        <v>64</v>
      </c>
      <c r="R1681" t="str" cm="1">
        <f t="array" ref="R1681">_xlfn.IFS(B1681&lt;31,"Young-Adult",B1681&lt;41,"Adult",B1681&lt;61,"Middle-aged",B1681&gt;=61,"Senior")</f>
        <v>Middle-aged</v>
      </c>
      <c r="S1681" cm="1">
        <f t="array" ref="S1681">_xlfn.IFS(Q1681 ="Fortnightly",14,Q1681="Weekly",7,Q1681="Monthly",30,Q1681="Quarterly",90,Q1681="Bi-Weekly",14,Q1681="Annually",365,Q1681="Every 3 Months",90,TRUE,"NOT FOUND")</f>
        <v>14</v>
      </c>
    </row>
    <row r="1682" spans="1:19" x14ac:dyDescent="0.35">
      <c r="A1682">
        <v>1681</v>
      </c>
      <c r="B1682">
        <v>61</v>
      </c>
      <c r="C1682" t="s">
        <v>7</v>
      </c>
      <c r="D1682" t="s">
        <v>59</v>
      </c>
      <c r="E1682" t="s">
        <v>30</v>
      </c>
      <c r="F1682">
        <v>37</v>
      </c>
      <c r="G1682" t="s">
        <v>48</v>
      </c>
      <c r="H1682" t="s">
        <v>32</v>
      </c>
      <c r="I1682" t="s">
        <v>66</v>
      </c>
      <c r="J1682" t="s">
        <v>41</v>
      </c>
      <c r="K1682">
        <v>3.4</v>
      </c>
      <c r="L1682" t="s">
        <v>140</v>
      </c>
      <c r="M1682" t="s">
        <v>62</v>
      </c>
      <c r="N1682" t="s">
        <v>140</v>
      </c>
      <c r="O1682">
        <v>6</v>
      </c>
      <c r="P1682" t="s">
        <v>27</v>
      </c>
      <c r="Q1682" t="s">
        <v>37</v>
      </c>
      <c r="R1682" t="str" cm="1">
        <f t="array" ref="R1682">_xlfn.IFS(B1682&lt;31,"Young-Adult",B1682&lt;41,"Adult",B1682&lt;61,"Middle-aged",B1682&gt;=61,"Senior")</f>
        <v>Senior</v>
      </c>
      <c r="S1682" cm="1">
        <f t="array" ref="S1682">_xlfn.IFS(Q1682 ="Fortnightly",14,Q1682="Weekly",7,Q1682="Monthly",30,Q1682="Quarterly",90,Q1682="Bi-Weekly",14,Q1682="Annually",365,Q1682="Every 3 Months",90,TRUE,"NOT FOUND")</f>
        <v>365</v>
      </c>
    </row>
    <row r="1683" spans="1:19" x14ac:dyDescent="0.35">
      <c r="A1683">
        <v>1682</v>
      </c>
      <c r="B1683">
        <v>24</v>
      </c>
      <c r="C1683" t="s">
        <v>7</v>
      </c>
      <c r="D1683" t="s">
        <v>38</v>
      </c>
      <c r="E1683" t="s">
        <v>30</v>
      </c>
      <c r="F1683">
        <v>95</v>
      </c>
      <c r="G1683" t="s">
        <v>129</v>
      </c>
      <c r="H1683" t="s">
        <v>11</v>
      </c>
      <c r="I1683" t="s">
        <v>84</v>
      </c>
      <c r="J1683" t="s">
        <v>13</v>
      </c>
      <c r="K1683">
        <v>3.7</v>
      </c>
      <c r="L1683" t="s">
        <v>140</v>
      </c>
      <c r="M1683" t="s">
        <v>58</v>
      </c>
      <c r="N1683" t="s">
        <v>140</v>
      </c>
      <c r="O1683">
        <v>14</v>
      </c>
      <c r="P1683" t="s">
        <v>27</v>
      </c>
      <c r="Q1683" t="s">
        <v>64</v>
      </c>
      <c r="R1683" t="str" cm="1">
        <f t="array" ref="R1683">_xlfn.IFS(B1683&lt;31,"Young-Adult",B1683&lt;41,"Adult",B1683&lt;61,"Middle-aged",B1683&gt;=61,"Senior")</f>
        <v>Young-Adult</v>
      </c>
      <c r="S1683" cm="1">
        <f t="array" ref="S1683">_xlfn.IFS(Q1683 ="Fortnightly",14,Q1683="Weekly",7,Q1683="Monthly",30,Q1683="Quarterly",90,Q1683="Bi-Weekly",14,Q1683="Annually",365,Q1683="Every 3 Months",90,TRUE,"NOT FOUND")</f>
        <v>14</v>
      </c>
    </row>
    <row r="1684" spans="1:19" x14ac:dyDescent="0.35">
      <c r="A1684">
        <v>1683</v>
      </c>
      <c r="B1684">
        <v>65</v>
      </c>
      <c r="C1684" t="s">
        <v>7</v>
      </c>
      <c r="D1684" t="s">
        <v>113</v>
      </c>
      <c r="E1684" t="s">
        <v>9</v>
      </c>
      <c r="F1684">
        <v>97</v>
      </c>
      <c r="G1684" t="s">
        <v>72</v>
      </c>
      <c r="H1684" t="s">
        <v>32</v>
      </c>
      <c r="I1684" t="s">
        <v>122</v>
      </c>
      <c r="J1684" t="s">
        <v>45</v>
      </c>
      <c r="K1684">
        <v>4.9000000000000004</v>
      </c>
      <c r="L1684" t="s">
        <v>140</v>
      </c>
      <c r="M1684" t="s">
        <v>58</v>
      </c>
      <c r="N1684" t="s">
        <v>140</v>
      </c>
      <c r="O1684">
        <v>37</v>
      </c>
      <c r="P1684" t="s">
        <v>27</v>
      </c>
      <c r="Q1684" t="s">
        <v>64</v>
      </c>
      <c r="R1684" t="str" cm="1">
        <f t="array" ref="R1684">_xlfn.IFS(B1684&lt;31,"Young-Adult",B1684&lt;41,"Adult",B1684&lt;61,"Middle-aged",B1684&gt;=61,"Senior")</f>
        <v>Senior</v>
      </c>
      <c r="S1684" cm="1">
        <f t="array" ref="S1684">_xlfn.IFS(Q1684 ="Fortnightly",14,Q1684="Weekly",7,Q1684="Monthly",30,Q1684="Quarterly",90,Q1684="Bi-Weekly",14,Q1684="Annually",365,Q1684="Every 3 Months",90,TRUE,"NOT FOUND")</f>
        <v>14</v>
      </c>
    </row>
    <row r="1685" spans="1:19" x14ac:dyDescent="0.35">
      <c r="A1685">
        <v>1684</v>
      </c>
      <c r="B1685">
        <v>23</v>
      </c>
      <c r="C1685" t="s">
        <v>7</v>
      </c>
      <c r="D1685" t="s">
        <v>50</v>
      </c>
      <c r="E1685" t="s">
        <v>51</v>
      </c>
      <c r="F1685">
        <v>57</v>
      </c>
      <c r="G1685" t="s">
        <v>60</v>
      </c>
      <c r="H1685" t="s">
        <v>24</v>
      </c>
      <c r="I1685" t="s">
        <v>81</v>
      </c>
      <c r="J1685" t="s">
        <v>25</v>
      </c>
      <c r="K1685">
        <v>3.5</v>
      </c>
      <c r="L1685" t="s">
        <v>140</v>
      </c>
      <c r="M1685" t="s">
        <v>33</v>
      </c>
      <c r="N1685" t="s">
        <v>140</v>
      </c>
      <c r="O1685">
        <v>37</v>
      </c>
      <c r="P1685" t="s">
        <v>16</v>
      </c>
      <c r="Q1685" t="s">
        <v>46</v>
      </c>
      <c r="R1685" t="str" cm="1">
        <f t="array" ref="R1685">_xlfn.IFS(B1685&lt;31,"Young-Adult",B1685&lt;41,"Adult",B1685&lt;61,"Middle-aged",B1685&gt;=61,"Senior")</f>
        <v>Young-Adult</v>
      </c>
      <c r="S1685" cm="1">
        <f t="array" ref="S1685">_xlfn.IFS(Q1685 ="Fortnightly",14,Q1685="Weekly",7,Q1685="Monthly",30,Q1685="Quarterly",90,Q1685="Bi-Weekly",14,Q1685="Annually",365,Q1685="Every 3 Months",90,TRUE,"NOT FOUND")</f>
        <v>90</v>
      </c>
    </row>
    <row r="1686" spans="1:19" x14ac:dyDescent="0.35">
      <c r="A1686">
        <v>1685</v>
      </c>
      <c r="B1686">
        <v>30</v>
      </c>
      <c r="C1686" t="s">
        <v>7</v>
      </c>
      <c r="D1686" t="s">
        <v>43</v>
      </c>
      <c r="E1686" t="s">
        <v>9</v>
      </c>
      <c r="F1686">
        <v>93</v>
      </c>
      <c r="G1686" t="s">
        <v>118</v>
      </c>
      <c r="H1686" t="s">
        <v>32</v>
      </c>
      <c r="I1686" t="s">
        <v>114</v>
      </c>
      <c r="J1686" t="s">
        <v>25</v>
      </c>
      <c r="K1686">
        <v>4.5999999999999996</v>
      </c>
      <c r="L1686" t="s">
        <v>140</v>
      </c>
      <c r="M1686" t="s">
        <v>42</v>
      </c>
      <c r="N1686" t="s">
        <v>140</v>
      </c>
      <c r="O1686">
        <v>28</v>
      </c>
      <c r="P1686" t="s">
        <v>34</v>
      </c>
      <c r="Q1686" t="s">
        <v>28</v>
      </c>
      <c r="R1686" t="str" cm="1">
        <f t="array" ref="R1686">_xlfn.IFS(B1686&lt;31,"Young-Adult",B1686&lt;41,"Adult",B1686&lt;61,"Middle-aged",B1686&gt;=61,"Senior")</f>
        <v>Young-Adult</v>
      </c>
      <c r="S1686" cm="1">
        <f t="array" ref="S1686">_xlfn.IFS(Q1686 ="Fortnightly",14,Q1686="Weekly",7,Q1686="Monthly",30,Q1686="Quarterly",90,Q1686="Bi-Weekly",14,Q1686="Annually",365,Q1686="Every 3 Months",90,TRUE,"NOT FOUND")</f>
        <v>7</v>
      </c>
    </row>
    <row r="1687" spans="1:19" x14ac:dyDescent="0.35">
      <c r="A1687">
        <v>1686</v>
      </c>
      <c r="B1687">
        <v>33</v>
      </c>
      <c r="C1687" t="s">
        <v>7</v>
      </c>
      <c r="D1687" t="s">
        <v>8</v>
      </c>
      <c r="E1687" t="s">
        <v>9</v>
      </c>
      <c r="F1687">
        <v>48</v>
      </c>
      <c r="G1687" t="s">
        <v>136</v>
      </c>
      <c r="H1687" t="s">
        <v>32</v>
      </c>
      <c r="I1687" t="s">
        <v>57</v>
      </c>
      <c r="J1687" t="s">
        <v>13</v>
      </c>
      <c r="K1687">
        <v>4.5999999999999996</v>
      </c>
      <c r="L1687" t="s">
        <v>140</v>
      </c>
      <c r="M1687" t="s">
        <v>42</v>
      </c>
      <c r="N1687" t="s">
        <v>140</v>
      </c>
      <c r="O1687">
        <v>43</v>
      </c>
      <c r="P1687" t="s">
        <v>34</v>
      </c>
      <c r="Q1687" t="s">
        <v>64</v>
      </c>
      <c r="R1687" t="str" cm="1">
        <f t="array" ref="R1687">_xlfn.IFS(B1687&lt;31,"Young-Adult",B1687&lt;41,"Adult",B1687&lt;61,"Middle-aged",B1687&gt;=61,"Senior")</f>
        <v>Adult</v>
      </c>
      <c r="S1687" cm="1">
        <f t="array" ref="S1687">_xlfn.IFS(Q1687 ="Fortnightly",14,Q1687="Weekly",7,Q1687="Monthly",30,Q1687="Quarterly",90,Q1687="Bi-Weekly",14,Q1687="Annually",365,Q1687="Every 3 Months",90,TRUE,"NOT FOUND")</f>
        <v>14</v>
      </c>
    </row>
    <row r="1688" spans="1:19" x14ac:dyDescent="0.35">
      <c r="A1688">
        <v>1687</v>
      </c>
      <c r="B1688">
        <v>22</v>
      </c>
      <c r="C1688" t="s">
        <v>7</v>
      </c>
      <c r="D1688" t="s">
        <v>131</v>
      </c>
      <c r="E1688" t="s">
        <v>55</v>
      </c>
      <c r="F1688">
        <v>75</v>
      </c>
      <c r="G1688" t="s">
        <v>103</v>
      </c>
      <c r="H1688" t="s">
        <v>11</v>
      </c>
      <c r="I1688" t="s">
        <v>96</v>
      </c>
      <c r="J1688" t="s">
        <v>45</v>
      </c>
      <c r="K1688">
        <v>4.2</v>
      </c>
      <c r="L1688" t="s">
        <v>140</v>
      </c>
      <c r="M1688" t="s">
        <v>62</v>
      </c>
      <c r="N1688" t="s">
        <v>140</v>
      </c>
      <c r="O1688">
        <v>25</v>
      </c>
      <c r="P1688" t="s">
        <v>21</v>
      </c>
      <c r="Q1688" t="s">
        <v>37</v>
      </c>
      <c r="R1688" t="str" cm="1">
        <f t="array" ref="R1688">_xlfn.IFS(B1688&lt;31,"Young-Adult",B1688&lt;41,"Adult",B1688&lt;61,"Middle-aged",B1688&gt;=61,"Senior")</f>
        <v>Young-Adult</v>
      </c>
      <c r="S1688" cm="1">
        <f t="array" ref="S1688">_xlfn.IFS(Q1688 ="Fortnightly",14,Q1688="Weekly",7,Q1688="Monthly",30,Q1688="Quarterly",90,Q1688="Bi-Weekly",14,Q1688="Annually",365,Q1688="Every 3 Months",90,TRUE,"NOT FOUND")</f>
        <v>365</v>
      </c>
    </row>
    <row r="1689" spans="1:19" x14ac:dyDescent="0.35">
      <c r="A1689">
        <v>1688</v>
      </c>
      <c r="B1689">
        <v>67</v>
      </c>
      <c r="C1689" t="s">
        <v>7</v>
      </c>
      <c r="D1689" t="s">
        <v>75</v>
      </c>
      <c r="E1689" t="s">
        <v>9</v>
      </c>
      <c r="F1689">
        <v>70</v>
      </c>
      <c r="G1689" t="s">
        <v>130</v>
      </c>
      <c r="H1689" t="s">
        <v>24</v>
      </c>
      <c r="I1689" t="s">
        <v>124</v>
      </c>
      <c r="J1689" t="s">
        <v>13</v>
      </c>
      <c r="K1689">
        <v>3.7</v>
      </c>
      <c r="L1689" t="s">
        <v>140</v>
      </c>
      <c r="M1689" t="s">
        <v>26</v>
      </c>
      <c r="N1689" t="s">
        <v>140</v>
      </c>
      <c r="O1689">
        <v>4</v>
      </c>
      <c r="P1689" t="s">
        <v>34</v>
      </c>
      <c r="Q1689" t="s">
        <v>37</v>
      </c>
      <c r="R1689" t="str" cm="1">
        <f t="array" ref="R1689">_xlfn.IFS(B1689&lt;31,"Young-Adult",B1689&lt;41,"Adult",B1689&lt;61,"Middle-aged",B1689&gt;=61,"Senior")</f>
        <v>Senior</v>
      </c>
      <c r="S1689" cm="1">
        <f t="array" ref="S1689">_xlfn.IFS(Q1689 ="Fortnightly",14,Q1689="Weekly",7,Q1689="Monthly",30,Q1689="Quarterly",90,Q1689="Bi-Weekly",14,Q1689="Annually",365,Q1689="Every 3 Months",90,TRUE,"NOT FOUND")</f>
        <v>365</v>
      </c>
    </row>
    <row r="1690" spans="1:19" x14ac:dyDescent="0.35">
      <c r="A1690">
        <v>1689</v>
      </c>
      <c r="B1690">
        <v>28</v>
      </c>
      <c r="C1690" t="s">
        <v>7</v>
      </c>
      <c r="D1690" t="s">
        <v>54</v>
      </c>
      <c r="E1690" t="s">
        <v>55</v>
      </c>
      <c r="F1690">
        <v>26</v>
      </c>
      <c r="G1690" t="s">
        <v>79</v>
      </c>
      <c r="H1690" t="s">
        <v>24</v>
      </c>
      <c r="I1690" t="s">
        <v>88</v>
      </c>
      <c r="J1690" t="s">
        <v>13</v>
      </c>
      <c r="K1690">
        <v>3</v>
      </c>
      <c r="L1690" t="s">
        <v>140</v>
      </c>
      <c r="M1690" t="s">
        <v>33</v>
      </c>
      <c r="N1690" t="s">
        <v>140</v>
      </c>
      <c r="O1690">
        <v>13</v>
      </c>
      <c r="P1690" t="s">
        <v>16</v>
      </c>
      <c r="Q1690" t="s">
        <v>17</v>
      </c>
      <c r="R1690" t="str" cm="1">
        <f t="array" ref="R1690">_xlfn.IFS(B1690&lt;31,"Young-Adult",B1690&lt;41,"Adult",B1690&lt;61,"Middle-aged",B1690&gt;=61,"Senior")</f>
        <v>Young-Adult</v>
      </c>
      <c r="S1690" cm="1">
        <f t="array" ref="S1690">_xlfn.IFS(Q1690 ="Fortnightly",14,Q1690="Weekly",7,Q1690="Monthly",30,Q1690="Quarterly",90,Q1690="Bi-Weekly",14,Q1690="Annually",365,Q1690="Every 3 Months",90,TRUE,"NOT FOUND")</f>
        <v>14</v>
      </c>
    </row>
    <row r="1691" spans="1:19" x14ac:dyDescent="0.35">
      <c r="A1691">
        <v>1690</v>
      </c>
      <c r="B1691">
        <v>32</v>
      </c>
      <c r="C1691" t="s">
        <v>7</v>
      </c>
      <c r="D1691" t="s">
        <v>43</v>
      </c>
      <c r="E1691" t="s">
        <v>9</v>
      </c>
      <c r="F1691">
        <v>73</v>
      </c>
      <c r="G1691" t="s">
        <v>86</v>
      </c>
      <c r="H1691" t="s">
        <v>11</v>
      </c>
      <c r="I1691" t="s">
        <v>36</v>
      </c>
      <c r="J1691" t="s">
        <v>13</v>
      </c>
      <c r="K1691">
        <v>4.5999999999999996</v>
      </c>
      <c r="L1691" t="s">
        <v>140</v>
      </c>
      <c r="M1691" t="s">
        <v>62</v>
      </c>
      <c r="N1691" t="s">
        <v>140</v>
      </c>
      <c r="O1691">
        <v>32</v>
      </c>
      <c r="P1691" t="s">
        <v>63</v>
      </c>
      <c r="Q1691" t="s">
        <v>76</v>
      </c>
      <c r="R1691" t="str" cm="1">
        <f t="array" ref="R1691">_xlfn.IFS(B1691&lt;31,"Young-Adult",B1691&lt;41,"Adult",B1691&lt;61,"Middle-aged",B1691&gt;=61,"Senior")</f>
        <v>Adult</v>
      </c>
      <c r="S1691" cm="1">
        <f t="array" ref="S1691">_xlfn.IFS(Q1691 ="Fortnightly",14,Q1691="Weekly",7,Q1691="Monthly",30,Q1691="Quarterly",90,Q1691="Bi-Weekly",14,Q1691="Annually",365,Q1691="Every 3 Months",90,TRUE,"NOT FOUND")</f>
        <v>30</v>
      </c>
    </row>
    <row r="1692" spans="1:19" x14ac:dyDescent="0.35">
      <c r="A1692">
        <v>1691</v>
      </c>
      <c r="B1692">
        <v>40</v>
      </c>
      <c r="C1692" t="s">
        <v>7</v>
      </c>
      <c r="D1692" t="s">
        <v>50</v>
      </c>
      <c r="E1692" t="s">
        <v>51</v>
      </c>
      <c r="F1692">
        <v>30</v>
      </c>
      <c r="G1692" t="s">
        <v>95</v>
      </c>
      <c r="H1692" t="s">
        <v>32</v>
      </c>
      <c r="I1692" t="s">
        <v>82</v>
      </c>
      <c r="J1692" t="s">
        <v>41</v>
      </c>
      <c r="K1692">
        <v>3.2</v>
      </c>
      <c r="L1692" t="s">
        <v>140</v>
      </c>
      <c r="M1692" t="s">
        <v>26</v>
      </c>
      <c r="N1692" t="s">
        <v>140</v>
      </c>
      <c r="O1692">
        <v>1</v>
      </c>
      <c r="P1692" t="s">
        <v>21</v>
      </c>
      <c r="Q1692" t="s">
        <v>37</v>
      </c>
      <c r="R1692" t="str" cm="1">
        <f t="array" ref="R1692">_xlfn.IFS(B1692&lt;31,"Young-Adult",B1692&lt;41,"Adult",B1692&lt;61,"Middle-aged",B1692&gt;=61,"Senior")</f>
        <v>Adult</v>
      </c>
      <c r="S1692" cm="1">
        <f t="array" ref="S1692">_xlfn.IFS(Q1692 ="Fortnightly",14,Q1692="Weekly",7,Q1692="Monthly",30,Q1692="Quarterly",90,Q1692="Bi-Weekly",14,Q1692="Annually",365,Q1692="Every 3 Months",90,TRUE,"NOT FOUND")</f>
        <v>365</v>
      </c>
    </row>
    <row r="1693" spans="1:19" x14ac:dyDescent="0.35">
      <c r="A1693">
        <v>1692</v>
      </c>
      <c r="B1693">
        <v>64</v>
      </c>
      <c r="C1693" t="s">
        <v>7</v>
      </c>
      <c r="D1693" t="s">
        <v>59</v>
      </c>
      <c r="E1693" t="s">
        <v>30</v>
      </c>
      <c r="F1693">
        <v>61</v>
      </c>
      <c r="G1693" t="s">
        <v>127</v>
      </c>
      <c r="H1693" t="s">
        <v>11</v>
      </c>
      <c r="I1693" t="s">
        <v>132</v>
      </c>
      <c r="J1693" t="s">
        <v>41</v>
      </c>
      <c r="K1693">
        <v>3.5</v>
      </c>
      <c r="L1693" t="s">
        <v>140</v>
      </c>
      <c r="M1693" t="s">
        <v>33</v>
      </c>
      <c r="N1693" t="s">
        <v>140</v>
      </c>
      <c r="O1693">
        <v>4</v>
      </c>
      <c r="P1693" t="s">
        <v>21</v>
      </c>
      <c r="Q1693" t="s">
        <v>37</v>
      </c>
      <c r="R1693" t="str" cm="1">
        <f t="array" ref="R1693">_xlfn.IFS(B1693&lt;31,"Young-Adult",B1693&lt;41,"Adult",B1693&lt;61,"Middle-aged",B1693&gt;=61,"Senior")</f>
        <v>Senior</v>
      </c>
      <c r="S1693" cm="1">
        <f t="array" ref="S1693">_xlfn.IFS(Q1693 ="Fortnightly",14,Q1693="Weekly",7,Q1693="Monthly",30,Q1693="Quarterly",90,Q1693="Bi-Weekly",14,Q1693="Annually",365,Q1693="Every 3 Months",90,TRUE,"NOT FOUND")</f>
        <v>365</v>
      </c>
    </row>
    <row r="1694" spans="1:19" x14ac:dyDescent="0.35">
      <c r="A1694">
        <v>1693</v>
      </c>
      <c r="B1694">
        <v>56</v>
      </c>
      <c r="C1694" t="s">
        <v>7</v>
      </c>
      <c r="D1694" t="s">
        <v>54</v>
      </c>
      <c r="E1694" t="s">
        <v>55</v>
      </c>
      <c r="F1694">
        <v>75</v>
      </c>
      <c r="G1694" t="s">
        <v>128</v>
      </c>
      <c r="H1694" t="s">
        <v>32</v>
      </c>
      <c r="I1694" t="s">
        <v>106</v>
      </c>
      <c r="J1694" t="s">
        <v>13</v>
      </c>
      <c r="K1694">
        <v>2.6</v>
      </c>
      <c r="L1694" t="s">
        <v>140</v>
      </c>
      <c r="M1694" t="s">
        <v>42</v>
      </c>
      <c r="N1694" t="s">
        <v>140</v>
      </c>
      <c r="O1694">
        <v>33</v>
      </c>
      <c r="P1694" t="s">
        <v>21</v>
      </c>
      <c r="Q1694" t="s">
        <v>64</v>
      </c>
      <c r="R1694" t="str" cm="1">
        <f t="array" ref="R1694">_xlfn.IFS(B1694&lt;31,"Young-Adult",B1694&lt;41,"Adult",B1694&lt;61,"Middle-aged",B1694&gt;=61,"Senior")</f>
        <v>Middle-aged</v>
      </c>
      <c r="S1694" cm="1">
        <f t="array" ref="S1694">_xlfn.IFS(Q1694 ="Fortnightly",14,Q1694="Weekly",7,Q1694="Monthly",30,Q1694="Quarterly",90,Q1694="Bi-Weekly",14,Q1694="Annually",365,Q1694="Every 3 Months",90,TRUE,"NOT FOUND")</f>
        <v>14</v>
      </c>
    </row>
    <row r="1695" spans="1:19" x14ac:dyDescent="0.35">
      <c r="A1695">
        <v>1694</v>
      </c>
      <c r="B1695">
        <v>63</v>
      </c>
      <c r="C1695" t="s">
        <v>7</v>
      </c>
      <c r="D1695" t="s">
        <v>90</v>
      </c>
      <c r="E1695" t="s">
        <v>51</v>
      </c>
      <c r="F1695">
        <v>88</v>
      </c>
      <c r="G1695" t="s">
        <v>110</v>
      </c>
      <c r="H1695" t="s">
        <v>80</v>
      </c>
      <c r="I1695" t="s">
        <v>66</v>
      </c>
      <c r="J1695" t="s">
        <v>45</v>
      </c>
      <c r="K1695">
        <v>4.9000000000000004</v>
      </c>
      <c r="L1695" t="s">
        <v>140</v>
      </c>
      <c r="M1695" t="s">
        <v>42</v>
      </c>
      <c r="N1695" t="s">
        <v>140</v>
      </c>
      <c r="O1695">
        <v>45</v>
      </c>
      <c r="P1695" t="s">
        <v>63</v>
      </c>
      <c r="Q1695" t="s">
        <v>17</v>
      </c>
      <c r="R1695" t="str" cm="1">
        <f t="array" ref="R1695">_xlfn.IFS(B1695&lt;31,"Young-Adult",B1695&lt;41,"Adult",B1695&lt;61,"Middle-aged",B1695&gt;=61,"Senior")</f>
        <v>Senior</v>
      </c>
      <c r="S1695" cm="1">
        <f t="array" ref="S1695">_xlfn.IFS(Q1695 ="Fortnightly",14,Q1695="Weekly",7,Q1695="Monthly",30,Q1695="Quarterly",90,Q1695="Bi-Weekly",14,Q1695="Annually",365,Q1695="Every 3 Months",90,TRUE,"NOT FOUND")</f>
        <v>14</v>
      </c>
    </row>
    <row r="1696" spans="1:19" x14ac:dyDescent="0.35">
      <c r="A1696">
        <v>1695</v>
      </c>
      <c r="B1696">
        <v>20</v>
      </c>
      <c r="C1696" t="s">
        <v>7</v>
      </c>
      <c r="D1696" t="s">
        <v>43</v>
      </c>
      <c r="E1696" t="s">
        <v>9</v>
      </c>
      <c r="F1696">
        <v>67</v>
      </c>
      <c r="G1696" t="s">
        <v>79</v>
      </c>
      <c r="H1696" t="s">
        <v>32</v>
      </c>
      <c r="I1696" t="s">
        <v>36</v>
      </c>
      <c r="J1696" t="s">
        <v>41</v>
      </c>
      <c r="K1696">
        <v>2.7</v>
      </c>
      <c r="L1696" t="s">
        <v>140</v>
      </c>
      <c r="M1696" t="s">
        <v>15</v>
      </c>
      <c r="N1696" t="s">
        <v>140</v>
      </c>
      <c r="O1696">
        <v>20</v>
      </c>
      <c r="P1696" t="s">
        <v>74</v>
      </c>
      <c r="Q1696" t="s">
        <v>17</v>
      </c>
      <c r="R1696" t="str" cm="1">
        <f t="array" ref="R1696">_xlfn.IFS(B1696&lt;31,"Young-Adult",B1696&lt;41,"Adult",B1696&lt;61,"Middle-aged",B1696&gt;=61,"Senior")</f>
        <v>Young-Adult</v>
      </c>
      <c r="S1696" cm="1">
        <f t="array" ref="S1696">_xlfn.IFS(Q1696 ="Fortnightly",14,Q1696="Weekly",7,Q1696="Monthly",30,Q1696="Quarterly",90,Q1696="Bi-Weekly",14,Q1696="Annually",365,Q1696="Every 3 Months",90,TRUE,"NOT FOUND")</f>
        <v>14</v>
      </c>
    </row>
    <row r="1697" spans="1:19" x14ac:dyDescent="0.35">
      <c r="A1697">
        <v>1696</v>
      </c>
      <c r="B1697">
        <v>54</v>
      </c>
      <c r="C1697" t="s">
        <v>7</v>
      </c>
      <c r="D1697" t="s">
        <v>112</v>
      </c>
      <c r="E1697" t="s">
        <v>55</v>
      </c>
      <c r="F1697">
        <v>95</v>
      </c>
      <c r="G1697" t="s">
        <v>133</v>
      </c>
      <c r="H1697" t="s">
        <v>24</v>
      </c>
      <c r="I1697" t="s">
        <v>122</v>
      </c>
      <c r="J1697" t="s">
        <v>45</v>
      </c>
      <c r="K1697">
        <v>4.7</v>
      </c>
      <c r="L1697" t="s">
        <v>140</v>
      </c>
      <c r="M1697" t="s">
        <v>58</v>
      </c>
      <c r="N1697" t="s">
        <v>140</v>
      </c>
      <c r="O1697">
        <v>1</v>
      </c>
      <c r="P1697" t="s">
        <v>34</v>
      </c>
      <c r="Q1697" t="s">
        <v>17</v>
      </c>
      <c r="R1697" t="str" cm="1">
        <f t="array" ref="R1697">_xlfn.IFS(B1697&lt;31,"Young-Adult",B1697&lt;41,"Adult",B1697&lt;61,"Middle-aged",B1697&gt;=61,"Senior")</f>
        <v>Middle-aged</v>
      </c>
      <c r="S1697" cm="1">
        <f t="array" ref="S1697">_xlfn.IFS(Q1697 ="Fortnightly",14,Q1697="Weekly",7,Q1697="Monthly",30,Q1697="Quarterly",90,Q1697="Bi-Weekly",14,Q1697="Annually",365,Q1697="Every 3 Months",90,TRUE,"NOT FOUND")</f>
        <v>14</v>
      </c>
    </row>
    <row r="1698" spans="1:19" x14ac:dyDescent="0.35">
      <c r="A1698">
        <v>1697</v>
      </c>
      <c r="B1698">
        <v>31</v>
      </c>
      <c r="C1698" t="s">
        <v>7</v>
      </c>
      <c r="D1698" t="s">
        <v>77</v>
      </c>
      <c r="E1698" t="s">
        <v>55</v>
      </c>
      <c r="F1698">
        <v>69</v>
      </c>
      <c r="G1698" t="s">
        <v>52</v>
      </c>
      <c r="H1698" t="s">
        <v>24</v>
      </c>
      <c r="I1698" t="s">
        <v>36</v>
      </c>
      <c r="J1698" t="s">
        <v>25</v>
      </c>
      <c r="K1698">
        <v>4</v>
      </c>
      <c r="L1698" t="s">
        <v>140</v>
      </c>
      <c r="M1698" t="s">
        <v>26</v>
      </c>
      <c r="N1698" t="s">
        <v>140</v>
      </c>
      <c r="O1698">
        <v>7</v>
      </c>
      <c r="P1698" t="s">
        <v>27</v>
      </c>
      <c r="Q1698" t="s">
        <v>64</v>
      </c>
      <c r="R1698" t="str" cm="1">
        <f t="array" ref="R1698">_xlfn.IFS(B1698&lt;31,"Young-Adult",B1698&lt;41,"Adult",B1698&lt;61,"Middle-aged",B1698&gt;=61,"Senior")</f>
        <v>Adult</v>
      </c>
      <c r="S1698" cm="1">
        <f t="array" ref="S1698">_xlfn.IFS(Q1698 ="Fortnightly",14,Q1698="Weekly",7,Q1698="Monthly",30,Q1698="Quarterly",90,Q1698="Bi-Weekly",14,Q1698="Annually",365,Q1698="Every 3 Months",90,TRUE,"NOT FOUND")</f>
        <v>14</v>
      </c>
    </row>
    <row r="1699" spans="1:19" x14ac:dyDescent="0.35">
      <c r="A1699">
        <v>1698</v>
      </c>
      <c r="B1699">
        <v>36</v>
      </c>
      <c r="C1699" t="s">
        <v>7</v>
      </c>
      <c r="D1699" t="s">
        <v>43</v>
      </c>
      <c r="E1699" t="s">
        <v>9</v>
      </c>
      <c r="F1699">
        <v>87</v>
      </c>
      <c r="G1699" t="s">
        <v>119</v>
      </c>
      <c r="H1699" t="s">
        <v>11</v>
      </c>
      <c r="I1699" t="s">
        <v>81</v>
      </c>
      <c r="J1699" t="s">
        <v>45</v>
      </c>
      <c r="K1699">
        <v>3.5</v>
      </c>
      <c r="L1699" t="s">
        <v>140</v>
      </c>
      <c r="M1699" t="s">
        <v>33</v>
      </c>
      <c r="N1699" t="s">
        <v>140</v>
      </c>
      <c r="O1699">
        <v>48</v>
      </c>
      <c r="P1699" t="s">
        <v>27</v>
      </c>
      <c r="Q1699" t="s">
        <v>85</v>
      </c>
      <c r="R1699" t="str" cm="1">
        <f t="array" ref="R1699">_xlfn.IFS(B1699&lt;31,"Young-Adult",B1699&lt;41,"Adult",B1699&lt;61,"Middle-aged",B1699&gt;=61,"Senior")</f>
        <v>Adult</v>
      </c>
      <c r="S1699" cm="1">
        <f t="array" ref="S1699">_xlfn.IFS(Q1699 ="Fortnightly",14,Q1699="Weekly",7,Q1699="Monthly",30,Q1699="Quarterly",90,Q1699="Bi-Weekly",14,Q1699="Annually",365,Q1699="Every 3 Months",90,TRUE,"NOT FOUND")</f>
        <v>90</v>
      </c>
    </row>
    <row r="1700" spans="1:19" x14ac:dyDescent="0.35">
      <c r="A1700">
        <v>1699</v>
      </c>
      <c r="B1700">
        <v>25</v>
      </c>
      <c r="C1700" t="s">
        <v>7</v>
      </c>
      <c r="D1700" t="s">
        <v>121</v>
      </c>
      <c r="E1700" t="s">
        <v>55</v>
      </c>
      <c r="F1700">
        <v>41</v>
      </c>
      <c r="G1700" t="s">
        <v>134</v>
      </c>
      <c r="H1700" t="s">
        <v>80</v>
      </c>
      <c r="I1700" t="s">
        <v>36</v>
      </c>
      <c r="J1700" t="s">
        <v>13</v>
      </c>
      <c r="K1700">
        <v>4.8</v>
      </c>
      <c r="L1700" t="s">
        <v>140</v>
      </c>
      <c r="M1700" t="s">
        <v>42</v>
      </c>
      <c r="N1700" t="s">
        <v>140</v>
      </c>
      <c r="O1700">
        <v>46</v>
      </c>
      <c r="P1700" t="s">
        <v>63</v>
      </c>
      <c r="Q1700" t="s">
        <v>46</v>
      </c>
      <c r="R1700" t="str" cm="1">
        <f t="array" ref="R1700">_xlfn.IFS(B1700&lt;31,"Young-Adult",B1700&lt;41,"Adult",B1700&lt;61,"Middle-aged",B1700&gt;=61,"Senior")</f>
        <v>Young-Adult</v>
      </c>
      <c r="S1700" cm="1">
        <f t="array" ref="S1700">_xlfn.IFS(Q1700 ="Fortnightly",14,Q1700="Weekly",7,Q1700="Monthly",30,Q1700="Quarterly",90,Q1700="Bi-Weekly",14,Q1700="Annually",365,Q1700="Every 3 Months",90,TRUE,"NOT FOUND")</f>
        <v>90</v>
      </c>
    </row>
    <row r="1701" spans="1:19" x14ac:dyDescent="0.35">
      <c r="A1701">
        <v>1700</v>
      </c>
      <c r="B1701">
        <v>20</v>
      </c>
      <c r="C1701" t="s">
        <v>7</v>
      </c>
      <c r="D1701" t="s">
        <v>18</v>
      </c>
      <c r="E1701" t="s">
        <v>9</v>
      </c>
      <c r="F1701">
        <v>67</v>
      </c>
      <c r="G1701" t="s">
        <v>102</v>
      </c>
      <c r="H1701" t="s">
        <v>11</v>
      </c>
      <c r="I1701" t="s">
        <v>73</v>
      </c>
      <c r="J1701" t="s">
        <v>25</v>
      </c>
      <c r="K1701">
        <v>4</v>
      </c>
      <c r="L1701" t="s">
        <v>140</v>
      </c>
      <c r="M1701" t="s">
        <v>26</v>
      </c>
      <c r="N1701" t="s">
        <v>140</v>
      </c>
      <c r="O1701">
        <v>34</v>
      </c>
      <c r="P1701" t="s">
        <v>74</v>
      </c>
      <c r="Q1701" t="s">
        <v>37</v>
      </c>
      <c r="R1701" t="str" cm="1">
        <f t="array" ref="R1701">_xlfn.IFS(B1701&lt;31,"Young-Adult",B1701&lt;41,"Adult",B1701&lt;61,"Middle-aged",B1701&gt;=61,"Senior")</f>
        <v>Young-Adult</v>
      </c>
      <c r="S1701" cm="1">
        <f t="array" ref="S1701">_xlfn.IFS(Q1701 ="Fortnightly",14,Q1701="Weekly",7,Q1701="Monthly",30,Q1701="Quarterly",90,Q1701="Bi-Weekly",14,Q1701="Annually",365,Q1701="Every 3 Months",90,TRUE,"NOT FOUND")</f>
        <v>365</v>
      </c>
    </row>
    <row r="1702" spans="1:19" x14ac:dyDescent="0.35">
      <c r="A1702">
        <v>1701</v>
      </c>
      <c r="B1702">
        <v>62</v>
      </c>
      <c r="C1702" t="s">
        <v>7</v>
      </c>
      <c r="D1702" t="s">
        <v>92</v>
      </c>
      <c r="E1702" t="s">
        <v>9</v>
      </c>
      <c r="F1702">
        <v>70</v>
      </c>
      <c r="G1702" t="s">
        <v>52</v>
      </c>
      <c r="H1702" t="s">
        <v>11</v>
      </c>
      <c r="I1702" t="s">
        <v>82</v>
      </c>
      <c r="J1702" t="s">
        <v>45</v>
      </c>
      <c r="K1702">
        <v>4.0999999999999996</v>
      </c>
      <c r="L1702" t="s">
        <v>140</v>
      </c>
      <c r="M1702" t="s">
        <v>15</v>
      </c>
      <c r="N1702" t="s">
        <v>140</v>
      </c>
      <c r="O1702">
        <v>36</v>
      </c>
      <c r="P1702" t="s">
        <v>63</v>
      </c>
      <c r="Q1702" t="s">
        <v>76</v>
      </c>
      <c r="R1702" t="str" cm="1">
        <f t="array" ref="R1702">_xlfn.IFS(B1702&lt;31,"Young-Adult",B1702&lt;41,"Adult",B1702&lt;61,"Middle-aged",B1702&gt;=61,"Senior")</f>
        <v>Senior</v>
      </c>
      <c r="S1702" cm="1">
        <f t="array" ref="S1702">_xlfn.IFS(Q1702 ="Fortnightly",14,Q1702="Weekly",7,Q1702="Monthly",30,Q1702="Quarterly",90,Q1702="Bi-Weekly",14,Q1702="Annually",365,Q1702="Every 3 Months",90,TRUE,"NOT FOUND")</f>
        <v>30</v>
      </c>
    </row>
    <row r="1703" spans="1:19" x14ac:dyDescent="0.35">
      <c r="A1703">
        <v>1702</v>
      </c>
      <c r="B1703">
        <v>69</v>
      </c>
      <c r="C1703" t="s">
        <v>7</v>
      </c>
      <c r="D1703" t="s">
        <v>54</v>
      </c>
      <c r="E1703" t="s">
        <v>55</v>
      </c>
      <c r="F1703">
        <v>41</v>
      </c>
      <c r="G1703" t="s">
        <v>79</v>
      </c>
      <c r="H1703" t="s">
        <v>80</v>
      </c>
      <c r="I1703" t="s">
        <v>132</v>
      </c>
      <c r="J1703" t="s">
        <v>13</v>
      </c>
      <c r="K1703">
        <v>3.8</v>
      </c>
      <c r="L1703" t="s">
        <v>140</v>
      </c>
      <c r="M1703" t="s">
        <v>33</v>
      </c>
      <c r="N1703" t="s">
        <v>140</v>
      </c>
      <c r="O1703">
        <v>44</v>
      </c>
      <c r="P1703" t="s">
        <v>74</v>
      </c>
      <c r="Q1703" t="s">
        <v>85</v>
      </c>
      <c r="R1703" t="str" cm="1">
        <f t="array" ref="R1703">_xlfn.IFS(B1703&lt;31,"Young-Adult",B1703&lt;41,"Adult",B1703&lt;61,"Middle-aged",B1703&gt;=61,"Senior")</f>
        <v>Senior</v>
      </c>
      <c r="S1703" cm="1">
        <f t="array" ref="S1703">_xlfn.IFS(Q1703 ="Fortnightly",14,Q1703="Weekly",7,Q1703="Monthly",30,Q1703="Quarterly",90,Q1703="Bi-Weekly",14,Q1703="Annually",365,Q1703="Every 3 Months",90,TRUE,"NOT FOUND")</f>
        <v>90</v>
      </c>
    </row>
    <row r="1704" spans="1:19" x14ac:dyDescent="0.35">
      <c r="A1704">
        <v>1703</v>
      </c>
      <c r="B1704">
        <v>54</v>
      </c>
      <c r="C1704" t="s">
        <v>7</v>
      </c>
      <c r="D1704" t="s">
        <v>22</v>
      </c>
      <c r="E1704" t="s">
        <v>9</v>
      </c>
      <c r="F1704">
        <v>83</v>
      </c>
      <c r="G1704" t="s">
        <v>78</v>
      </c>
      <c r="H1704" t="s">
        <v>80</v>
      </c>
      <c r="I1704" t="s">
        <v>122</v>
      </c>
      <c r="J1704" t="s">
        <v>41</v>
      </c>
      <c r="K1704">
        <v>5</v>
      </c>
      <c r="L1704" t="s">
        <v>140</v>
      </c>
      <c r="M1704" t="s">
        <v>15</v>
      </c>
      <c r="N1704" t="s">
        <v>140</v>
      </c>
      <c r="O1704">
        <v>48</v>
      </c>
      <c r="P1704" t="s">
        <v>63</v>
      </c>
      <c r="Q1704" t="s">
        <v>28</v>
      </c>
      <c r="R1704" t="str" cm="1">
        <f t="array" ref="R1704">_xlfn.IFS(B1704&lt;31,"Young-Adult",B1704&lt;41,"Adult",B1704&lt;61,"Middle-aged",B1704&gt;=61,"Senior")</f>
        <v>Middle-aged</v>
      </c>
      <c r="S1704" cm="1">
        <f t="array" ref="S1704">_xlfn.IFS(Q1704 ="Fortnightly",14,Q1704="Weekly",7,Q1704="Monthly",30,Q1704="Quarterly",90,Q1704="Bi-Weekly",14,Q1704="Annually",365,Q1704="Every 3 Months",90,TRUE,"NOT FOUND")</f>
        <v>7</v>
      </c>
    </row>
    <row r="1705" spans="1:19" x14ac:dyDescent="0.35">
      <c r="A1705">
        <v>1704</v>
      </c>
      <c r="B1705">
        <v>39</v>
      </c>
      <c r="C1705" t="s">
        <v>7</v>
      </c>
      <c r="D1705" t="s">
        <v>120</v>
      </c>
      <c r="E1705" t="s">
        <v>55</v>
      </c>
      <c r="F1705">
        <v>22</v>
      </c>
      <c r="G1705" t="s">
        <v>87</v>
      </c>
      <c r="H1705" t="s">
        <v>32</v>
      </c>
      <c r="I1705" t="s">
        <v>82</v>
      </c>
      <c r="J1705" t="s">
        <v>25</v>
      </c>
      <c r="K1705">
        <v>4</v>
      </c>
      <c r="L1705" t="s">
        <v>140</v>
      </c>
      <c r="M1705" t="s">
        <v>33</v>
      </c>
      <c r="N1705" t="s">
        <v>140</v>
      </c>
      <c r="O1705">
        <v>12</v>
      </c>
      <c r="P1705" t="s">
        <v>63</v>
      </c>
      <c r="Q1705" t="s">
        <v>37</v>
      </c>
      <c r="R1705" t="str" cm="1">
        <f t="array" ref="R1705">_xlfn.IFS(B1705&lt;31,"Young-Adult",B1705&lt;41,"Adult",B1705&lt;61,"Middle-aged",B1705&gt;=61,"Senior")</f>
        <v>Adult</v>
      </c>
      <c r="S1705" cm="1">
        <f t="array" ref="S1705">_xlfn.IFS(Q1705 ="Fortnightly",14,Q1705="Weekly",7,Q1705="Monthly",30,Q1705="Quarterly",90,Q1705="Bi-Weekly",14,Q1705="Annually",365,Q1705="Every 3 Months",90,TRUE,"NOT FOUND")</f>
        <v>365</v>
      </c>
    </row>
    <row r="1706" spans="1:19" x14ac:dyDescent="0.35">
      <c r="A1706">
        <v>1705</v>
      </c>
      <c r="B1706">
        <v>56</v>
      </c>
      <c r="C1706" t="s">
        <v>7</v>
      </c>
      <c r="D1706" t="s">
        <v>38</v>
      </c>
      <c r="E1706" t="s">
        <v>30</v>
      </c>
      <c r="F1706">
        <v>20</v>
      </c>
      <c r="G1706" t="s">
        <v>123</v>
      </c>
      <c r="H1706" t="s">
        <v>32</v>
      </c>
      <c r="I1706" t="s">
        <v>81</v>
      </c>
      <c r="J1706" t="s">
        <v>41</v>
      </c>
      <c r="K1706">
        <v>3.9</v>
      </c>
      <c r="L1706" t="s">
        <v>140</v>
      </c>
      <c r="M1706" t="s">
        <v>62</v>
      </c>
      <c r="N1706" t="s">
        <v>140</v>
      </c>
      <c r="O1706">
        <v>19</v>
      </c>
      <c r="P1706" t="s">
        <v>21</v>
      </c>
      <c r="Q1706" t="s">
        <v>85</v>
      </c>
      <c r="R1706" t="str" cm="1">
        <f t="array" ref="R1706">_xlfn.IFS(B1706&lt;31,"Young-Adult",B1706&lt;41,"Adult",B1706&lt;61,"Middle-aged",B1706&gt;=61,"Senior")</f>
        <v>Middle-aged</v>
      </c>
      <c r="S1706" cm="1">
        <f t="array" ref="S1706">_xlfn.IFS(Q1706 ="Fortnightly",14,Q1706="Weekly",7,Q1706="Monthly",30,Q1706="Quarterly",90,Q1706="Bi-Weekly",14,Q1706="Annually",365,Q1706="Every 3 Months",90,TRUE,"NOT FOUND")</f>
        <v>90</v>
      </c>
    </row>
    <row r="1707" spans="1:19" x14ac:dyDescent="0.35">
      <c r="A1707">
        <v>1706</v>
      </c>
      <c r="B1707">
        <v>39</v>
      </c>
      <c r="C1707" t="s">
        <v>7</v>
      </c>
      <c r="D1707" t="s">
        <v>94</v>
      </c>
      <c r="E1707" t="s">
        <v>55</v>
      </c>
      <c r="F1707">
        <v>29</v>
      </c>
      <c r="G1707" t="s">
        <v>135</v>
      </c>
      <c r="H1707" t="s">
        <v>11</v>
      </c>
      <c r="I1707" t="s">
        <v>97</v>
      </c>
      <c r="J1707" t="s">
        <v>41</v>
      </c>
      <c r="K1707">
        <v>3.4</v>
      </c>
      <c r="L1707" t="s">
        <v>140</v>
      </c>
      <c r="M1707" t="s">
        <v>58</v>
      </c>
      <c r="N1707" t="s">
        <v>140</v>
      </c>
      <c r="O1707">
        <v>49</v>
      </c>
      <c r="P1707" t="s">
        <v>16</v>
      </c>
      <c r="Q1707" t="s">
        <v>64</v>
      </c>
      <c r="R1707" t="str" cm="1">
        <f t="array" ref="R1707">_xlfn.IFS(B1707&lt;31,"Young-Adult",B1707&lt;41,"Adult",B1707&lt;61,"Middle-aged",B1707&gt;=61,"Senior")</f>
        <v>Adult</v>
      </c>
      <c r="S1707" cm="1">
        <f t="array" ref="S1707">_xlfn.IFS(Q1707 ="Fortnightly",14,Q1707="Weekly",7,Q1707="Monthly",30,Q1707="Quarterly",90,Q1707="Bi-Weekly",14,Q1707="Annually",365,Q1707="Every 3 Months",90,TRUE,"NOT FOUND")</f>
        <v>14</v>
      </c>
    </row>
    <row r="1708" spans="1:19" x14ac:dyDescent="0.35">
      <c r="A1708">
        <v>1707</v>
      </c>
      <c r="B1708">
        <v>37</v>
      </c>
      <c r="C1708" t="s">
        <v>7</v>
      </c>
      <c r="D1708" t="s">
        <v>77</v>
      </c>
      <c r="E1708" t="s">
        <v>55</v>
      </c>
      <c r="F1708">
        <v>87</v>
      </c>
      <c r="G1708" t="s">
        <v>102</v>
      </c>
      <c r="H1708" t="s">
        <v>32</v>
      </c>
      <c r="I1708" t="s">
        <v>98</v>
      </c>
      <c r="J1708" t="s">
        <v>25</v>
      </c>
      <c r="K1708">
        <v>3</v>
      </c>
      <c r="L1708" t="s">
        <v>140</v>
      </c>
      <c r="M1708" t="s">
        <v>42</v>
      </c>
      <c r="N1708" t="s">
        <v>140</v>
      </c>
      <c r="O1708">
        <v>25</v>
      </c>
      <c r="P1708" t="s">
        <v>16</v>
      </c>
      <c r="Q1708" t="s">
        <v>17</v>
      </c>
      <c r="R1708" t="str" cm="1">
        <f t="array" ref="R1708">_xlfn.IFS(B1708&lt;31,"Young-Adult",B1708&lt;41,"Adult",B1708&lt;61,"Middle-aged",B1708&gt;=61,"Senior")</f>
        <v>Adult</v>
      </c>
      <c r="S1708" cm="1">
        <f t="array" ref="S1708">_xlfn.IFS(Q1708 ="Fortnightly",14,Q1708="Weekly",7,Q1708="Monthly",30,Q1708="Quarterly",90,Q1708="Bi-Weekly",14,Q1708="Annually",365,Q1708="Every 3 Months",90,TRUE,"NOT FOUND")</f>
        <v>14</v>
      </c>
    </row>
    <row r="1709" spans="1:19" x14ac:dyDescent="0.35">
      <c r="A1709">
        <v>1708</v>
      </c>
      <c r="B1709">
        <v>25</v>
      </c>
      <c r="C1709" t="s">
        <v>7</v>
      </c>
      <c r="D1709" t="s">
        <v>47</v>
      </c>
      <c r="E1709" t="s">
        <v>9</v>
      </c>
      <c r="F1709">
        <v>81</v>
      </c>
      <c r="G1709" t="s">
        <v>95</v>
      </c>
      <c r="H1709" t="s">
        <v>11</v>
      </c>
      <c r="I1709" t="s">
        <v>20</v>
      </c>
      <c r="J1709" t="s">
        <v>45</v>
      </c>
      <c r="K1709">
        <v>4.9000000000000004</v>
      </c>
      <c r="L1709" t="s">
        <v>140</v>
      </c>
      <c r="M1709" t="s">
        <v>58</v>
      </c>
      <c r="N1709" t="s">
        <v>140</v>
      </c>
      <c r="O1709">
        <v>25</v>
      </c>
      <c r="P1709" t="s">
        <v>21</v>
      </c>
      <c r="Q1709" t="s">
        <v>64</v>
      </c>
      <c r="R1709" t="str" cm="1">
        <f t="array" ref="R1709">_xlfn.IFS(B1709&lt;31,"Young-Adult",B1709&lt;41,"Adult",B1709&lt;61,"Middle-aged",B1709&gt;=61,"Senior")</f>
        <v>Young-Adult</v>
      </c>
      <c r="S1709" cm="1">
        <f t="array" ref="S1709">_xlfn.IFS(Q1709 ="Fortnightly",14,Q1709="Weekly",7,Q1709="Monthly",30,Q1709="Quarterly",90,Q1709="Bi-Weekly",14,Q1709="Annually",365,Q1709="Every 3 Months",90,TRUE,"NOT FOUND")</f>
        <v>14</v>
      </c>
    </row>
    <row r="1710" spans="1:19" x14ac:dyDescent="0.35">
      <c r="A1710">
        <v>1709</v>
      </c>
      <c r="B1710">
        <v>35</v>
      </c>
      <c r="C1710" t="s">
        <v>7</v>
      </c>
      <c r="D1710" t="s">
        <v>125</v>
      </c>
      <c r="E1710" t="s">
        <v>30</v>
      </c>
      <c r="F1710">
        <v>58</v>
      </c>
      <c r="G1710" t="s">
        <v>91</v>
      </c>
      <c r="H1710" t="s">
        <v>11</v>
      </c>
      <c r="I1710" t="s">
        <v>97</v>
      </c>
      <c r="J1710" t="s">
        <v>25</v>
      </c>
      <c r="K1710">
        <v>3.2</v>
      </c>
      <c r="L1710" t="s">
        <v>140</v>
      </c>
      <c r="M1710" t="s">
        <v>15</v>
      </c>
      <c r="N1710" t="s">
        <v>140</v>
      </c>
      <c r="O1710">
        <v>1</v>
      </c>
      <c r="P1710" t="s">
        <v>27</v>
      </c>
      <c r="Q1710" t="s">
        <v>46</v>
      </c>
      <c r="R1710" t="str" cm="1">
        <f t="array" ref="R1710">_xlfn.IFS(B1710&lt;31,"Young-Adult",B1710&lt;41,"Adult",B1710&lt;61,"Middle-aged",B1710&gt;=61,"Senior")</f>
        <v>Adult</v>
      </c>
      <c r="S1710" cm="1">
        <f t="array" ref="S1710">_xlfn.IFS(Q1710 ="Fortnightly",14,Q1710="Weekly",7,Q1710="Monthly",30,Q1710="Quarterly",90,Q1710="Bi-Weekly",14,Q1710="Annually",365,Q1710="Every 3 Months",90,TRUE,"NOT FOUND")</f>
        <v>90</v>
      </c>
    </row>
    <row r="1711" spans="1:19" x14ac:dyDescent="0.35">
      <c r="A1711">
        <v>1710</v>
      </c>
      <c r="B1711">
        <v>45</v>
      </c>
      <c r="C1711" t="s">
        <v>7</v>
      </c>
      <c r="D1711" t="s">
        <v>75</v>
      </c>
      <c r="E1711" t="s">
        <v>9</v>
      </c>
      <c r="F1711">
        <v>83</v>
      </c>
      <c r="G1711" t="s">
        <v>104</v>
      </c>
      <c r="H1711" t="s">
        <v>32</v>
      </c>
      <c r="I1711" t="s">
        <v>57</v>
      </c>
      <c r="J1711" t="s">
        <v>13</v>
      </c>
      <c r="K1711">
        <v>3.8</v>
      </c>
      <c r="L1711" t="s">
        <v>140</v>
      </c>
      <c r="M1711" t="s">
        <v>42</v>
      </c>
      <c r="N1711" t="s">
        <v>140</v>
      </c>
      <c r="O1711">
        <v>19</v>
      </c>
      <c r="P1711" t="s">
        <v>63</v>
      </c>
      <c r="Q1711" t="s">
        <v>37</v>
      </c>
      <c r="R1711" t="str" cm="1">
        <f t="array" ref="R1711">_xlfn.IFS(B1711&lt;31,"Young-Adult",B1711&lt;41,"Adult",B1711&lt;61,"Middle-aged",B1711&gt;=61,"Senior")</f>
        <v>Middle-aged</v>
      </c>
      <c r="S1711" cm="1">
        <f t="array" ref="S1711">_xlfn.IFS(Q1711 ="Fortnightly",14,Q1711="Weekly",7,Q1711="Monthly",30,Q1711="Quarterly",90,Q1711="Bi-Weekly",14,Q1711="Annually",365,Q1711="Every 3 Months",90,TRUE,"NOT FOUND")</f>
        <v>365</v>
      </c>
    </row>
    <row r="1712" spans="1:19" x14ac:dyDescent="0.35">
      <c r="A1712">
        <v>1711</v>
      </c>
      <c r="B1712">
        <v>19</v>
      </c>
      <c r="C1712" t="s">
        <v>7</v>
      </c>
      <c r="D1712" t="s">
        <v>83</v>
      </c>
      <c r="E1712" t="s">
        <v>9</v>
      </c>
      <c r="F1712">
        <v>59</v>
      </c>
      <c r="G1712" t="s">
        <v>60</v>
      </c>
      <c r="H1712" t="s">
        <v>80</v>
      </c>
      <c r="I1712" t="s">
        <v>109</v>
      </c>
      <c r="J1712" t="s">
        <v>45</v>
      </c>
      <c r="K1712">
        <v>3.8</v>
      </c>
      <c r="L1712" t="s">
        <v>140</v>
      </c>
      <c r="M1712" t="s">
        <v>62</v>
      </c>
      <c r="N1712" t="s">
        <v>140</v>
      </c>
      <c r="O1712">
        <v>7</v>
      </c>
      <c r="P1712" t="s">
        <v>27</v>
      </c>
      <c r="Q1712" t="s">
        <v>46</v>
      </c>
      <c r="R1712" t="str" cm="1">
        <f t="array" ref="R1712">_xlfn.IFS(B1712&lt;31,"Young-Adult",B1712&lt;41,"Adult",B1712&lt;61,"Middle-aged",B1712&gt;=61,"Senior")</f>
        <v>Young-Adult</v>
      </c>
      <c r="S1712" cm="1">
        <f t="array" ref="S1712">_xlfn.IFS(Q1712 ="Fortnightly",14,Q1712="Weekly",7,Q1712="Monthly",30,Q1712="Quarterly",90,Q1712="Bi-Weekly",14,Q1712="Annually",365,Q1712="Every 3 Months",90,TRUE,"NOT FOUND")</f>
        <v>90</v>
      </c>
    </row>
    <row r="1713" spans="1:19" x14ac:dyDescent="0.35">
      <c r="A1713">
        <v>1712</v>
      </c>
      <c r="B1713">
        <v>21</v>
      </c>
      <c r="C1713" t="s">
        <v>7</v>
      </c>
      <c r="D1713" t="s">
        <v>101</v>
      </c>
      <c r="E1713" t="s">
        <v>9</v>
      </c>
      <c r="F1713">
        <v>93</v>
      </c>
      <c r="G1713" t="s">
        <v>86</v>
      </c>
      <c r="H1713" t="s">
        <v>32</v>
      </c>
      <c r="I1713" t="s">
        <v>81</v>
      </c>
      <c r="J1713" t="s">
        <v>25</v>
      </c>
      <c r="K1713">
        <v>4.7</v>
      </c>
      <c r="L1713" t="s">
        <v>140</v>
      </c>
      <c r="M1713" t="s">
        <v>15</v>
      </c>
      <c r="N1713" t="s">
        <v>140</v>
      </c>
      <c r="O1713">
        <v>19</v>
      </c>
      <c r="P1713" t="s">
        <v>27</v>
      </c>
      <c r="Q1713" t="s">
        <v>76</v>
      </c>
      <c r="R1713" t="str" cm="1">
        <f t="array" ref="R1713">_xlfn.IFS(B1713&lt;31,"Young-Adult",B1713&lt;41,"Adult",B1713&lt;61,"Middle-aged",B1713&gt;=61,"Senior")</f>
        <v>Young-Adult</v>
      </c>
      <c r="S1713" cm="1">
        <f t="array" ref="S1713">_xlfn.IFS(Q1713 ="Fortnightly",14,Q1713="Weekly",7,Q1713="Monthly",30,Q1713="Quarterly",90,Q1713="Bi-Weekly",14,Q1713="Annually",365,Q1713="Every 3 Months",90,TRUE,"NOT FOUND")</f>
        <v>30</v>
      </c>
    </row>
    <row r="1714" spans="1:19" x14ac:dyDescent="0.35">
      <c r="A1714">
        <v>1713</v>
      </c>
      <c r="B1714">
        <v>65</v>
      </c>
      <c r="C1714" t="s">
        <v>7</v>
      </c>
      <c r="D1714" t="s">
        <v>101</v>
      </c>
      <c r="E1714" t="s">
        <v>9</v>
      </c>
      <c r="F1714">
        <v>87</v>
      </c>
      <c r="G1714" t="s">
        <v>103</v>
      </c>
      <c r="H1714" t="s">
        <v>24</v>
      </c>
      <c r="I1714" t="s">
        <v>106</v>
      </c>
      <c r="J1714" t="s">
        <v>45</v>
      </c>
      <c r="K1714">
        <v>3.8</v>
      </c>
      <c r="L1714" t="s">
        <v>140</v>
      </c>
      <c r="M1714" t="s">
        <v>58</v>
      </c>
      <c r="N1714" t="s">
        <v>140</v>
      </c>
      <c r="O1714">
        <v>9</v>
      </c>
      <c r="P1714" t="s">
        <v>21</v>
      </c>
      <c r="Q1714" t="s">
        <v>17</v>
      </c>
      <c r="R1714" t="str" cm="1">
        <f t="array" ref="R1714">_xlfn.IFS(B1714&lt;31,"Young-Adult",B1714&lt;41,"Adult",B1714&lt;61,"Middle-aged",B1714&gt;=61,"Senior")</f>
        <v>Senior</v>
      </c>
      <c r="S1714" cm="1">
        <f t="array" ref="S1714">_xlfn.IFS(Q1714 ="Fortnightly",14,Q1714="Weekly",7,Q1714="Monthly",30,Q1714="Quarterly",90,Q1714="Bi-Weekly",14,Q1714="Annually",365,Q1714="Every 3 Months",90,TRUE,"NOT FOUND")</f>
        <v>14</v>
      </c>
    </row>
    <row r="1715" spans="1:19" x14ac:dyDescent="0.35">
      <c r="A1715">
        <v>1714</v>
      </c>
      <c r="B1715">
        <v>49</v>
      </c>
      <c r="C1715" t="s">
        <v>7</v>
      </c>
      <c r="D1715" t="s">
        <v>90</v>
      </c>
      <c r="E1715" t="s">
        <v>51</v>
      </c>
      <c r="F1715">
        <v>22</v>
      </c>
      <c r="G1715" t="s">
        <v>56</v>
      </c>
      <c r="H1715" t="s">
        <v>32</v>
      </c>
      <c r="I1715" t="s">
        <v>57</v>
      </c>
      <c r="J1715" t="s">
        <v>13</v>
      </c>
      <c r="K1715">
        <v>4.5999999999999996</v>
      </c>
      <c r="L1715" t="s">
        <v>140</v>
      </c>
      <c r="M1715" t="s">
        <v>26</v>
      </c>
      <c r="N1715" t="s">
        <v>140</v>
      </c>
      <c r="O1715">
        <v>37</v>
      </c>
      <c r="P1715" t="s">
        <v>34</v>
      </c>
      <c r="Q1715" t="s">
        <v>46</v>
      </c>
      <c r="R1715" t="str" cm="1">
        <f t="array" ref="R1715">_xlfn.IFS(B1715&lt;31,"Young-Adult",B1715&lt;41,"Adult",B1715&lt;61,"Middle-aged",B1715&gt;=61,"Senior")</f>
        <v>Middle-aged</v>
      </c>
      <c r="S1715" cm="1">
        <f t="array" ref="S1715">_xlfn.IFS(Q1715 ="Fortnightly",14,Q1715="Weekly",7,Q1715="Monthly",30,Q1715="Quarterly",90,Q1715="Bi-Weekly",14,Q1715="Annually",365,Q1715="Every 3 Months",90,TRUE,"NOT FOUND")</f>
        <v>90</v>
      </c>
    </row>
    <row r="1716" spans="1:19" x14ac:dyDescent="0.35">
      <c r="A1716">
        <v>1715</v>
      </c>
      <c r="B1716">
        <v>30</v>
      </c>
      <c r="C1716" t="s">
        <v>7</v>
      </c>
      <c r="D1716" t="s">
        <v>22</v>
      </c>
      <c r="E1716" t="s">
        <v>9</v>
      </c>
      <c r="F1716">
        <v>71</v>
      </c>
      <c r="G1716" t="s">
        <v>135</v>
      </c>
      <c r="H1716" t="s">
        <v>24</v>
      </c>
      <c r="I1716" t="s">
        <v>49</v>
      </c>
      <c r="J1716" t="s">
        <v>41</v>
      </c>
      <c r="K1716">
        <v>4.4000000000000004</v>
      </c>
      <c r="L1716" t="s">
        <v>140</v>
      </c>
      <c r="M1716" t="s">
        <v>42</v>
      </c>
      <c r="N1716" t="s">
        <v>140</v>
      </c>
      <c r="O1716">
        <v>15</v>
      </c>
      <c r="P1716" t="s">
        <v>21</v>
      </c>
      <c r="Q1716" t="s">
        <v>76</v>
      </c>
      <c r="R1716" t="str" cm="1">
        <f t="array" ref="R1716">_xlfn.IFS(B1716&lt;31,"Young-Adult",B1716&lt;41,"Adult",B1716&lt;61,"Middle-aged",B1716&gt;=61,"Senior")</f>
        <v>Young-Adult</v>
      </c>
      <c r="S1716" cm="1">
        <f t="array" ref="S1716">_xlfn.IFS(Q1716 ="Fortnightly",14,Q1716="Weekly",7,Q1716="Monthly",30,Q1716="Quarterly",90,Q1716="Bi-Weekly",14,Q1716="Annually",365,Q1716="Every 3 Months",90,TRUE,"NOT FOUND")</f>
        <v>30</v>
      </c>
    </row>
    <row r="1717" spans="1:19" x14ac:dyDescent="0.35">
      <c r="A1717">
        <v>1716</v>
      </c>
      <c r="B1717">
        <v>23</v>
      </c>
      <c r="C1717" t="s">
        <v>7</v>
      </c>
      <c r="D1717" t="s">
        <v>69</v>
      </c>
      <c r="E1717" t="s">
        <v>9</v>
      </c>
      <c r="F1717">
        <v>69</v>
      </c>
      <c r="G1717" t="s">
        <v>123</v>
      </c>
      <c r="H1717" t="s">
        <v>80</v>
      </c>
      <c r="I1717" t="s">
        <v>12</v>
      </c>
      <c r="J1717" t="s">
        <v>25</v>
      </c>
      <c r="K1717">
        <v>3.4</v>
      </c>
      <c r="L1717" t="s">
        <v>140</v>
      </c>
      <c r="M1717" t="s">
        <v>58</v>
      </c>
      <c r="N1717" t="s">
        <v>140</v>
      </c>
      <c r="O1717">
        <v>30</v>
      </c>
      <c r="P1717" t="s">
        <v>34</v>
      </c>
      <c r="Q1717" t="s">
        <v>64</v>
      </c>
      <c r="R1717" t="str" cm="1">
        <f t="array" ref="R1717">_xlfn.IFS(B1717&lt;31,"Young-Adult",B1717&lt;41,"Adult",B1717&lt;61,"Middle-aged",B1717&gt;=61,"Senior")</f>
        <v>Young-Adult</v>
      </c>
      <c r="S1717" cm="1">
        <f t="array" ref="S1717">_xlfn.IFS(Q1717 ="Fortnightly",14,Q1717="Weekly",7,Q1717="Monthly",30,Q1717="Quarterly",90,Q1717="Bi-Weekly",14,Q1717="Annually",365,Q1717="Every 3 Months",90,TRUE,"NOT FOUND")</f>
        <v>14</v>
      </c>
    </row>
    <row r="1718" spans="1:19" x14ac:dyDescent="0.35">
      <c r="A1718">
        <v>1717</v>
      </c>
      <c r="B1718">
        <v>69</v>
      </c>
      <c r="C1718" t="s">
        <v>7</v>
      </c>
      <c r="D1718" t="s">
        <v>8</v>
      </c>
      <c r="E1718" t="s">
        <v>9</v>
      </c>
      <c r="F1718">
        <v>47</v>
      </c>
      <c r="G1718" t="s">
        <v>127</v>
      </c>
      <c r="H1718" t="s">
        <v>32</v>
      </c>
      <c r="I1718" t="s">
        <v>97</v>
      </c>
      <c r="J1718" t="s">
        <v>13</v>
      </c>
      <c r="K1718">
        <v>4.7</v>
      </c>
      <c r="L1718" t="s">
        <v>140</v>
      </c>
      <c r="M1718" t="s">
        <v>42</v>
      </c>
      <c r="N1718" t="s">
        <v>140</v>
      </c>
      <c r="O1718">
        <v>30</v>
      </c>
      <c r="P1718" t="s">
        <v>21</v>
      </c>
      <c r="Q1718" t="s">
        <v>85</v>
      </c>
      <c r="R1718" t="str" cm="1">
        <f t="array" ref="R1718">_xlfn.IFS(B1718&lt;31,"Young-Adult",B1718&lt;41,"Adult",B1718&lt;61,"Middle-aged",B1718&gt;=61,"Senior")</f>
        <v>Senior</v>
      </c>
      <c r="S1718" cm="1">
        <f t="array" ref="S1718">_xlfn.IFS(Q1718 ="Fortnightly",14,Q1718="Weekly",7,Q1718="Monthly",30,Q1718="Quarterly",90,Q1718="Bi-Weekly",14,Q1718="Annually",365,Q1718="Every 3 Months",90,TRUE,"NOT FOUND")</f>
        <v>90</v>
      </c>
    </row>
    <row r="1719" spans="1:19" x14ac:dyDescent="0.35">
      <c r="A1719">
        <v>1718</v>
      </c>
      <c r="B1719">
        <v>29</v>
      </c>
      <c r="C1719" t="s">
        <v>7</v>
      </c>
      <c r="D1719" t="s">
        <v>92</v>
      </c>
      <c r="E1719" t="s">
        <v>9</v>
      </c>
      <c r="F1719">
        <v>50</v>
      </c>
      <c r="G1719" t="s">
        <v>65</v>
      </c>
      <c r="H1719" t="s">
        <v>11</v>
      </c>
      <c r="I1719" t="s">
        <v>109</v>
      </c>
      <c r="J1719" t="s">
        <v>41</v>
      </c>
      <c r="K1719">
        <v>2.9</v>
      </c>
      <c r="L1719" t="s">
        <v>140</v>
      </c>
      <c r="M1719" t="s">
        <v>15</v>
      </c>
      <c r="N1719" t="s">
        <v>140</v>
      </c>
      <c r="O1719">
        <v>16</v>
      </c>
      <c r="P1719" t="s">
        <v>74</v>
      </c>
      <c r="Q1719" t="s">
        <v>64</v>
      </c>
      <c r="R1719" t="str" cm="1">
        <f t="array" ref="R1719">_xlfn.IFS(B1719&lt;31,"Young-Adult",B1719&lt;41,"Adult",B1719&lt;61,"Middle-aged",B1719&gt;=61,"Senior")</f>
        <v>Young-Adult</v>
      </c>
      <c r="S1719" cm="1">
        <f t="array" ref="S1719">_xlfn.IFS(Q1719 ="Fortnightly",14,Q1719="Weekly",7,Q1719="Monthly",30,Q1719="Quarterly",90,Q1719="Bi-Weekly",14,Q1719="Annually",365,Q1719="Every 3 Months",90,TRUE,"NOT FOUND")</f>
        <v>14</v>
      </c>
    </row>
    <row r="1720" spans="1:19" x14ac:dyDescent="0.35">
      <c r="A1720">
        <v>1719</v>
      </c>
      <c r="B1720">
        <v>54</v>
      </c>
      <c r="C1720" t="s">
        <v>7</v>
      </c>
      <c r="D1720" t="s">
        <v>101</v>
      </c>
      <c r="E1720" t="s">
        <v>9</v>
      </c>
      <c r="F1720">
        <v>96</v>
      </c>
      <c r="G1720" t="s">
        <v>116</v>
      </c>
      <c r="H1720" t="s">
        <v>11</v>
      </c>
      <c r="I1720" t="s">
        <v>57</v>
      </c>
      <c r="J1720" t="s">
        <v>13</v>
      </c>
      <c r="K1720">
        <v>3.4</v>
      </c>
      <c r="L1720" t="s">
        <v>140</v>
      </c>
      <c r="M1720" t="s">
        <v>58</v>
      </c>
      <c r="N1720" t="s">
        <v>140</v>
      </c>
      <c r="O1720">
        <v>14</v>
      </c>
      <c r="P1720" t="s">
        <v>34</v>
      </c>
      <c r="Q1720" t="s">
        <v>85</v>
      </c>
      <c r="R1720" t="str" cm="1">
        <f t="array" ref="R1720">_xlfn.IFS(B1720&lt;31,"Young-Adult",B1720&lt;41,"Adult",B1720&lt;61,"Middle-aged",B1720&gt;=61,"Senior")</f>
        <v>Middle-aged</v>
      </c>
      <c r="S1720" cm="1">
        <f t="array" ref="S1720">_xlfn.IFS(Q1720 ="Fortnightly",14,Q1720="Weekly",7,Q1720="Monthly",30,Q1720="Quarterly",90,Q1720="Bi-Weekly",14,Q1720="Annually",365,Q1720="Every 3 Months",90,TRUE,"NOT FOUND")</f>
        <v>90</v>
      </c>
    </row>
    <row r="1721" spans="1:19" x14ac:dyDescent="0.35">
      <c r="A1721">
        <v>1720</v>
      </c>
      <c r="B1721">
        <v>45</v>
      </c>
      <c r="C1721" t="s">
        <v>7</v>
      </c>
      <c r="D1721" t="s">
        <v>18</v>
      </c>
      <c r="E1721" t="s">
        <v>9</v>
      </c>
      <c r="F1721">
        <v>39</v>
      </c>
      <c r="G1721" t="s">
        <v>116</v>
      </c>
      <c r="H1721" t="s">
        <v>32</v>
      </c>
      <c r="I1721" t="s">
        <v>40</v>
      </c>
      <c r="J1721" t="s">
        <v>13</v>
      </c>
      <c r="K1721">
        <v>3.2</v>
      </c>
      <c r="L1721" t="s">
        <v>140</v>
      </c>
      <c r="M1721" t="s">
        <v>26</v>
      </c>
      <c r="N1721" t="s">
        <v>140</v>
      </c>
      <c r="O1721">
        <v>8</v>
      </c>
      <c r="P1721" t="s">
        <v>16</v>
      </c>
      <c r="Q1721" t="s">
        <v>46</v>
      </c>
      <c r="R1721" t="str" cm="1">
        <f t="array" ref="R1721">_xlfn.IFS(B1721&lt;31,"Young-Adult",B1721&lt;41,"Adult",B1721&lt;61,"Middle-aged",B1721&gt;=61,"Senior")</f>
        <v>Middle-aged</v>
      </c>
      <c r="S1721" cm="1">
        <f t="array" ref="S1721">_xlfn.IFS(Q1721 ="Fortnightly",14,Q1721="Weekly",7,Q1721="Monthly",30,Q1721="Quarterly",90,Q1721="Bi-Weekly",14,Q1721="Annually",365,Q1721="Every 3 Months",90,TRUE,"NOT FOUND")</f>
        <v>90</v>
      </c>
    </row>
    <row r="1722" spans="1:19" x14ac:dyDescent="0.35">
      <c r="A1722">
        <v>1721</v>
      </c>
      <c r="B1722">
        <v>25</v>
      </c>
      <c r="C1722" t="s">
        <v>7</v>
      </c>
      <c r="D1722" t="s">
        <v>47</v>
      </c>
      <c r="E1722" t="s">
        <v>9</v>
      </c>
      <c r="F1722">
        <v>84</v>
      </c>
      <c r="G1722" t="s">
        <v>23</v>
      </c>
      <c r="H1722" t="s">
        <v>24</v>
      </c>
      <c r="I1722" t="s">
        <v>106</v>
      </c>
      <c r="J1722" t="s">
        <v>13</v>
      </c>
      <c r="K1722">
        <v>2.8</v>
      </c>
      <c r="L1722" t="s">
        <v>140</v>
      </c>
      <c r="M1722" t="s">
        <v>15</v>
      </c>
      <c r="N1722" t="s">
        <v>140</v>
      </c>
      <c r="O1722">
        <v>40</v>
      </c>
      <c r="P1722" t="s">
        <v>74</v>
      </c>
      <c r="Q1722" t="s">
        <v>64</v>
      </c>
      <c r="R1722" t="str" cm="1">
        <f t="array" ref="R1722">_xlfn.IFS(B1722&lt;31,"Young-Adult",B1722&lt;41,"Adult",B1722&lt;61,"Middle-aged",B1722&gt;=61,"Senior")</f>
        <v>Young-Adult</v>
      </c>
      <c r="S1722" cm="1">
        <f t="array" ref="S1722">_xlfn.IFS(Q1722 ="Fortnightly",14,Q1722="Weekly",7,Q1722="Monthly",30,Q1722="Quarterly",90,Q1722="Bi-Weekly",14,Q1722="Annually",365,Q1722="Every 3 Months",90,TRUE,"NOT FOUND")</f>
        <v>14</v>
      </c>
    </row>
    <row r="1723" spans="1:19" x14ac:dyDescent="0.35">
      <c r="A1723">
        <v>1722</v>
      </c>
      <c r="B1723">
        <v>34</v>
      </c>
      <c r="C1723" t="s">
        <v>7</v>
      </c>
      <c r="D1723" t="s">
        <v>94</v>
      </c>
      <c r="E1723" t="s">
        <v>55</v>
      </c>
      <c r="F1723">
        <v>28</v>
      </c>
      <c r="G1723" t="s">
        <v>67</v>
      </c>
      <c r="H1723" t="s">
        <v>24</v>
      </c>
      <c r="I1723" t="s">
        <v>124</v>
      </c>
      <c r="J1723" t="s">
        <v>25</v>
      </c>
      <c r="K1723">
        <v>4.3</v>
      </c>
      <c r="L1723" t="s">
        <v>140</v>
      </c>
      <c r="M1723" t="s">
        <v>26</v>
      </c>
      <c r="N1723" t="s">
        <v>140</v>
      </c>
      <c r="O1723">
        <v>24</v>
      </c>
      <c r="P1723" t="s">
        <v>27</v>
      </c>
      <c r="Q1723" t="s">
        <v>76</v>
      </c>
      <c r="R1723" t="str" cm="1">
        <f t="array" ref="R1723">_xlfn.IFS(B1723&lt;31,"Young-Adult",B1723&lt;41,"Adult",B1723&lt;61,"Middle-aged",B1723&gt;=61,"Senior")</f>
        <v>Adult</v>
      </c>
      <c r="S1723" cm="1">
        <f t="array" ref="S1723">_xlfn.IFS(Q1723 ="Fortnightly",14,Q1723="Weekly",7,Q1723="Monthly",30,Q1723="Quarterly",90,Q1723="Bi-Weekly",14,Q1723="Annually",365,Q1723="Every 3 Months",90,TRUE,"NOT FOUND")</f>
        <v>30</v>
      </c>
    </row>
    <row r="1724" spans="1:19" x14ac:dyDescent="0.35">
      <c r="A1724">
        <v>1723</v>
      </c>
      <c r="B1724">
        <v>46</v>
      </c>
      <c r="C1724" t="s">
        <v>7</v>
      </c>
      <c r="D1724" t="s">
        <v>101</v>
      </c>
      <c r="E1724" t="s">
        <v>9</v>
      </c>
      <c r="F1724">
        <v>51</v>
      </c>
      <c r="G1724" t="s">
        <v>23</v>
      </c>
      <c r="H1724" t="s">
        <v>11</v>
      </c>
      <c r="I1724" t="s">
        <v>71</v>
      </c>
      <c r="J1724" t="s">
        <v>41</v>
      </c>
      <c r="K1724">
        <v>3.3</v>
      </c>
      <c r="L1724" t="s">
        <v>140</v>
      </c>
      <c r="M1724" t="s">
        <v>42</v>
      </c>
      <c r="N1724" t="s">
        <v>140</v>
      </c>
      <c r="O1724">
        <v>14</v>
      </c>
      <c r="P1724" t="s">
        <v>21</v>
      </c>
      <c r="Q1724" t="s">
        <v>17</v>
      </c>
      <c r="R1724" t="str" cm="1">
        <f t="array" ref="R1724">_xlfn.IFS(B1724&lt;31,"Young-Adult",B1724&lt;41,"Adult",B1724&lt;61,"Middle-aged",B1724&gt;=61,"Senior")</f>
        <v>Middle-aged</v>
      </c>
      <c r="S1724" cm="1">
        <f t="array" ref="S1724">_xlfn.IFS(Q1724 ="Fortnightly",14,Q1724="Weekly",7,Q1724="Monthly",30,Q1724="Quarterly",90,Q1724="Bi-Weekly",14,Q1724="Annually",365,Q1724="Every 3 Months",90,TRUE,"NOT FOUND")</f>
        <v>14</v>
      </c>
    </row>
    <row r="1725" spans="1:19" x14ac:dyDescent="0.35">
      <c r="A1725">
        <v>1724</v>
      </c>
      <c r="B1725">
        <v>70</v>
      </c>
      <c r="C1725" t="s">
        <v>7</v>
      </c>
      <c r="D1725" t="s">
        <v>107</v>
      </c>
      <c r="E1725" t="s">
        <v>55</v>
      </c>
      <c r="F1725">
        <v>20</v>
      </c>
      <c r="G1725" t="s">
        <v>72</v>
      </c>
      <c r="H1725" t="s">
        <v>80</v>
      </c>
      <c r="I1725" t="s">
        <v>68</v>
      </c>
      <c r="J1725" t="s">
        <v>25</v>
      </c>
      <c r="K1725">
        <v>3.3</v>
      </c>
      <c r="L1725" t="s">
        <v>140</v>
      </c>
      <c r="M1725" t="s">
        <v>42</v>
      </c>
      <c r="N1725" t="s">
        <v>140</v>
      </c>
      <c r="O1725">
        <v>39</v>
      </c>
      <c r="P1725" t="s">
        <v>34</v>
      </c>
      <c r="Q1725" t="s">
        <v>37</v>
      </c>
      <c r="R1725" t="str" cm="1">
        <f t="array" ref="R1725">_xlfn.IFS(B1725&lt;31,"Young-Adult",B1725&lt;41,"Adult",B1725&lt;61,"Middle-aged",B1725&gt;=61,"Senior")</f>
        <v>Senior</v>
      </c>
      <c r="S1725" cm="1">
        <f t="array" ref="S1725">_xlfn.IFS(Q1725 ="Fortnightly",14,Q1725="Weekly",7,Q1725="Monthly",30,Q1725="Quarterly",90,Q1725="Bi-Weekly",14,Q1725="Annually",365,Q1725="Every 3 Months",90,TRUE,"NOT FOUND")</f>
        <v>365</v>
      </c>
    </row>
    <row r="1726" spans="1:19" x14ac:dyDescent="0.35">
      <c r="A1726">
        <v>1725</v>
      </c>
      <c r="B1726">
        <v>42</v>
      </c>
      <c r="C1726" t="s">
        <v>7</v>
      </c>
      <c r="D1726" t="s">
        <v>59</v>
      </c>
      <c r="E1726" t="s">
        <v>30</v>
      </c>
      <c r="F1726">
        <v>72</v>
      </c>
      <c r="G1726" t="s">
        <v>67</v>
      </c>
      <c r="H1726" t="s">
        <v>24</v>
      </c>
      <c r="I1726" t="s">
        <v>73</v>
      </c>
      <c r="J1726" t="s">
        <v>13</v>
      </c>
      <c r="K1726">
        <v>3.3</v>
      </c>
      <c r="L1726" t="s">
        <v>140</v>
      </c>
      <c r="M1726" t="s">
        <v>26</v>
      </c>
      <c r="N1726" t="s">
        <v>140</v>
      </c>
      <c r="O1726">
        <v>21</v>
      </c>
      <c r="P1726" t="s">
        <v>34</v>
      </c>
      <c r="Q1726" t="s">
        <v>28</v>
      </c>
      <c r="R1726" t="str" cm="1">
        <f t="array" ref="R1726">_xlfn.IFS(B1726&lt;31,"Young-Adult",B1726&lt;41,"Adult",B1726&lt;61,"Middle-aged",B1726&gt;=61,"Senior")</f>
        <v>Middle-aged</v>
      </c>
      <c r="S1726" cm="1">
        <f t="array" ref="S1726">_xlfn.IFS(Q1726 ="Fortnightly",14,Q1726="Weekly",7,Q1726="Monthly",30,Q1726="Quarterly",90,Q1726="Bi-Weekly",14,Q1726="Annually",365,Q1726="Every 3 Months",90,TRUE,"NOT FOUND")</f>
        <v>7</v>
      </c>
    </row>
    <row r="1727" spans="1:19" x14ac:dyDescent="0.35">
      <c r="A1727">
        <v>1726</v>
      </c>
      <c r="B1727">
        <v>45</v>
      </c>
      <c r="C1727" t="s">
        <v>7</v>
      </c>
      <c r="D1727" t="s">
        <v>77</v>
      </c>
      <c r="E1727" t="s">
        <v>55</v>
      </c>
      <c r="F1727">
        <v>33</v>
      </c>
      <c r="G1727" t="s">
        <v>23</v>
      </c>
      <c r="H1727" t="s">
        <v>32</v>
      </c>
      <c r="I1727" t="s">
        <v>114</v>
      </c>
      <c r="J1727" t="s">
        <v>25</v>
      </c>
      <c r="K1727">
        <v>3</v>
      </c>
      <c r="L1727" t="s">
        <v>140</v>
      </c>
      <c r="M1727" t="s">
        <v>33</v>
      </c>
      <c r="N1727" t="s">
        <v>140</v>
      </c>
      <c r="O1727">
        <v>32</v>
      </c>
      <c r="P1727" t="s">
        <v>16</v>
      </c>
      <c r="Q1727" t="s">
        <v>46</v>
      </c>
      <c r="R1727" t="str" cm="1">
        <f t="array" ref="R1727">_xlfn.IFS(B1727&lt;31,"Young-Adult",B1727&lt;41,"Adult",B1727&lt;61,"Middle-aged",B1727&gt;=61,"Senior")</f>
        <v>Middle-aged</v>
      </c>
      <c r="S1727" cm="1">
        <f t="array" ref="S1727">_xlfn.IFS(Q1727 ="Fortnightly",14,Q1727="Weekly",7,Q1727="Monthly",30,Q1727="Quarterly",90,Q1727="Bi-Weekly",14,Q1727="Annually",365,Q1727="Every 3 Months",90,TRUE,"NOT FOUND")</f>
        <v>90</v>
      </c>
    </row>
    <row r="1728" spans="1:19" x14ac:dyDescent="0.35">
      <c r="A1728">
        <v>1727</v>
      </c>
      <c r="B1728">
        <v>57</v>
      </c>
      <c r="C1728" t="s">
        <v>7</v>
      </c>
      <c r="D1728" t="s">
        <v>50</v>
      </c>
      <c r="E1728" t="s">
        <v>51</v>
      </c>
      <c r="F1728">
        <v>28</v>
      </c>
      <c r="G1728" t="s">
        <v>104</v>
      </c>
      <c r="H1728" t="s">
        <v>24</v>
      </c>
      <c r="I1728" t="s">
        <v>66</v>
      </c>
      <c r="J1728" t="s">
        <v>41</v>
      </c>
      <c r="K1728">
        <v>2.8</v>
      </c>
      <c r="L1728" t="s">
        <v>140</v>
      </c>
      <c r="M1728" t="s">
        <v>15</v>
      </c>
      <c r="N1728" t="s">
        <v>140</v>
      </c>
      <c r="O1728">
        <v>45</v>
      </c>
      <c r="P1728" t="s">
        <v>74</v>
      </c>
      <c r="Q1728" t="s">
        <v>28</v>
      </c>
      <c r="R1728" t="str" cm="1">
        <f t="array" ref="R1728">_xlfn.IFS(B1728&lt;31,"Young-Adult",B1728&lt;41,"Adult",B1728&lt;61,"Middle-aged",B1728&gt;=61,"Senior")</f>
        <v>Middle-aged</v>
      </c>
      <c r="S1728" cm="1">
        <f t="array" ref="S1728">_xlfn.IFS(Q1728 ="Fortnightly",14,Q1728="Weekly",7,Q1728="Monthly",30,Q1728="Quarterly",90,Q1728="Bi-Weekly",14,Q1728="Annually",365,Q1728="Every 3 Months",90,TRUE,"NOT FOUND")</f>
        <v>7</v>
      </c>
    </row>
    <row r="1729" spans="1:19" x14ac:dyDescent="0.35">
      <c r="A1729">
        <v>1728</v>
      </c>
      <c r="B1729">
        <v>49</v>
      </c>
      <c r="C1729" t="s">
        <v>7</v>
      </c>
      <c r="D1729" t="s">
        <v>8</v>
      </c>
      <c r="E1729" t="s">
        <v>9</v>
      </c>
      <c r="F1729">
        <v>53</v>
      </c>
      <c r="G1729" t="s">
        <v>129</v>
      </c>
      <c r="H1729" t="s">
        <v>24</v>
      </c>
      <c r="I1729" t="s">
        <v>71</v>
      </c>
      <c r="J1729" t="s">
        <v>25</v>
      </c>
      <c r="K1729">
        <v>4</v>
      </c>
      <c r="L1729" t="s">
        <v>140</v>
      </c>
      <c r="M1729" t="s">
        <v>15</v>
      </c>
      <c r="N1729" t="s">
        <v>140</v>
      </c>
      <c r="O1729">
        <v>19</v>
      </c>
      <c r="P1729" t="s">
        <v>34</v>
      </c>
      <c r="Q1729" t="s">
        <v>76</v>
      </c>
      <c r="R1729" t="str" cm="1">
        <f t="array" ref="R1729">_xlfn.IFS(B1729&lt;31,"Young-Adult",B1729&lt;41,"Adult",B1729&lt;61,"Middle-aged",B1729&gt;=61,"Senior")</f>
        <v>Middle-aged</v>
      </c>
      <c r="S1729" cm="1">
        <f t="array" ref="S1729">_xlfn.IFS(Q1729 ="Fortnightly",14,Q1729="Weekly",7,Q1729="Monthly",30,Q1729="Quarterly",90,Q1729="Bi-Weekly",14,Q1729="Annually",365,Q1729="Every 3 Months",90,TRUE,"NOT FOUND")</f>
        <v>30</v>
      </c>
    </row>
    <row r="1730" spans="1:19" x14ac:dyDescent="0.35">
      <c r="A1730">
        <v>1729</v>
      </c>
      <c r="B1730">
        <v>23</v>
      </c>
      <c r="C1730" t="s">
        <v>7</v>
      </c>
      <c r="D1730" t="s">
        <v>22</v>
      </c>
      <c r="E1730" t="s">
        <v>9</v>
      </c>
      <c r="F1730">
        <v>48</v>
      </c>
      <c r="G1730" t="s">
        <v>39</v>
      </c>
      <c r="H1730" t="s">
        <v>11</v>
      </c>
      <c r="I1730" t="s">
        <v>82</v>
      </c>
      <c r="J1730" t="s">
        <v>45</v>
      </c>
      <c r="K1730">
        <v>4.3</v>
      </c>
      <c r="L1730" t="s">
        <v>140</v>
      </c>
      <c r="M1730" t="s">
        <v>15</v>
      </c>
      <c r="N1730" t="s">
        <v>140</v>
      </c>
      <c r="O1730">
        <v>1</v>
      </c>
      <c r="P1730" t="s">
        <v>74</v>
      </c>
      <c r="Q1730" t="s">
        <v>85</v>
      </c>
      <c r="R1730" t="str" cm="1">
        <f t="array" ref="R1730">_xlfn.IFS(B1730&lt;31,"Young-Adult",B1730&lt;41,"Adult",B1730&lt;61,"Middle-aged",B1730&gt;=61,"Senior")</f>
        <v>Young-Adult</v>
      </c>
      <c r="S1730" cm="1">
        <f t="array" ref="S1730">_xlfn.IFS(Q1730 ="Fortnightly",14,Q1730="Weekly",7,Q1730="Monthly",30,Q1730="Quarterly",90,Q1730="Bi-Weekly",14,Q1730="Annually",365,Q1730="Every 3 Months",90,TRUE,"NOT FOUND")</f>
        <v>90</v>
      </c>
    </row>
    <row r="1731" spans="1:19" x14ac:dyDescent="0.35">
      <c r="A1731">
        <v>1730</v>
      </c>
      <c r="B1731">
        <v>47</v>
      </c>
      <c r="C1731" t="s">
        <v>7</v>
      </c>
      <c r="D1731" t="s">
        <v>47</v>
      </c>
      <c r="E1731" t="s">
        <v>9</v>
      </c>
      <c r="F1731">
        <v>21</v>
      </c>
      <c r="G1731" t="s">
        <v>103</v>
      </c>
      <c r="H1731" t="s">
        <v>32</v>
      </c>
      <c r="I1731" t="s">
        <v>98</v>
      </c>
      <c r="J1731" t="s">
        <v>13</v>
      </c>
      <c r="K1731">
        <v>3.8</v>
      </c>
      <c r="L1731" t="s">
        <v>140</v>
      </c>
      <c r="M1731" t="s">
        <v>62</v>
      </c>
      <c r="N1731" t="s">
        <v>140</v>
      </c>
      <c r="O1731">
        <v>12</v>
      </c>
      <c r="P1731" t="s">
        <v>16</v>
      </c>
      <c r="Q1731" t="s">
        <v>17</v>
      </c>
      <c r="R1731" t="str" cm="1">
        <f t="array" ref="R1731">_xlfn.IFS(B1731&lt;31,"Young-Adult",B1731&lt;41,"Adult",B1731&lt;61,"Middle-aged",B1731&gt;=61,"Senior")</f>
        <v>Middle-aged</v>
      </c>
      <c r="S1731" cm="1">
        <f t="array" ref="S1731">_xlfn.IFS(Q1731 ="Fortnightly",14,Q1731="Weekly",7,Q1731="Monthly",30,Q1731="Quarterly",90,Q1731="Bi-Weekly",14,Q1731="Annually",365,Q1731="Every 3 Months",90,TRUE,"NOT FOUND")</f>
        <v>14</v>
      </c>
    </row>
    <row r="1732" spans="1:19" x14ac:dyDescent="0.35">
      <c r="A1732">
        <v>1731</v>
      </c>
      <c r="B1732">
        <v>23</v>
      </c>
      <c r="C1732" t="s">
        <v>7</v>
      </c>
      <c r="D1732" t="s">
        <v>43</v>
      </c>
      <c r="E1732" t="s">
        <v>9</v>
      </c>
      <c r="F1732">
        <v>22</v>
      </c>
      <c r="G1732" t="s">
        <v>78</v>
      </c>
      <c r="H1732" t="s">
        <v>24</v>
      </c>
      <c r="I1732" t="s">
        <v>53</v>
      </c>
      <c r="J1732" t="s">
        <v>45</v>
      </c>
      <c r="K1732">
        <v>4.2</v>
      </c>
      <c r="L1732" t="s">
        <v>140</v>
      </c>
      <c r="M1732" t="s">
        <v>26</v>
      </c>
      <c r="N1732" t="s">
        <v>140</v>
      </c>
      <c r="O1732">
        <v>26</v>
      </c>
      <c r="P1732" t="s">
        <v>27</v>
      </c>
      <c r="Q1732" t="s">
        <v>28</v>
      </c>
      <c r="R1732" t="str" cm="1">
        <f t="array" ref="R1732">_xlfn.IFS(B1732&lt;31,"Young-Adult",B1732&lt;41,"Adult",B1732&lt;61,"Middle-aged",B1732&gt;=61,"Senior")</f>
        <v>Young-Adult</v>
      </c>
      <c r="S1732" cm="1">
        <f t="array" ref="S1732">_xlfn.IFS(Q1732 ="Fortnightly",14,Q1732="Weekly",7,Q1732="Monthly",30,Q1732="Quarterly",90,Q1732="Bi-Weekly",14,Q1732="Annually",365,Q1732="Every 3 Months",90,TRUE,"NOT FOUND")</f>
        <v>7</v>
      </c>
    </row>
    <row r="1733" spans="1:19" x14ac:dyDescent="0.35">
      <c r="A1733">
        <v>1732</v>
      </c>
      <c r="B1733">
        <v>21</v>
      </c>
      <c r="C1733" t="s">
        <v>7</v>
      </c>
      <c r="D1733" t="s">
        <v>120</v>
      </c>
      <c r="E1733" t="s">
        <v>55</v>
      </c>
      <c r="F1733">
        <v>87</v>
      </c>
      <c r="G1733" t="s">
        <v>123</v>
      </c>
      <c r="H1733" t="s">
        <v>32</v>
      </c>
      <c r="I1733" t="s">
        <v>12</v>
      </c>
      <c r="J1733" t="s">
        <v>45</v>
      </c>
      <c r="K1733">
        <v>3.1</v>
      </c>
      <c r="L1733" t="s">
        <v>140</v>
      </c>
      <c r="M1733" t="s">
        <v>33</v>
      </c>
      <c r="N1733" t="s">
        <v>140</v>
      </c>
      <c r="O1733">
        <v>12</v>
      </c>
      <c r="P1733" t="s">
        <v>21</v>
      </c>
      <c r="Q1733" t="s">
        <v>76</v>
      </c>
      <c r="R1733" t="str" cm="1">
        <f t="array" ref="R1733">_xlfn.IFS(B1733&lt;31,"Young-Adult",B1733&lt;41,"Adult",B1733&lt;61,"Middle-aged",B1733&gt;=61,"Senior")</f>
        <v>Young-Adult</v>
      </c>
      <c r="S1733" cm="1">
        <f t="array" ref="S1733">_xlfn.IFS(Q1733 ="Fortnightly",14,Q1733="Weekly",7,Q1733="Monthly",30,Q1733="Quarterly",90,Q1733="Bi-Weekly",14,Q1733="Annually",365,Q1733="Every 3 Months",90,TRUE,"NOT FOUND")</f>
        <v>30</v>
      </c>
    </row>
    <row r="1734" spans="1:19" x14ac:dyDescent="0.35">
      <c r="A1734">
        <v>1733</v>
      </c>
      <c r="B1734">
        <v>45</v>
      </c>
      <c r="C1734" t="s">
        <v>7</v>
      </c>
      <c r="D1734" t="s">
        <v>121</v>
      </c>
      <c r="E1734" t="s">
        <v>55</v>
      </c>
      <c r="F1734">
        <v>50</v>
      </c>
      <c r="G1734" t="s">
        <v>31</v>
      </c>
      <c r="H1734" t="s">
        <v>24</v>
      </c>
      <c r="I1734" t="s">
        <v>49</v>
      </c>
      <c r="J1734" t="s">
        <v>13</v>
      </c>
      <c r="K1734">
        <v>2.6</v>
      </c>
      <c r="L1734" t="s">
        <v>140</v>
      </c>
      <c r="M1734" t="s">
        <v>26</v>
      </c>
      <c r="N1734" t="s">
        <v>140</v>
      </c>
      <c r="O1734">
        <v>36</v>
      </c>
      <c r="P1734" t="s">
        <v>21</v>
      </c>
      <c r="Q1734" t="s">
        <v>85</v>
      </c>
      <c r="R1734" t="str" cm="1">
        <f t="array" ref="R1734">_xlfn.IFS(B1734&lt;31,"Young-Adult",B1734&lt;41,"Adult",B1734&lt;61,"Middle-aged",B1734&gt;=61,"Senior")</f>
        <v>Middle-aged</v>
      </c>
      <c r="S1734" cm="1">
        <f t="array" ref="S1734">_xlfn.IFS(Q1734 ="Fortnightly",14,Q1734="Weekly",7,Q1734="Monthly",30,Q1734="Quarterly",90,Q1734="Bi-Weekly",14,Q1734="Annually",365,Q1734="Every 3 Months",90,TRUE,"NOT FOUND")</f>
        <v>90</v>
      </c>
    </row>
    <row r="1735" spans="1:19" x14ac:dyDescent="0.35">
      <c r="A1735">
        <v>1734</v>
      </c>
      <c r="B1735">
        <v>67</v>
      </c>
      <c r="C1735" t="s">
        <v>7</v>
      </c>
      <c r="D1735" t="s">
        <v>8</v>
      </c>
      <c r="E1735" t="s">
        <v>9</v>
      </c>
      <c r="F1735">
        <v>85</v>
      </c>
      <c r="G1735" t="s">
        <v>72</v>
      </c>
      <c r="H1735" t="s">
        <v>11</v>
      </c>
      <c r="I1735" t="s">
        <v>82</v>
      </c>
      <c r="J1735" t="s">
        <v>41</v>
      </c>
      <c r="K1735">
        <v>3.4</v>
      </c>
      <c r="L1735" t="s">
        <v>140</v>
      </c>
      <c r="M1735" t="s">
        <v>15</v>
      </c>
      <c r="N1735" t="s">
        <v>140</v>
      </c>
      <c r="O1735">
        <v>22</v>
      </c>
      <c r="P1735" t="s">
        <v>27</v>
      </c>
      <c r="Q1735" t="s">
        <v>37</v>
      </c>
      <c r="R1735" t="str" cm="1">
        <f t="array" ref="R1735">_xlfn.IFS(B1735&lt;31,"Young-Adult",B1735&lt;41,"Adult",B1735&lt;61,"Middle-aged",B1735&gt;=61,"Senior")</f>
        <v>Senior</v>
      </c>
      <c r="S1735" cm="1">
        <f t="array" ref="S1735">_xlfn.IFS(Q1735 ="Fortnightly",14,Q1735="Weekly",7,Q1735="Monthly",30,Q1735="Quarterly",90,Q1735="Bi-Weekly",14,Q1735="Annually",365,Q1735="Every 3 Months",90,TRUE,"NOT FOUND")</f>
        <v>365</v>
      </c>
    </row>
    <row r="1736" spans="1:19" x14ac:dyDescent="0.35">
      <c r="A1736">
        <v>1735</v>
      </c>
      <c r="B1736">
        <v>31</v>
      </c>
      <c r="C1736" t="s">
        <v>7</v>
      </c>
      <c r="D1736" t="s">
        <v>22</v>
      </c>
      <c r="E1736" t="s">
        <v>9</v>
      </c>
      <c r="F1736">
        <v>98</v>
      </c>
      <c r="G1736" t="s">
        <v>56</v>
      </c>
      <c r="H1736" t="s">
        <v>11</v>
      </c>
      <c r="I1736" t="s">
        <v>98</v>
      </c>
      <c r="J1736" t="s">
        <v>25</v>
      </c>
      <c r="K1736">
        <v>3.1</v>
      </c>
      <c r="L1736" t="s">
        <v>140</v>
      </c>
      <c r="M1736" t="s">
        <v>33</v>
      </c>
      <c r="N1736" t="s">
        <v>140</v>
      </c>
      <c r="O1736">
        <v>16</v>
      </c>
      <c r="P1736" t="s">
        <v>34</v>
      </c>
      <c r="Q1736" t="s">
        <v>46</v>
      </c>
      <c r="R1736" t="str" cm="1">
        <f t="array" ref="R1736">_xlfn.IFS(B1736&lt;31,"Young-Adult",B1736&lt;41,"Adult",B1736&lt;61,"Middle-aged",B1736&gt;=61,"Senior")</f>
        <v>Adult</v>
      </c>
      <c r="S1736" cm="1">
        <f t="array" ref="S1736">_xlfn.IFS(Q1736 ="Fortnightly",14,Q1736="Weekly",7,Q1736="Monthly",30,Q1736="Quarterly",90,Q1736="Bi-Weekly",14,Q1736="Annually",365,Q1736="Every 3 Months",90,TRUE,"NOT FOUND")</f>
        <v>90</v>
      </c>
    </row>
    <row r="1737" spans="1:19" x14ac:dyDescent="0.35">
      <c r="A1737">
        <v>1736</v>
      </c>
      <c r="B1737">
        <v>58</v>
      </c>
      <c r="C1737" t="s">
        <v>7</v>
      </c>
      <c r="D1737" t="s">
        <v>69</v>
      </c>
      <c r="E1737" t="s">
        <v>9</v>
      </c>
      <c r="F1737">
        <v>34</v>
      </c>
      <c r="G1737" t="s">
        <v>93</v>
      </c>
      <c r="H1737" t="s">
        <v>32</v>
      </c>
      <c r="I1737" t="s">
        <v>61</v>
      </c>
      <c r="J1737" t="s">
        <v>13</v>
      </c>
      <c r="K1737">
        <v>3.6</v>
      </c>
      <c r="L1737" t="s">
        <v>140</v>
      </c>
      <c r="M1737" t="s">
        <v>15</v>
      </c>
      <c r="N1737" t="s">
        <v>140</v>
      </c>
      <c r="O1737">
        <v>31</v>
      </c>
      <c r="P1737" t="s">
        <v>16</v>
      </c>
      <c r="Q1737" t="s">
        <v>37</v>
      </c>
      <c r="R1737" t="str" cm="1">
        <f t="array" ref="R1737">_xlfn.IFS(B1737&lt;31,"Young-Adult",B1737&lt;41,"Adult",B1737&lt;61,"Middle-aged",B1737&gt;=61,"Senior")</f>
        <v>Middle-aged</v>
      </c>
      <c r="S1737" cm="1">
        <f t="array" ref="S1737">_xlfn.IFS(Q1737 ="Fortnightly",14,Q1737="Weekly",7,Q1737="Monthly",30,Q1737="Quarterly",90,Q1737="Bi-Weekly",14,Q1737="Annually",365,Q1737="Every 3 Months",90,TRUE,"NOT FOUND")</f>
        <v>365</v>
      </c>
    </row>
    <row r="1738" spans="1:19" x14ac:dyDescent="0.35">
      <c r="A1738">
        <v>1737</v>
      </c>
      <c r="B1738">
        <v>57</v>
      </c>
      <c r="C1738" t="s">
        <v>7</v>
      </c>
      <c r="D1738" t="s">
        <v>47</v>
      </c>
      <c r="E1738" t="s">
        <v>9</v>
      </c>
      <c r="F1738">
        <v>61</v>
      </c>
      <c r="G1738" t="s">
        <v>110</v>
      </c>
      <c r="H1738" t="s">
        <v>32</v>
      </c>
      <c r="I1738" t="s">
        <v>61</v>
      </c>
      <c r="J1738" t="s">
        <v>41</v>
      </c>
      <c r="K1738">
        <v>2.6</v>
      </c>
      <c r="L1738" t="s">
        <v>140</v>
      </c>
      <c r="M1738" t="s">
        <v>58</v>
      </c>
      <c r="N1738" t="s">
        <v>140</v>
      </c>
      <c r="O1738">
        <v>43</v>
      </c>
      <c r="P1738" t="s">
        <v>21</v>
      </c>
      <c r="Q1738" t="s">
        <v>46</v>
      </c>
      <c r="R1738" t="str" cm="1">
        <f t="array" ref="R1738">_xlfn.IFS(B1738&lt;31,"Young-Adult",B1738&lt;41,"Adult",B1738&lt;61,"Middle-aged",B1738&gt;=61,"Senior")</f>
        <v>Middle-aged</v>
      </c>
      <c r="S1738" cm="1">
        <f t="array" ref="S1738">_xlfn.IFS(Q1738 ="Fortnightly",14,Q1738="Weekly",7,Q1738="Monthly",30,Q1738="Quarterly",90,Q1738="Bi-Weekly",14,Q1738="Annually",365,Q1738="Every 3 Months",90,TRUE,"NOT FOUND")</f>
        <v>90</v>
      </c>
    </row>
    <row r="1739" spans="1:19" x14ac:dyDescent="0.35">
      <c r="A1739">
        <v>1738</v>
      </c>
      <c r="B1739">
        <v>42</v>
      </c>
      <c r="C1739" t="s">
        <v>7</v>
      </c>
      <c r="D1739" t="s">
        <v>94</v>
      </c>
      <c r="E1739" t="s">
        <v>55</v>
      </c>
      <c r="F1739">
        <v>98</v>
      </c>
      <c r="G1739" t="s">
        <v>111</v>
      </c>
      <c r="H1739" t="s">
        <v>11</v>
      </c>
      <c r="I1739" t="s">
        <v>12</v>
      </c>
      <c r="J1739" t="s">
        <v>41</v>
      </c>
      <c r="K1739">
        <v>4.2</v>
      </c>
      <c r="L1739" t="s">
        <v>140</v>
      </c>
      <c r="M1739" t="s">
        <v>62</v>
      </c>
      <c r="N1739" t="s">
        <v>140</v>
      </c>
      <c r="O1739">
        <v>50</v>
      </c>
      <c r="P1739" t="s">
        <v>16</v>
      </c>
      <c r="Q1739" t="s">
        <v>64</v>
      </c>
      <c r="R1739" t="str" cm="1">
        <f t="array" ref="R1739">_xlfn.IFS(B1739&lt;31,"Young-Adult",B1739&lt;41,"Adult",B1739&lt;61,"Middle-aged",B1739&gt;=61,"Senior")</f>
        <v>Middle-aged</v>
      </c>
      <c r="S1739" cm="1">
        <f t="array" ref="S1739">_xlfn.IFS(Q1739 ="Fortnightly",14,Q1739="Weekly",7,Q1739="Monthly",30,Q1739="Quarterly",90,Q1739="Bi-Weekly",14,Q1739="Annually",365,Q1739="Every 3 Months",90,TRUE,"NOT FOUND")</f>
        <v>14</v>
      </c>
    </row>
    <row r="1740" spans="1:19" x14ac:dyDescent="0.35">
      <c r="A1740">
        <v>1739</v>
      </c>
      <c r="B1740">
        <v>60</v>
      </c>
      <c r="C1740" t="s">
        <v>7</v>
      </c>
      <c r="D1740" t="s">
        <v>54</v>
      </c>
      <c r="E1740" t="s">
        <v>55</v>
      </c>
      <c r="F1740">
        <v>61</v>
      </c>
      <c r="G1740" t="s">
        <v>110</v>
      </c>
      <c r="H1740" t="s">
        <v>32</v>
      </c>
      <c r="I1740" t="s">
        <v>84</v>
      </c>
      <c r="J1740" t="s">
        <v>25</v>
      </c>
      <c r="K1740">
        <v>2.9</v>
      </c>
      <c r="L1740" t="s">
        <v>140</v>
      </c>
      <c r="M1740" t="s">
        <v>58</v>
      </c>
      <c r="N1740" t="s">
        <v>140</v>
      </c>
      <c r="O1740">
        <v>37</v>
      </c>
      <c r="P1740" t="s">
        <v>27</v>
      </c>
      <c r="Q1740" t="s">
        <v>28</v>
      </c>
      <c r="R1740" t="str" cm="1">
        <f t="array" ref="R1740">_xlfn.IFS(B1740&lt;31,"Young-Adult",B1740&lt;41,"Adult",B1740&lt;61,"Middle-aged",B1740&gt;=61,"Senior")</f>
        <v>Middle-aged</v>
      </c>
      <c r="S1740" cm="1">
        <f t="array" ref="S1740">_xlfn.IFS(Q1740 ="Fortnightly",14,Q1740="Weekly",7,Q1740="Monthly",30,Q1740="Quarterly",90,Q1740="Bi-Weekly",14,Q1740="Annually",365,Q1740="Every 3 Months",90,TRUE,"NOT FOUND")</f>
        <v>7</v>
      </c>
    </row>
    <row r="1741" spans="1:19" x14ac:dyDescent="0.35">
      <c r="A1741">
        <v>1740</v>
      </c>
      <c r="B1741">
        <v>21</v>
      </c>
      <c r="C1741" t="s">
        <v>7</v>
      </c>
      <c r="D1741" t="s">
        <v>94</v>
      </c>
      <c r="E1741" t="s">
        <v>55</v>
      </c>
      <c r="F1741">
        <v>98</v>
      </c>
      <c r="G1741" t="s">
        <v>136</v>
      </c>
      <c r="H1741" t="s">
        <v>11</v>
      </c>
      <c r="I1741" t="s">
        <v>53</v>
      </c>
      <c r="J1741" t="s">
        <v>13</v>
      </c>
      <c r="K1741">
        <v>4.2</v>
      </c>
      <c r="L1741" t="s">
        <v>140</v>
      </c>
      <c r="M1741" t="s">
        <v>15</v>
      </c>
      <c r="N1741" t="s">
        <v>140</v>
      </c>
      <c r="O1741">
        <v>23</v>
      </c>
      <c r="P1741" t="s">
        <v>21</v>
      </c>
      <c r="Q1741" t="s">
        <v>28</v>
      </c>
      <c r="R1741" t="str" cm="1">
        <f t="array" ref="R1741">_xlfn.IFS(B1741&lt;31,"Young-Adult",B1741&lt;41,"Adult",B1741&lt;61,"Middle-aged",B1741&gt;=61,"Senior")</f>
        <v>Young-Adult</v>
      </c>
      <c r="S1741" cm="1">
        <f t="array" ref="S1741">_xlfn.IFS(Q1741 ="Fortnightly",14,Q1741="Weekly",7,Q1741="Monthly",30,Q1741="Quarterly",90,Q1741="Bi-Weekly",14,Q1741="Annually",365,Q1741="Every 3 Months",90,TRUE,"NOT FOUND")</f>
        <v>7</v>
      </c>
    </row>
    <row r="1742" spans="1:19" x14ac:dyDescent="0.35">
      <c r="A1742">
        <v>1741</v>
      </c>
      <c r="B1742">
        <v>69</v>
      </c>
      <c r="C1742" t="s">
        <v>7</v>
      </c>
      <c r="D1742" t="s">
        <v>83</v>
      </c>
      <c r="E1742" t="s">
        <v>9</v>
      </c>
      <c r="F1742">
        <v>21</v>
      </c>
      <c r="G1742" t="s">
        <v>138</v>
      </c>
      <c r="H1742" t="s">
        <v>11</v>
      </c>
      <c r="I1742" t="s">
        <v>49</v>
      </c>
      <c r="J1742" t="s">
        <v>45</v>
      </c>
      <c r="K1742">
        <v>3.3</v>
      </c>
      <c r="L1742" t="s">
        <v>140</v>
      </c>
      <c r="M1742" t="s">
        <v>33</v>
      </c>
      <c r="N1742" t="s">
        <v>140</v>
      </c>
      <c r="O1742">
        <v>10</v>
      </c>
      <c r="P1742" t="s">
        <v>63</v>
      </c>
      <c r="Q1742" t="s">
        <v>85</v>
      </c>
      <c r="R1742" t="str" cm="1">
        <f t="array" ref="R1742">_xlfn.IFS(B1742&lt;31,"Young-Adult",B1742&lt;41,"Adult",B1742&lt;61,"Middle-aged",B1742&gt;=61,"Senior")</f>
        <v>Senior</v>
      </c>
      <c r="S1742" cm="1">
        <f t="array" ref="S1742">_xlfn.IFS(Q1742 ="Fortnightly",14,Q1742="Weekly",7,Q1742="Monthly",30,Q1742="Quarterly",90,Q1742="Bi-Weekly",14,Q1742="Annually",365,Q1742="Every 3 Months",90,TRUE,"NOT FOUND")</f>
        <v>90</v>
      </c>
    </row>
    <row r="1743" spans="1:19" x14ac:dyDescent="0.35">
      <c r="A1743">
        <v>1742</v>
      </c>
      <c r="B1743">
        <v>41</v>
      </c>
      <c r="C1743" t="s">
        <v>7</v>
      </c>
      <c r="D1743" t="s">
        <v>83</v>
      </c>
      <c r="E1743" t="s">
        <v>9</v>
      </c>
      <c r="F1743">
        <v>51</v>
      </c>
      <c r="G1743" t="s">
        <v>67</v>
      </c>
      <c r="H1743" t="s">
        <v>80</v>
      </c>
      <c r="I1743" t="s">
        <v>73</v>
      </c>
      <c r="J1743" t="s">
        <v>13</v>
      </c>
      <c r="K1743">
        <v>3.6</v>
      </c>
      <c r="L1743" t="s">
        <v>140</v>
      </c>
      <c r="M1743" t="s">
        <v>33</v>
      </c>
      <c r="N1743" t="s">
        <v>140</v>
      </c>
      <c r="O1743">
        <v>20</v>
      </c>
      <c r="P1743" t="s">
        <v>63</v>
      </c>
      <c r="Q1743" t="s">
        <v>76</v>
      </c>
      <c r="R1743" t="str" cm="1">
        <f t="array" ref="R1743">_xlfn.IFS(B1743&lt;31,"Young-Adult",B1743&lt;41,"Adult",B1743&lt;61,"Middle-aged",B1743&gt;=61,"Senior")</f>
        <v>Middle-aged</v>
      </c>
      <c r="S1743" cm="1">
        <f t="array" ref="S1743">_xlfn.IFS(Q1743 ="Fortnightly",14,Q1743="Weekly",7,Q1743="Monthly",30,Q1743="Quarterly",90,Q1743="Bi-Weekly",14,Q1743="Annually",365,Q1743="Every 3 Months",90,TRUE,"NOT FOUND")</f>
        <v>30</v>
      </c>
    </row>
    <row r="1744" spans="1:19" x14ac:dyDescent="0.35">
      <c r="A1744">
        <v>1743</v>
      </c>
      <c r="B1744">
        <v>51</v>
      </c>
      <c r="C1744" t="s">
        <v>7</v>
      </c>
      <c r="D1744" t="s">
        <v>29</v>
      </c>
      <c r="E1744" t="s">
        <v>30</v>
      </c>
      <c r="F1744">
        <v>80</v>
      </c>
      <c r="G1744" t="s">
        <v>99</v>
      </c>
      <c r="H1744" t="s">
        <v>80</v>
      </c>
      <c r="I1744" t="s">
        <v>40</v>
      </c>
      <c r="J1744" t="s">
        <v>25</v>
      </c>
      <c r="K1744">
        <v>4.3</v>
      </c>
      <c r="L1744" t="s">
        <v>140</v>
      </c>
      <c r="M1744" t="s">
        <v>15</v>
      </c>
      <c r="N1744" t="s">
        <v>140</v>
      </c>
      <c r="O1744">
        <v>18</v>
      </c>
      <c r="P1744" t="s">
        <v>16</v>
      </c>
      <c r="Q1744" t="s">
        <v>85</v>
      </c>
      <c r="R1744" t="str" cm="1">
        <f t="array" ref="R1744">_xlfn.IFS(B1744&lt;31,"Young-Adult",B1744&lt;41,"Adult",B1744&lt;61,"Middle-aged",B1744&gt;=61,"Senior")</f>
        <v>Middle-aged</v>
      </c>
      <c r="S1744" cm="1">
        <f t="array" ref="S1744">_xlfn.IFS(Q1744 ="Fortnightly",14,Q1744="Weekly",7,Q1744="Monthly",30,Q1744="Quarterly",90,Q1744="Bi-Weekly",14,Q1744="Annually",365,Q1744="Every 3 Months",90,TRUE,"NOT FOUND")</f>
        <v>90</v>
      </c>
    </row>
    <row r="1745" spans="1:19" x14ac:dyDescent="0.35">
      <c r="A1745">
        <v>1744</v>
      </c>
      <c r="B1745">
        <v>23</v>
      </c>
      <c r="C1745" t="s">
        <v>7</v>
      </c>
      <c r="D1745" t="s">
        <v>75</v>
      </c>
      <c r="E1745" t="s">
        <v>9</v>
      </c>
      <c r="F1745">
        <v>72</v>
      </c>
      <c r="G1745" t="s">
        <v>56</v>
      </c>
      <c r="H1745" t="s">
        <v>80</v>
      </c>
      <c r="I1745" t="s">
        <v>98</v>
      </c>
      <c r="J1745" t="s">
        <v>13</v>
      </c>
      <c r="K1745">
        <v>3.3</v>
      </c>
      <c r="L1745" t="s">
        <v>140</v>
      </c>
      <c r="M1745" t="s">
        <v>42</v>
      </c>
      <c r="N1745" t="s">
        <v>140</v>
      </c>
      <c r="O1745">
        <v>3</v>
      </c>
      <c r="P1745" t="s">
        <v>63</v>
      </c>
      <c r="Q1745" t="s">
        <v>28</v>
      </c>
      <c r="R1745" t="str" cm="1">
        <f t="array" ref="R1745">_xlfn.IFS(B1745&lt;31,"Young-Adult",B1745&lt;41,"Adult",B1745&lt;61,"Middle-aged",B1745&gt;=61,"Senior")</f>
        <v>Young-Adult</v>
      </c>
      <c r="S1745" cm="1">
        <f t="array" ref="S1745">_xlfn.IFS(Q1745 ="Fortnightly",14,Q1745="Weekly",7,Q1745="Monthly",30,Q1745="Quarterly",90,Q1745="Bi-Weekly",14,Q1745="Annually",365,Q1745="Every 3 Months",90,TRUE,"NOT FOUND")</f>
        <v>7</v>
      </c>
    </row>
    <row r="1746" spans="1:19" x14ac:dyDescent="0.35">
      <c r="A1746">
        <v>1745</v>
      </c>
      <c r="B1746">
        <v>57</v>
      </c>
      <c r="C1746" t="s">
        <v>7</v>
      </c>
      <c r="D1746" t="s">
        <v>77</v>
      </c>
      <c r="E1746" t="s">
        <v>55</v>
      </c>
      <c r="F1746">
        <v>63</v>
      </c>
      <c r="G1746" t="s">
        <v>139</v>
      </c>
      <c r="H1746" t="s">
        <v>11</v>
      </c>
      <c r="I1746" t="s">
        <v>73</v>
      </c>
      <c r="J1746" t="s">
        <v>13</v>
      </c>
      <c r="K1746">
        <v>3</v>
      </c>
      <c r="L1746" t="s">
        <v>140</v>
      </c>
      <c r="M1746" t="s">
        <v>42</v>
      </c>
      <c r="N1746" t="s">
        <v>140</v>
      </c>
      <c r="O1746">
        <v>23</v>
      </c>
      <c r="P1746" t="s">
        <v>34</v>
      </c>
      <c r="Q1746" t="s">
        <v>28</v>
      </c>
      <c r="R1746" t="str" cm="1">
        <f t="array" ref="R1746">_xlfn.IFS(B1746&lt;31,"Young-Adult",B1746&lt;41,"Adult",B1746&lt;61,"Middle-aged",B1746&gt;=61,"Senior")</f>
        <v>Middle-aged</v>
      </c>
      <c r="S1746" cm="1">
        <f t="array" ref="S1746">_xlfn.IFS(Q1746 ="Fortnightly",14,Q1746="Weekly",7,Q1746="Monthly",30,Q1746="Quarterly",90,Q1746="Bi-Weekly",14,Q1746="Annually",365,Q1746="Every 3 Months",90,TRUE,"NOT FOUND")</f>
        <v>7</v>
      </c>
    </row>
    <row r="1747" spans="1:19" x14ac:dyDescent="0.35">
      <c r="A1747">
        <v>1746</v>
      </c>
      <c r="B1747">
        <v>40</v>
      </c>
      <c r="C1747" t="s">
        <v>7</v>
      </c>
      <c r="D1747" t="s">
        <v>75</v>
      </c>
      <c r="E1747" t="s">
        <v>9</v>
      </c>
      <c r="F1747">
        <v>27</v>
      </c>
      <c r="G1747" t="s">
        <v>52</v>
      </c>
      <c r="H1747" t="s">
        <v>11</v>
      </c>
      <c r="I1747" t="s">
        <v>96</v>
      </c>
      <c r="J1747" t="s">
        <v>13</v>
      </c>
      <c r="K1747">
        <v>3.6</v>
      </c>
      <c r="L1747" t="s">
        <v>140</v>
      </c>
      <c r="M1747" t="s">
        <v>62</v>
      </c>
      <c r="N1747" t="s">
        <v>140</v>
      </c>
      <c r="O1747">
        <v>27</v>
      </c>
      <c r="P1747" t="s">
        <v>21</v>
      </c>
      <c r="Q1747" t="s">
        <v>28</v>
      </c>
      <c r="R1747" t="str" cm="1">
        <f t="array" ref="R1747">_xlfn.IFS(B1747&lt;31,"Young-Adult",B1747&lt;41,"Adult",B1747&lt;61,"Middle-aged",B1747&gt;=61,"Senior")</f>
        <v>Adult</v>
      </c>
      <c r="S1747" cm="1">
        <f t="array" ref="S1747">_xlfn.IFS(Q1747 ="Fortnightly",14,Q1747="Weekly",7,Q1747="Monthly",30,Q1747="Quarterly",90,Q1747="Bi-Weekly",14,Q1747="Annually",365,Q1747="Every 3 Months",90,TRUE,"NOT FOUND")</f>
        <v>7</v>
      </c>
    </row>
    <row r="1748" spans="1:19" x14ac:dyDescent="0.35">
      <c r="A1748">
        <v>1747</v>
      </c>
      <c r="B1748">
        <v>65</v>
      </c>
      <c r="C1748" t="s">
        <v>7</v>
      </c>
      <c r="D1748" t="s">
        <v>54</v>
      </c>
      <c r="E1748" t="s">
        <v>55</v>
      </c>
      <c r="F1748">
        <v>44</v>
      </c>
      <c r="G1748" t="s">
        <v>78</v>
      </c>
      <c r="H1748" t="s">
        <v>11</v>
      </c>
      <c r="I1748" t="s">
        <v>98</v>
      </c>
      <c r="J1748" t="s">
        <v>41</v>
      </c>
      <c r="K1748">
        <v>3.1</v>
      </c>
      <c r="L1748" t="s">
        <v>140</v>
      </c>
      <c r="M1748" t="s">
        <v>62</v>
      </c>
      <c r="N1748" t="s">
        <v>140</v>
      </c>
      <c r="O1748">
        <v>44</v>
      </c>
      <c r="P1748" t="s">
        <v>63</v>
      </c>
      <c r="Q1748" t="s">
        <v>17</v>
      </c>
      <c r="R1748" t="str" cm="1">
        <f t="array" ref="R1748">_xlfn.IFS(B1748&lt;31,"Young-Adult",B1748&lt;41,"Adult",B1748&lt;61,"Middle-aged",B1748&gt;=61,"Senior")</f>
        <v>Senior</v>
      </c>
      <c r="S1748" cm="1">
        <f t="array" ref="S1748">_xlfn.IFS(Q1748 ="Fortnightly",14,Q1748="Weekly",7,Q1748="Monthly",30,Q1748="Quarterly",90,Q1748="Bi-Weekly",14,Q1748="Annually",365,Q1748="Every 3 Months",90,TRUE,"NOT FOUND")</f>
        <v>14</v>
      </c>
    </row>
    <row r="1749" spans="1:19" x14ac:dyDescent="0.35">
      <c r="A1749">
        <v>1748</v>
      </c>
      <c r="B1749">
        <v>61</v>
      </c>
      <c r="C1749" t="s">
        <v>7</v>
      </c>
      <c r="D1749" t="s">
        <v>50</v>
      </c>
      <c r="E1749" t="s">
        <v>51</v>
      </c>
      <c r="F1749">
        <v>23</v>
      </c>
      <c r="G1749" t="s">
        <v>70</v>
      </c>
      <c r="H1749" t="s">
        <v>32</v>
      </c>
      <c r="I1749" t="s">
        <v>122</v>
      </c>
      <c r="J1749" t="s">
        <v>13</v>
      </c>
      <c r="K1749">
        <v>2.9</v>
      </c>
      <c r="L1749" t="s">
        <v>140</v>
      </c>
      <c r="M1749" t="s">
        <v>15</v>
      </c>
      <c r="N1749" t="s">
        <v>140</v>
      </c>
      <c r="O1749">
        <v>41</v>
      </c>
      <c r="P1749" t="s">
        <v>16</v>
      </c>
      <c r="Q1749" t="s">
        <v>46</v>
      </c>
      <c r="R1749" t="str" cm="1">
        <f t="array" ref="R1749">_xlfn.IFS(B1749&lt;31,"Young-Adult",B1749&lt;41,"Adult",B1749&lt;61,"Middle-aged",B1749&gt;=61,"Senior")</f>
        <v>Senior</v>
      </c>
      <c r="S1749" cm="1">
        <f t="array" ref="S1749">_xlfn.IFS(Q1749 ="Fortnightly",14,Q1749="Weekly",7,Q1749="Monthly",30,Q1749="Quarterly",90,Q1749="Bi-Weekly",14,Q1749="Annually",365,Q1749="Every 3 Months",90,TRUE,"NOT FOUND")</f>
        <v>90</v>
      </c>
    </row>
    <row r="1750" spans="1:19" x14ac:dyDescent="0.35">
      <c r="A1750">
        <v>1749</v>
      </c>
      <c r="B1750">
        <v>34</v>
      </c>
      <c r="C1750" t="s">
        <v>7</v>
      </c>
      <c r="D1750" t="s">
        <v>75</v>
      </c>
      <c r="E1750" t="s">
        <v>9</v>
      </c>
      <c r="F1750">
        <v>93</v>
      </c>
      <c r="G1750" t="s">
        <v>44</v>
      </c>
      <c r="H1750" t="s">
        <v>11</v>
      </c>
      <c r="I1750" t="s">
        <v>73</v>
      </c>
      <c r="J1750" t="s">
        <v>13</v>
      </c>
      <c r="K1750">
        <v>3.9</v>
      </c>
      <c r="L1750" t="s">
        <v>140</v>
      </c>
      <c r="M1750" t="s">
        <v>58</v>
      </c>
      <c r="N1750" t="s">
        <v>140</v>
      </c>
      <c r="O1750">
        <v>41</v>
      </c>
      <c r="P1750" t="s">
        <v>63</v>
      </c>
      <c r="Q1750" t="s">
        <v>37</v>
      </c>
      <c r="R1750" t="str" cm="1">
        <f t="array" ref="R1750">_xlfn.IFS(B1750&lt;31,"Young-Adult",B1750&lt;41,"Adult",B1750&lt;61,"Middle-aged",B1750&gt;=61,"Senior")</f>
        <v>Adult</v>
      </c>
      <c r="S1750" cm="1">
        <f t="array" ref="S1750">_xlfn.IFS(Q1750 ="Fortnightly",14,Q1750="Weekly",7,Q1750="Monthly",30,Q1750="Quarterly",90,Q1750="Bi-Weekly",14,Q1750="Annually",365,Q1750="Every 3 Months",90,TRUE,"NOT FOUND")</f>
        <v>365</v>
      </c>
    </row>
    <row r="1751" spans="1:19" x14ac:dyDescent="0.35">
      <c r="A1751">
        <v>1750</v>
      </c>
      <c r="B1751">
        <v>43</v>
      </c>
      <c r="C1751" t="s">
        <v>7</v>
      </c>
      <c r="D1751" t="s">
        <v>92</v>
      </c>
      <c r="E1751" t="s">
        <v>9</v>
      </c>
      <c r="F1751">
        <v>70</v>
      </c>
      <c r="G1751" t="s">
        <v>39</v>
      </c>
      <c r="H1751" t="s">
        <v>11</v>
      </c>
      <c r="I1751" t="s">
        <v>57</v>
      </c>
      <c r="J1751" t="s">
        <v>45</v>
      </c>
      <c r="K1751">
        <v>3.2</v>
      </c>
      <c r="L1751" t="s">
        <v>140</v>
      </c>
      <c r="M1751" t="s">
        <v>58</v>
      </c>
      <c r="N1751" t="s">
        <v>140</v>
      </c>
      <c r="O1751">
        <v>36</v>
      </c>
      <c r="P1751" t="s">
        <v>74</v>
      </c>
      <c r="Q1751" t="s">
        <v>85</v>
      </c>
      <c r="R1751" t="str" cm="1">
        <f t="array" ref="R1751">_xlfn.IFS(B1751&lt;31,"Young-Adult",B1751&lt;41,"Adult",B1751&lt;61,"Middle-aged",B1751&gt;=61,"Senior")</f>
        <v>Middle-aged</v>
      </c>
      <c r="S1751" cm="1">
        <f t="array" ref="S1751">_xlfn.IFS(Q1751 ="Fortnightly",14,Q1751="Weekly",7,Q1751="Monthly",30,Q1751="Quarterly",90,Q1751="Bi-Weekly",14,Q1751="Annually",365,Q1751="Every 3 Months",90,TRUE,"NOT FOUND")</f>
        <v>90</v>
      </c>
    </row>
    <row r="1752" spans="1:19" x14ac:dyDescent="0.35">
      <c r="A1752">
        <v>1751</v>
      </c>
      <c r="B1752">
        <v>31</v>
      </c>
      <c r="C1752" t="s">
        <v>7</v>
      </c>
      <c r="D1752" t="s">
        <v>77</v>
      </c>
      <c r="E1752" t="s">
        <v>55</v>
      </c>
      <c r="F1752">
        <v>85</v>
      </c>
      <c r="G1752" t="s">
        <v>56</v>
      </c>
      <c r="H1752" t="s">
        <v>32</v>
      </c>
      <c r="I1752" t="s">
        <v>40</v>
      </c>
      <c r="J1752" t="s">
        <v>45</v>
      </c>
      <c r="K1752">
        <v>3.1</v>
      </c>
      <c r="L1752" t="s">
        <v>140</v>
      </c>
      <c r="M1752" t="s">
        <v>15</v>
      </c>
      <c r="N1752" t="s">
        <v>140</v>
      </c>
      <c r="O1752">
        <v>38</v>
      </c>
      <c r="P1752" t="s">
        <v>16</v>
      </c>
      <c r="Q1752" t="s">
        <v>85</v>
      </c>
      <c r="R1752" t="str" cm="1">
        <f t="array" ref="R1752">_xlfn.IFS(B1752&lt;31,"Young-Adult",B1752&lt;41,"Adult",B1752&lt;61,"Middle-aged",B1752&gt;=61,"Senior")</f>
        <v>Adult</v>
      </c>
      <c r="S1752" cm="1">
        <f t="array" ref="S1752">_xlfn.IFS(Q1752 ="Fortnightly",14,Q1752="Weekly",7,Q1752="Monthly",30,Q1752="Quarterly",90,Q1752="Bi-Weekly",14,Q1752="Annually",365,Q1752="Every 3 Months",90,TRUE,"NOT FOUND")</f>
        <v>90</v>
      </c>
    </row>
    <row r="1753" spans="1:19" x14ac:dyDescent="0.35">
      <c r="A1753">
        <v>1752</v>
      </c>
      <c r="B1753">
        <v>57</v>
      </c>
      <c r="C1753" t="s">
        <v>7</v>
      </c>
      <c r="D1753" t="s">
        <v>18</v>
      </c>
      <c r="E1753" t="s">
        <v>9</v>
      </c>
      <c r="F1753">
        <v>40</v>
      </c>
      <c r="G1753" t="s">
        <v>111</v>
      </c>
      <c r="H1753" t="s">
        <v>32</v>
      </c>
      <c r="I1753" t="s">
        <v>53</v>
      </c>
      <c r="J1753" t="s">
        <v>13</v>
      </c>
      <c r="K1753">
        <v>3.2</v>
      </c>
      <c r="L1753" t="s">
        <v>140</v>
      </c>
      <c r="M1753" t="s">
        <v>58</v>
      </c>
      <c r="N1753" t="s">
        <v>140</v>
      </c>
      <c r="O1753">
        <v>34</v>
      </c>
      <c r="P1753" t="s">
        <v>21</v>
      </c>
      <c r="Q1753" t="s">
        <v>37</v>
      </c>
      <c r="R1753" t="str" cm="1">
        <f t="array" ref="R1753">_xlfn.IFS(B1753&lt;31,"Young-Adult",B1753&lt;41,"Adult",B1753&lt;61,"Middle-aged",B1753&gt;=61,"Senior")</f>
        <v>Middle-aged</v>
      </c>
      <c r="S1753" cm="1">
        <f t="array" ref="S1753">_xlfn.IFS(Q1753 ="Fortnightly",14,Q1753="Weekly",7,Q1753="Monthly",30,Q1753="Quarterly",90,Q1753="Bi-Weekly",14,Q1753="Annually",365,Q1753="Every 3 Months",90,TRUE,"NOT FOUND")</f>
        <v>365</v>
      </c>
    </row>
    <row r="1754" spans="1:19" x14ac:dyDescent="0.35">
      <c r="A1754">
        <v>1753</v>
      </c>
      <c r="B1754">
        <v>34</v>
      </c>
      <c r="C1754" t="s">
        <v>7</v>
      </c>
      <c r="D1754" t="s">
        <v>125</v>
      </c>
      <c r="E1754" t="s">
        <v>30</v>
      </c>
      <c r="F1754">
        <v>29</v>
      </c>
      <c r="G1754" t="s">
        <v>135</v>
      </c>
      <c r="H1754" t="s">
        <v>11</v>
      </c>
      <c r="I1754" t="s">
        <v>132</v>
      </c>
      <c r="J1754" t="s">
        <v>13</v>
      </c>
      <c r="K1754">
        <v>3.3</v>
      </c>
      <c r="L1754" t="s">
        <v>140</v>
      </c>
      <c r="M1754" t="s">
        <v>62</v>
      </c>
      <c r="N1754" t="s">
        <v>140</v>
      </c>
      <c r="O1754">
        <v>14</v>
      </c>
      <c r="P1754" t="s">
        <v>16</v>
      </c>
      <c r="Q1754" t="s">
        <v>46</v>
      </c>
      <c r="R1754" t="str" cm="1">
        <f t="array" ref="R1754">_xlfn.IFS(B1754&lt;31,"Young-Adult",B1754&lt;41,"Adult",B1754&lt;61,"Middle-aged",B1754&gt;=61,"Senior")</f>
        <v>Adult</v>
      </c>
      <c r="S1754" cm="1">
        <f t="array" ref="S1754">_xlfn.IFS(Q1754 ="Fortnightly",14,Q1754="Weekly",7,Q1754="Monthly",30,Q1754="Quarterly",90,Q1754="Bi-Weekly",14,Q1754="Annually",365,Q1754="Every 3 Months",90,TRUE,"NOT FOUND")</f>
        <v>90</v>
      </c>
    </row>
    <row r="1755" spans="1:19" x14ac:dyDescent="0.35">
      <c r="A1755">
        <v>1754</v>
      </c>
      <c r="B1755">
        <v>25</v>
      </c>
      <c r="C1755" t="s">
        <v>7</v>
      </c>
      <c r="D1755" t="s">
        <v>75</v>
      </c>
      <c r="E1755" t="s">
        <v>9</v>
      </c>
      <c r="F1755">
        <v>27</v>
      </c>
      <c r="G1755" t="s">
        <v>100</v>
      </c>
      <c r="H1755" t="s">
        <v>11</v>
      </c>
      <c r="I1755" t="s">
        <v>82</v>
      </c>
      <c r="J1755" t="s">
        <v>45</v>
      </c>
      <c r="K1755">
        <v>4.8</v>
      </c>
      <c r="L1755" t="s">
        <v>140</v>
      </c>
      <c r="M1755" t="s">
        <v>33</v>
      </c>
      <c r="N1755" t="s">
        <v>140</v>
      </c>
      <c r="O1755">
        <v>23</v>
      </c>
      <c r="P1755" t="s">
        <v>27</v>
      </c>
      <c r="Q1755" t="s">
        <v>17</v>
      </c>
      <c r="R1755" t="str" cm="1">
        <f t="array" ref="R1755">_xlfn.IFS(B1755&lt;31,"Young-Adult",B1755&lt;41,"Adult",B1755&lt;61,"Middle-aged",B1755&gt;=61,"Senior")</f>
        <v>Young-Adult</v>
      </c>
      <c r="S1755" cm="1">
        <f t="array" ref="S1755">_xlfn.IFS(Q1755 ="Fortnightly",14,Q1755="Weekly",7,Q1755="Monthly",30,Q1755="Quarterly",90,Q1755="Bi-Weekly",14,Q1755="Annually",365,Q1755="Every 3 Months",90,TRUE,"NOT FOUND")</f>
        <v>14</v>
      </c>
    </row>
    <row r="1756" spans="1:19" x14ac:dyDescent="0.35">
      <c r="A1756">
        <v>1755</v>
      </c>
      <c r="B1756">
        <v>66</v>
      </c>
      <c r="C1756" t="s">
        <v>7</v>
      </c>
      <c r="D1756" t="s">
        <v>69</v>
      </c>
      <c r="E1756" t="s">
        <v>9</v>
      </c>
      <c r="F1756">
        <v>93</v>
      </c>
      <c r="G1756" t="s">
        <v>23</v>
      </c>
      <c r="H1756" t="s">
        <v>24</v>
      </c>
      <c r="I1756" t="s">
        <v>106</v>
      </c>
      <c r="J1756" t="s">
        <v>45</v>
      </c>
      <c r="K1756">
        <v>3.8</v>
      </c>
      <c r="L1756" t="s">
        <v>140</v>
      </c>
      <c r="M1756" t="s">
        <v>58</v>
      </c>
      <c r="N1756" t="s">
        <v>140</v>
      </c>
      <c r="O1756">
        <v>18</v>
      </c>
      <c r="P1756" t="s">
        <v>27</v>
      </c>
      <c r="Q1756" t="s">
        <v>17</v>
      </c>
      <c r="R1756" t="str" cm="1">
        <f t="array" ref="R1756">_xlfn.IFS(B1756&lt;31,"Young-Adult",B1756&lt;41,"Adult",B1756&lt;61,"Middle-aged",B1756&gt;=61,"Senior")</f>
        <v>Senior</v>
      </c>
      <c r="S1756" cm="1">
        <f t="array" ref="S1756">_xlfn.IFS(Q1756 ="Fortnightly",14,Q1756="Weekly",7,Q1756="Monthly",30,Q1756="Quarterly",90,Q1756="Bi-Weekly",14,Q1756="Annually",365,Q1756="Every 3 Months",90,TRUE,"NOT FOUND")</f>
        <v>14</v>
      </c>
    </row>
    <row r="1757" spans="1:19" x14ac:dyDescent="0.35">
      <c r="A1757">
        <v>1756</v>
      </c>
      <c r="B1757">
        <v>56</v>
      </c>
      <c r="C1757" t="s">
        <v>7</v>
      </c>
      <c r="D1757" t="s">
        <v>121</v>
      </c>
      <c r="E1757" t="s">
        <v>55</v>
      </c>
      <c r="F1757">
        <v>20</v>
      </c>
      <c r="G1757" t="s">
        <v>67</v>
      </c>
      <c r="H1757" t="s">
        <v>80</v>
      </c>
      <c r="I1757" t="s">
        <v>49</v>
      </c>
      <c r="J1757" t="s">
        <v>25</v>
      </c>
      <c r="K1757">
        <v>4.5999999999999996</v>
      </c>
      <c r="L1757" t="s">
        <v>140</v>
      </c>
      <c r="M1757" t="s">
        <v>33</v>
      </c>
      <c r="N1757" t="s">
        <v>140</v>
      </c>
      <c r="O1757">
        <v>45</v>
      </c>
      <c r="P1757" t="s">
        <v>21</v>
      </c>
      <c r="Q1757" t="s">
        <v>76</v>
      </c>
      <c r="R1757" t="str" cm="1">
        <f t="array" ref="R1757">_xlfn.IFS(B1757&lt;31,"Young-Adult",B1757&lt;41,"Adult",B1757&lt;61,"Middle-aged",B1757&gt;=61,"Senior")</f>
        <v>Middle-aged</v>
      </c>
      <c r="S1757" cm="1">
        <f t="array" ref="S1757">_xlfn.IFS(Q1757 ="Fortnightly",14,Q1757="Weekly",7,Q1757="Monthly",30,Q1757="Quarterly",90,Q1757="Bi-Weekly",14,Q1757="Annually",365,Q1757="Every 3 Months",90,TRUE,"NOT FOUND")</f>
        <v>30</v>
      </c>
    </row>
    <row r="1758" spans="1:19" x14ac:dyDescent="0.35">
      <c r="A1758">
        <v>1757</v>
      </c>
      <c r="B1758">
        <v>49</v>
      </c>
      <c r="C1758" t="s">
        <v>7</v>
      </c>
      <c r="D1758" t="s">
        <v>94</v>
      </c>
      <c r="E1758" t="s">
        <v>55</v>
      </c>
      <c r="F1758">
        <v>55</v>
      </c>
      <c r="G1758" t="s">
        <v>70</v>
      </c>
      <c r="H1758" t="s">
        <v>24</v>
      </c>
      <c r="I1758" t="s">
        <v>97</v>
      </c>
      <c r="J1758" t="s">
        <v>45</v>
      </c>
      <c r="K1758">
        <v>2.8</v>
      </c>
      <c r="L1758" t="s">
        <v>140</v>
      </c>
      <c r="M1758" t="s">
        <v>26</v>
      </c>
      <c r="N1758" t="s">
        <v>140</v>
      </c>
      <c r="O1758">
        <v>14</v>
      </c>
      <c r="P1758" t="s">
        <v>63</v>
      </c>
      <c r="Q1758" t="s">
        <v>28</v>
      </c>
      <c r="R1758" t="str" cm="1">
        <f t="array" ref="R1758">_xlfn.IFS(B1758&lt;31,"Young-Adult",B1758&lt;41,"Adult",B1758&lt;61,"Middle-aged",B1758&gt;=61,"Senior")</f>
        <v>Middle-aged</v>
      </c>
      <c r="S1758" cm="1">
        <f t="array" ref="S1758">_xlfn.IFS(Q1758 ="Fortnightly",14,Q1758="Weekly",7,Q1758="Monthly",30,Q1758="Quarterly",90,Q1758="Bi-Weekly",14,Q1758="Annually",365,Q1758="Every 3 Months",90,TRUE,"NOT FOUND")</f>
        <v>7</v>
      </c>
    </row>
    <row r="1759" spans="1:19" x14ac:dyDescent="0.35">
      <c r="A1759">
        <v>1758</v>
      </c>
      <c r="B1759">
        <v>19</v>
      </c>
      <c r="C1759" t="s">
        <v>7</v>
      </c>
      <c r="D1759" t="s">
        <v>69</v>
      </c>
      <c r="E1759" t="s">
        <v>9</v>
      </c>
      <c r="F1759">
        <v>94</v>
      </c>
      <c r="G1759" t="s">
        <v>139</v>
      </c>
      <c r="H1759" t="s">
        <v>11</v>
      </c>
      <c r="I1759" t="s">
        <v>122</v>
      </c>
      <c r="J1759" t="s">
        <v>45</v>
      </c>
      <c r="K1759">
        <v>3.6</v>
      </c>
      <c r="L1759" t="s">
        <v>140</v>
      </c>
      <c r="M1759" t="s">
        <v>42</v>
      </c>
      <c r="N1759" t="s">
        <v>140</v>
      </c>
      <c r="O1759">
        <v>48</v>
      </c>
      <c r="P1759" t="s">
        <v>74</v>
      </c>
      <c r="Q1759" t="s">
        <v>37</v>
      </c>
      <c r="R1759" t="str" cm="1">
        <f t="array" ref="R1759">_xlfn.IFS(B1759&lt;31,"Young-Adult",B1759&lt;41,"Adult",B1759&lt;61,"Middle-aged",B1759&gt;=61,"Senior")</f>
        <v>Young-Adult</v>
      </c>
      <c r="S1759" cm="1">
        <f t="array" ref="S1759">_xlfn.IFS(Q1759 ="Fortnightly",14,Q1759="Weekly",7,Q1759="Monthly",30,Q1759="Quarterly",90,Q1759="Bi-Weekly",14,Q1759="Annually",365,Q1759="Every 3 Months",90,TRUE,"NOT FOUND")</f>
        <v>365</v>
      </c>
    </row>
    <row r="1760" spans="1:19" x14ac:dyDescent="0.35">
      <c r="A1760">
        <v>1759</v>
      </c>
      <c r="B1760">
        <v>27</v>
      </c>
      <c r="C1760" t="s">
        <v>7</v>
      </c>
      <c r="D1760" t="s">
        <v>112</v>
      </c>
      <c r="E1760" t="s">
        <v>55</v>
      </c>
      <c r="F1760">
        <v>56</v>
      </c>
      <c r="G1760" t="s">
        <v>126</v>
      </c>
      <c r="H1760" t="s">
        <v>32</v>
      </c>
      <c r="I1760" t="s">
        <v>53</v>
      </c>
      <c r="J1760" t="s">
        <v>13</v>
      </c>
      <c r="K1760">
        <v>4.3</v>
      </c>
      <c r="L1760" t="s">
        <v>140</v>
      </c>
      <c r="M1760" t="s">
        <v>26</v>
      </c>
      <c r="N1760" t="s">
        <v>140</v>
      </c>
      <c r="O1760">
        <v>17</v>
      </c>
      <c r="P1760" t="s">
        <v>16</v>
      </c>
      <c r="Q1760" t="s">
        <v>64</v>
      </c>
      <c r="R1760" t="str" cm="1">
        <f t="array" ref="R1760">_xlfn.IFS(B1760&lt;31,"Young-Adult",B1760&lt;41,"Adult",B1760&lt;61,"Middle-aged",B1760&gt;=61,"Senior")</f>
        <v>Young-Adult</v>
      </c>
      <c r="S1760" cm="1">
        <f t="array" ref="S1760">_xlfn.IFS(Q1760 ="Fortnightly",14,Q1760="Weekly",7,Q1760="Monthly",30,Q1760="Quarterly",90,Q1760="Bi-Weekly",14,Q1760="Annually",365,Q1760="Every 3 Months",90,TRUE,"NOT FOUND")</f>
        <v>14</v>
      </c>
    </row>
    <row r="1761" spans="1:19" x14ac:dyDescent="0.35">
      <c r="A1761">
        <v>1760</v>
      </c>
      <c r="B1761">
        <v>68</v>
      </c>
      <c r="C1761" t="s">
        <v>7</v>
      </c>
      <c r="D1761" t="s">
        <v>18</v>
      </c>
      <c r="E1761" t="s">
        <v>9</v>
      </c>
      <c r="F1761">
        <v>58</v>
      </c>
      <c r="G1761" t="s">
        <v>48</v>
      </c>
      <c r="H1761" t="s">
        <v>11</v>
      </c>
      <c r="I1761" t="s">
        <v>84</v>
      </c>
      <c r="J1761" t="s">
        <v>25</v>
      </c>
      <c r="K1761">
        <v>4</v>
      </c>
      <c r="L1761" t="s">
        <v>140</v>
      </c>
      <c r="M1761" t="s">
        <v>33</v>
      </c>
      <c r="N1761" t="s">
        <v>140</v>
      </c>
      <c r="O1761">
        <v>1</v>
      </c>
      <c r="P1761" t="s">
        <v>34</v>
      </c>
      <c r="Q1761" t="s">
        <v>28</v>
      </c>
      <c r="R1761" t="str" cm="1">
        <f t="array" ref="R1761">_xlfn.IFS(B1761&lt;31,"Young-Adult",B1761&lt;41,"Adult",B1761&lt;61,"Middle-aged",B1761&gt;=61,"Senior")</f>
        <v>Senior</v>
      </c>
      <c r="S1761" cm="1">
        <f t="array" ref="S1761">_xlfn.IFS(Q1761 ="Fortnightly",14,Q1761="Weekly",7,Q1761="Monthly",30,Q1761="Quarterly",90,Q1761="Bi-Weekly",14,Q1761="Annually",365,Q1761="Every 3 Months",90,TRUE,"NOT FOUND")</f>
        <v>7</v>
      </c>
    </row>
    <row r="1762" spans="1:19" x14ac:dyDescent="0.35">
      <c r="A1762">
        <v>1761</v>
      </c>
      <c r="B1762">
        <v>20</v>
      </c>
      <c r="C1762" t="s">
        <v>7</v>
      </c>
      <c r="D1762" t="s">
        <v>75</v>
      </c>
      <c r="E1762" t="s">
        <v>9</v>
      </c>
      <c r="F1762">
        <v>44</v>
      </c>
      <c r="G1762" t="s">
        <v>136</v>
      </c>
      <c r="H1762" t="s">
        <v>80</v>
      </c>
      <c r="I1762" t="s">
        <v>88</v>
      </c>
      <c r="J1762" t="s">
        <v>25</v>
      </c>
      <c r="K1762">
        <v>3.5</v>
      </c>
      <c r="L1762" t="s">
        <v>140</v>
      </c>
      <c r="M1762" t="s">
        <v>42</v>
      </c>
      <c r="N1762" t="s">
        <v>140</v>
      </c>
      <c r="O1762">
        <v>39</v>
      </c>
      <c r="P1762" t="s">
        <v>34</v>
      </c>
      <c r="Q1762" t="s">
        <v>28</v>
      </c>
      <c r="R1762" t="str" cm="1">
        <f t="array" ref="R1762">_xlfn.IFS(B1762&lt;31,"Young-Adult",B1762&lt;41,"Adult",B1762&lt;61,"Middle-aged",B1762&gt;=61,"Senior")</f>
        <v>Young-Adult</v>
      </c>
      <c r="S1762" cm="1">
        <f t="array" ref="S1762">_xlfn.IFS(Q1762 ="Fortnightly",14,Q1762="Weekly",7,Q1762="Monthly",30,Q1762="Quarterly",90,Q1762="Bi-Weekly",14,Q1762="Annually",365,Q1762="Every 3 Months",90,TRUE,"NOT FOUND")</f>
        <v>7</v>
      </c>
    </row>
    <row r="1763" spans="1:19" x14ac:dyDescent="0.35">
      <c r="A1763">
        <v>1762</v>
      </c>
      <c r="B1763">
        <v>21</v>
      </c>
      <c r="C1763" t="s">
        <v>7</v>
      </c>
      <c r="D1763" t="s">
        <v>92</v>
      </c>
      <c r="E1763" t="s">
        <v>9</v>
      </c>
      <c r="F1763">
        <v>95</v>
      </c>
      <c r="G1763" t="s">
        <v>65</v>
      </c>
      <c r="H1763" t="s">
        <v>24</v>
      </c>
      <c r="I1763" t="s">
        <v>84</v>
      </c>
      <c r="J1763" t="s">
        <v>45</v>
      </c>
      <c r="K1763">
        <v>4.9000000000000004</v>
      </c>
      <c r="L1763" t="s">
        <v>140</v>
      </c>
      <c r="M1763" t="s">
        <v>58</v>
      </c>
      <c r="N1763" t="s">
        <v>140</v>
      </c>
      <c r="O1763">
        <v>24</v>
      </c>
      <c r="P1763" t="s">
        <v>21</v>
      </c>
      <c r="Q1763" t="s">
        <v>28</v>
      </c>
      <c r="R1763" t="str" cm="1">
        <f t="array" ref="R1763">_xlfn.IFS(B1763&lt;31,"Young-Adult",B1763&lt;41,"Adult",B1763&lt;61,"Middle-aged",B1763&gt;=61,"Senior")</f>
        <v>Young-Adult</v>
      </c>
      <c r="S1763" cm="1">
        <f t="array" ref="S1763">_xlfn.IFS(Q1763 ="Fortnightly",14,Q1763="Weekly",7,Q1763="Monthly",30,Q1763="Quarterly",90,Q1763="Bi-Weekly",14,Q1763="Annually",365,Q1763="Every 3 Months",90,TRUE,"NOT FOUND")</f>
        <v>7</v>
      </c>
    </row>
    <row r="1764" spans="1:19" x14ac:dyDescent="0.35">
      <c r="A1764">
        <v>1763</v>
      </c>
      <c r="B1764">
        <v>36</v>
      </c>
      <c r="C1764" t="s">
        <v>7</v>
      </c>
      <c r="D1764" t="s">
        <v>29</v>
      </c>
      <c r="E1764" t="s">
        <v>30</v>
      </c>
      <c r="F1764">
        <v>42</v>
      </c>
      <c r="G1764" t="s">
        <v>123</v>
      </c>
      <c r="H1764" t="s">
        <v>32</v>
      </c>
      <c r="I1764" t="s">
        <v>98</v>
      </c>
      <c r="J1764" t="s">
        <v>41</v>
      </c>
      <c r="K1764">
        <v>3.1</v>
      </c>
      <c r="L1764" t="s">
        <v>140</v>
      </c>
      <c r="M1764" t="s">
        <v>15</v>
      </c>
      <c r="N1764" t="s">
        <v>140</v>
      </c>
      <c r="O1764">
        <v>41</v>
      </c>
      <c r="P1764" t="s">
        <v>63</v>
      </c>
      <c r="Q1764" t="s">
        <v>17</v>
      </c>
      <c r="R1764" t="str" cm="1">
        <f t="array" ref="R1764">_xlfn.IFS(B1764&lt;31,"Young-Adult",B1764&lt;41,"Adult",B1764&lt;61,"Middle-aged",B1764&gt;=61,"Senior")</f>
        <v>Adult</v>
      </c>
      <c r="S1764" cm="1">
        <f t="array" ref="S1764">_xlfn.IFS(Q1764 ="Fortnightly",14,Q1764="Weekly",7,Q1764="Monthly",30,Q1764="Quarterly",90,Q1764="Bi-Weekly",14,Q1764="Annually",365,Q1764="Every 3 Months",90,TRUE,"NOT FOUND")</f>
        <v>14</v>
      </c>
    </row>
    <row r="1765" spans="1:19" x14ac:dyDescent="0.35">
      <c r="A1765">
        <v>1764</v>
      </c>
      <c r="B1765">
        <v>37</v>
      </c>
      <c r="C1765" t="s">
        <v>7</v>
      </c>
      <c r="D1765" t="s">
        <v>94</v>
      </c>
      <c r="E1765" t="s">
        <v>55</v>
      </c>
      <c r="F1765">
        <v>93</v>
      </c>
      <c r="G1765" t="s">
        <v>117</v>
      </c>
      <c r="H1765" t="s">
        <v>32</v>
      </c>
      <c r="I1765" t="s">
        <v>81</v>
      </c>
      <c r="J1765" t="s">
        <v>13</v>
      </c>
      <c r="K1765">
        <v>3.9</v>
      </c>
      <c r="L1765" t="s">
        <v>140</v>
      </c>
      <c r="M1765" t="s">
        <v>62</v>
      </c>
      <c r="N1765" t="s">
        <v>140</v>
      </c>
      <c r="O1765">
        <v>28</v>
      </c>
      <c r="P1765" t="s">
        <v>34</v>
      </c>
      <c r="Q1765" t="s">
        <v>37</v>
      </c>
      <c r="R1765" t="str" cm="1">
        <f t="array" ref="R1765">_xlfn.IFS(B1765&lt;31,"Young-Adult",B1765&lt;41,"Adult",B1765&lt;61,"Middle-aged",B1765&gt;=61,"Senior")</f>
        <v>Adult</v>
      </c>
      <c r="S1765" cm="1">
        <f t="array" ref="S1765">_xlfn.IFS(Q1765 ="Fortnightly",14,Q1765="Weekly",7,Q1765="Monthly",30,Q1765="Quarterly",90,Q1765="Bi-Weekly",14,Q1765="Annually",365,Q1765="Every 3 Months",90,TRUE,"NOT FOUND")</f>
        <v>365</v>
      </c>
    </row>
    <row r="1766" spans="1:19" x14ac:dyDescent="0.35">
      <c r="A1766">
        <v>1765</v>
      </c>
      <c r="B1766">
        <v>61</v>
      </c>
      <c r="C1766" t="s">
        <v>7</v>
      </c>
      <c r="D1766" t="s">
        <v>69</v>
      </c>
      <c r="E1766" t="s">
        <v>9</v>
      </c>
      <c r="F1766">
        <v>56</v>
      </c>
      <c r="G1766" t="s">
        <v>67</v>
      </c>
      <c r="H1766" t="s">
        <v>32</v>
      </c>
      <c r="I1766" t="s">
        <v>49</v>
      </c>
      <c r="J1766" t="s">
        <v>41</v>
      </c>
      <c r="K1766">
        <v>3</v>
      </c>
      <c r="L1766" t="s">
        <v>140</v>
      </c>
      <c r="M1766" t="s">
        <v>62</v>
      </c>
      <c r="N1766" t="s">
        <v>140</v>
      </c>
      <c r="O1766">
        <v>34</v>
      </c>
      <c r="P1766" t="s">
        <v>16</v>
      </c>
      <c r="Q1766" t="s">
        <v>46</v>
      </c>
      <c r="R1766" t="str" cm="1">
        <f t="array" ref="R1766">_xlfn.IFS(B1766&lt;31,"Young-Adult",B1766&lt;41,"Adult",B1766&lt;61,"Middle-aged",B1766&gt;=61,"Senior")</f>
        <v>Senior</v>
      </c>
      <c r="S1766" cm="1">
        <f t="array" ref="S1766">_xlfn.IFS(Q1766 ="Fortnightly",14,Q1766="Weekly",7,Q1766="Monthly",30,Q1766="Quarterly",90,Q1766="Bi-Weekly",14,Q1766="Annually",365,Q1766="Every 3 Months",90,TRUE,"NOT FOUND")</f>
        <v>90</v>
      </c>
    </row>
    <row r="1767" spans="1:19" x14ac:dyDescent="0.35">
      <c r="A1767">
        <v>1766</v>
      </c>
      <c r="B1767">
        <v>68</v>
      </c>
      <c r="C1767" t="s">
        <v>7</v>
      </c>
      <c r="D1767" t="s">
        <v>92</v>
      </c>
      <c r="E1767" t="s">
        <v>9</v>
      </c>
      <c r="F1767">
        <v>88</v>
      </c>
      <c r="G1767" t="s">
        <v>118</v>
      </c>
      <c r="H1767" t="s">
        <v>32</v>
      </c>
      <c r="I1767" t="s">
        <v>109</v>
      </c>
      <c r="J1767" t="s">
        <v>25</v>
      </c>
      <c r="K1767">
        <v>4.0999999999999996</v>
      </c>
      <c r="L1767" t="s">
        <v>140</v>
      </c>
      <c r="M1767" t="s">
        <v>58</v>
      </c>
      <c r="N1767" t="s">
        <v>140</v>
      </c>
      <c r="O1767">
        <v>41</v>
      </c>
      <c r="P1767" t="s">
        <v>16</v>
      </c>
      <c r="Q1767" t="s">
        <v>46</v>
      </c>
      <c r="R1767" t="str" cm="1">
        <f t="array" ref="R1767">_xlfn.IFS(B1767&lt;31,"Young-Adult",B1767&lt;41,"Adult",B1767&lt;61,"Middle-aged",B1767&gt;=61,"Senior")</f>
        <v>Senior</v>
      </c>
      <c r="S1767" cm="1">
        <f t="array" ref="S1767">_xlfn.IFS(Q1767 ="Fortnightly",14,Q1767="Weekly",7,Q1767="Monthly",30,Q1767="Quarterly",90,Q1767="Bi-Weekly",14,Q1767="Annually",365,Q1767="Every 3 Months",90,TRUE,"NOT FOUND")</f>
        <v>90</v>
      </c>
    </row>
    <row r="1768" spans="1:19" x14ac:dyDescent="0.35">
      <c r="A1768">
        <v>1767</v>
      </c>
      <c r="B1768">
        <v>60</v>
      </c>
      <c r="C1768" t="s">
        <v>7</v>
      </c>
      <c r="D1768" t="s">
        <v>18</v>
      </c>
      <c r="E1768" t="s">
        <v>9</v>
      </c>
      <c r="F1768">
        <v>54</v>
      </c>
      <c r="G1768" t="s">
        <v>108</v>
      </c>
      <c r="H1768" t="s">
        <v>24</v>
      </c>
      <c r="I1768" t="s">
        <v>97</v>
      </c>
      <c r="J1768" t="s">
        <v>13</v>
      </c>
      <c r="K1768">
        <v>4.3</v>
      </c>
      <c r="L1768" t="s">
        <v>140</v>
      </c>
      <c r="M1768" t="s">
        <v>58</v>
      </c>
      <c r="N1768" t="s">
        <v>140</v>
      </c>
      <c r="O1768">
        <v>27</v>
      </c>
      <c r="P1768" t="s">
        <v>21</v>
      </c>
      <c r="Q1768" t="s">
        <v>64</v>
      </c>
      <c r="R1768" t="str" cm="1">
        <f t="array" ref="R1768">_xlfn.IFS(B1768&lt;31,"Young-Adult",B1768&lt;41,"Adult",B1768&lt;61,"Middle-aged",B1768&gt;=61,"Senior")</f>
        <v>Middle-aged</v>
      </c>
      <c r="S1768" cm="1">
        <f t="array" ref="S1768">_xlfn.IFS(Q1768 ="Fortnightly",14,Q1768="Weekly",7,Q1768="Monthly",30,Q1768="Quarterly",90,Q1768="Bi-Weekly",14,Q1768="Annually",365,Q1768="Every 3 Months",90,TRUE,"NOT FOUND")</f>
        <v>14</v>
      </c>
    </row>
    <row r="1769" spans="1:19" x14ac:dyDescent="0.35">
      <c r="A1769">
        <v>1768</v>
      </c>
      <c r="B1769">
        <v>69</v>
      </c>
      <c r="C1769" t="s">
        <v>7</v>
      </c>
      <c r="D1769" t="s">
        <v>94</v>
      </c>
      <c r="E1769" t="s">
        <v>55</v>
      </c>
      <c r="F1769">
        <v>89</v>
      </c>
      <c r="G1769" t="s">
        <v>136</v>
      </c>
      <c r="H1769" t="s">
        <v>11</v>
      </c>
      <c r="I1769" t="s">
        <v>81</v>
      </c>
      <c r="J1769" t="s">
        <v>45</v>
      </c>
      <c r="K1769">
        <v>3.8</v>
      </c>
      <c r="L1769" t="s">
        <v>140</v>
      </c>
      <c r="M1769" t="s">
        <v>58</v>
      </c>
      <c r="N1769" t="s">
        <v>140</v>
      </c>
      <c r="O1769">
        <v>46</v>
      </c>
      <c r="P1769" t="s">
        <v>74</v>
      </c>
      <c r="Q1769" t="s">
        <v>17</v>
      </c>
      <c r="R1769" t="str" cm="1">
        <f t="array" ref="R1769">_xlfn.IFS(B1769&lt;31,"Young-Adult",B1769&lt;41,"Adult",B1769&lt;61,"Middle-aged",B1769&gt;=61,"Senior")</f>
        <v>Senior</v>
      </c>
      <c r="S1769" cm="1">
        <f t="array" ref="S1769">_xlfn.IFS(Q1769 ="Fortnightly",14,Q1769="Weekly",7,Q1769="Monthly",30,Q1769="Quarterly",90,Q1769="Bi-Weekly",14,Q1769="Annually",365,Q1769="Every 3 Months",90,TRUE,"NOT FOUND")</f>
        <v>14</v>
      </c>
    </row>
    <row r="1770" spans="1:19" x14ac:dyDescent="0.35">
      <c r="A1770">
        <v>1769</v>
      </c>
      <c r="B1770">
        <v>25</v>
      </c>
      <c r="C1770" t="s">
        <v>7</v>
      </c>
      <c r="D1770" t="s">
        <v>29</v>
      </c>
      <c r="E1770" t="s">
        <v>30</v>
      </c>
      <c r="F1770">
        <v>45</v>
      </c>
      <c r="G1770" t="s">
        <v>133</v>
      </c>
      <c r="H1770" t="s">
        <v>32</v>
      </c>
      <c r="I1770" t="s">
        <v>114</v>
      </c>
      <c r="J1770" t="s">
        <v>41</v>
      </c>
      <c r="K1770">
        <v>3.9</v>
      </c>
      <c r="L1770" t="s">
        <v>140</v>
      </c>
      <c r="M1770" t="s">
        <v>58</v>
      </c>
      <c r="N1770" t="s">
        <v>140</v>
      </c>
      <c r="O1770">
        <v>2</v>
      </c>
      <c r="P1770" t="s">
        <v>34</v>
      </c>
      <c r="Q1770" t="s">
        <v>85</v>
      </c>
      <c r="R1770" t="str" cm="1">
        <f t="array" ref="R1770">_xlfn.IFS(B1770&lt;31,"Young-Adult",B1770&lt;41,"Adult",B1770&lt;61,"Middle-aged",B1770&gt;=61,"Senior")</f>
        <v>Young-Adult</v>
      </c>
      <c r="S1770" cm="1">
        <f t="array" ref="S1770">_xlfn.IFS(Q1770 ="Fortnightly",14,Q1770="Weekly",7,Q1770="Monthly",30,Q1770="Quarterly",90,Q1770="Bi-Weekly",14,Q1770="Annually",365,Q1770="Every 3 Months",90,TRUE,"NOT FOUND")</f>
        <v>90</v>
      </c>
    </row>
    <row r="1771" spans="1:19" x14ac:dyDescent="0.35">
      <c r="A1771">
        <v>1770</v>
      </c>
      <c r="B1771">
        <v>32</v>
      </c>
      <c r="C1771" t="s">
        <v>7</v>
      </c>
      <c r="D1771" t="s">
        <v>113</v>
      </c>
      <c r="E1771" t="s">
        <v>9</v>
      </c>
      <c r="F1771">
        <v>75</v>
      </c>
      <c r="G1771" t="s">
        <v>108</v>
      </c>
      <c r="H1771" t="s">
        <v>11</v>
      </c>
      <c r="I1771" t="s">
        <v>98</v>
      </c>
      <c r="J1771" t="s">
        <v>13</v>
      </c>
      <c r="K1771">
        <v>4.3</v>
      </c>
      <c r="L1771" t="s">
        <v>140</v>
      </c>
      <c r="M1771" t="s">
        <v>26</v>
      </c>
      <c r="N1771" t="s">
        <v>140</v>
      </c>
      <c r="O1771">
        <v>45</v>
      </c>
      <c r="P1771" t="s">
        <v>21</v>
      </c>
      <c r="Q1771" t="s">
        <v>76</v>
      </c>
      <c r="R1771" t="str" cm="1">
        <f t="array" ref="R1771">_xlfn.IFS(B1771&lt;31,"Young-Adult",B1771&lt;41,"Adult",B1771&lt;61,"Middle-aged",B1771&gt;=61,"Senior")</f>
        <v>Adult</v>
      </c>
      <c r="S1771" cm="1">
        <f t="array" ref="S1771">_xlfn.IFS(Q1771 ="Fortnightly",14,Q1771="Weekly",7,Q1771="Monthly",30,Q1771="Quarterly",90,Q1771="Bi-Weekly",14,Q1771="Annually",365,Q1771="Every 3 Months",90,TRUE,"NOT FOUND")</f>
        <v>30</v>
      </c>
    </row>
    <row r="1772" spans="1:19" x14ac:dyDescent="0.35">
      <c r="A1772">
        <v>1771</v>
      </c>
      <c r="B1772">
        <v>53</v>
      </c>
      <c r="C1772" t="s">
        <v>7</v>
      </c>
      <c r="D1772" t="s">
        <v>120</v>
      </c>
      <c r="E1772" t="s">
        <v>55</v>
      </c>
      <c r="F1772">
        <v>22</v>
      </c>
      <c r="G1772" t="s">
        <v>139</v>
      </c>
      <c r="H1772" t="s">
        <v>32</v>
      </c>
      <c r="I1772" t="s">
        <v>57</v>
      </c>
      <c r="J1772" t="s">
        <v>45</v>
      </c>
      <c r="K1772">
        <v>4.3</v>
      </c>
      <c r="L1772" t="s">
        <v>140</v>
      </c>
      <c r="M1772" t="s">
        <v>15</v>
      </c>
      <c r="N1772" t="s">
        <v>140</v>
      </c>
      <c r="O1772">
        <v>34</v>
      </c>
      <c r="P1772" t="s">
        <v>63</v>
      </c>
      <c r="Q1772" t="s">
        <v>28</v>
      </c>
      <c r="R1772" t="str" cm="1">
        <f t="array" ref="R1772">_xlfn.IFS(B1772&lt;31,"Young-Adult",B1772&lt;41,"Adult",B1772&lt;61,"Middle-aged",B1772&gt;=61,"Senior")</f>
        <v>Middle-aged</v>
      </c>
      <c r="S1772" cm="1">
        <f t="array" ref="S1772">_xlfn.IFS(Q1772 ="Fortnightly",14,Q1772="Weekly",7,Q1772="Monthly",30,Q1772="Quarterly",90,Q1772="Bi-Weekly",14,Q1772="Annually",365,Q1772="Every 3 Months",90,TRUE,"NOT FOUND")</f>
        <v>7</v>
      </c>
    </row>
    <row r="1773" spans="1:19" x14ac:dyDescent="0.35">
      <c r="A1773">
        <v>1772</v>
      </c>
      <c r="B1773">
        <v>46</v>
      </c>
      <c r="C1773" t="s">
        <v>7</v>
      </c>
      <c r="D1773" t="s">
        <v>43</v>
      </c>
      <c r="E1773" t="s">
        <v>9</v>
      </c>
      <c r="F1773">
        <v>82</v>
      </c>
      <c r="G1773" t="s">
        <v>104</v>
      </c>
      <c r="H1773" t="s">
        <v>80</v>
      </c>
      <c r="I1773" t="s">
        <v>36</v>
      </c>
      <c r="J1773" t="s">
        <v>45</v>
      </c>
      <c r="K1773">
        <v>4.7</v>
      </c>
      <c r="L1773" t="s">
        <v>140</v>
      </c>
      <c r="M1773" t="s">
        <v>62</v>
      </c>
      <c r="N1773" t="s">
        <v>140</v>
      </c>
      <c r="O1773">
        <v>9</v>
      </c>
      <c r="P1773" t="s">
        <v>27</v>
      </c>
      <c r="Q1773" t="s">
        <v>37</v>
      </c>
      <c r="R1773" t="str" cm="1">
        <f t="array" ref="R1773">_xlfn.IFS(B1773&lt;31,"Young-Adult",B1773&lt;41,"Adult",B1773&lt;61,"Middle-aged",B1773&gt;=61,"Senior")</f>
        <v>Middle-aged</v>
      </c>
      <c r="S1773" cm="1">
        <f t="array" ref="S1773">_xlfn.IFS(Q1773 ="Fortnightly",14,Q1773="Weekly",7,Q1773="Monthly",30,Q1773="Quarterly",90,Q1773="Bi-Weekly",14,Q1773="Annually",365,Q1773="Every 3 Months",90,TRUE,"NOT FOUND")</f>
        <v>365</v>
      </c>
    </row>
    <row r="1774" spans="1:19" x14ac:dyDescent="0.35">
      <c r="A1774">
        <v>1773</v>
      </c>
      <c r="B1774">
        <v>58</v>
      </c>
      <c r="C1774" t="s">
        <v>7</v>
      </c>
      <c r="D1774" t="s">
        <v>59</v>
      </c>
      <c r="E1774" t="s">
        <v>30</v>
      </c>
      <c r="F1774">
        <v>34</v>
      </c>
      <c r="G1774" t="s">
        <v>65</v>
      </c>
      <c r="H1774" t="s">
        <v>32</v>
      </c>
      <c r="I1774" t="s">
        <v>68</v>
      </c>
      <c r="J1774" t="s">
        <v>41</v>
      </c>
      <c r="K1774">
        <v>3.1</v>
      </c>
      <c r="L1774" t="s">
        <v>140</v>
      </c>
      <c r="M1774" t="s">
        <v>58</v>
      </c>
      <c r="N1774" t="s">
        <v>140</v>
      </c>
      <c r="O1774">
        <v>1</v>
      </c>
      <c r="P1774" t="s">
        <v>63</v>
      </c>
      <c r="Q1774" t="s">
        <v>37</v>
      </c>
      <c r="R1774" t="str" cm="1">
        <f t="array" ref="R1774">_xlfn.IFS(B1774&lt;31,"Young-Adult",B1774&lt;41,"Adult",B1774&lt;61,"Middle-aged",B1774&gt;=61,"Senior")</f>
        <v>Middle-aged</v>
      </c>
      <c r="S1774" cm="1">
        <f t="array" ref="S1774">_xlfn.IFS(Q1774 ="Fortnightly",14,Q1774="Weekly",7,Q1774="Monthly",30,Q1774="Quarterly",90,Q1774="Bi-Weekly",14,Q1774="Annually",365,Q1774="Every 3 Months",90,TRUE,"NOT FOUND")</f>
        <v>365</v>
      </c>
    </row>
    <row r="1775" spans="1:19" x14ac:dyDescent="0.35">
      <c r="A1775">
        <v>1774</v>
      </c>
      <c r="B1775">
        <v>21</v>
      </c>
      <c r="C1775" t="s">
        <v>7</v>
      </c>
      <c r="D1775" t="s">
        <v>50</v>
      </c>
      <c r="E1775" t="s">
        <v>51</v>
      </c>
      <c r="F1775">
        <v>92</v>
      </c>
      <c r="G1775" t="s">
        <v>52</v>
      </c>
      <c r="H1775" t="s">
        <v>32</v>
      </c>
      <c r="I1775" t="s">
        <v>132</v>
      </c>
      <c r="J1775" t="s">
        <v>41</v>
      </c>
      <c r="K1775">
        <v>2.7</v>
      </c>
      <c r="L1775" t="s">
        <v>140</v>
      </c>
      <c r="M1775" t="s">
        <v>26</v>
      </c>
      <c r="N1775" t="s">
        <v>140</v>
      </c>
      <c r="O1775">
        <v>17</v>
      </c>
      <c r="P1775" t="s">
        <v>34</v>
      </c>
      <c r="Q1775" t="s">
        <v>37</v>
      </c>
      <c r="R1775" t="str" cm="1">
        <f t="array" ref="R1775">_xlfn.IFS(B1775&lt;31,"Young-Adult",B1775&lt;41,"Adult",B1775&lt;61,"Middle-aged",B1775&gt;=61,"Senior")</f>
        <v>Young-Adult</v>
      </c>
      <c r="S1775" cm="1">
        <f t="array" ref="S1775">_xlfn.IFS(Q1775 ="Fortnightly",14,Q1775="Weekly",7,Q1775="Monthly",30,Q1775="Quarterly",90,Q1775="Bi-Weekly",14,Q1775="Annually",365,Q1775="Every 3 Months",90,TRUE,"NOT FOUND")</f>
        <v>365</v>
      </c>
    </row>
    <row r="1776" spans="1:19" x14ac:dyDescent="0.35">
      <c r="A1776">
        <v>1775</v>
      </c>
      <c r="B1776">
        <v>46</v>
      </c>
      <c r="C1776" t="s">
        <v>7</v>
      </c>
      <c r="D1776" t="s">
        <v>18</v>
      </c>
      <c r="E1776" t="s">
        <v>9</v>
      </c>
      <c r="F1776">
        <v>78</v>
      </c>
      <c r="G1776" t="s">
        <v>72</v>
      </c>
      <c r="H1776" t="s">
        <v>32</v>
      </c>
      <c r="I1776" t="s">
        <v>81</v>
      </c>
      <c r="J1776" t="s">
        <v>25</v>
      </c>
      <c r="K1776">
        <v>3.7</v>
      </c>
      <c r="L1776" t="s">
        <v>140</v>
      </c>
      <c r="M1776" t="s">
        <v>15</v>
      </c>
      <c r="N1776" t="s">
        <v>140</v>
      </c>
      <c r="O1776">
        <v>6</v>
      </c>
      <c r="P1776" t="s">
        <v>34</v>
      </c>
      <c r="Q1776" t="s">
        <v>28</v>
      </c>
      <c r="R1776" t="str" cm="1">
        <f t="array" ref="R1776">_xlfn.IFS(B1776&lt;31,"Young-Adult",B1776&lt;41,"Adult",B1776&lt;61,"Middle-aged",B1776&gt;=61,"Senior")</f>
        <v>Middle-aged</v>
      </c>
      <c r="S1776" cm="1">
        <f t="array" ref="S1776">_xlfn.IFS(Q1776 ="Fortnightly",14,Q1776="Weekly",7,Q1776="Monthly",30,Q1776="Quarterly",90,Q1776="Bi-Weekly",14,Q1776="Annually",365,Q1776="Every 3 Months",90,TRUE,"NOT FOUND")</f>
        <v>7</v>
      </c>
    </row>
    <row r="1777" spans="1:19" x14ac:dyDescent="0.35">
      <c r="A1777">
        <v>1776</v>
      </c>
      <c r="B1777">
        <v>18</v>
      </c>
      <c r="C1777" t="s">
        <v>7</v>
      </c>
      <c r="D1777" t="s">
        <v>90</v>
      </c>
      <c r="E1777" t="s">
        <v>51</v>
      </c>
      <c r="F1777">
        <v>47</v>
      </c>
      <c r="G1777" t="s">
        <v>134</v>
      </c>
      <c r="H1777" t="s">
        <v>32</v>
      </c>
      <c r="I1777" t="s">
        <v>71</v>
      </c>
      <c r="J1777" t="s">
        <v>25</v>
      </c>
      <c r="K1777">
        <v>3.3</v>
      </c>
      <c r="L1777" t="s">
        <v>140</v>
      </c>
      <c r="M1777" t="s">
        <v>58</v>
      </c>
      <c r="N1777" t="s">
        <v>140</v>
      </c>
      <c r="O1777">
        <v>12</v>
      </c>
      <c r="P1777" t="s">
        <v>21</v>
      </c>
      <c r="Q1777" t="s">
        <v>64</v>
      </c>
      <c r="R1777" t="str" cm="1">
        <f t="array" ref="R1777">_xlfn.IFS(B1777&lt;31,"Young-Adult",B1777&lt;41,"Adult",B1777&lt;61,"Middle-aged",B1777&gt;=61,"Senior")</f>
        <v>Young-Adult</v>
      </c>
      <c r="S1777" cm="1">
        <f t="array" ref="S1777">_xlfn.IFS(Q1777 ="Fortnightly",14,Q1777="Weekly",7,Q1777="Monthly",30,Q1777="Quarterly",90,Q1777="Bi-Weekly",14,Q1777="Annually",365,Q1777="Every 3 Months",90,TRUE,"NOT FOUND")</f>
        <v>14</v>
      </c>
    </row>
    <row r="1778" spans="1:19" x14ac:dyDescent="0.35">
      <c r="A1778">
        <v>1777</v>
      </c>
      <c r="B1778">
        <v>56</v>
      </c>
      <c r="C1778" t="s">
        <v>7</v>
      </c>
      <c r="D1778" t="s">
        <v>90</v>
      </c>
      <c r="E1778" t="s">
        <v>51</v>
      </c>
      <c r="F1778">
        <v>64</v>
      </c>
      <c r="G1778" t="s">
        <v>105</v>
      </c>
      <c r="H1778" t="s">
        <v>11</v>
      </c>
      <c r="I1778" t="s">
        <v>97</v>
      </c>
      <c r="J1778" t="s">
        <v>41</v>
      </c>
      <c r="K1778">
        <v>3.4</v>
      </c>
      <c r="L1778" t="s">
        <v>140</v>
      </c>
      <c r="M1778" t="s">
        <v>26</v>
      </c>
      <c r="N1778" t="s">
        <v>140</v>
      </c>
      <c r="O1778">
        <v>10</v>
      </c>
      <c r="P1778" t="s">
        <v>16</v>
      </c>
      <c r="Q1778" t="s">
        <v>85</v>
      </c>
      <c r="R1778" t="str" cm="1">
        <f t="array" ref="R1778">_xlfn.IFS(B1778&lt;31,"Young-Adult",B1778&lt;41,"Adult",B1778&lt;61,"Middle-aged",B1778&gt;=61,"Senior")</f>
        <v>Middle-aged</v>
      </c>
      <c r="S1778" cm="1">
        <f t="array" ref="S1778">_xlfn.IFS(Q1778 ="Fortnightly",14,Q1778="Weekly",7,Q1778="Monthly",30,Q1778="Quarterly",90,Q1778="Bi-Weekly",14,Q1778="Annually",365,Q1778="Every 3 Months",90,TRUE,"NOT FOUND")</f>
        <v>90</v>
      </c>
    </row>
    <row r="1779" spans="1:19" x14ac:dyDescent="0.35">
      <c r="A1779">
        <v>1778</v>
      </c>
      <c r="B1779">
        <v>18</v>
      </c>
      <c r="C1779" t="s">
        <v>7</v>
      </c>
      <c r="D1779" t="s">
        <v>38</v>
      </c>
      <c r="E1779" t="s">
        <v>30</v>
      </c>
      <c r="F1779">
        <v>44</v>
      </c>
      <c r="G1779" t="s">
        <v>136</v>
      </c>
      <c r="H1779" t="s">
        <v>11</v>
      </c>
      <c r="I1779" t="s">
        <v>61</v>
      </c>
      <c r="J1779" t="s">
        <v>13</v>
      </c>
      <c r="K1779">
        <v>4.7</v>
      </c>
      <c r="L1779" t="s">
        <v>140</v>
      </c>
      <c r="M1779" t="s">
        <v>26</v>
      </c>
      <c r="N1779" t="s">
        <v>140</v>
      </c>
      <c r="O1779">
        <v>4</v>
      </c>
      <c r="P1779" t="s">
        <v>21</v>
      </c>
      <c r="Q1779" t="s">
        <v>17</v>
      </c>
      <c r="R1779" t="str" cm="1">
        <f t="array" ref="R1779">_xlfn.IFS(B1779&lt;31,"Young-Adult",B1779&lt;41,"Adult",B1779&lt;61,"Middle-aged",B1779&gt;=61,"Senior")</f>
        <v>Young-Adult</v>
      </c>
      <c r="S1779" cm="1">
        <f t="array" ref="S1779">_xlfn.IFS(Q1779 ="Fortnightly",14,Q1779="Weekly",7,Q1779="Monthly",30,Q1779="Quarterly",90,Q1779="Bi-Weekly",14,Q1779="Annually",365,Q1779="Every 3 Months",90,TRUE,"NOT FOUND")</f>
        <v>14</v>
      </c>
    </row>
    <row r="1780" spans="1:19" x14ac:dyDescent="0.35">
      <c r="A1780">
        <v>1779</v>
      </c>
      <c r="B1780">
        <v>49</v>
      </c>
      <c r="C1780" t="s">
        <v>7</v>
      </c>
      <c r="D1780" t="s">
        <v>121</v>
      </c>
      <c r="E1780" t="s">
        <v>55</v>
      </c>
      <c r="F1780">
        <v>94</v>
      </c>
      <c r="G1780" t="s">
        <v>93</v>
      </c>
      <c r="H1780" t="s">
        <v>32</v>
      </c>
      <c r="I1780" t="s">
        <v>96</v>
      </c>
      <c r="J1780" t="s">
        <v>13</v>
      </c>
      <c r="K1780">
        <v>4.9000000000000004</v>
      </c>
      <c r="L1780" t="s">
        <v>140</v>
      </c>
      <c r="M1780" t="s">
        <v>62</v>
      </c>
      <c r="N1780" t="s">
        <v>140</v>
      </c>
      <c r="O1780">
        <v>8</v>
      </c>
      <c r="P1780" t="s">
        <v>74</v>
      </c>
      <c r="Q1780" t="s">
        <v>64</v>
      </c>
      <c r="R1780" t="str" cm="1">
        <f t="array" ref="R1780">_xlfn.IFS(B1780&lt;31,"Young-Adult",B1780&lt;41,"Adult",B1780&lt;61,"Middle-aged",B1780&gt;=61,"Senior")</f>
        <v>Middle-aged</v>
      </c>
      <c r="S1780" cm="1">
        <f t="array" ref="S1780">_xlfn.IFS(Q1780 ="Fortnightly",14,Q1780="Weekly",7,Q1780="Monthly",30,Q1780="Quarterly",90,Q1780="Bi-Weekly",14,Q1780="Annually",365,Q1780="Every 3 Months",90,TRUE,"NOT FOUND")</f>
        <v>14</v>
      </c>
    </row>
    <row r="1781" spans="1:19" x14ac:dyDescent="0.35">
      <c r="A1781">
        <v>1780</v>
      </c>
      <c r="B1781">
        <v>29</v>
      </c>
      <c r="C1781" t="s">
        <v>7</v>
      </c>
      <c r="D1781" t="s">
        <v>107</v>
      </c>
      <c r="E1781" t="s">
        <v>55</v>
      </c>
      <c r="F1781">
        <v>62</v>
      </c>
      <c r="G1781" t="s">
        <v>129</v>
      </c>
      <c r="H1781" t="s">
        <v>32</v>
      </c>
      <c r="I1781" t="s">
        <v>49</v>
      </c>
      <c r="J1781" t="s">
        <v>13</v>
      </c>
      <c r="K1781">
        <v>4.3</v>
      </c>
      <c r="L1781" t="s">
        <v>140</v>
      </c>
      <c r="M1781" t="s">
        <v>26</v>
      </c>
      <c r="N1781" t="s">
        <v>140</v>
      </c>
      <c r="O1781">
        <v>41</v>
      </c>
      <c r="P1781" t="s">
        <v>16</v>
      </c>
      <c r="Q1781" t="s">
        <v>28</v>
      </c>
      <c r="R1781" t="str" cm="1">
        <f t="array" ref="R1781">_xlfn.IFS(B1781&lt;31,"Young-Adult",B1781&lt;41,"Adult",B1781&lt;61,"Middle-aged",B1781&gt;=61,"Senior")</f>
        <v>Young-Adult</v>
      </c>
      <c r="S1781" cm="1">
        <f t="array" ref="S1781">_xlfn.IFS(Q1781 ="Fortnightly",14,Q1781="Weekly",7,Q1781="Monthly",30,Q1781="Quarterly",90,Q1781="Bi-Weekly",14,Q1781="Annually",365,Q1781="Every 3 Months",90,TRUE,"NOT FOUND")</f>
        <v>7</v>
      </c>
    </row>
    <row r="1782" spans="1:19" x14ac:dyDescent="0.35">
      <c r="A1782">
        <v>1781</v>
      </c>
      <c r="B1782">
        <v>67</v>
      </c>
      <c r="C1782" t="s">
        <v>7</v>
      </c>
      <c r="D1782" t="s">
        <v>94</v>
      </c>
      <c r="E1782" t="s">
        <v>55</v>
      </c>
      <c r="F1782">
        <v>81</v>
      </c>
      <c r="G1782" t="s">
        <v>102</v>
      </c>
      <c r="H1782" t="s">
        <v>24</v>
      </c>
      <c r="I1782" t="s">
        <v>12</v>
      </c>
      <c r="J1782" t="s">
        <v>41</v>
      </c>
      <c r="K1782">
        <v>4.2</v>
      </c>
      <c r="L1782" t="s">
        <v>140</v>
      </c>
      <c r="M1782" t="s">
        <v>33</v>
      </c>
      <c r="N1782" t="s">
        <v>140</v>
      </c>
      <c r="O1782">
        <v>49</v>
      </c>
      <c r="P1782" t="s">
        <v>27</v>
      </c>
      <c r="Q1782" t="s">
        <v>28</v>
      </c>
      <c r="R1782" t="str" cm="1">
        <f t="array" ref="R1782">_xlfn.IFS(B1782&lt;31,"Young-Adult",B1782&lt;41,"Adult",B1782&lt;61,"Middle-aged",B1782&gt;=61,"Senior")</f>
        <v>Senior</v>
      </c>
      <c r="S1782" cm="1">
        <f t="array" ref="S1782">_xlfn.IFS(Q1782 ="Fortnightly",14,Q1782="Weekly",7,Q1782="Monthly",30,Q1782="Quarterly",90,Q1782="Bi-Weekly",14,Q1782="Annually",365,Q1782="Every 3 Months",90,TRUE,"NOT FOUND")</f>
        <v>7</v>
      </c>
    </row>
    <row r="1783" spans="1:19" x14ac:dyDescent="0.35">
      <c r="A1783">
        <v>1782</v>
      </c>
      <c r="B1783">
        <v>31</v>
      </c>
      <c r="C1783" t="s">
        <v>7</v>
      </c>
      <c r="D1783" t="s">
        <v>101</v>
      </c>
      <c r="E1783" t="s">
        <v>9</v>
      </c>
      <c r="F1783">
        <v>33</v>
      </c>
      <c r="G1783" t="s">
        <v>134</v>
      </c>
      <c r="H1783" t="s">
        <v>32</v>
      </c>
      <c r="I1783" t="s">
        <v>57</v>
      </c>
      <c r="J1783" t="s">
        <v>45</v>
      </c>
      <c r="K1783">
        <v>3.7</v>
      </c>
      <c r="L1783" t="s">
        <v>140</v>
      </c>
      <c r="M1783" t="s">
        <v>15</v>
      </c>
      <c r="N1783" t="s">
        <v>140</v>
      </c>
      <c r="O1783">
        <v>49</v>
      </c>
      <c r="P1783" t="s">
        <v>63</v>
      </c>
      <c r="Q1783" t="s">
        <v>46</v>
      </c>
      <c r="R1783" t="str" cm="1">
        <f t="array" ref="R1783">_xlfn.IFS(B1783&lt;31,"Young-Adult",B1783&lt;41,"Adult",B1783&lt;61,"Middle-aged",B1783&gt;=61,"Senior")</f>
        <v>Adult</v>
      </c>
      <c r="S1783" cm="1">
        <f t="array" ref="S1783">_xlfn.IFS(Q1783 ="Fortnightly",14,Q1783="Weekly",7,Q1783="Monthly",30,Q1783="Quarterly",90,Q1783="Bi-Weekly",14,Q1783="Annually",365,Q1783="Every 3 Months",90,TRUE,"NOT FOUND")</f>
        <v>90</v>
      </c>
    </row>
    <row r="1784" spans="1:19" x14ac:dyDescent="0.35">
      <c r="A1784">
        <v>1783</v>
      </c>
      <c r="B1784">
        <v>52</v>
      </c>
      <c r="C1784" t="s">
        <v>7</v>
      </c>
      <c r="D1784" t="s">
        <v>83</v>
      </c>
      <c r="E1784" t="s">
        <v>9</v>
      </c>
      <c r="F1784">
        <v>88</v>
      </c>
      <c r="G1784" t="s">
        <v>128</v>
      </c>
      <c r="H1784" t="s">
        <v>32</v>
      </c>
      <c r="I1784" t="s">
        <v>81</v>
      </c>
      <c r="J1784" t="s">
        <v>45</v>
      </c>
      <c r="K1784">
        <v>2.7</v>
      </c>
      <c r="L1784" t="s">
        <v>140</v>
      </c>
      <c r="M1784" t="s">
        <v>33</v>
      </c>
      <c r="N1784" t="s">
        <v>140</v>
      </c>
      <c r="O1784">
        <v>40</v>
      </c>
      <c r="P1784" t="s">
        <v>63</v>
      </c>
      <c r="Q1784" t="s">
        <v>17</v>
      </c>
      <c r="R1784" t="str" cm="1">
        <f t="array" ref="R1784">_xlfn.IFS(B1784&lt;31,"Young-Adult",B1784&lt;41,"Adult",B1784&lt;61,"Middle-aged",B1784&gt;=61,"Senior")</f>
        <v>Middle-aged</v>
      </c>
      <c r="S1784" cm="1">
        <f t="array" ref="S1784">_xlfn.IFS(Q1784 ="Fortnightly",14,Q1784="Weekly",7,Q1784="Monthly",30,Q1784="Quarterly",90,Q1784="Bi-Weekly",14,Q1784="Annually",365,Q1784="Every 3 Months",90,TRUE,"NOT FOUND")</f>
        <v>14</v>
      </c>
    </row>
    <row r="1785" spans="1:19" x14ac:dyDescent="0.35">
      <c r="A1785">
        <v>1784</v>
      </c>
      <c r="B1785">
        <v>42</v>
      </c>
      <c r="C1785" t="s">
        <v>7</v>
      </c>
      <c r="D1785" t="s">
        <v>54</v>
      </c>
      <c r="E1785" t="s">
        <v>55</v>
      </c>
      <c r="F1785">
        <v>49</v>
      </c>
      <c r="G1785" t="s">
        <v>111</v>
      </c>
      <c r="H1785" t="s">
        <v>11</v>
      </c>
      <c r="I1785" t="s">
        <v>81</v>
      </c>
      <c r="J1785" t="s">
        <v>13</v>
      </c>
      <c r="K1785">
        <v>3.3</v>
      </c>
      <c r="L1785" t="s">
        <v>140</v>
      </c>
      <c r="M1785" t="s">
        <v>26</v>
      </c>
      <c r="N1785" t="s">
        <v>140</v>
      </c>
      <c r="O1785">
        <v>30</v>
      </c>
      <c r="P1785" t="s">
        <v>27</v>
      </c>
      <c r="Q1785" t="s">
        <v>76</v>
      </c>
      <c r="R1785" t="str" cm="1">
        <f t="array" ref="R1785">_xlfn.IFS(B1785&lt;31,"Young-Adult",B1785&lt;41,"Adult",B1785&lt;61,"Middle-aged",B1785&gt;=61,"Senior")</f>
        <v>Middle-aged</v>
      </c>
      <c r="S1785" cm="1">
        <f t="array" ref="S1785">_xlfn.IFS(Q1785 ="Fortnightly",14,Q1785="Weekly",7,Q1785="Monthly",30,Q1785="Quarterly",90,Q1785="Bi-Weekly",14,Q1785="Annually",365,Q1785="Every 3 Months",90,TRUE,"NOT FOUND")</f>
        <v>30</v>
      </c>
    </row>
    <row r="1786" spans="1:19" x14ac:dyDescent="0.35">
      <c r="A1786">
        <v>1785</v>
      </c>
      <c r="B1786">
        <v>32</v>
      </c>
      <c r="C1786" t="s">
        <v>7</v>
      </c>
      <c r="D1786" t="s">
        <v>120</v>
      </c>
      <c r="E1786" t="s">
        <v>55</v>
      </c>
      <c r="F1786">
        <v>31</v>
      </c>
      <c r="G1786" t="s">
        <v>48</v>
      </c>
      <c r="H1786" t="s">
        <v>11</v>
      </c>
      <c r="I1786" t="s">
        <v>122</v>
      </c>
      <c r="J1786" t="s">
        <v>41</v>
      </c>
      <c r="K1786">
        <v>4.8</v>
      </c>
      <c r="L1786" t="s">
        <v>140</v>
      </c>
      <c r="M1786" t="s">
        <v>42</v>
      </c>
      <c r="N1786" t="s">
        <v>140</v>
      </c>
      <c r="O1786">
        <v>4</v>
      </c>
      <c r="P1786" t="s">
        <v>74</v>
      </c>
      <c r="Q1786" t="s">
        <v>46</v>
      </c>
      <c r="R1786" t="str" cm="1">
        <f t="array" ref="R1786">_xlfn.IFS(B1786&lt;31,"Young-Adult",B1786&lt;41,"Adult",B1786&lt;61,"Middle-aged",B1786&gt;=61,"Senior")</f>
        <v>Adult</v>
      </c>
      <c r="S1786" cm="1">
        <f t="array" ref="S1786">_xlfn.IFS(Q1786 ="Fortnightly",14,Q1786="Weekly",7,Q1786="Monthly",30,Q1786="Quarterly",90,Q1786="Bi-Weekly",14,Q1786="Annually",365,Q1786="Every 3 Months",90,TRUE,"NOT FOUND")</f>
        <v>90</v>
      </c>
    </row>
    <row r="1787" spans="1:19" x14ac:dyDescent="0.35">
      <c r="A1787">
        <v>1786</v>
      </c>
      <c r="B1787">
        <v>47</v>
      </c>
      <c r="C1787" t="s">
        <v>7</v>
      </c>
      <c r="D1787" t="s">
        <v>131</v>
      </c>
      <c r="E1787" t="s">
        <v>55</v>
      </c>
      <c r="F1787">
        <v>29</v>
      </c>
      <c r="G1787" t="s">
        <v>134</v>
      </c>
      <c r="H1787" t="s">
        <v>24</v>
      </c>
      <c r="I1787" t="s">
        <v>88</v>
      </c>
      <c r="J1787" t="s">
        <v>45</v>
      </c>
      <c r="K1787">
        <v>4.0999999999999996</v>
      </c>
      <c r="L1787" t="s">
        <v>140</v>
      </c>
      <c r="M1787" t="s">
        <v>33</v>
      </c>
      <c r="N1787" t="s">
        <v>140</v>
      </c>
      <c r="O1787">
        <v>22</v>
      </c>
      <c r="P1787" t="s">
        <v>16</v>
      </c>
      <c r="Q1787" t="s">
        <v>76</v>
      </c>
      <c r="R1787" t="str" cm="1">
        <f t="array" ref="R1787">_xlfn.IFS(B1787&lt;31,"Young-Adult",B1787&lt;41,"Adult",B1787&lt;61,"Middle-aged",B1787&gt;=61,"Senior")</f>
        <v>Middle-aged</v>
      </c>
      <c r="S1787" cm="1">
        <f t="array" ref="S1787">_xlfn.IFS(Q1787 ="Fortnightly",14,Q1787="Weekly",7,Q1787="Monthly",30,Q1787="Quarterly",90,Q1787="Bi-Weekly",14,Q1787="Annually",365,Q1787="Every 3 Months",90,TRUE,"NOT FOUND")</f>
        <v>30</v>
      </c>
    </row>
    <row r="1788" spans="1:19" x14ac:dyDescent="0.35">
      <c r="A1788">
        <v>1787</v>
      </c>
      <c r="B1788">
        <v>45</v>
      </c>
      <c r="C1788" t="s">
        <v>7</v>
      </c>
      <c r="D1788" t="s">
        <v>90</v>
      </c>
      <c r="E1788" t="s">
        <v>51</v>
      </c>
      <c r="F1788">
        <v>34</v>
      </c>
      <c r="G1788" t="s">
        <v>116</v>
      </c>
      <c r="H1788" t="s">
        <v>32</v>
      </c>
      <c r="I1788" t="s">
        <v>98</v>
      </c>
      <c r="J1788" t="s">
        <v>25</v>
      </c>
      <c r="K1788">
        <v>4.5999999999999996</v>
      </c>
      <c r="L1788" t="s">
        <v>140</v>
      </c>
      <c r="M1788" t="s">
        <v>58</v>
      </c>
      <c r="N1788" t="s">
        <v>140</v>
      </c>
      <c r="O1788">
        <v>22</v>
      </c>
      <c r="P1788" t="s">
        <v>16</v>
      </c>
      <c r="Q1788" t="s">
        <v>76</v>
      </c>
      <c r="R1788" t="str" cm="1">
        <f t="array" ref="R1788">_xlfn.IFS(B1788&lt;31,"Young-Adult",B1788&lt;41,"Adult",B1788&lt;61,"Middle-aged",B1788&gt;=61,"Senior")</f>
        <v>Middle-aged</v>
      </c>
      <c r="S1788" cm="1">
        <f t="array" ref="S1788">_xlfn.IFS(Q1788 ="Fortnightly",14,Q1788="Weekly",7,Q1788="Monthly",30,Q1788="Quarterly",90,Q1788="Bi-Weekly",14,Q1788="Annually",365,Q1788="Every 3 Months",90,TRUE,"NOT FOUND")</f>
        <v>30</v>
      </c>
    </row>
    <row r="1789" spans="1:19" x14ac:dyDescent="0.35">
      <c r="A1789">
        <v>1788</v>
      </c>
      <c r="B1789">
        <v>20</v>
      </c>
      <c r="C1789" t="s">
        <v>7</v>
      </c>
      <c r="D1789" t="s">
        <v>18</v>
      </c>
      <c r="E1789" t="s">
        <v>9</v>
      </c>
      <c r="F1789">
        <v>38</v>
      </c>
      <c r="G1789" t="s">
        <v>44</v>
      </c>
      <c r="H1789" t="s">
        <v>11</v>
      </c>
      <c r="I1789" t="s">
        <v>68</v>
      </c>
      <c r="J1789" t="s">
        <v>45</v>
      </c>
      <c r="K1789">
        <v>4.9000000000000004</v>
      </c>
      <c r="L1789" t="s">
        <v>140</v>
      </c>
      <c r="M1789" t="s">
        <v>58</v>
      </c>
      <c r="N1789" t="s">
        <v>140</v>
      </c>
      <c r="O1789">
        <v>10</v>
      </c>
      <c r="P1789" t="s">
        <v>63</v>
      </c>
      <c r="Q1789" t="s">
        <v>46</v>
      </c>
      <c r="R1789" t="str" cm="1">
        <f t="array" ref="R1789">_xlfn.IFS(B1789&lt;31,"Young-Adult",B1789&lt;41,"Adult",B1789&lt;61,"Middle-aged",B1789&gt;=61,"Senior")</f>
        <v>Young-Adult</v>
      </c>
      <c r="S1789" cm="1">
        <f t="array" ref="S1789">_xlfn.IFS(Q1789 ="Fortnightly",14,Q1789="Weekly",7,Q1789="Monthly",30,Q1789="Quarterly",90,Q1789="Bi-Weekly",14,Q1789="Annually",365,Q1789="Every 3 Months",90,TRUE,"NOT FOUND")</f>
        <v>90</v>
      </c>
    </row>
    <row r="1790" spans="1:19" x14ac:dyDescent="0.35">
      <c r="A1790">
        <v>1789</v>
      </c>
      <c r="B1790">
        <v>66</v>
      </c>
      <c r="C1790" t="s">
        <v>7</v>
      </c>
      <c r="D1790" t="s">
        <v>8</v>
      </c>
      <c r="E1790" t="s">
        <v>9</v>
      </c>
      <c r="F1790">
        <v>41</v>
      </c>
      <c r="G1790" t="s">
        <v>103</v>
      </c>
      <c r="H1790" t="s">
        <v>11</v>
      </c>
      <c r="I1790" t="s">
        <v>57</v>
      </c>
      <c r="J1790" t="s">
        <v>41</v>
      </c>
      <c r="K1790">
        <v>3.1</v>
      </c>
      <c r="L1790" t="s">
        <v>140</v>
      </c>
      <c r="M1790" t="s">
        <v>62</v>
      </c>
      <c r="N1790" t="s">
        <v>140</v>
      </c>
      <c r="O1790">
        <v>23</v>
      </c>
      <c r="P1790" t="s">
        <v>21</v>
      </c>
      <c r="Q1790" t="s">
        <v>64</v>
      </c>
      <c r="R1790" t="str" cm="1">
        <f t="array" ref="R1790">_xlfn.IFS(B1790&lt;31,"Young-Adult",B1790&lt;41,"Adult",B1790&lt;61,"Middle-aged",B1790&gt;=61,"Senior")</f>
        <v>Senior</v>
      </c>
      <c r="S1790" cm="1">
        <f t="array" ref="S1790">_xlfn.IFS(Q1790 ="Fortnightly",14,Q1790="Weekly",7,Q1790="Monthly",30,Q1790="Quarterly",90,Q1790="Bi-Weekly",14,Q1790="Annually",365,Q1790="Every 3 Months",90,TRUE,"NOT FOUND")</f>
        <v>14</v>
      </c>
    </row>
    <row r="1791" spans="1:19" x14ac:dyDescent="0.35">
      <c r="A1791">
        <v>1790</v>
      </c>
      <c r="B1791">
        <v>52</v>
      </c>
      <c r="C1791" t="s">
        <v>7</v>
      </c>
      <c r="D1791" t="s">
        <v>8</v>
      </c>
      <c r="E1791" t="s">
        <v>9</v>
      </c>
      <c r="F1791">
        <v>34</v>
      </c>
      <c r="G1791" t="s">
        <v>105</v>
      </c>
      <c r="H1791" t="s">
        <v>11</v>
      </c>
      <c r="I1791" t="s">
        <v>88</v>
      </c>
      <c r="J1791" t="s">
        <v>25</v>
      </c>
      <c r="K1791">
        <v>3</v>
      </c>
      <c r="L1791" t="s">
        <v>140</v>
      </c>
      <c r="M1791" t="s">
        <v>58</v>
      </c>
      <c r="N1791" t="s">
        <v>140</v>
      </c>
      <c r="O1791">
        <v>43</v>
      </c>
      <c r="P1791" t="s">
        <v>74</v>
      </c>
      <c r="Q1791" t="s">
        <v>46</v>
      </c>
      <c r="R1791" t="str" cm="1">
        <f t="array" ref="R1791">_xlfn.IFS(B1791&lt;31,"Young-Adult",B1791&lt;41,"Adult",B1791&lt;61,"Middle-aged",B1791&gt;=61,"Senior")</f>
        <v>Middle-aged</v>
      </c>
      <c r="S1791" cm="1">
        <f t="array" ref="S1791">_xlfn.IFS(Q1791 ="Fortnightly",14,Q1791="Weekly",7,Q1791="Monthly",30,Q1791="Quarterly",90,Q1791="Bi-Weekly",14,Q1791="Annually",365,Q1791="Every 3 Months",90,TRUE,"NOT FOUND")</f>
        <v>90</v>
      </c>
    </row>
    <row r="1792" spans="1:19" x14ac:dyDescent="0.35">
      <c r="A1792">
        <v>1791</v>
      </c>
      <c r="B1792">
        <v>50</v>
      </c>
      <c r="C1792" t="s">
        <v>7</v>
      </c>
      <c r="D1792" t="s">
        <v>131</v>
      </c>
      <c r="E1792" t="s">
        <v>55</v>
      </c>
      <c r="F1792">
        <v>26</v>
      </c>
      <c r="G1792" t="s">
        <v>86</v>
      </c>
      <c r="H1792" t="s">
        <v>24</v>
      </c>
      <c r="I1792" t="s">
        <v>71</v>
      </c>
      <c r="J1792" t="s">
        <v>41</v>
      </c>
      <c r="K1792">
        <v>3.7</v>
      </c>
      <c r="L1792" t="s">
        <v>140</v>
      </c>
      <c r="M1792" t="s">
        <v>62</v>
      </c>
      <c r="N1792" t="s">
        <v>140</v>
      </c>
      <c r="O1792">
        <v>31</v>
      </c>
      <c r="P1792" t="s">
        <v>34</v>
      </c>
      <c r="Q1792" t="s">
        <v>64</v>
      </c>
      <c r="R1792" t="str" cm="1">
        <f t="array" ref="R1792">_xlfn.IFS(B1792&lt;31,"Young-Adult",B1792&lt;41,"Adult",B1792&lt;61,"Middle-aged",B1792&gt;=61,"Senior")</f>
        <v>Middle-aged</v>
      </c>
      <c r="S1792" cm="1">
        <f t="array" ref="S1792">_xlfn.IFS(Q1792 ="Fortnightly",14,Q1792="Weekly",7,Q1792="Monthly",30,Q1792="Quarterly",90,Q1792="Bi-Weekly",14,Q1792="Annually",365,Q1792="Every 3 Months",90,TRUE,"NOT FOUND")</f>
        <v>14</v>
      </c>
    </row>
    <row r="1793" spans="1:19" x14ac:dyDescent="0.35">
      <c r="A1793">
        <v>1792</v>
      </c>
      <c r="B1793">
        <v>62</v>
      </c>
      <c r="C1793" t="s">
        <v>7</v>
      </c>
      <c r="D1793" t="s">
        <v>22</v>
      </c>
      <c r="E1793" t="s">
        <v>9</v>
      </c>
      <c r="F1793">
        <v>98</v>
      </c>
      <c r="G1793" t="s">
        <v>44</v>
      </c>
      <c r="H1793" t="s">
        <v>24</v>
      </c>
      <c r="I1793" t="s">
        <v>61</v>
      </c>
      <c r="J1793" t="s">
        <v>13</v>
      </c>
      <c r="K1793">
        <v>4</v>
      </c>
      <c r="L1793" t="s">
        <v>140</v>
      </c>
      <c r="M1793" t="s">
        <v>62</v>
      </c>
      <c r="N1793" t="s">
        <v>140</v>
      </c>
      <c r="O1793">
        <v>38</v>
      </c>
      <c r="P1793" t="s">
        <v>21</v>
      </c>
      <c r="Q1793" t="s">
        <v>37</v>
      </c>
      <c r="R1793" t="str" cm="1">
        <f t="array" ref="R1793">_xlfn.IFS(B1793&lt;31,"Young-Adult",B1793&lt;41,"Adult",B1793&lt;61,"Middle-aged",B1793&gt;=61,"Senior")</f>
        <v>Senior</v>
      </c>
      <c r="S1793" cm="1">
        <f t="array" ref="S1793">_xlfn.IFS(Q1793 ="Fortnightly",14,Q1793="Weekly",7,Q1793="Monthly",30,Q1793="Quarterly",90,Q1793="Bi-Weekly",14,Q1793="Annually",365,Q1793="Every 3 Months",90,TRUE,"NOT FOUND")</f>
        <v>365</v>
      </c>
    </row>
    <row r="1794" spans="1:19" x14ac:dyDescent="0.35">
      <c r="A1794">
        <v>1793</v>
      </c>
      <c r="B1794">
        <v>38</v>
      </c>
      <c r="C1794" t="s">
        <v>7</v>
      </c>
      <c r="D1794" t="s">
        <v>38</v>
      </c>
      <c r="E1794" t="s">
        <v>30</v>
      </c>
      <c r="F1794">
        <v>59</v>
      </c>
      <c r="G1794" t="s">
        <v>134</v>
      </c>
      <c r="H1794" t="s">
        <v>32</v>
      </c>
      <c r="I1794" t="s">
        <v>88</v>
      </c>
      <c r="J1794" t="s">
        <v>45</v>
      </c>
      <c r="K1794">
        <v>3</v>
      </c>
      <c r="L1794" t="s">
        <v>140</v>
      </c>
      <c r="M1794" t="s">
        <v>15</v>
      </c>
      <c r="N1794" t="s">
        <v>140</v>
      </c>
      <c r="O1794">
        <v>22</v>
      </c>
      <c r="P1794" t="s">
        <v>74</v>
      </c>
      <c r="Q1794" t="s">
        <v>85</v>
      </c>
      <c r="R1794" t="str" cm="1">
        <f t="array" ref="R1794">_xlfn.IFS(B1794&lt;31,"Young-Adult",B1794&lt;41,"Adult",B1794&lt;61,"Middle-aged",B1794&gt;=61,"Senior")</f>
        <v>Adult</v>
      </c>
      <c r="S1794" cm="1">
        <f t="array" ref="S1794">_xlfn.IFS(Q1794 ="Fortnightly",14,Q1794="Weekly",7,Q1794="Monthly",30,Q1794="Quarterly",90,Q1794="Bi-Weekly",14,Q1794="Annually",365,Q1794="Every 3 Months",90,TRUE,"NOT FOUND")</f>
        <v>90</v>
      </c>
    </row>
    <row r="1795" spans="1:19" x14ac:dyDescent="0.35">
      <c r="A1795">
        <v>1794</v>
      </c>
      <c r="B1795">
        <v>65</v>
      </c>
      <c r="C1795" t="s">
        <v>7</v>
      </c>
      <c r="D1795" t="s">
        <v>112</v>
      </c>
      <c r="E1795" t="s">
        <v>55</v>
      </c>
      <c r="F1795">
        <v>92</v>
      </c>
      <c r="G1795" t="s">
        <v>134</v>
      </c>
      <c r="H1795" t="s">
        <v>24</v>
      </c>
      <c r="I1795" t="s">
        <v>40</v>
      </c>
      <c r="J1795" t="s">
        <v>45</v>
      </c>
      <c r="K1795">
        <v>3.8</v>
      </c>
      <c r="L1795" t="s">
        <v>140</v>
      </c>
      <c r="M1795" t="s">
        <v>62</v>
      </c>
      <c r="N1795" t="s">
        <v>140</v>
      </c>
      <c r="O1795">
        <v>45</v>
      </c>
      <c r="P1795" t="s">
        <v>21</v>
      </c>
      <c r="Q1795" t="s">
        <v>85</v>
      </c>
      <c r="R1795" t="str" cm="1">
        <f t="array" ref="R1795">_xlfn.IFS(B1795&lt;31,"Young-Adult",B1795&lt;41,"Adult",B1795&lt;61,"Middle-aged",B1795&gt;=61,"Senior")</f>
        <v>Senior</v>
      </c>
      <c r="S1795" cm="1">
        <f t="array" ref="S1795">_xlfn.IFS(Q1795 ="Fortnightly",14,Q1795="Weekly",7,Q1795="Monthly",30,Q1795="Quarterly",90,Q1795="Bi-Weekly",14,Q1795="Annually",365,Q1795="Every 3 Months",90,TRUE,"NOT FOUND")</f>
        <v>90</v>
      </c>
    </row>
    <row r="1796" spans="1:19" x14ac:dyDescent="0.35">
      <c r="A1796">
        <v>1795</v>
      </c>
      <c r="B1796">
        <v>60</v>
      </c>
      <c r="C1796" t="s">
        <v>7</v>
      </c>
      <c r="D1796" t="s">
        <v>120</v>
      </c>
      <c r="E1796" t="s">
        <v>55</v>
      </c>
      <c r="F1796">
        <v>40</v>
      </c>
      <c r="G1796" t="s">
        <v>111</v>
      </c>
      <c r="H1796" t="s">
        <v>11</v>
      </c>
      <c r="I1796" t="s">
        <v>114</v>
      </c>
      <c r="J1796" t="s">
        <v>25</v>
      </c>
      <c r="K1796">
        <v>3.7</v>
      </c>
      <c r="L1796" t="s">
        <v>140</v>
      </c>
      <c r="M1796" t="s">
        <v>15</v>
      </c>
      <c r="N1796" t="s">
        <v>140</v>
      </c>
      <c r="O1796">
        <v>21</v>
      </c>
      <c r="P1796" t="s">
        <v>74</v>
      </c>
      <c r="Q1796" t="s">
        <v>17</v>
      </c>
      <c r="R1796" t="str" cm="1">
        <f t="array" ref="R1796">_xlfn.IFS(B1796&lt;31,"Young-Adult",B1796&lt;41,"Adult",B1796&lt;61,"Middle-aged",B1796&gt;=61,"Senior")</f>
        <v>Middle-aged</v>
      </c>
      <c r="S1796" cm="1">
        <f t="array" ref="S1796">_xlfn.IFS(Q1796 ="Fortnightly",14,Q1796="Weekly",7,Q1796="Monthly",30,Q1796="Quarterly",90,Q1796="Bi-Weekly",14,Q1796="Annually",365,Q1796="Every 3 Months",90,TRUE,"NOT FOUND")</f>
        <v>14</v>
      </c>
    </row>
    <row r="1797" spans="1:19" x14ac:dyDescent="0.35">
      <c r="A1797">
        <v>1796</v>
      </c>
      <c r="B1797">
        <v>68</v>
      </c>
      <c r="C1797" t="s">
        <v>7</v>
      </c>
      <c r="D1797" t="s">
        <v>22</v>
      </c>
      <c r="E1797" t="s">
        <v>9</v>
      </c>
      <c r="F1797">
        <v>20</v>
      </c>
      <c r="G1797" t="s">
        <v>138</v>
      </c>
      <c r="H1797" t="s">
        <v>24</v>
      </c>
      <c r="I1797" t="s">
        <v>71</v>
      </c>
      <c r="J1797" t="s">
        <v>45</v>
      </c>
      <c r="K1797">
        <v>4</v>
      </c>
      <c r="L1797" t="s">
        <v>140</v>
      </c>
      <c r="M1797" t="s">
        <v>58</v>
      </c>
      <c r="N1797" t="s">
        <v>140</v>
      </c>
      <c r="O1797">
        <v>9</v>
      </c>
      <c r="P1797" t="s">
        <v>74</v>
      </c>
      <c r="Q1797" t="s">
        <v>17</v>
      </c>
      <c r="R1797" t="str" cm="1">
        <f t="array" ref="R1797">_xlfn.IFS(B1797&lt;31,"Young-Adult",B1797&lt;41,"Adult",B1797&lt;61,"Middle-aged",B1797&gt;=61,"Senior")</f>
        <v>Senior</v>
      </c>
      <c r="S1797" cm="1">
        <f t="array" ref="S1797">_xlfn.IFS(Q1797 ="Fortnightly",14,Q1797="Weekly",7,Q1797="Monthly",30,Q1797="Quarterly",90,Q1797="Bi-Weekly",14,Q1797="Annually",365,Q1797="Every 3 Months",90,TRUE,"NOT FOUND")</f>
        <v>14</v>
      </c>
    </row>
    <row r="1798" spans="1:19" x14ac:dyDescent="0.35">
      <c r="A1798">
        <v>1797</v>
      </c>
      <c r="B1798">
        <v>62</v>
      </c>
      <c r="C1798" t="s">
        <v>7</v>
      </c>
      <c r="D1798" t="s">
        <v>75</v>
      </c>
      <c r="E1798" t="s">
        <v>9</v>
      </c>
      <c r="F1798">
        <v>35</v>
      </c>
      <c r="G1798" t="s">
        <v>119</v>
      </c>
      <c r="H1798" t="s">
        <v>24</v>
      </c>
      <c r="I1798" t="s">
        <v>98</v>
      </c>
      <c r="J1798" t="s">
        <v>25</v>
      </c>
      <c r="K1798">
        <v>3.1</v>
      </c>
      <c r="L1798" t="s">
        <v>140</v>
      </c>
      <c r="M1798" t="s">
        <v>62</v>
      </c>
      <c r="N1798" t="s">
        <v>140</v>
      </c>
      <c r="O1798">
        <v>34</v>
      </c>
      <c r="P1798" t="s">
        <v>16</v>
      </c>
      <c r="Q1798" t="s">
        <v>28</v>
      </c>
      <c r="R1798" t="str" cm="1">
        <f t="array" ref="R1798">_xlfn.IFS(B1798&lt;31,"Young-Adult",B1798&lt;41,"Adult",B1798&lt;61,"Middle-aged",B1798&gt;=61,"Senior")</f>
        <v>Senior</v>
      </c>
      <c r="S1798" cm="1">
        <f t="array" ref="S1798">_xlfn.IFS(Q1798 ="Fortnightly",14,Q1798="Weekly",7,Q1798="Monthly",30,Q1798="Quarterly",90,Q1798="Bi-Weekly",14,Q1798="Annually",365,Q1798="Every 3 Months",90,TRUE,"NOT FOUND")</f>
        <v>7</v>
      </c>
    </row>
    <row r="1799" spans="1:19" x14ac:dyDescent="0.35">
      <c r="A1799">
        <v>1798</v>
      </c>
      <c r="B1799">
        <v>62</v>
      </c>
      <c r="C1799" t="s">
        <v>7</v>
      </c>
      <c r="D1799" t="s">
        <v>121</v>
      </c>
      <c r="E1799" t="s">
        <v>55</v>
      </c>
      <c r="F1799">
        <v>35</v>
      </c>
      <c r="G1799" t="s">
        <v>35</v>
      </c>
      <c r="H1799" t="s">
        <v>11</v>
      </c>
      <c r="I1799" t="s">
        <v>20</v>
      </c>
      <c r="J1799" t="s">
        <v>25</v>
      </c>
      <c r="K1799">
        <v>3.9</v>
      </c>
      <c r="L1799" t="s">
        <v>140</v>
      </c>
      <c r="M1799" t="s">
        <v>58</v>
      </c>
      <c r="N1799" t="s">
        <v>140</v>
      </c>
      <c r="O1799">
        <v>26</v>
      </c>
      <c r="P1799" t="s">
        <v>16</v>
      </c>
      <c r="Q1799" t="s">
        <v>28</v>
      </c>
      <c r="R1799" t="str" cm="1">
        <f t="array" ref="R1799">_xlfn.IFS(B1799&lt;31,"Young-Adult",B1799&lt;41,"Adult",B1799&lt;61,"Middle-aged",B1799&gt;=61,"Senior")</f>
        <v>Senior</v>
      </c>
      <c r="S1799" cm="1">
        <f t="array" ref="S1799">_xlfn.IFS(Q1799 ="Fortnightly",14,Q1799="Weekly",7,Q1799="Monthly",30,Q1799="Quarterly",90,Q1799="Bi-Weekly",14,Q1799="Annually",365,Q1799="Every 3 Months",90,TRUE,"NOT FOUND")</f>
        <v>7</v>
      </c>
    </row>
    <row r="1800" spans="1:19" x14ac:dyDescent="0.35">
      <c r="A1800">
        <v>1799</v>
      </c>
      <c r="B1800">
        <v>40</v>
      </c>
      <c r="C1800" t="s">
        <v>7</v>
      </c>
      <c r="D1800" t="s">
        <v>69</v>
      </c>
      <c r="E1800" t="s">
        <v>9</v>
      </c>
      <c r="F1800">
        <v>82</v>
      </c>
      <c r="G1800" t="s">
        <v>102</v>
      </c>
      <c r="H1800" t="s">
        <v>11</v>
      </c>
      <c r="I1800" t="s">
        <v>124</v>
      </c>
      <c r="J1800" t="s">
        <v>13</v>
      </c>
      <c r="K1800">
        <v>3.7</v>
      </c>
      <c r="L1800" t="s">
        <v>140</v>
      </c>
      <c r="M1800" t="s">
        <v>15</v>
      </c>
      <c r="N1800" t="s">
        <v>140</v>
      </c>
      <c r="O1800">
        <v>1</v>
      </c>
      <c r="P1800" t="s">
        <v>21</v>
      </c>
      <c r="Q1800" t="s">
        <v>28</v>
      </c>
      <c r="R1800" t="str" cm="1">
        <f t="array" ref="R1800">_xlfn.IFS(B1800&lt;31,"Young-Adult",B1800&lt;41,"Adult",B1800&lt;61,"Middle-aged",B1800&gt;=61,"Senior")</f>
        <v>Adult</v>
      </c>
      <c r="S1800" cm="1">
        <f t="array" ref="S1800">_xlfn.IFS(Q1800 ="Fortnightly",14,Q1800="Weekly",7,Q1800="Monthly",30,Q1800="Quarterly",90,Q1800="Bi-Weekly",14,Q1800="Annually",365,Q1800="Every 3 Months",90,TRUE,"NOT FOUND")</f>
        <v>7</v>
      </c>
    </row>
    <row r="1801" spans="1:19" x14ac:dyDescent="0.35">
      <c r="A1801">
        <v>1800</v>
      </c>
      <c r="B1801">
        <v>32</v>
      </c>
      <c r="C1801" t="s">
        <v>7</v>
      </c>
      <c r="D1801" t="s">
        <v>92</v>
      </c>
      <c r="E1801" t="s">
        <v>9</v>
      </c>
      <c r="F1801">
        <v>48</v>
      </c>
      <c r="G1801" t="s">
        <v>87</v>
      </c>
      <c r="H1801" t="s">
        <v>32</v>
      </c>
      <c r="I1801" t="s">
        <v>49</v>
      </c>
      <c r="J1801" t="s">
        <v>45</v>
      </c>
      <c r="K1801">
        <v>3.9</v>
      </c>
      <c r="L1801" t="s">
        <v>140</v>
      </c>
      <c r="M1801" t="s">
        <v>15</v>
      </c>
      <c r="N1801" t="s">
        <v>140</v>
      </c>
      <c r="O1801">
        <v>47</v>
      </c>
      <c r="P1801" t="s">
        <v>16</v>
      </c>
      <c r="Q1801" t="s">
        <v>28</v>
      </c>
      <c r="R1801" t="str" cm="1">
        <f t="array" ref="R1801">_xlfn.IFS(B1801&lt;31,"Young-Adult",B1801&lt;41,"Adult",B1801&lt;61,"Middle-aged",B1801&gt;=61,"Senior")</f>
        <v>Adult</v>
      </c>
      <c r="S1801" cm="1">
        <f t="array" ref="S1801">_xlfn.IFS(Q1801 ="Fortnightly",14,Q1801="Weekly",7,Q1801="Monthly",30,Q1801="Quarterly",90,Q1801="Bi-Weekly",14,Q1801="Annually",365,Q1801="Every 3 Months",90,TRUE,"NOT FOUND")</f>
        <v>7</v>
      </c>
    </row>
    <row r="1802" spans="1:19" x14ac:dyDescent="0.35">
      <c r="A1802">
        <v>1801</v>
      </c>
      <c r="B1802">
        <v>22</v>
      </c>
      <c r="C1802" t="s">
        <v>7</v>
      </c>
      <c r="D1802" t="s">
        <v>50</v>
      </c>
      <c r="E1802" t="s">
        <v>51</v>
      </c>
      <c r="F1802">
        <v>58</v>
      </c>
      <c r="G1802" t="s">
        <v>79</v>
      </c>
      <c r="H1802" t="s">
        <v>80</v>
      </c>
      <c r="I1802" t="s">
        <v>114</v>
      </c>
      <c r="J1802" t="s">
        <v>13</v>
      </c>
      <c r="K1802">
        <v>2.7</v>
      </c>
      <c r="L1802" t="s">
        <v>140</v>
      </c>
      <c r="M1802" t="s">
        <v>15</v>
      </c>
      <c r="N1802" t="s">
        <v>140</v>
      </c>
      <c r="O1802">
        <v>30</v>
      </c>
      <c r="P1802" t="s">
        <v>27</v>
      </c>
      <c r="Q1802" t="s">
        <v>28</v>
      </c>
      <c r="R1802" t="str" cm="1">
        <f t="array" ref="R1802">_xlfn.IFS(B1802&lt;31,"Young-Adult",B1802&lt;41,"Adult",B1802&lt;61,"Middle-aged",B1802&gt;=61,"Senior")</f>
        <v>Young-Adult</v>
      </c>
      <c r="S1802" cm="1">
        <f t="array" ref="S1802">_xlfn.IFS(Q1802 ="Fortnightly",14,Q1802="Weekly",7,Q1802="Monthly",30,Q1802="Quarterly",90,Q1802="Bi-Weekly",14,Q1802="Annually",365,Q1802="Every 3 Months",90,TRUE,"NOT FOUND")</f>
        <v>7</v>
      </c>
    </row>
    <row r="1803" spans="1:19" x14ac:dyDescent="0.35">
      <c r="A1803">
        <v>1802</v>
      </c>
      <c r="B1803">
        <v>33</v>
      </c>
      <c r="C1803" t="s">
        <v>7</v>
      </c>
      <c r="D1803" t="s">
        <v>18</v>
      </c>
      <c r="E1803" t="s">
        <v>9</v>
      </c>
      <c r="F1803">
        <v>57</v>
      </c>
      <c r="G1803" t="s">
        <v>115</v>
      </c>
      <c r="H1803" t="s">
        <v>32</v>
      </c>
      <c r="I1803" t="s">
        <v>36</v>
      </c>
      <c r="J1803" t="s">
        <v>25</v>
      </c>
      <c r="K1803">
        <v>3.9</v>
      </c>
      <c r="L1803" t="s">
        <v>140</v>
      </c>
      <c r="M1803" t="s">
        <v>15</v>
      </c>
      <c r="N1803" t="s">
        <v>140</v>
      </c>
      <c r="O1803">
        <v>48</v>
      </c>
      <c r="P1803" t="s">
        <v>74</v>
      </c>
      <c r="Q1803" t="s">
        <v>17</v>
      </c>
      <c r="R1803" t="str" cm="1">
        <f t="array" ref="R1803">_xlfn.IFS(B1803&lt;31,"Young-Adult",B1803&lt;41,"Adult",B1803&lt;61,"Middle-aged",B1803&gt;=61,"Senior")</f>
        <v>Adult</v>
      </c>
      <c r="S1803" cm="1">
        <f t="array" ref="S1803">_xlfn.IFS(Q1803 ="Fortnightly",14,Q1803="Weekly",7,Q1803="Monthly",30,Q1803="Quarterly",90,Q1803="Bi-Weekly",14,Q1803="Annually",365,Q1803="Every 3 Months",90,TRUE,"NOT FOUND")</f>
        <v>14</v>
      </c>
    </row>
    <row r="1804" spans="1:19" x14ac:dyDescent="0.35">
      <c r="A1804">
        <v>1803</v>
      </c>
      <c r="B1804">
        <v>57</v>
      </c>
      <c r="C1804" t="s">
        <v>7</v>
      </c>
      <c r="D1804" t="s">
        <v>47</v>
      </c>
      <c r="E1804" t="s">
        <v>9</v>
      </c>
      <c r="F1804">
        <v>96</v>
      </c>
      <c r="G1804" t="s">
        <v>31</v>
      </c>
      <c r="H1804" t="s">
        <v>11</v>
      </c>
      <c r="I1804" t="s">
        <v>36</v>
      </c>
      <c r="J1804" t="s">
        <v>13</v>
      </c>
      <c r="K1804">
        <v>2.6</v>
      </c>
      <c r="L1804" t="s">
        <v>140</v>
      </c>
      <c r="M1804" t="s">
        <v>62</v>
      </c>
      <c r="N1804" t="s">
        <v>140</v>
      </c>
      <c r="O1804">
        <v>31</v>
      </c>
      <c r="P1804" t="s">
        <v>16</v>
      </c>
      <c r="Q1804" t="s">
        <v>64</v>
      </c>
      <c r="R1804" t="str" cm="1">
        <f t="array" ref="R1804">_xlfn.IFS(B1804&lt;31,"Young-Adult",B1804&lt;41,"Adult",B1804&lt;61,"Middle-aged",B1804&gt;=61,"Senior")</f>
        <v>Middle-aged</v>
      </c>
      <c r="S1804" cm="1">
        <f t="array" ref="S1804">_xlfn.IFS(Q1804 ="Fortnightly",14,Q1804="Weekly",7,Q1804="Monthly",30,Q1804="Quarterly",90,Q1804="Bi-Weekly",14,Q1804="Annually",365,Q1804="Every 3 Months",90,TRUE,"NOT FOUND")</f>
        <v>14</v>
      </c>
    </row>
    <row r="1805" spans="1:19" x14ac:dyDescent="0.35">
      <c r="A1805">
        <v>1804</v>
      </c>
      <c r="B1805">
        <v>60</v>
      </c>
      <c r="C1805" t="s">
        <v>7</v>
      </c>
      <c r="D1805" t="s">
        <v>38</v>
      </c>
      <c r="E1805" t="s">
        <v>30</v>
      </c>
      <c r="F1805">
        <v>97</v>
      </c>
      <c r="G1805" t="s">
        <v>70</v>
      </c>
      <c r="H1805" t="s">
        <v>24</v>
      </c>
      <c r="I1805" t="s">
        <v>12</v>
      </c>
      <c r="J1805" t="s">
        <v>41</v>
      </c>
      <c r="K1805">
        <v>3.5</v>
      </c>
      <c r="L1805" t="s">
        <v>140</v>
      </c>
      <c r="M1805" t="s">
        <v>26</v>
      </c>
      <c r="N1805" t="s">
        <v>140</v>
      </c>
      <c r="O1805">
        <v>33</v>
      </c>
      <c r="P1805" t="s">
        <v>16</v>
      </c>
      <c r="Q1805" t="s">
        <v>17</v>
      </c>
      <c r="R1805" t="str" cm="1">
        <f t="array" ref="R1805">_xlfn.IFS(B1805&lt;31,"Young-Adult",B1805&lt;41,"Adult",B1805&lt;61,"Middle-aged",B1805&gt;=61,"Senior")</f>
        <v>Middle-aged</v>
      </c>
      <c r="S1805" cm="1">
        <f t="array" ref="S1805">_xlfn.IFS(Q1805 ="Fortnightly",14,Q1805="Weekly",7,Q1805="Monthly",30,Q1805="Quarterly",90,Q1805="Bi-Weekly",14,Q1805="Annually",365,Q1805="Every 3 Months",90,TRUE,"NOT FOUND")</f>
        <v>14</v>
      </c>
    </row>
    <row r="1806" spans="1:19" x14ac:dyDescent="0.35">
      <c r="A1806">
        <v>1805</v>
      </c>
      <c r="B1806">
        <v>30</v>
      </c>
      <c r="C1806" t="s">
        <v>7</v>
      </c>
      <c r="D1806" t="s">
        <v>18</v>
      </c>
      <c r="E1806" t="s">
        <v>9</v>
      </c>
      <c r="F1806">
        <v>42</v>
      </c>
      <c r="G1806" t="s">
        <v>48</v>
      </c>
      <c r="H1806" t="s">
        <v>11</v>
      </c>
      <c r="I1806" t="s">
        <v>88</v>
      </c>
      <c r="J1806" t="s">
        <v>13</v>
      </c>
      <c r="K1806">
        <v>4.4000000000000004</v>
      </c>
      <c r="L1806" t="s">
        <v>140</v>
      </c>
      <c r="M1806" t="s">
        <v>33</v>
      </c>
      <c r="N1806" t="s">
        <v>140</v>
      </c>
      <c r="O1806">
        <v>39</v>
      </c>
      <c r="P1806" t="s">
        <v>27</v>
      </c>
      <c r="Q1806" t="s">
        <v>28</v>
      </c>
      <c r="R1806" t="str" cm="1">
        <f t="array" ref="R1806">_xlfn.IFS(B1806&lt;31,"Young-Adult",B1806&lt;41,"Adult",B1806&lt;61,"Middle-aged",B1806&gt;=61,"Senior")</f>
        <v>Young-Adult</v>
      </c>
      <c r="S1806" cm="1">
        <f t="array" ref="S1806">_xlfn.IFS(Q1806 ="Fortnightly",14,Q1806="Weekly",7,Q1806="Monthly",30,Q1806="Quarterly",90,Q1806="Bi-Weekly",14,Q1806="Annually",365,Q1806="Every 3 Months",90,TRUE,"NOT FOUND")</f>
        <v>7</v>
      </c>
    </row>
    <row r="1807" spans="1:19" x14ac:dyDescent="0.35">
      <c r="A1807">
        <v>1806</v>
      </c>
      <c r="B1807">
        <v>41</v>
      </c>
      <c r="C1807" t="s">
        <v>7</v>
      </c>
      <c r="D1807" t="s">
        <v>101</v>
      </c>
      <c r="E1807" t="s">
        <v>9</v>
      </c>
      <c r="F1807">
        <v>62</v>
      </c>
      <c r="G1807" t="s">
        <v>105</v>
      </c>
      <c r="H1807" t="s">
        <v>11</v>
      </c>
      <c r="I1807" t="s">
        <v>68</v>
      </c>
      <c r="J1807" t="s">
        <v>25</v>
      </c>
      <c r="K1807">
        <v>4.9000000000000004</v>
      </c>
      <c r="L1807" t="s">
        <v>140</v>
      </c>
      <c r="M1807" t="s">
        <v>62</v>
      </c>
      <c r="N1807" t="s">
        <v>140</v>
      </c>
      <c r="O1807">
        <v>46</v>
      </c>
      <c r="P1807" t="s">
        <v>74</v>
      </c>
      <c r="Q1807" t="s">
        <v>28</v>
      </c>
      <c r="R1807" t="str" cm="1">
        <f t="array" ref="R1807">_xlfn.IFS(B1807&lt;31,"Young-Adult",B1807&lt;41,"Adult",B1807&lt;61,"Middle-aged",B1807&gt;=61,"Senior")</f>
        <v>Middle-aged</v>
      </c>
      <c r="S1807" cm="1">
        <f t="array" ref="S1807">_xlfn.IFS(Q1807 ="Fortnightly",14,Q1807="Weekly",7,Q1807="Monthly",30,Q1807="Quarterly",90,Q1807="Bi-Weekly",14,Q1807="Annually",365,Q1807="Every 3 Months",90,TRUE,"NOT FOUND")</f>
        <v>7</v>
      </c>
    </row>
    <row r="1808" spans="1:19" x14ac:dyDescent="0.35">
      <c r="A1808">
        <v>1807</v>
      </c>
      <c r="B1808">
        <v>58</v>
      </c>
      <c r="C1808" t="s">
        <v>7</v>
      </c>
      <c r="D1808" t="s">
        <v>54</v>
      </c>
      <c r="E1808" t="s">
        <v>55</v>
      </c>
      <c r="F1808">
        <v>67</v>
      </c>
      <c r="G1808" t="s">
        <v>31</v>
      </c>
      <c r="H1808" t="s">
        <v>32</v>
      </c>
      <c r="I1808" t="s">
        <v>84</v>
      </c>
      <c r="J1808" t="s">
        <v>45</v>
      </c>
      <c r="K1808">
        <v>3.9</v>
      </c>
      <c r="L1808" t="s">
        <v>140</v>
      </c>
      <c r="M1808" t="s">
        <v>42</v>
      </c>
      <c r="N1808" t="s">
        <v>140</v>
      </c>
      <c r="O1808">
        <v>24</v>
      </c>
      <c r="P1808" t="s">
        <v>16</v>
      </c>
      <c r="Q1808" t="s">
        <v>37</v>
      </c>
      <c r="R1808" t="str" cm="1">
        <f t="array" ref="R1808">_xlfn.IFS(B1808&lt;31,"Young-Adult",B1808&lt;41,"Adult",B1808&lt;61,"Middle-aged",B1808&gt;=61,"Senior")</f>
        <v>Middle-aged</v>
      </c>
      <c r="S1808" cm="1">
        <f t="array" ref="S1808">_xlfn.IFS(Q1808 ="Fortnightly",14,Q1808="Weekly",7,Q1808="Monthly",30,Q1808="Quarterly",90,Q1808="Bi-Weekly",14,Q1808="Annually",365,Q1808="Every 3 Months",90,TRUE,"NOT FOUND")</f>
        <v>365</v>
      </c>
    </row>
    <row r="1809" spans="1:19" x14ac:dyDescent="0.35">
      <c r="A1809">
        <v>1808</v>
      </c>
      <c r="B1809">
        <v>34</v>
      </c>
      <c r="C1809" t="s">
        <v>7</v>
      </c>
      <c r="D1809" t="s">
        <v>38</v>
      </c>
      <c r="E1809" t="s">
        <v>30</v>
      </c>
      <c r="F1809">
        <v>46</v>
      </c>
      <c r="G1809" t="s">
        <v>117</v>
      </c>
      <c r="H1809" t="s">
        <v>11</v>
      </c>
      <c r="I1809" t="s">
        <v>68</v>
      </c>
      <c r="J1809" t="s">
        <v>41</v>
      </c>
      <c r="K1809">
        <v>3.5</v>
      </c>
      <c r="L1809" t="s">
        <v>140</v>
      </c>
      <c r="M1809" t="s">
        <v>42</v>
      </c>
      <c r="N1809" t="s">
        <v>140</v>
      </c>
      <c r="O1809">
        <v>37</v>
      </c>
      <c r="P1809" t="s">
        <v>16</v>
      </c>
      <c r="Q1809" t="s">
        <v>17</v>
      </c>
      <c r="R1809" t="str" cm="1">
        <f t="array" ref="R1809">_xlfn.IFS(B1809&lt;31,"Young-Adult",B1809&lt;41,"Adult",B1809&lt;61,"Middle-aged",B1809&gt;=61,"Senior")</f>
        <v>Adult</v>
      </c>
      <c r="S1809" cm="1">
        <f t="array" ref="S1809">_xlfn.IFS(Q1809 ="Fortnightly",14,Q1809="Weekly",7,Q1809="Monthly",30,Q1809="Quarterly",90,Q1809="Bi-Weekly",14,Q1809="Annually",365,Q1809="Every 3 Months",90,TRUE,"NOT FOUND")</f>
        <v>14</v>
      </c>
    </row>
    <row r="1810" spans="1:19" x14ac:dyDescent="0.35">
      <c r="A1810">
        <v>1809</v>
      </c>
      <c r="B1810">
        <v>67</v>
      </c>
      <c r="C1810" t="s">
        <v>7</v>
      </c>
      <c r="D1810" t="s">
        <v>90</v>
      </c>
      <c r="E1810" t="s">
        <v>51</v>
      </c>
      <c r="F1810">
        <v>71</v>
      </c>
      <c r="G1810" t="s">
        <v>110</v>
      </c>
      <c r="H1810" t="s">
        <v>32</v>
      </c>
      <c r="I1810" t="s">
        <v>81</v>
      </c>
      <c r="J1810" t="s">
        <v>25</v>
      </c>
      <c r="K1810">
        <v>4.3</v>
      </c>
      <c r="L1810" t="s">
        <v>140</v>
      </c>
      <c r="M1810" t="s">
        <v>33</v>
      </c>
      <c r="N1810" t="s">
        <v>140</v>
      </c>
      <c r="O1810">
        <v>7</v>
      </c>
      <c r="P1810" t="s">
        <v>74</v>
      </c>
      <c r="Q1810" t="s">
        <v>76</v>
      </c>
      <c r="R1810" t="str" cm="1">
        <f t="array" ref="R1810">_xlfn.IFS(B1810&lt;31,"Young-Adult",B1810&lt;41,"Adult",B1810&lt;61,"Middle-aged",B1810&gt;=61,"Senior")</f>
        <v>Senior</v>
      </c>
      <c r="S1810" cm="1">
        <f t="array" ref="S1810">_xlfn.IFS(Q1810 ="Fortnightly",14,Q1810="Weekly",7,Q1810="Monthly",30,Q1810="Quarterly",90,Q1810="Bi-Weekly",14,Q1810="Annually",365,Q1810="Every 3 Months",90,TRUE,"NOT FOUND")</f>
        <v>30</v>
      </c>
    </row>
    <row r="1811" spans="1:19" x14ac:dyDescent="0.35">
      <c r="A1811">
        <v>1810</v>
      </c>
      <c r="B1811">
        <v>58</v>
      </c>
      <c r="C1811" t="s">
        <v>7</v>
      </c>
      <c r="D1811" t="s">
        <v>120</v>
      </c>
      <c r="E1811" t="s">
        <v>55</v>
      </c>
      <c r="F1811">
        <v>99</v>
      </c>
      <c r="G1811" t="s">
        <v>108</v>
      </c>
      <c r="H1811" t="s">
        <v>24</v>
      </c>
      <c r="I1811" t="s">
        <v>132</v>
      </c>
      <c r="J1811" t="s">
        <v>45</v>
      </c>
      <c r="K1811">
        <v>3.4</v>
      </c>
      <c r="L1811" t="s">
        <v>140</v>
      </c>
      <c r="M1811" t="s">
        <v>26</v>
      </c>
      <c r="N1811" t="s">
        <v>140</v>
      </c>
      <c r="O1811">
        <v>6</v>
      </c>
      <c r="P1811" t="s">
        <v>74</v>
      </c>
      <c r="Q1811" t="s">
        <v>17</v>
      </c>
      <c r="R1811" t="str" cm="1">
        <f t="array" ref="R1811">_xlfn.IFS(B1811&lt;31,"Young-Adult",B1811&lt;41,"Adult",B1811&lt;61,"Middle-aged",B1811&gt;=61,"Senior")</f>
        <v>Middle-aged</v>
      </c>
      <c r="S1811" cm="1">
        <f t="array" ref="S1811">_xlfn.IFS(Q1811 ="Fortnightly",14,Q1811="Weekly",7,Q1811="Monthly",30,Q1811="Quarterly",90,Q1811="Bi-Weekly",14,Q1811="Annually",365,Q1811="Every 3 Months",90,TRUE,"NOT FOUND")</f>
        <v>14</v>
      </c>
    </row>
    <row r="1812" spans="1:19" x14ac:dyDescent="0.35">
      <c r="A1812">
        <v>1811</v>
      </c>
      <c r="B1812">
        <v>41</v>
      </c>
      <c r="C1812" t="s">
        <v>7</v>
      </c>
      <c r="D1812" t="s">
        <v>22</v>
      </c>
      <c r="E1812" t="s">
        <v>9</v>
      </c>
      <c r="F1812">
        <v>28</v>
      </c>
      <c r="G1812" t="s">
        <v>116</v>
      </c>
      <c r="H1812" t="s">
        <v>32</v>
      </c>
      <c r="I1812" t="s">
        <v>124</v>
      </c>
      <c r="J1812" t="s">
        <v>45</v>
      </c>
      <c r="K1812">
        <v>2.7</v>
      </c>
      <c r="L1812" t="s">
        <v>140</v>
      </c>
      <c r="M1812" t="s">
        <v>42</v>
      </c>
      <c r="N1812" t="s">
        <v>140</v>
      </c>
      <c r="O1812">
        <v>16</v>
      </c>
      <c r="P1812" t="s">
        <v>21</v>
      </c>
      <c r="Q1812" t="s">
        <v>64</v>
      </c>
      <c r="R1812" t="str" cm="1">
        <f t="array" ref="R1812">_xlfn.IFS(B1812&lt;31,"Young-Adult",B1812&lt;41,"Adult",B1812&lt;61,"Middle-aged",B1812&gt;=61,"Senior")</f>
        <v>Middle-aged</v>
      </c>
      <c r="S1812" cm="1">
        <f t="array" ref="S1812">_xlfn.IFS(Q1812 ="Fortnightly",14,Q1812="Weekly",7,Q1812="Monthly",30,Q1812="Quarterly",90,Q1812="Bi-Weekly",14,Q1812="Annually",365,Q1812="Every 3 Months",90,TRUE,"NOT FOUND")</f>
        <v>14</v>
      </c>
    </row>
    <row r="1813" spans="1:19" x14ac:dyDescent="0.35">
      <c r="A1813">
        <v>1812</v>
      </c>
      <c r="B1813">
        <v>42</v>
      </c>
      <c r="C1813" t="s">
        <v>7</v>
      </c>
      <c r="D1813" t="s">
        <v>121</v>
      </c>
      <c r="E1813" t="s">
        <v>55</v>
      </c>
      <c r="F1813">
        <v>77</v>
      </c>
      <c r="G1813" t="s">
        <v>138</v>
      </c>
      <c r="H1813" t="s">
        <v>11</v>
      </c>
      <c r="I1813" t="s">
        <v>132</v>
      </c>
      <c r="J1813" t="s">
        <v>41</v>
      </c>
      <c r="K1813">
        <v>3.6</v>
      </c>
      <c r="L1813" t="s">
        <v>140</v>
      </c>
      <c r="M1813" t="s">
        <v>42</v>
      </c>
      <c r="N1813" t="s">
        <v>140</v>
      </c>
      <c r="O1813">
        <v>33</v>
      </c>
      <c r="P1813" t="s">
        <v>63</v>
      </c>
      <c r="Q1813" t="s">
        <v>37</v>
      </c>
      <c r="R1813" t="str" cm="1">
        <f t="array" ref="R1813">_xlfn.IFS(B1813&lt;31,"Young-Adult",B1813&lt;41,"Adult",B1813&lt;61,"Middle-aged",B1813&gt;=61,"Senior")</f>
        <v>Middle-aged</v>
      </c>
      <c r="S1813" cm="1">
        <f t="array" ref="S1813">_xlfn.IFS(Q1813 ="Fortnightly",14,Q1813="Weekly",7,Q1813="Monthly",30,Q1813="Quarterly",90,Q1813="Bi-Weekly",14,Q1813="Annually",365,Q1813="Every 3 Months",90,TRUE,"NOT FOUND")</f>
        <v>365</v>
      </c>
    </row>
    <row r="1814" spans="1:19" x14ac:dyDescent="0.35">
      <c r="A1814">
        <v>1813</v>
      </c>
      <c r="B1814">
        <v>50</v>
      </c>
      <c r="C1814" t="s">
        <v>7</v>
      </c>
      <c r="D1814" t="s">
        <v>125</v>
      </c>
      <c r="E1814" t="s">
        <v>30</v>
      </c>
      <c r="F1814">
        <v>63</v>
      </c>
      <c r="G1814" t="s">
        <v>95</v>
      </c>
      <c r="H1814" t="s">
        <v>24</v>
      </c>
      <c r="I1814" t="s">
        <v>132</v>
      </c>
      <c r="J1814" t="s">
        <v>41</v>
      </c>
      <c r="K1814">
        <v>4.9000000000000004</v>
      </c>
      <c r="L1814" t="s">
        <v>140</v>
      </c>
      <c r="M1814" t="s">
        <v>15</v>
      </c>
      <c r="N1814" t="s">
        <v>140</v>
      </c>
      <c r="O1814">
        <v>18</v>
      </c>
      <c r="P1814" t="s">
        <v>34</v>
      </c>
      <c r="Q1814" t="s">
        <v>64</v>
      </c>
      <c r="R1814" t="str" cm="1">
        <f t="array" ref="R1814">_xlfn.IFS(B1814&lt;31,"Young-Adult",B1814&lt;41,"Adult",B1814&lt;61,"Middle-aged",B1814&gt;=61,"Senior")</f>
        <v>Middle-aged</v>
      </c>
      <c r="S1814" cm="1">
        <f t="array" ref="S1814">_xlfn.IFS(Q1814 ="Fortnightly",14,Q1814="Weekly",7,Q1814="Monthly",30,Q1814="Quarterly",90,Q1814="Bi-Weekly",14,Q1814="Annually",365,Q1814="Every 3 Months",90,TRUE,"NOT FOUND")</f>
        <v>14</v>
      </c>
    </row>
    <row r="1815" spans="1:19" x14ac:dyDescent="0.35">
      <c r="A1815">
        <v>1814</v>
      </c>
      <c r="B1815">
        <v>40</v>
      </c>
      <c r="C1815" t="s">
        <v>7</v>
      </c>
      <c r="D1815" t="s">
        <v>47</v>
      </c>
      <c r="E1815" t="s">
        <v>9</v>
      </c>
      <c r="F1815">
        <v>62</v>
      </c>
      <c r="G1815" t="s">
        <v>103</v>
      </c>
      <c r="H1815" t="s">
        <v>32</v>
      </c>
      <c r="I1815" t="s">
        <v>66</v>
      </c>
      <c r="J1815" t="s">
        <v>25</v>
      </c>
      <c r="K1815">
        <v>3.5</v>
      </c>
      <c r="L1815" t="s">
        <v>140</v>
      </c>
      <c r="M1815" t="s">
        <v>26</v>
      </c>
      <c r="N1815" t="s">
        <v>140</v>
      </c>
      <c r="O1815">
        <v>24</v>
      </c>
      <c r="P1815" t="s">
        <v>34</v>
      </c>
      <c r="Q1815" t="s">
        <v>28</v>
      </c>
      <c r="R1815" t="str" cm="1">
        <f t="array" ref="R1815">_xlfn.IFS(B1815&lt;31,"Young-Adult",B1815&lt;41,"Adult",B1815&lt;61,"Middle-aged",B1815&gt;=61,"Senior")</f>
        <v>Adult</v>
      </c>
      <c r="S1815" cm="1">
        <f t="array" ref="S1815">_xlfn.IFS(Q1815 ="Fortnightly",14,Q1815="Weekly",7,Q1815="Monthly",30,Q1815="Quarterly",90,Q1815="Bi-Weekly",14,Q1815="Annually",365,Q1815="Every 3 Months",90,TRUE,"NOT FOUND")</f>
        <v>7</v>
      </c>
    </row>
    <row r="1816" spans="1:19" x14ac:dyDescent="0.35">
      <c r="A1816">
        <v>1815</v>
      </c>
      <c r="B1816">
        <v>32</v>
      </c>
      <c r="C1816" t="s">
        <v>7</v>
      </c>
      <c r="D1816" t="s">
        <v>22</v>
      </c>
      <c r="E1816" t="s">
        <v>9</v>
      </c>
      <c r="F1816">
        <v>92</v>
      </c>
      <c r="G1816" t="s">
        <v>44</v>
      </c>
      <c r="H1816" t="s">
        <v>32</v>
      </c>
      <c r="I1816" t="s">
        <v>40</v>
      </c>
      <c r="J1816" t="s">
        <v>41</v>
      </c>
      <c r="K1816">
        <v>3.8</v>
      </c>
      <c r="L1816" t="s">
        <v>140</v>
      </c>
      <c r="M1816" t="s">
        <v>26</v>
      </c>
      <c r="N1816" t="s">
        <v>140</v>
      </c>
      <c r="O1816">
        <v>24</v>
      </c>
      <c r="P1816" t="s">
        <v>21</v>
      </c>
      <c r="Q1816" t="s">
        <v>46</v>
      </c>
      <c r="R1816" t="str" cm="1">
        <f t="array" ref="R1816">_xlfn.IFS(B1816&lt;31,"Young-Adult",B1816&lt;41,"Adult",B1816&lt;61,"Middle-aged",B1816&gt;=61,"Senior")</f>
        <v>Adult</v>
      </c>
      <c r="S1816" cm="1">
        <f t="array" ref="S1816">_xlfn.IFS(Q1816 ="Fortnightly",14,Q1816="Weekly",7,Q1816="Monthly",30,Q1816="Quarterly",90,Q1816="Bi-Weekly",14,Q1816="Annually",365,Q1816="Every 3 Months",90,TRUE,"NOT FOUND")</f>
        <v>90</v>
      </c>
    </row>
    <row r="1817" spans="1:19" x14ac:dyDescent="0.35">
      <c r="A1817">
        <v>1816</v>
      </c>
      <c r="B1817">
        <v>51</v>
      </c>
      <c r="C1817" t="s">
        <v>7</v>
      </c>
      <c r="D1817" t="s">
        <v>59</v>
      </c>
      <c r="E1817" t="s">
        <v>30</v>
      </c>
      <c r="F1817">
        <v>72</v>
      </c>
      <c r="G1817" t="s">
        <v>118</v>
      </c>
      <c r="H1817" t="s">
        <v>11</v>
      </c>
      <c r="I1817" t="s">
        <v>40</v>
      </c>
      <c r="J1817" t="s">
        <v>13</v>
      </c>
      <c r="K1817">
        <v>4.5</v>
      </c>
      <c r="L1817" t="s">
        <v>140</v>
      </c>
      <c r="M1817" t="s">
        <v>58</v>
      </c>
      <c r="N1817" t="s">
        <v>140</v>
      </c>
      <c r="O1817">
        <v>48</v>
      </c>
      <c r="P1817" t="s">
        <v>27</v>
      </c>
      <c r="Q1817" t="s">
        <v>85</v>
      </c>
      <c r="R1817" t="str" cm="1">
        <f t="array" ref="R1817">_xlfn.IFS(B1817&lt;31,"Young-Adult",B1817&lt;41,"Adult",B1817&lt;61,"Middle-aged",B1817&gt;=61,"Senior")</f>
        <v>Middle-aged</v>
      </c>
      <c r="S1817" cm="1">
        <f t="array" ref="S1817">_xlfn.IFS(Q1817 ="Fortnightly",14,Q1817="Weekly",7,Q1817="Monthly",30,Q1817="Quarterly",90,Q1817="Bi-Weekly",14,Q1817="Annually",365,Q1817="Every 3 Months",90,TRUE,"NOT FOUND")</f>
        <v>90</v>
      </c>
    </row>
    <row r="1818" spans="1:19" x14ac:dyDescent="0.35">
      <c r="A1818">
        <v>1817</v>
      </c>
      <c r="B1818">
        <v>26</v>
      </c>
      <c r="C1818" t="s">
        <v>7</v>
      </c>
      <c r="D1818" t="s">
        <v>112</v>
      </c>
      <c r="E1818" t="s">
        <v>55</v>
      </c>
      <c r="F1818">
        <v>79</v>
      </c>
      <c r="G1818" t="s">
        <v>129</v>
      </c>
      <c r="H1818" t="s">
        <v>32</v>
      </c>
      <c r="I1818" t="s">
        <v>61</v>
      </c>
      <c r="J1818" t="s">
        <v>41</v>
      </c>
      <c r="K1818">
        <v>4</v>
      </c>
      <c r="L1818" t="s">
        <v>140</v>
      </c>
      <c r="M1818" t="s">
        <v>15</v>
      </c>
      <c r="N1818" t="s">
        <v>140</v>
      </c>
      <c r="O1818">
        <v>4</v>
      </c>
      <c r="P1818" t="s">
        <v>21</v>
      </c>
      <c r="Q1818" t="s">
        <v>28</v>
      </c>
      <c r="R1818" t="str" cm="1">
        <f t="array" ref="R1818">_xlfn.IFS(B1818&lt;31,"Young-Adult",B1818&lt;41,"Adult",B1818&lt;61,"Middle-aged",B1818&gt;=61,"Senior")</f>
        <v>Young-Adult</v>
      </c>
      <c r="S1818" cm="1">
        <f t="array" ref="S1818">_xlfn.IFS(Q1818 ="Fortnightly",14,Q1818="Weekly",7,Q1818="Monthly",30,Q1818="Quarterly",90,Q1818="Bi-Weekly",14,Q1818="Annually",365,Q1818="Every 3 Months",90,TRUE,"NOT FOUND")</f>
        <v>7</v>
      </c>
    </row>
    <row r="1819" spans="1:19" x14ac:dyDescent="0.35">
      <c r="A1819">
        <v>1818</v>
      </c>
      <c r="B1819">
        <v>32</v>
      </c>
      <c r="C1819" t="s">
        <v>7</v>
      </c>
      <c r="D1819" t="s">
        <v>101</v>
      </c>
      <c r="E1819" t="s">
        <v>9</v>
      </c>
      <c r="F1819">
        <v>27</v>
      </c>
      <c r="G1819" t="s">
        <v>67</v>
      </c>
      <c r="H1819" t="s">
        <v>32</v>
      </c>
      <c r="I1819" t="s">
        <v>40</v>
      </c>
      <c r="J1819" t="s">
        <v>41</v>
      </c>
      <c r="K1819">
        <v>4.7</v>
      </c>
      <c r="L1819" t="s">
        <v>140</v>
      </c>
      <c r="M1819" t="s">
        <v>26</v>
      </c>
      <c r="N1819" t="s">
        <v>140</v>
      </c>
      <c r="O1819">
        <v>20</v>
      </c>
      <c r="P1819" t="s">
        <v>21</v>
      </c>
      <c r="Q1819" t="s">
        <v>28</v>
      </c>
      <c r="R1819" t="str" cm="1">
        <f t="array" ref="R1819">_xlfn.IFS(B1819&lt;31,"Young-Adult",B1819&lt;41,"Adult",B1819&lt;61,"Middle-aged",B1819&gt;=61,"Senior")</f>
        <v>Adult</v>
      </c>
      <c r="S1819" cm="1">
        <f t="array" ref="S1819">_xlfn.IFS(Q1819 ="Fortnightly",14,Q1819="Weekly",7,Q1819="Monthly",30,Q1819="Quarterly",90,Q1819="Bi-Weekly",14,Q1819="Annually",365,Q1819="Every 3 Months",90,TRUE,"NOT FOUND")</f>
        <v>7</v>
      </c>
    </row>
    <row r="1820" spans="1:19" x14ac:dyDescent="0.35">
      <c r="A1820">
        <v>1819</v>
      </c>
      <c r="B1820">
        <v>58</v>
      </c>
      <c r="C1820" t="s">
        <v>7</v>
      </c>
      <c r="D1820" t="s">
        <v>77</v>
      </c>
      <c r="E1820" t="s">
        <v>55</v>
      </c>
      <c r="F1820">
        <v>39</v>
      </c>
      <c r="G1820" t="s">
        <v>86</v>
      </c>
      <c r="H1820" t="s">
        <v>32</v>
      </c>
      <c r="I1820" t="s">
        <v>40</v>
      </c>
      <c r="J1820" t="s">
        <v>45</v>
      </c>
      <c r="K1820">
        <v>3.8</v>
      </c>
      <c r="L1820" t="s">
        <v>140</v>
      </c>
      <c r="M1820" t="s">
        <v>15</v>
      </c>
      <c r="N1820" t="s">
        <v>140</v>
      </c>
      <c r="O1820">
        <v>47</v>
      </c>
      <c r="P1820" t="s">
        <v>74</v>
      </c>
      <c r="Q1820" t="s">
        <v>85</v>
      </c>
      <c r="R1820" t="str" cm="1">
        <f t="array" ref="R1820">_xlfn.IFS(B1820&lt;31,"Young-Adult",B1820&lt;41,"Adult",B1820&lt;61,"Middle-aged",B1820&gt;=61,"Senior")</f>
        <v>Middle-aged</v>
      </c>
      <c r="S1820" cm="1">
        <f t="array" ref="S1820">_xlfn.IFS(Q1820 ="Fortnightly",14,Q1820="Weekly",7,Q1820="Monthly",30,Q1820="Quarterly",90,Q1820="Bi-Weekly",14,Q1820="Annually",365,Q1820="Every 3 Months",90,TRUE,"NOT FOUND")</f>
        <v>90</v>
      </c>
    </row>
    <row r="1821" spans="1:19" x14ac:dyDescent="0.35">
      <c r="A1821">
        <v>1820</v>
      </c>
      <c r="B1821">
        <v>51</v>
      </c>
      <c r="C1821" t="s">
        <v>7</v>
      </c>
      <c r="D1821" t="s">
        <v>113</v>
      </c>
      <c r="E1821" t="s">
        <v>9</v>
      </c>
      <c r="F1821">
        <v>86</v>
      </c>
      <c r="G1821" t="s">
        <v>95</v>
      </c>
      <c r="H1821" t="s">
        <v>24</v>
      </c>
      <c r="I1821" t="s">
        <v>88</v>
      </c>
      <c r="J1821" t="s">
        <v>25</v>
      </c>
      <c r="K1821">
        <v>4.5</v>
      </c>
      <c r="L1821" t="s">
        <v>140</v>
      </c>
      <c r="M1821" t="s">
        <v>33</v>
      </c>
      <c r="N1821" t="s">
        <v>140</v>
      </c>
      <c r="O1821">
        <v>50</v>
      </c>
      <c r="P1821" t="s">
        <v>21</v>
      </c>
      <c r="Q1821" t="s">
        <v>46</v>
      </c>
      <c r="R1821" t="str" cm="1">
        <f t="array" ref="R1821">_xlfn.IFS(B1821&lt;31,"Young-Adult",B1821&lt;41,"Adult",B1821&lt;61,"Middle-aged",B1821&gt;=61,"Senior")</f>
        <v>Middle-aged</v>
      </c>
      <c r="S1821" cm="1">
        <f t="array" ref="S1821">_xlfn.IFS(Q1821 ="Fortnightly",14,Q1821="Weekly",7,Q1821="Monthly",30,Q1821="Quarterly",90,Q1821="Bi-Weekly",14,Q1821="Annually",365,Q1821="Every 3 Months",90,TRUE,"NOT FOUND")</f>
        <v>90</v>
      </c>
    </row>
    <row r="1822" spans="1:19" x14ac:dyDescent="0.35">
      <c r="A1822">
        <v>1821</v>
      </c>
      <c r="B1822">
        <v>19</v>
      </c>
      <c r="C1822" t="s">
        <v>7</v>
      </c>
      <c r="D1822" t="s">
        <v>43</v>
      </c>
      <c r="E1822" t="s">
        <v>9</v>
      </c>
      <c r="F1822">
        <v>94</v>
      </c>
      <c r="G1822" t="s">
        <v>137</v>
      </c>
      <c r="H1822" t="s">
        <v>80</v>
      </c>
      <c r="I1822" t="s">
        <v>68</v>
      </c>
      <c r="J1822" t="s">
        <v>45</v>
      </c>
      <c r="K1822">
        <v>5</v>
      </c>
      <c r="L1822" t="s">
        <v>140</v>
      </c>
      <c r="M1822" t="s">
        <v>15</v>
      </c>
      <c r="N1822" t="s">
        <v>140</v>
      </c>
      <c r="O1822">
        <v>31</v>
      </c>
      <c r="P1822" t="s">
        <v>34</v>
      </c>
      <c r="Q1822" t="s">
        <v>76</v>
      </c>
      <c r="R1822" t="str" cm="1">
        <f t="array" ref="R1822">_xlfn.IFS(B1822&lt;31,"Young-Adult",B1822&lt;41,"Adult",B1822&lt;61,"Middle-aged",B1822&gt;=61,"Senior")</f>
        <v>Young-Adult</v>
      </c>
      <c r="S1822" cm="1">
        <f t="array" ref="S1822">_xlfn.IFS(Q1822 ="Fortnightly",14,Q1822="Weekly",7,Q1822="Monthly",30,Q1822="Quarterly",90,Q1822="Bi-Weekly",14,Q1822="Annually",365,Q1822="Every 3 Months",90,TRUE,"NOT FOUND")</f>
        <v>30</v>
      </c>
    </row>
    <row r="1823" spans="1:19" x14ac:dyDescent="0.35">
      <c r="A1823">
        <v>1822</v>
      </c>
      <c r="B1823">
        <v>57</v>
      </c>
      <c r="C1823" t="s">
        <v>7</v>
      </c>
      <c r="D1823" t="s">
        <v>47</v>
      </c>
      <c r="E1823" t="s">
        <v>9</v>
      </c>
      <c r="F1823">
        <v>53</v>
      </c>
      <c r="G1823" t="s">
        <v>19</v>
      </c>
      <c r="H1823" t="s">
        <v>32</v>
      </c>
      <c r="I1823" t="s">
        <v>73</v>
      </c>
      <c r="J1823" t="s">
        <v>25</v>
      </c>
      <c r="K1823">
        <v>2.8</v>
      </c>
      <c r="L1823" t="s">
        <v>140</v>
      </c>
      <c r="M1823" t="s">
        <v>15</v>
      </c>
      <c r="N1823" t="s">
        <v>140</v>
      </c>
      <c r="O1823">
        <v>29</v>
      </c>
      <c r="P1823" t="s">
        <v>34</v>
      </c>
      <c r="Q1823" t="s">
        <v>46</v>
      </c>
      <c r="R1823" t="str" cm="1">
        <f t="array" ref="R1823">_xlfn.IFS(B1823&lt;31,"Young-Adult",B1823&lt;41,"Adult",B1823&lt;61,"Middle-aged",B1823&gt;=61,"Senior")</f>
        <v>Middle-aged</v>
      </c>
      <c r="S1823" cm="1">
        <f t="array" ref="S1823">_xlfn.IFS(Q1823 ="Fortnightly",14,Q1823="Weekly",7,Q1823="Monthly",30,Q1823="Quarterly",90,Q1823="Bi-Weekly",14,Q1823="Annually",365,Q1823="Every 3 Months",90,TRUE,"NOT FOUND")</f>
        <v>90</v>
      </c>
    </row>
    <row r="1824" spans="1:19" x14ac:dyDescent="0.35">
      <c r="A1824">
        <v>1823</v>
      </c>
      <c r="B1824">
        <v>66</v>
      </c>
      <c r="C1824" t="s">
        <v>7</v>
      </c>
      <c r="D1824" t="s">
        <v>43</v>
      </c>
      <c r="E1824" t="s">
        <v>9</v>
      </c>
      <c r="F1824">
        <v>85</v>
      </c>
      <c r="G1824" t="s">
        <v>127</v>
      </c>
      <c r="H1824" t="s">
        <v>24</v>
      </c>
      <c r="I1824" t="s">
        <v>97</v>
      </c>
      <c r="J1824" t="s">
        <v>41</v>
      </c>
      <c r="K1824">
        <v>4.4000000000000004</v>
      </c>
      <c r="L1824" t="s">
        <v>140</v>
      </c>
      <c r="M1824" t="s">
        <v>42</v>
      </c>
      <c r="N1824" t="s">
        <v>140</v>
      </c>
      <c r="O1824">
        <v>4</v>
      </c>
      <c r="P1824" t="s">
        <v>21</v>
      </c>
      <c r="Q1824" t="s">
        <v>37</v>
      </c>
      <c r="R1824" t="str" cm="1">
        <f t="array" ref="R1824">_xlfn.IFS(B1824&lt;31,"Young-Adult",B1824&lt;41,"Adult",B1824&lt;61,"Middle-aged",B1824&gt;=61,"Senior")</f>
        <v>Senior</v>
      </c>
      <c r="S1824" cm="1">
        <f t="array" ref="S1824">_xlfn.IFS(Q1824 ="Fortnightly",14,Q1824="Weekly",7,Q1824="Monthly",30,Q1824="Quarterly",90,Q1824="Bi-Weekly",14,Q1824="Annually",365,Q1824="Every 3 Months",90,TRUE,"NOT FOUND")</f>
        <v>365</v>
      </c>
    </row>
    <row r="1825" spans="1:19" x14ac:dyDescent="0.35">
      <c r="A1825">
        <v>1824</v>
      </c>
      <c r="B1825">
        <v>62</v>
      </c>
      <c r="C1825" t="s">
        <v>7</v>
      </c>
      <c r="D1825" t="s">
        <v>113</v>
      </c>
      <c r="E1825" t="s">
        <v>9</v>
      </c>
      <c r="F1825">
        <v>50</v>
      </c>
      <c r="G1825" t="s">
        <v>48</v>
      </c>
      <c r="H1825" t="s">
        <v>11</v>
      </c>
      <c r="I1825" t="s">
        <v>57</v>
      </c>
      <c r="J1825" t="s">
        <v>45</v>
      </c>
      <c r="K1825">
        <v>4.7</v>
      </c>
      <c r="L1825" t="s">
        <v>140</v>
      </c>
      <c r="M1825" t="s">
        <v>26</v>
      </c>
      <c r="N1825" t="s">
        <v>140</v>
      </c>
      <c r="O1825">
        <v>40</v>
      </c>
      <c r="P1825" t="s">
        <v>63</v>
      </c>
      <c r="Q1825" t="s">
        <v>64</v>
      </c>
      <c r="R1825" t="str" cm="1">
        <f t="array" ref="R1825">_xlfn.IFS(B1825&lt;31,"Young-Adult",B1825&lt;41,"Adult",B1825&lt;61,"Middle-aged",B1825&gt;=61,"Senior")</f>
        <v>Senior</v>
      </c>
      <c r="S1825" cm="1">
        <f t="array" ref="S1825">_xlfn.IFS(Q1825 ="Fortnightly",14,Q1825="Weekly",7,Q1825="Monthly",30,Q1825="Quarterly",90,Q1825="Bi-Weekly",14,Q1825="Annually",365,Q1825="Every 3 Months",90,TRUE,"NOT FOUND")</f>
        <v>14</v>
      </c>
    </row>
    <row r="1826" spans="1:19" x14ac:dyDescent="0.35">
      <c r="A1826">
        <v>1825</v>
      </c>
      <c r="B1826">
        <v>58</v>
      </c>
      <c r="C1826" t="s">
        <v>7</v>
      </c>
      <c r="D1826" t="s">
        <v>83</v>
      </c>
      <c r="E1826" t="s">
        <v>9</v>
      </c>
      <c r="F1826">
        <v>47</v>
      </c>
      <c r="G1826" t="s">
        <v>103</v>
      </c>
      <c r="H1826" t="s">
        <v>80</v>
      </c>
      <c r="I1826" t="s">
        <v>124</v>
      </c>
      <c r="J1826" t="s">
        <v>13</v>
      </c>
      <c r="K1826">
        <v>3.8</v>
      </c>
      <c r="L1826" t="s">
        <v>140</v>
      </c>
      <c r="M1826" t="s">
        <v>15</v>
      </c>
      <c r="N1826" t="s">
        <v>140</v>
      </c>
      <c r="O1826">
        <v>31</v>
      </c>
      <c r="P1826" t="s">
        <v>21</v>
      </c>
      <c r="Q1826" t="s">
        <v>76</v>
      </c>
      <c r="R1826" t="str" cm="1">
        <f t="array" ref="R1826">_xlfn.IFS(B1826&lt;31,"Young-Adult",B1826&lt;41,"Adult",B1826&lt;61,"Middle-aged",B1826&gt;=61,"Senior")</f>
        <v>Middle-aged</v>
      </c>
      <c r="S1826" cm="1">
        <f t="array" ref="S1826">_xlfn.IFS(Q1826 ="Fortnightly",14,Q1826="Weekly",7,Q1826="Monthly",30,Q1826="Quarterly",90,Q1826="Bi-Weekly",14,Q1826="Annually",365,Q1826="Every 3 Months",90,TRUE,"NOT FOUND")</f>
        <v>30</v>
      </c>
    </row>
    <row r="1827" spans="1:19" x14ac:dyDescent="0.35">
      <c r="A1827">
        <v>1826</v>
      </c>
      <c r="B1827">
        <v>23</v>
      </c>
      <c r="C1827" t="s">
        <v>7</v>
      </c>
      <c r="D1827" t="s">
        <v>125</v>
      </c>
      <c r="E1827" t="s">
        <v>30</v>
      </c>
      <c r="F1827">
        <v>75</v>
      </c>
      <c r="G1827" t="s">
        <v>135</v>
      </c>
      <c r="H1827" t="s">
        <v>32</v>
      </c>
      <c r="I1827" t="s">
        <v>57</v>
      </c>
      <c r="J1827" t="s">
        <v>13</v>
      </c>
      <c r="K1827">
        <v>4.9000000000000004</v>
      </c>
      <c r="L1827" t="s">
        <v>140</v>
      </c>
      <c r="M1827" t="s">
        <v>33</v>
      </c>
      <c r="N1827" t="s">
        <v>140</v>
      </c>
      <c r="O1827">
        <v>41</v>
      </c>
      <c r="P1827" t="s">
        <v>27</v>
      </c>
      <c r="Q1827" t="s">
        <v>28</v>
      </c>
      <c r="R1827" t="str" cm="1">
        <f t="array" ref="R1827">_xlfn.IFS(B1827&lt;31,"Young-Adult",B1827&lt;41,"Adult",B1827&lt;61,"Middle-aged",B1827&gt;=61,"Senior")</f>
        <v>Young-Adult</v>
      </c>
      <c r="S1827" cm="1">
        <f t="array" ref="S1827">_xlfn.IFS(Q1827 ="Fortnightly",14,Q1827="Weekly",7,Q1827="Monthly",30,Q1827="Quarterly",90,Q1827="Bi-Weekly",14,Q1827="Annually",365,Q1827="Every 3 Months",90,TRUE,"NOT FOUND")</f>
        <v>7</v>
      </c>
    </row>
    <row r="1828" spans="1:19" x14ac:dyDescent="0.35">
      <c r="A1828">
        <v>1827</v>
      </c>
      <c r="B1828">
        <v>45</v>
      </c>
      <c r="C1828" t="s">
        <v>7</v>
      </c>
      <c r="D1828" t="s">
        <v>101</v>
      </c>
      <c r="E1828" t="s">
        <v>9</v>
      </c>
      <c r="F1828">
        <v>60</v>
      </c>
      <c r="G1828" t="s">
        <v>104</v>
      </c>
      <c r="H1828" t="s">
        <v>32</v>
      </c>
      <c r="I1828" t="s">
        <v>36</v>
      </c>
      <c r="J1828" t="s">
        <v>13</v>
      </c>
      <c r="K1828">
        <v>4.2</v>
      </c>
      <c r="L1828" t="s">
        <v>140</v>
      </c>
      <c r="M1828" t="s">
        <v>15</v>
      </c>
      <c r="N1828" t="s">
        <v>140</v>
      </c>
      <c r="O1828">
        <v>44</v>
      </c>
      <c r="P1828" t="s">
        <v>74</v>
      </c>
      <c r="Q1828" t="s">
        <v>37</v>
      </c>
      <c r="R1828" t="str" cm="1">
        <f t="array" ref="R1828">_xlfn.IFS(B1828&lt;31,"Young-Adult",B1828&lt;41,"Adult",B1828&lt;61,"Middle-aged",B1828&gt;=61,"Senior")</f>
        <v>Middle-aged</v>
      </c>
      <c r="S1828" cm="1">
        <f t="array" ref="S1828">_xlfn.IFS(Q1828 ="Fortnightly",14,Q1828="Weekly",7,Q1828="Monthly",30,Q1828="Quarterly",90,Q1828="Bi-Weekly",14,Q1828="Annually",365,Q1828="Every 3 Months",90,TRUE,"NOT FOUND")</f>
        <v>365</v>
      </c>
    </row>
    <row r="1829" spans="1:19" x14ac:dyDescent="0.35">
      <c r="A1829">
        <v>1828</v>
      </c>
      <c r="B1829">
        <v>20</v>
      </c>
      <c r="C1829" t="s">
        <v>7</v>
      </c>
      <c r="D1829" t="s">
        <v>101</v>
      </c>
      <c r="E1829" t="s">
        <v>9</v>
      </c>
      <c r="F1829">
        <v>36</v>
      </c>
      <c r="G1829" t="s">
        <v>117</v>
      </c>
      <c r="H1829" t="s">
        <v>24</v>
      </c>
      <c r="I1829" t="s">
        <v>57</v>
      </c>
      <c r="J1829" t="s">
        <v>25</v>
      </c>
      <c r="K1829">
        <v>4.9000000000000004</v>
      </c>
      <c r="L1829" t="s">
        <v>140</v>
      </c>
      <c r="M1829" t="s">
        <v>58</v>
      </c>
      <c r="N1829" t="s">
        <v>140</v>
      </c>
      <c r="O1829">
        <v>31</v>
      </c>
      <c r="P1829" t="s">
        <v>63</v>
      </c>
      <c r="Q1829" t="s">
        <v>28</v>
      </c>
      <c r="R1829" t="str" cm="1">
        <f t="array" ref="R1829">_xlfn.IFS(B1829&lt;31,"Young-Adult",B1829&lt;41,"Adult",B1829&lt;61,"Middle-aged",B1829&gt;=61,"Senior")</f>
        <v>Young-Adult</v>
      </c>
      <c r="S1829" cm="1">
        <f t="array" ref="S1829">_xlfn.IFS(Q1829 ="Fortnightly",14,Q1829="Weekly",7,Q1829="Monthly",30,Q1829="Quarterly",90,Q1829="Bi-Weekly",14,Q1829="Annually",365,Q1829="Every 3 Months",90,TRUE,"NOT FOUND")</f>
        <v>7</v>
      </c>
    </row>
    <row r="1830" spans="1:19" x14ac:dyDescent="0.35">
      <c r="A1830">
        <v>1829</v>
      </c>
      <c r="B1830">
        <v>33</v>
      </c>
      <c r="C1830" t="s">
        <v>7</v>
      </c>
      <c r="D1830" t="s">
        <v>50</v>
      </c>
      <c r="E1830" t="s">
        <v>51</v>
      </c>
      <c r="F1830">
        <v>80</v>
      </c>
      <c r="G1830" t="s">
        <v>70</v>
      </c>
      <c r="H1830" t="s">
        <v>11</v>
      </c>
      <c r="I1830" t="s">
        <v>12</v>
      </c>
      <c r="J1830" t="s">
        <v>25</v>
      </c>
      <c r="K1830">
        <v>3.9</v>
      </c>
      <c r="L1830" t="s">
        <v>140</v>
      </c>
      <c r="M1830" t="s">
        <v>15</v>
      </c>
      <c r="N1830" t="s">
        <v>140</v>
      </c>
      <c r="O1830">
        <v>45</v>
      </c>
      <c r="P1830" t="s">
        <v>21</v>
      </c>
      <c r="Q1830" t="s">
        <v>85</v>
      </c>
      <c r="R1830" t="str" cm="1">
        <f t="array" ref="R1830">_xlfn.IFS(B1830&lt;31,"Young-Adult",B1830&lt;41,"Adult",B1830&lt;61,"Middle-aged",B1830&gt;=61,"Senior")</f>
        <v>Adult</v>
      </c>
      <c r="S1830" cm="1">
        <f t="array" ref="S1830">_xlfn.IFS(Q1830 ="Fortnightly",14,Q1830="Weekly",7,Q1830="Monthly",30,Q1830="Quarterly",90,Q1830="Bi-Weekly",14,Q1830="Annually",365,Q1830="Every 3 Months",90,TRUE,"NOT FOUND")</f>
        <v>90</v>
      </c>
    </row>
    <row r="1831" spans="1:19" x14ac:dyDescent="0.35">
      <c r="A1831">
        <v>1830</v>
      </c>
      <c r="B1831">
        <v>30</v>
      </c>
      <c r="C1831" t="s">
        <v>7</v>
      </c>
      <c r="D1831" t="s">
        <v>112</v>
      </c>
      <c r="E1831" t="s">
        <v>55</v>
      </c>
      <c r="F1831">
        <v>96</v>
      </c>
      <c r="G1831" t="s">
        <v>35</v>
      </c>
      <c r="H1831" t="s">
        <v>32</v>
      </c>
      <c r="I1831" t="s">
        <v>40</v>
      </c>
      <c r="J1831" t="s">
        <v>25</v>
      </c>
      <c r="K1831">
        <v>4.9000000000000004</v>
      </c>
      <c r="L1831" t="s">
        <v>140</v>
      </c>
      <c r="M1831" t="s">
        <v>58</v>
      </c>
      <c r="N1831" t="s">
        <v>140</v>
      </c>
      <c r="O1831">
        <v>50</v>
      </c>
      <c r="P1831" t="s">
        <v>27</v>
      </c>
      <c r="Q1831" t="s">
        <v>46</v>
      </c>
      <c r="R1831" t="str" cm="1">
        <f t="array" ref="R1831">_xlfn.IFS(B1831&lt;31,"Young-Adult",B1831&lt;41,"Adult",B1831&lt;61,"Middle-aged",B1831&gt;=61,"Senior")</f>
        <v>Young-Adult</v>
      </c>
      <c r="S1831" cm="1">
        <f t="array" ref="S1831">_xlfn.IFS(Q1831 ="Fortnightly",14,Q1831="Weekly",7,Q1831="Monthly",30,Q1831="Quarterly",90,Q1831="Bi-Weekly",14,Q1831="Annually",365,Q1831="Every 3 Months",90,TRUE,"NOT FOUND")</f>
        <v>90</v>
      </c>
    </row>
    <row r="1832" spans="1:19" x14ac:dyDescent="0.35">
      <c r="A1832">
        <v>1831</v>
      </c>
      <c r="B1832">
        <v>50</v>
      </c>
      <c r="C1832" t="s">
        <v>7</v>
      </c>
      <c r="D1832" t="s">
        <v>77</v>
      </c>
      <c r="E1832" t="s">
        <v>55</v>
      </c>
      <c r="F1832">
        <v>80</v>
      </c>
      <c r="G1832" t="s">
        <v>99</v>
      </c>
      <c r="H1832" t="s">
        <v>32</v>
      </c>
      <c r="I1832" t="s">
        <v>132</v>
      </c>
      <c r="J1832" t="s">
        <v>13</v>
      </c>
      <c r="K1832">
        <v>4.8</v>
      </c>
      <c r="L1832" t="s">
        <v>140</v>
      </c>
      <c r="M1832" t="s">
        <v>15</v>
      </c>
      <c r="N1832" t="s">
        <v>140</v>
      </c>
      <c r="O1832">
        <v>7</v>
      </c>
      <c r="P1832" t="s">
        <v>16</v>
      </c>
      <c r="Q1832" t="s">
        <v>37</v>
      </c>
      <c r="R1832" t="str" cm="1">
        <f t="array" ref="R1832">_xlfn.IFS(B1832&lt;31,"Young-Adult",B1832&lt;41,"Adult",B1832&lt;61,"Middle-aged",B1832&gt;=61,"Senior")</f>
        <v>Middle-aged</v>
      </c>
      <c r="S1832" cm="1">
        <f t="array" ref="S1832">_xlfn.IFS(Q1832 ="Fortnightly",14,Q1832="Weekly",7,Q1832="Monthly",30,Q1832="Quarterly",90,Q1832="Bi-Weekly",14,Q1832="Annually",365,Q1832="Every 3 Months",90,TRUE,"NOT FOUND")</f>
        <v>365</v>
      </c>
    </row>
    <row r="1833" spans="1:19" x14ac:dyDescent="0.35">
      <c r="A1833">
        <v>1832</v>
      </c>
      <c r="B1833">
        <v>62</v>
      </c>
      <c r="C1833" t="s">
        <v>7</v>
      </c>
      <c r="D1833" t="s">
        <v>8</v>
      </c>
      <c r="E1833" t="s">
        <v>9</v>
      </c>
      <c r="F1833">
        <v>71</v>
      </c>
      <c r="G1833" t="s">
        <v>19</v>
      </c>
      <c r="H1833" t="s">
        <v>32</v>
      </c>
      <c r="I1833" t="s">
        <v>97</v>
      </c>
      <c r="J1833" t="s">
        <v>41</v>
      </c>
      <c r="K1833">
        <v>3.3</v>
      </c>
      <c r="L1833" t="s">
        <v>140</v>
      </c>
      <c r="M1833" t="s">
        <v>26</v>
      </c>
      <c r="N1833" t="s">
        <v>140</v>
      </c>
      <c r="O1833">
        <v>5</v>
      </c>
      <c r="P1833" t="s">
        <v>63</v>
      </c>
      <c r="Q1833" t="s">
        <v>85</v>
      </c>
      <c r="R1833" t="str" cm="1">
        <f t="array" ref="R1833">_xlfn.IFS(B1833&lt;31,"Young-Adult",B1833&lt;41,"Adult",B1833&lt;61,"Middle-aged",B1833&gt;=61,"Senior")</f>
        <v>Senior</v>
      </c>
      <c r="S1833" cm="1">
        <f t="array" ref="S1833">_xlfn.IFS(Q1833 ="Fortnightly",14,Q1833="Weekly",7,Q1833="Monthly",30,Q1833="Quarterly",90,Q1833="Bi-Weekly",14,Q1833="Annually",365,Q1833="Every 3 Months",90,TRUE,"NOT FOUND")</f>
        <v>90</v>
      </c>
    </row>
    <row r="1834" spans="1:19" x14ac:dyDescent="0.35">
      <c r="A1834">
        <v>1833</v>
      </c>
      <c r="B1834">
        <v>69</v>
      </c>
      <c r="C1834" t="s">
        <v>7</v>
      </c>
      <c r="D1834" t="s">
        <v>94</v>
      </c>
      <c r="E1834" t="s">
        <v>55</v>
      </c>
      <c r="F1834">
        <v>29</v>
      </c>
      <c r="G1834" t="s">
        <v>48</v>
      </c>
      <c r="H1834" t="s">
        <v>32</v>
      </c>
      <c r="I1834" t="s">
        <v>132</v>
      </c>
      <c r="J1834" t="s">
        <v>45</v>
      </c>
      <c r="K1834">
        <v>4.5999999999999996</v>
      </c>
      <c r="L1834" t="s">
        <v>140</v>
      </c>
      <c r="M1834" t="s">
        <v>26</v>
      </c>
      <c r="N1834" t="s">
        <v>140</v>
      </c>
      <c r="O1834">
        <v>48</v>
      </c>
      <c r="P1834" t="s">
        <v>21</v>
      </c>
      <c r="Q1834" t="s">
        <v>76</v>
      </c>
      <c r="R1834" t="str" cm="1">
        <f t="array" ref="R1834">_xlfn.IFS(B1834&lt;31,"Young-Adult",B1834&lt;41,"Adult",B1834&lt;61,"Middle-aged",B1834&gt;=61,"Senior")</f>
        <v>Senior</v>
      </c>
      <c r="S1834" cm="1">
        <f t="array" ref="S1834">_xlfn.IFS(Q1834 ="Fortnightly",14,Q1834="Weekly",7,Q1834="Monthly",30,Q1834="Quarterly",90,Q1834="Bi-Weekly",14,Q1834="Annually",365,Q1834="Every 3 Months",90,TRUE,"NOT FOUND")</f>
        <v>30</v>
      </c>
    </row>
    <row r="1835" spans="1:19" x14ac:dyDescent="0.35">
      <c r="A1835">
        <v>1834</v>
      </c>
      <c r="B1835">
        <v>34</v>
      </c>
      <c r="C1835" t="s">
        <v>7</v>
      </c>
      <c r="D1835" t="s">
        <v>94</v>
      </c>
      <c r="E1835" t="s">
        <v>55</v>
      </c>
      <c r="F1835">
        <v>53</v>
      </c>
      <c r="G1835" t="s">
        <v>48</v>
      </c>
      <c r="H1835" t="s">
        <v>32</v>
      </c>
      <c r="I1835" t="s">
        <v>122</v>
      </c>
      <c r="J1835" t="s">
        <v>25</v>
      </c>
      <c r="K1835">
        <v>4.5</v>
      </c>
      <c r="L1835" t="s">
        <v>140</v>
      </c>
      <c r="M1835" t="s">
        <v>58</v>
      </c>
      <c r="N1835" t="s">
        <v>140</v>
      </c>
      <c r="O1835">
        <v>19</v>
      </c>
      <c r="P1835" t="s">
        <v>34</v>
      </c>
      <c r="Q1835" t="s">
        <v>17</v>
      </c>
      <c r="R1835" t="str" cm="1">
        <f t="array" ref="R1835">_xlfn.IFS(B1835&lt;31,"Young-Adult",B1835&lt;41,"Adult",B1835&lt;61,"Middle-aged",B1835&gt;=61,"Senior")</f>
        <v>Adult</v>
      </c>
      <c r="S1835" cm="1">
        <f t="array" ref="S1835">_xlfn.IFS(Q1835 ="Fortnightly",14,Q1835="Weekly",7,Q1835="Monthly",30,Q1835="Quarterly",90,Q1835="Bi-Weekly",14,Q1835="Annually",365,Q1835="Every 3 Months",90,TRUE,"NOT FOUND")</f>
        <v>14</v>
      </c>
    </row>
    <row r="1836" spans="1:19" x14ac:dyDescent="0.35">
      <c r="A1836">
        <v>1835</v>
      </c>
      <c r="B1836">
        <v>49</v>
      </c>
      <c r="C1836" t="s">
        <v>7</v>
      </c>
      <c r="D1836" t="s">
        <v>75</v>
      </c>
      <c r="E1836" t="s">
        <v>9</v>
      </c>
      <c r="F1836">
        <v>35</v>
      </c>
      <c r="G1836" t="s">
        <v>104</v>
      </c>
      <c r="H1836" t="s">
        <v>32</v>
      </c>
      <c r="I1836" t="s">
        <v>49</v>
      </c>
      <c r="J1836" t="s">
        <v>41</v>
      </c>
      <c r="K1836">
        <v>4.0999999999999996</v>
      </c>
      <c r="L1836" t="s">
        <v>140</v>
      </c>
      <c r="M1836" t="s">
        <v>58</v>
      </c>
      <c r="N1836" t="s">
        <v>140</v>
      </c>
      <c r="O1836">
        <v>39</v>
      </c>
      <c r="P1836" t="s">
        <v>16</v>
      </c>
      <c r="Q1836" t="s">
        <v>17</v>
      </c>
      <c r="R1836" t="str" cm="1">
        <f t="array" ref="R1836">_xlfn.IFS(B1836&lt;31,"Young-Adult",B1836&lt;41,"Adult",B1836&lt;61,"Middle-aged",B1836&gt;=61,"Senior")</f>
        <v>Middle-aged</v>
      </c>
      <c r="S1836" cm="1">
        <f t="array" ref="S1836">_xlfn.IFS(Q1836 ="Fortnightly",14,Q1836="Weekly",7,Q1836="Monthly",30,Q1836="Quarterly",90,Q1836="Bi-Weekly",14,Q1836="Annually",365,Q1836="Every 3 Months",90,TRUE,"NOT FOUND")</f>
        <v>14</v>
      </c>
    </row>
    <row r="1837" spans="1:19" x14ac:dyDescent="0.35">
      <c r="A1837">
        <v>1836</v>
      </c>
      <c r="B1837">
        <v>65</v>
      </c>
      <c r="C1837" t="s">
        <v>7</v>
      </c>
      <c r="D1837" t="s">
        <v>107</v>
      </c>
      <c r="E1837" t="s">
        <v>55</v>
      </c>
      <c r="F1837">
        <v>75</v>
      </c>
      <c r="G1837" t="s">
        <v>10</v>
      </c>
      <c r="H1837" t="s">
        <v>32</v>
      </c>
      <c r="I1837" t="s">
        <v>81</v>
      </c>
      <c r="J1837" t="s">
        <v>45</v>
      </c>
      <c r="K1837">
        <v>3.2</v>
      </c>
      <c r="L1837" t="s">
        <v>140</v>
      </c>
      <c r="M1837" t="s">
        <v>58</v>
      </c>
      <c r="N1837" t="s">
        <v>140</v>
      </c>
      <c r="O1837">
        <v>45</v>
      </c>
      <c r="P1837" t="s">
        <v>27</v>
      </c>
      <c r="Q1837" t="s">
        <v>46</v>
      </c>
      <c r="R1837" t="str" cm="1">
        <f t="array" ref="R1837">_xlfn.IFS(B1837&lt;31,"Young-Adult",B1837&lt;41,"Adult",B1837&lt;61,"Middle-aged",B1837&gt;=61,"Senior")</f>
        <v>Senior</v>
      </c>
      <c r="S1837" cm="1">
        <f t="array" ref="S1837">_xlfn.IFS(Q1837 ="Fortnightly",14,Q1837="Weekly",7,Q1837="Monthly",30,Q1837="Quarterly",90,Q1837="Bi-Weekly",14,Q1837="Annually",365,Q1837="Every 3 Months",90,TRUE,"NOT FOUND")</f>
        <v>90</v>
      </c>
    </row>
    <row r="1838" spans="1:19" x14ac:dyDescent="0.35">
      <c r="A1838">
        <v>1837</v>
      </c>
      <c r="B1838">
        <v>66</v>
      </c>
      <c r="C1838" t="s">
        <v>7</v>
      </c>
      <c r="D1838" t="s">
        <v>83</v>
      </c>
      <c r="E1838" t="s">
        <v>9</v>
      </c>
      <c r="F1838">
        <v>52</v>
      </c>
      <c r="G1838" t="s">
        <v>119</v>
      </c>
      <c r="H1838" t="s">
        <v>32</v>
      </c>
      <c r="I1838" t="s">
        <v>73</v>
      </c>
      <c r="J1838" t="s">
        <v>45</v>
      </c>
      <c r="K1838">
        <v>4.2</v>
      </c>
      <c r="L1838" t="s">
        <v>140</v>
      </c>
      <c r="M1838" t="s">
        <v>58</v>
      </c>
      <c r="N1838" t="s">
        <v>140</v>
      </c>
      <c r="O1838">
        <v>35</v>
      </c>
      <c r="P1838" t="s">
        <v>27</v>
      </c>
      <c r="Q1838" t="s">
        <v>76</v>
      </c>
      <c r="R1838" t="str" cm="1">
        <f t="array" ref="R1838">_xlfn.IFS(B1838&lt;31,"Young-Adult",B1838&lt;41,"Adult",B1838&lt;61,"Middle-aged",B1838&gt;=61,"Senior")</f>
        <v>Senior</v>
      </c>
      <c r="S1838" cm="1">
        <f t="array" ref="S1838">_xlfn.IFS(Q1838 ="Fortnightly",14,Q1838="Weekly",7,Q1838="Monthly",30,Q1838="Quarterly",90,Q1838="Bi-Weekly",14,Q1838="Annually",365,Q1838="Every 3 Months",90,TRUE,"NOT FOUND")</f>
        <v>30</v>
      </c>
    </row>
    <row r="1839" spans="1:19" x14ac:dyDescent="0.35">
      <c r="A1839">
        <v>1838</v>
      </c>
      <c r="B1839">
        <v>41</v>
      </c>
      <c r="C1839" t="s">
        <v>7</v>
      </c>
      <c r="D1839" t="s">
        <v>112</v>
      </c>
      <c r="E1839" t="s">
        <v>55</v>
      </c>
      <c r="F1839">
        <v>77</v>
      </c>
      <c r="G1839" t="s">
        <v>44</v>
      </c>
      <c r="H1839" t="s">
        <v>32</v>
      </c>
      <c r="I1839" t="s">
        <v>106</v>
      </c>
      <c r="J1839" t="s">
        <v>13</v>
      </c>
      <c r="K1839">
        <v>4.8</v>
      </c>
      <c r="L1839" t="s">
        <v>140</v>
      </c>
      <c r="M1839" t="s">
        <v>26</v>
      </c>
      <c r="N1839" t="s">
        <v>140</v>
      </c>
      <c r="O1839">
        <v>8</v>
      </c>
      <c r="P1839" t="s">
        <v>16</v>
      </c>
      <c r="Q1839" t="s">
        <v>76</v>
      </c>
      <c r="R1839" t="str" cm="1">
        <f t="array" ref="R1839">_xlfn.IFS(B1839&lt;31,"Young-Adult",B1839&lt;41,"Adult",B1839&lt;61,"Middle-aged",B1839&gt;=61,"Senior")</f>
        <v>Middle-aged</v>
      </c>
      <c r="S1839" cm="1">
        <f t="array" ref="S1839">_xlfn.IFS(Q1839 ="Fortnightly",14,Q1839="Weekly",7,Q1839="Monthly",30,Q1839="Quarterly",90,Q1839="Bi-Weekly",14,Q1839="Annually",365,Q1839="Every 3 Months",90,TRUE,"NOT FOUND")</f>
        <v>30</v>
      </c>
    </row>
    <row r="1840" spans="1:19" x14ac:dyDescent="0.35">
      <c r="A1840">
        <v>1839</v>
      </c>
      <c r="B1840">
        <v>37</v>
      </c>
      <c r="C1840" t="s">
        <v>7</v>
      </c>
      <c r="D1840" t="s">
        <v>131</v>
      </c>
      <c r="E1840" t="s">
        <v>55</v>
      </c>
      <c r="F1840">
        <v>24</v>
      </c>
      <c r="G1840" t="s">
        <v>117</v>
      </c>
      <c r="H1840" t="s">
        <v>11</v>
      </c>
      <c r="I1840" t="s">
        <v>132</v>
      </c>
      <c r="J1840" t="s">
        <v>45</v>
      </c>
      <c r="K1840">
        <v>4.0999999999999996</v>
      </c>
      <c r="L1840" t="s">
        <v>140</v>
      </c>
      <c r="M1840" t="s">
        <v>33</v>
      </c>
      <c r="N1840" t="s">
        <v>140</v>
      </c>
      <c r="O1840">
        <v>11</v>
      </c>
      <c r="P1840" t="s">
        <v>27</v>
      </c>
      <c r="Q1840" t="s">
        <v>46</v>
      </c>
      <c r="R1840" t="str" cm="1">
        <f t="array" ref="R1840">_xlfn.IFS(B1840&lt;31,"Young-Adult",B1840&lt;41,"Adult",B1840&lt;61,"Middle-aged",B1840&gt;=61,"Senior")</f>
        <v>Adult</v>
      </c>
      <c r="S1840" cm="1">
        <f t="array" ref="S1840">_xlfn.IFS(Q1840 ="Fortnightly",14,Q1840="Weekly",7,Q1840="Monthly",30,Q1840="Quarterly",90,Q1840="Bi-Weekly",14,Q1840="Annually",365,Q1840="Every 3 Months",90,TRUE,"NOT FOUND")</f>
        <v>90</v>
      </c>
    </row>
    <row r="1841" spans="1:19" x14ac:dyDescent="0.35">
      <c r="A1841">
        <v>1840</v>
      </c>
      <c r="B1841">
        <v>32</v>
      </c>
      <c r="C1841" t="s">
        <v>7</v>
      </c>
      <c r="D1841" t="s">
        <v>43</v>
      </c>
      <c r="E1841" t="s">
        <v>9</v>
      </c>
      <c r="F1841">
        <v>78</v>
      </c>
      <c r="G1841" t="s">
        <v>79</v>
      </c>
      <c r="H1841" t="s">
        <v>80</v>
      </c>
      <c r="I1841" t="s">
        <v>61</v>
      </c>
      <c r="J1841" t="s">
        <v>13</v>
      </c>
      <c r="K1841">
        <v>3.7</v>
      </c>
      <c r="L1841" t="s">
        <v>140</v>
      </c>
      <c r="M1841" t="s">
        <v>62</v>
      </c>
      <c r="N1841" t="s">
        <v>140</v>
      </c>
      <c r="O1841">
        <v>32</v>
      </c>
      <c r="P1841" t="s">
        <v>21</v>
      </c>
      <c r="Q1841" t="s">
        <v>37</v>
      </c>
      <c r="R1841" t="str" cm="1">
        <f t="array" ref="R1841">_xlfn.IFS(B1841&lt;31,"Young-Adult",B1841&lt;41,"Adult",B1841&lt;61,"Middle-aged",B1841&gt;=61,"Senior")</f>
        <v>Adult</v>
      </c>
      <c r="S1841" cm="1">
        <f t="array" ref="S1841">_xlfn.IFS(Q1841 ="Fortnightly",14,Q1841="Weekly",7,Q1841="Monthly",30,Q1841="Quarterly",90,Q1841="Bi-Weekly",14,Q1841="Annually",365,Q1841="Every 3 Months",90,TRUE,"NOT FOUND")</f>
        <v>365</v>
      </c>
    </row>
    <row r="1842" spans="1:19" x14ac:dyDescent="0.35">
      <c r="A1842">
        <v>1841</v>
      </c>
      <c r="B1842">
        <v>42</v>
      </c>
      <c r="C1842" t="s">
        <v>7</v>
      </c>
      <c r="D1842" t="s">
        <v>29</v>
      </c>
      <c r="E1842" t="s">
        <v>30</v>
      </c>
      <c r="F1842">
        <v>98</v>
      </c>
      <c r="G1842" t="s">
        <v>39</v>
      </c>
      <c r="H1842" t="s">
        <v>32</v>
      </c>
      <c r="I1842" t="s">
        <v>68</v>
      </c>
      <c r="J1842" t="s">
        <v>13</v>
      </c>
      <c r="K1842">
        <v>2.6</v>
      </c>
      <c r="L1842" t="s">
        <v>140</v>
      </c>
      <c r="M1842" t="s">
        <v>62</v>
      </c>
      <c r="N1842" t="s">
        <v>140</v>
      </c>
      <c r="O1842">
        <v>46</v>
      </c>
      <c r="P1842" t="s">
        <v>63</v>
      </c>
      <c r="Q1842" t="s">
        <v>85</v>
      </c>
      <c r="R1842" t="str" cm="1">
        <f t="array" ref="R1842">_xlfn.IFS(B1842&lt;31,"Young-Adult",B1842&lt;41,"Adult",B1842&lt;61,"Middle-aged",B1842&gt;=61,"Senior")</f>
        <v>Middle-aged</v>
      </c>
      <c r="S1842" cm="1">
        <f t="array" ref="S1842">_xlfn.IFS(Q1842 ="Fortnightly",14,Q1842="Weekly",7,Q1842="Monthly",30,Q1842="Quarterly",90,Q1842="Bi-Weekly",14,Q1842="Annually",365,Q1842="Every 3 Months",90,TRUE,"NOT FOUND")</f>
        <v>90</v>
      </c>
    </row>
    <row r="1843" spans="1:19" x14ac:dyDescent="0.35">
      <c r="A1843">
        <v>1842</v>
      </c>
      <c r="B1843">
        <v>31</v>
      </c>
      <c r="C1843" t="s">
        <v>7</v>
      </c>
      <c r="D1843" t="s">
        <v>113</v>
      </c>
      <c r="E1843" t="s">
        <v>9</v>
      </c>
      <c r="F1843">
        <v>57</v>
      </c>
      <c r="G1843" t="s">
        <v>117</v>
      </c>
      <c r="H1843" t="s">
        <v>11</v>
      </c>
      <c r="I1843" t="s">
        <v>132</v>
      </c>
      <c r="J1843" t="s">
        <v>13</v>
      </c>
      <c r="K1843">
        <v>3</v>
      </c>
      <c r="L1843" t="s">
        <v>140</v>
      </c>
      <c r="M1843" t="s">
        <v>42</v>
      </c>
      <c r="N1843" t="s">
        <v>140</v>
      </c>
      <c r="O1843">
        <v>7</v>
      </c>
      <c r="P1843" t="s">
        <v>34</v>
      </c>
      <c r="Q1843" t="s">
        <v>85</v>
      </c>
      <c r="R1843" t="str" cm="1">
        <f t="array" ref="R1843">_xlfn.IFS(B1843&lt;31,"Young-Adult",B1843&lt;41,"Adult",B1843&lt;61,"Middle-aged",B1843&gt;=61,"Senior")</f>
        <v>Adult</v>
      </c>
      <c r="S1843" cm="1">
        <f t="array" ref="S1843">_xlfn.IFS(Q1843 ="Fortnightly",14,Q1843="Weekly",7,Q1843="Monthly",30,Q1843="Quarterly",90,Q1843="Bi-Weekly",14,Q1843="Annually",365,Q1843="Every 3 Months",90,TRUE,"NOT FOUND")</f>
        <v>90</v>
      </c>
    </row>
    <row r="1844" spans="1:19" x14ac:dyDescent="0.35">
      <c r="A1844">
        <v>1843</v>
      </c>
      <c r="B1844">
        <v>61</v>
      </c>
      <c r="C1844" t="s">
        <v>7</v>
      </c>
      <c r="D1844" t="s">
        <v>54</v>
      </c>
      <c r="E1844" t="s">
        <v>55</v>
      </c>
      <c r="F1844">
        <v>78</v>
      </c>
      <c r="G1844" t="s">
        <v>78</v>
      </c>
      <c r="H1844" t="s">
        <v>32</v>
      </c>
      <c r="I1844" t="s">
        <v>82</v>
      </c>
      <c r="J1844" t="s">
        <v>41</v>
      </c>
      <c r="K1844">
        <v>4.4000000000000004</v>
      </c>
      <c r="L1844" t="s">
        <v>140</v>
      </c>
      <c r="M1844" t="s">
        <v>15</v>
      </c>
      <c r="N1844" t="s">
        <v>140</v>
      </c>
      <c r="O1844">
        <v>1</v>
      </c>
      <c r="P1844" t="s">
        <v>74</v>
      </c>
      <c r="Q1844" t="s">
        <v>37</v>
      </c>
      <c r="R1844" t="str" cm="1">
        <f t="array" ref="R1844">_xlfn.IFS(B1844&lt;31,"Young-Adult",B1844&lt;41,"Adult",B1844&lt;61,"Middle-aged",B1844&gt;=61,"Senior")</f>
        <v>Senior</v>
      </c>
      <c r="S1844" cm="1">
        <f t="array" ref="S1844">_xlfn.IFS(Q1844 ="Fortnightly",14,Q1844="Weekly",7,Q1844="Monthly",30,Q1844="Quarterly",90,Q1844="Bi-Weekly",14,Q1844="Annually",365,Q1844="Every 3 Months",90,TRUE,"NOT FOUND")</f>
        <v>365</v>
      </c>
    </row>
    <row r="1845" spans="1:19" x14ac:dyDescent="0.35">
      <c r="A1845">
        <v>1844</v>
      </c>
      <c r="B1845">
        <v>36</v>
      </c>
      <c r="C1845" t="s">
        <v>7</v>
      </c>
      <c r="D1845" t="s">
        <v>90</v>
      </c>
      <c r="E1845" t="s">
        <v>51</v>
      </c>
      <c r="F1845">
        <v>76</v>
      </c>
      <c r="G1845" t="s">
        <v>10</v>
      </c>
      <c r="H1845" t="s">
        <v>32</v>
      </c>
      <c r="I1845" t="s">
        <v>49</v>
      </c>
      <c r="J1845" t="s">
        <v>45</v>
      </c>
      <c r="K1845">
        <v>4.7</v>
      </c>
      <c r="L1845" t="s">
        <v>140</v>
      </c>
      <c r="M1845" t="s">
        <v>33</v>
      </c>
      <c r="N1845" t="s">
        <v>140</v>
      </c>
      <c r="O1845">
        <v>32</v>
      </c>
      <c r="P1845" t="s">
        <v>27</v>
      </c>
      <c r="Q1845" t="s">
        <v>76</v>
      </c>
      <c r="R1845" t="str" cm="1">
        <f t="array" ref="R1845">_xlfn.IFS(B1845&lt;31,"Young-Adult",B1845&lt;41,"Adult",B1845&lt;61,"Middle-aged",B1845&gt;=61,"Senior")</f>
        <v>Adult</v>
      </c>
      <c r="S1845" cm="1">
        <f t="array" ref="S1845">_xlfn.IFS(Q1845 ="Fortnightly",14,Q1845="Weekly",7,Q1845="Monthly",30,Q1845="Quarterly",90,Q1845="Bi-Weekly",14,Q1845="Annually",365,Q1845="Every 3 Months",90,TRUE,"NOT FOUND")</f>
        <v>30</v>
      </c>
    </row>
    <row r="1846" spans="1:19" x14ac:dyDescent="0.35">
      <c r="A1846">
        <v>1845</v>
      </c>
      <c r="B1846">
        <v>60</v>
      </c>
      <c r="C1846" t="s">
        <v>7</v>
      </c>
      <c r="D1846" t="s">
        <v>47</v>
      </c>
      <c r="E1846" t="s">
        <v>9</v>
      </c>
      <c r="F1846">
        <v>26</v>
      </c>
      <c r="G1846" t="s">
        <v>135</v>
      </c>
      <c r="H1846" t="s">
        <v>32</v>
      </c>
      <c r="I1846" t="s">
        <v>61</v>
      </c>
      <c r="J1846" t="s">
        <v>25</v>
      </c>
      <c r="K1846">
        <v>2.7</v>
      </c>
      <c r="L1846" t="s">
        <v>140</v>
      </c>
      <c r="M1846" t="s">
        <v>58</v>
      </c>
      <c r="N1846" t="s">
        <v>140</v>
      </c>
      <c r="O1846">
        <v>31</v>
      </c>
      <c r="P1846" t="s">
        <v>27</v>
      </c>
      <c r="Q1846" t="s">
        <v>37</v>
      </c>
      <c r="R1846" t="str" cm="1">
        <f t="array" ref="R1846">_xlfn.IFS(B1846&lt;31,"Young-Adult",B1846&lt;41,"Adult",B1846&lt;61,"Middle-aged",B1846&gt;=61,"Senior")</f>
        <v>Middle-aged</v>
      </c>
      <c r="S1846" cm="1">
        <f t="array" ref="S1846">_xlfn.IFS(Q1846 ="Fortnightly",14,Q1846="Weekly",7,Q1846="Monthly",30,Q1846="Quarterly",90,Q1846="Bi-Weekly",14,Q1846="Annually",365,Q1846="Every 3 Months",90,TRUE,"NOT FOUND")</f>
        <v>365</v>
      </c>
    </row>
    <row r="1847" spans="1:19" x14ac:dyDescent="0.35">
      <c r="A1847">
        <v>1846</v>
      </c>
      <c r="B1847">
        <v>51</v>
      </c>
      <c r="C1847" t="s">
        <v>7</v>
      </c>
      <c r="D1847" t="s">
        <v>29</v>
      </c>
      <c r="E1847" t="s">
        <v>30</v>
      </c>
      <c r="F1847">
        <v>78</v>
      </c>
      <c r="G1847" t="s">
        <v>67</v>
      </c>
      <c r="H1847" t="s">
        <v>32</v>
      </c>
      <c r="I1847" t="s">
        <v>109</v>
      </c>
      <c r="J1847" t="s">
        <v>13</v>
      </c>
      <c r="K1847">
        <v>2.8</v>
      </c>
      <c r="L1847" t="s">
        <v>140</v>
      </c>
      <c r="M1847" t="s">
        <v>58</v>
      </c>
      <c r="N1847" t="s">
        <v>140</v>
      </c>
      <c r="O1847">
        <v>39</v>
      </c>
      <c r="P1847" t="s">
        <v>63</v>
      </c>
      <c r="Q1847" t="s">
        <v>46</v>
      </c>
      <c r="R1847" t="str" cm="1">
        <f t="array" ref="R1847">_xlfn.IFS(B1847&lt;31,"Young-Adult",B1847&lt;41,"Adult",B1847&lt;61,"Middle-aged",B1847&gt;=61,"Senior")</f>
        <v>Middle-aged</v>
      </c>
      <c r="S1847" cm="1">
        <f t="array" ref="S1847">_xlfn.IFS(Q1847 ="Fortnightly",14,Q1847="Weekly",7,Q1847="Monthly",30,Q1847="Quarterly",90,Q1847="Bi-Weekly",14,Q1847="Annually",365,Q1847="Every 3 Months",90,TRUE,"NOT FOUND")</f>
        <v>90</v>
      </c>
    </row>
    <row r="1848" spans="1:19" x14ac:dyDescent="0.35">
      <c r="A1848">
        <v>1847</v>
      </c>
      <c r="B1848">
        <v>68</v>
      </c>
      <c r="C1848" t="s">
        <v>7</v>
      </c>
      <c r="D1848" t="s">
        <v>107</v>
      </c>
      <c r="E1848" t="s">
        <v>55</v>
      </c>
      <c r="F1848">
        <v>53</v>
      </c>
      <c r="G1848" t="s">
        <v>138</v>
      </c>
      <c r="H1848" t="s">
        <v>32</v>
      </c>
      <c r="I1848" t="s">
        <v>122</v>
      </c>
      <c r="J1848" t="s">
        <v>41</v>
      </c>
      <c r="K1848">
        <v>2.9</v>
      </c>
      <c r="L1848" t="s">
        <v>140</v>
      </c>
      <c r="M1848" t="s">
        <v>42</v>
      </c>
      <c r="N1848" t="s">
        <v>140</v>
      </c>
      <c r="O1848">
        <v>9</v>
      </c>
      <c r="P1848" t="s">
        <v>16</v>
      </c>
      <c r="Q1848" t="s">
        <v>46</v>
      </c>
      <c r="R1848" t="str" cm="1">
        <f t="array" ref="R1848">_xlfn.IFS(B1848&lt;31,"Young-Adult",B1848&lt;41,"Adult",B1848&lt;61,"Middle-aged",B1848&gt;=61,"Senior")</f>
        <v>Senior</v>
      </c>
      <c r="S1848" cm="1">
        <f t="array" ref="S1848">_xlfn.IFS(Q1848 ="Fortnightly",14,Q1848="Weekly",7,Q1848="Monthly",30,Q1848="Quarterly",90,Q1848="Bi-Weekly",14,Q1848="Annually",365,Q1848="Every 3 Months",90,TRUE,"NOT FOUND")</f>
        <v>90</v>
      </c>
    </row>
    <row r="1849" spans="1:19" x14ac:dyDescent="0.35">
      <c r="A1849">
        <v>1848</v>
      </c>
      <c r="B1849">
        <v>46</v>
      </c>
      <c r="C1849" t="s">
        <v>7</v>
      </c>
      <c r="D1849" t="s">
        <v>29</v>
      </c>
      <c r="E1849" t="s">
        <v>30</v>
      </c>
      <c r="F1849">
        <v>100</v>
      </c>
      <c r="G1849" t="s">
        <v>105</v>
      </c>
      <c r="H1849" t="s">
        <v>80</v>
      </c>
      <c r="I1849" t="s">
        <v>97</v>
      </c>
      <c r="J1849" t="s">
        <v>41</v>
      </c>
      <c r="K1849">
        <v>4.4000000000000004</v>
      </c>
      <c r="L1849" t="s">
        <v>140</v>
      </c>
      <c r="M1849" t="s">
        <v>26</v>
      </c>
      <c r="N1849" t="s">
        <v>140</v>
      </c>
      <c r="O1849">
        <v>49</v>
      </c>
      <c r="P1849" t="s">
        <v>27</v>
      </c>
      <c r="Q1849" t="s">
        <v>28</v>
      </c>
      <c r="R1849" t="str" cm="1">
        <f t="array" ref="R1849">_xlfn.IFS(B1849&lt;31,"Young-Adult",B1849&lt;41,"Adult",B1849&lt;61,"Middle-aged",B1849&gt;=61,"Senior")</f>
        <v>Middle-aged</v>
      </c>
      <c r="S1849" cm="1">
        <f t="array" ref="S1849">_xlfn.IFS(Q1849 ="Fortnightly",14,Q1849="Weekly",7,Q1849="Monthly",30,Q1849="Quarterly",90,Q1849="Bi-Weekly",14,Q1849="Annually",365,Q1849="Every 3 Months",90,TRUE,"NOT FOUND")</f>
        <v>7</v>
      </c>
    </row>
    <row r="1850" spans="1:19" x14ac:dyDescent="0.35">
      <c r="A1850">
        <v>1849</v>
      </c>
      <c r="B1850">
        <v>19</v>
      </c>
      <c r="C1850" t="s">
        <v>7</v>
      </c>
      <c r="D1850" t="s">
        <v>22</v>
      </c>
      <c r="E1850" t="s">
        <v>9</v>
      </c>
      <c r="F1850">
        <v>73</v>
      </c>
      <c r="G1850" t="s">
        <v>19</v>
      </c>
      <c r="H1850" t="s">
        <v>80</v>
      </c>
      <c r="I1850" t="s">
        <v>122</v>
      </c>
      <c r="J1850" t="s">
        <v>13</v>
      </c>
      <c r="K1850">
        <v>2.7</v>
      </c>
      <c r="L1850" t="s">
        <v>140</v>
      </c>
      <c r="M1850" t="s">
        <v>15</v>
      </c>
      <c r="N1850" t="s">
        <v>140</v>
      </c>
      <c r="O1850">
        <v>34</v>
      </c>
      <c r="P1850" t="s">
        <v>21</v>
      </c>
      <c r="Q1850" t="s">
        <v>85</v>
      </c>
      <c r="R1850" t="str" cm="1">
        <f t="array" ref="R1850">_xlfn.IFS(B1850&lt;31,"Young-Adult",B1850&lt;41,"Adult",B1850&lt;61,"Middle-aged",B1850&gt;=61,"Senior")</f>
        <v>Young-Adult</v>
      </c>
      <c r="S1850" cm="1">
        <f t="array" ref="S1850">_xlfn.IFS(Q1850 ="Fortnightly",14,Q1850="Weekly",7,Q1850="Monthly",30,Q1850="Quarterly",90,Q1850="Bi-Weekly",14,Q1850="Annually",365,Q1850="Every 3 Months",90,TRUE,"NOT FOUND")</f>
        <v>90</v>
      </c>
    </row>
    <row r="1851" spans="1:19" x14ac:dyDescent="0.35">
      <c r="A1851">
        <v>1850</v>
      </c>
      <c r="B1851">
        <v>30</v>
      </c>
      <c r="C1851" t="s">
        <v>7</v>
      </c>
      <c r="D1851" t="s">
        <v>75</v>
      </c>
      <c r="E1851" t="s">
        <v>9</v>
      </c>
      <c r="F1851">
        <v>40</v>
      </c>
      <c r="G1851" t="s">
        <v>118</v>
      </c>
      <c r="H1851" t="s">
        <v>32</v>
      </c>
      <c r="I1851" t="s">
        <v>20</v>
      </c>
      <c r="J1851" t="s">
        <v>13</v>
      </c>
      <c r="K1851">
        <v>4.5</v>
      </c>
      <c r="L1851" t="s">
        <v>140</v>
      </c>
      <c r="M1851" t="s">
        <v>62</v>
      </c>
      <c r="N1851" t="s">
        <v>140</v>
      </c>
      <c r="O1851">
        <v>35</v>
      </c>
      <c r="P1851" t="s">
        <v>63</v>
      </c>
      <c r="Q1851" t="s">
        <v>76</v>
      </c>
      <c r="R1851" t="str" cm="1">
        <f t="array" ref="R1851">_xlfn.IFS(B1851&lt;31,"Young-Adult",B1851&lt;41,"Adult",B1851&lt;61,"Middle-aged",B1851&gt;=61,"Senior")</f>
        <v>Young-Adult</v>
      </c>
      <c r="S1851" cm="1">
        <f t="array" ref="S1851">_xlfn.IFS(Q1851 ="Fortnightly",14,Q1851="Weekly",7,Q1851="Monthly",30,Q1851="Quarterly",90,Q1851="Bi-Weekly",14,Q1851="Annually",365,Q1851="Every 3 Months",90,TRUE,"NOT FOUND")</f>
        <v>30</v>
      </c>
    </row>
    <row r="1852" spans="1:19" x14ac:dyDescent="0.35">
      <c r="A1852">
        <v>1851</v>
      </c>
      <c r="B1852">
        <v>51</v>
      </c>
      <c r="C1852" t="s">
        <v>7</v>
      </c>
      <c r="D1852" t="s">
        <v>131</v>
      </c>
      <c r="E1852" t="s">
        <v>55</v>
      </c>
      <c r="F1852">
        <v>76</v>
      </c>
      <c r="G1852" t="s">
        <v>39</v>
      </c>
      <c r="H1852" t="s">
        <v>24</v>
      </c>
      <c r="I1852" t="s">
        <v>82</v>
      </c>
      <c r="J1852" t="s">
        <v>13</v>
      </c>
      <c r="K1852">
        <v>2.8</v>
      </c>
      <c r="L1852" t="s">
        <v>140</v>
      </c>
      <c r="M1852" t="s">
        <v>62</v>
      </c>
      <c r="N1852" t="s">
        <v>140</v>
      </c>
      <c r="O1852">
        <v>50</v>
      </c>
      <c r="P1852" t="s">
        <v>74</v>
      </c>
      <c r="Q1852" t="s">
        <v>28</v>
      </c>
      <c r="R1852" t="str" cm="1">
        <f t="array" ref="R1852">_xlfn.IFS(B1852&lt;31,"Young-Adult",B1852&lt;41,"Adult",B1852&lt;61,"Middle-aged",B1852&gt;=61,"Senior")</f>
        <v>Middle-aged</v>
      </c>
      <c r="S1852" cm="1">
        <f t="array" ref="S1852">_xlfn.IFS(Q1852 ="Fortnightly",14,Q1852="Weekly",7,Q1852="Monthly",30,Q1852="Quarterly",90,Q1852="Bi-Weekly",14,Q1852="Annually",365,Q1852="Every 3 Months",90,TRUE,"NOT FOUND")</f>
        <v>7</v>
      </c>
    </row>
    <row r="1853" spans="1:19" x14ac:dyDescent="0.35">
      <c r="A1853">
        <v>1852</v>
      </c>
      <c r="B1853">
        <v>28</v>
      </c>
      <c r="C1853" t="s">
        <v>7</v>
      </c>
      <c r="D1853" t="s">
        <v>75</v>
      </c>
      <c r="E1853" t="s">
        <v>9</v>
      </c>
      <c r="F1853">
        <v>80</v>
      </c>
      <c r="G1853" t="s">
        <v>67</v>
      </c>
      <c r="H1853" t="s">
        <v>24</v>
      </c>
      <c r="I1853" t="s">
        <v>81</v>
      </c>
      <c r="J1853" t="s">
        <v>45</v>
      </c>
      <c r="K1853">
        <v>3.1</v>
      </c>
      <c r="L1853" t="s">
        <v>140</v>
      </c>
      <c r="M1853" t="s">
        <v>26</v>
      </c>
      <c r="N1853" t="s">
        <v>140</v>
      </c>
      <c r="O1853">
        <v>4</v>
      </c>
      <c r="P1853" t="s">
        <v>63</v>
      </c>
      <c r="Q1853" t="s">
        <v>17</v>
      </c>
      <c r="R1853" t="str" cm="1">
        <f t="array" ref="R1853">_xlfn.IFS(B1853&lt;31,"Young-Adult",B1853&lt;41,"Adult",B1853&lt;61,"Middle-aged",B1853&gt;=61,"Senior")</f>
        <v>Young-Adult</v>
      </c>
      <c r="S1853" cm="1">
        <f t="array" ref="S1853">_xlfn.IFS(Q1853 ="Fortnightly",14,Q1853="Weekly",7,Q1853="Monthly",30,Q1853="Quarterly",90,Q1853="Bi-Weekly",14,Q1853="Annually",365,Q1853="Every 3 Months",90,TRUE,"NOT FOUND")</f>
        <v>14</v>
      </c>
    </row>
    <row r="1854" spans="1:19" x14ac:dyDescent="0.35">
      <c r="A1854">
        <v>1853</v>
      </c>
      <c r="B1854">
        <v>41</v>
      </c>
      <c r="C1854" t="s">
        <v>7</v>
      </c>
      <c r="D1854" t="s">
        <v>18</v>
      </c>
      <c r="E1854" t="s">
        <v>9</v>
      </c>
      <c r="F1854">
        <v>80</v>
      </c>
      <c r="G1854" t="s">
        <v>126</v>
      </c>
      <c r="H1854" t="s">
        <v>80</v>
      </c>
      <c r="I1854" t="s">
        <v>71</v>
      </c>
      <c r="J1854" t="s">
        <v>13</v>
      </c>
      <c r="K1854">
        <v>3.8</v>
      </c>
      <c r="L1854" t="s">
        <v>140</v>
      </c>
      <c r="M1854" t="s">
        <v>62</v>
      </c>
      <c r="N1854" t="s">
        <v>140</v>
      </c>
      <c r="O1854">
        <v>32</v>
      </c>
      <c r="P1854" t="s">
        <v>21</v>
      </c>
      <c r="Q1854" t="s">
        <v>28</v>
      </c>
      <c r="R1854" t="str" cm="1">
        <f t="array" ref="R1854">_xlfn.IFS(B1854&lt;31,"Young-Adult",B1854&lt;41,"Adult",B1854&lt;61,"Middle-aged",B1854&gt;=61,"Senior")</f>
        <v>Middle-aged</v>
      </c>
      <c r="S1854" cm="1">
        <f t="array" ref="S1854">_xlfn.IFS(Q1854 ="Fortnightly",14,Q1854="Weekly",7,Q1854="Monthly",30,Q1854="Quarterly",90,Q1854="Bi-Weekly",14,Q1854="Annually",365,Q1854="Every 3 Months",90,TRUE,"NOT FOUND")</f>
        <v>7</v>
      </c>
    </row>
    <row r="1855" spans="1:19" x14ac:dyDescent="0.35">
      <c r="A1855">
        <v>1854</v>
      </c>
      <c r="B1855">
        <v>29</v>
      </c>
      <c r="C1855" t="s">
        <v>7</v>
      </c>
      <c r="D1855" t="s">
        <v>8</v>
      </c>
      <c r="E1855" t="s">
        <v>9</v>
      </c>
      <c r="F1855">
        <v>67</v>
      </c>
      <c r="G1855" t="s">
        <v>102</v>
      </c>
      <c r="H1855" t="s">
        <v>80</v>
      </c>
      <c r="I1855" t="s">
        <v>66</v>
      </c>
      <c r="J1855" t="s">
        <v>25</v>
      </c>
      <c r="K1855">
        <v>2.9</v>
      </c>
      <c r="L1855" t="s">
        <v>140</v>
      </c>
      <c r="M1855" t="s">
        <v>15</v>
      </c>
      <c r="N1855" t="s">
        <v>140</v>
      </c>
      <c r="O1855">
        <v>11</v>
      </c>
      <c r="P1855" t="s">
        <v>34</v>
      </c>
      <c r="Q1855" t="s">
        <v>17</v>
      </c>
      <c r="R1855" t="str" cm="1">
        <f t="array" ref="R1855">_xlfn.IFS(B1855&lt;31,"Young-Adult",B1855&lt;41,"Adult",B1855&lt;61,"Middle-aged",B1855&gt;=61,"Senior")</f>
        <v>Young-Adult</v>
      </c>
      <c r="S1855" cm="1">
        <f t="array" ref="S1855">_xlfn.IFS(Q1855 ="Fortnightly",14,Q1855="Weekly",7,Q1855="Monthly",30,Q1855="Quarterly",90,Q1855="Bi-Weekly",14,Q1855="Annually",365,Q1855="Every 3 Months",90,TRUE,"NOT FOUND")</f>
        <v>14</v>
      </c>
    </row>
    <row r="1856" spans="1:19" x14ac:dyDescent="0.35">
      <c r="A1856">
        <v>1855</v>
      </c>
      <c r="B1856">
        <v>25</v>
      </c>
      <c r="C1856" t="s">
        <v>7</v>
      </c>
      <c r="D1856" t="s">
        <v>18</v>
      </c>
      <c r="E1856" t="s">
        <v>9</v>
      </c>
      <c r="F1856">
        <v>61</v>
      </c>
      <c r="G1856" t="s">
        <v>10</v>
      </c>
      <c r="H1856" t="s">
        <v>32</v>
      </c>
      <c r="I1856" t="s">
        <v>73</v>
      </c>
      <c r="J1856" t="s">
        <v>25</v>
      </c>
      <c r="K1856">
        <v>3.8</v>
      </c>
      <c r="L1856" t="s">
        <v>140</v>
      </c>
      <c r="M1856" t="s">
        <v>15</v>
      </c>
      <c r="N1856" t="s">
        <v>140</v>
      </c>
      <c r="O1856">
        <v>49</v>
      </c>
      <c r="P1856" t="s">
        <v>27</v>
      </c>
      <c r="Q1856" t="s">
        <v>37</v>
      </c>
      <c r="R1856" t="str" cm="1">
        <f t="array" ref="R1856">_xlfn.IFS(B1856&lt;31,"Young-Adult",B1856&lt;41,"Adult",B1856&lt;61,"Middle-aged",B1856&gt;=61,"Senior")</f>
        <v>Young-Adult</v>
      </c>
      <c r="S1856" cm="1">
        <f t="array" ref="S1856">_xlfn.IFS(Q1856 ="Fortnightly",14,Q1856="Weekly",7,Q1856="Monthly",30,Q1856="Quarterly",90,Q1856="Bi-Weekly",14,Q1856="Annually",365,Q1856="Every 3 Months",90,TRUE,"NOT FOUND")</f>
        <v>365</v>
      </c>
    </row>
    <row r="1857" spans="1:19" x14ac:dyDescent="0.35">
      <c r="A1857">
        <v>1856</v>
      </c>
      <c r="B1857">
        <v>60</v>
      </c>
      <c r="C1857" t="s">
        <v>7</v>
      </c>
      <c r="D1857" t="s">
        <v>43</v>
      </c>
      <c r="E1857" t="s">
        <v>9</v>
      </c>
      <c r="F1857">
        <v>76</v>
      </c>
      <c r="G1857" t="s">
        <v>31</v>
      </c>
      <c r="H1857" t="s">
        <v>80</v>
      </c>
      <c r="I1857" t="s">
        <v>73</v>
      </c>
      <c r="J1857" t="s">
        <v>25</v>
      </c>
      <c r="K1857">
        <v>4.7</v>
      </c>
      <c r="L1857" t="s">
        <v>140</v>
      </c>
      <c r="M1857" t="s">
        <v>42</v>
      </c>
      <c r="N1857" t="s">
        <v>140</v>
      </c>
      <c r="O1857">
        <v>9</v>
      </c>
      <c r="P1857" t="s">
        <v>21</v>
      </c>
      <c r="Q1857" t="s">
        <v>37</v>
      </c>
      <c r="R1857" t="str" cm="1">
        <f t="array" ref="R1857">_xlfn.IFS(B1857&lt;31,"Young-Adult",B1857&lt;41,"Adult",B1857&lt;61,"Middle-aged",B1857&gt;=61,"Senior")</f>
        <v>Middle-aged</v>
      </c>
      <c r="S1857" cm="1">
        <f t="array" ref="S1857">_xlfn.IFS(Q1857 ="Fortnightly",14,Q1857="Weekly",7,Q1857="Monthly",30,Q1857="Quarterly",90,Q1857="Bi-Weekly",14,Q1857="Annually",365,Q1857="Every 3 Months",90,TRUE,"NOT FOUND")</f>
        <v>365</v>
      </c>
    </row>
    <row r="1858" spans="1:19" x14ac:dyDescent="0.35">
      <c r="A1858">
        <v>1857</v>
      </c>
      <c r="B1858">
        <v>63</v>
      </c>
      <c r="C1858" t="s">
        <v>7</v>
      </c>
      <c r="D1858" t="s">
        <v>94</v>
      </c>
      <c r="E1858" t="s">
        <v>55</v>
      </c>
      <c r="F1858">
        <v>55</v>
      </c>
      <c r="G1858" t="s">
        <v>105</v>
      </c>
      <c r="H1858" t="s">
        <v>80</v>
      </c>
      <c r="I1858" t="s">
        <v>106</v>
      </c>
      <c r="J1858" t="s">
        <v>41</v>
      </c>
      <c r="K1858">
        <v>3.2</v>
      </c>
      <c r="L1858" t="s">
        <v>140</v>
      </c>
      <c r="M1858" t="s">
        <v>26</v>
      </c>
      <c r="N1858" t="s">
        <v>140</v>
      </c>
      <c r="O1858">
        <v>30</v>
      </c>
      <c r="P1858" t="s">
        <v>34</v>
      </c>
      <c r="Q1858" t="s">
        <v>64</v>
      </c>
      <c r="R1858" t="str" cm="1">
        <f t="array" ref="R1858">_xlfn.IFS(B1858&lt;31,"Young-Adult",B1858&lt;41,"Adult",B1858&lt;61,"Middle-aged",B1858&gt;=61,"Senior")</f>
        <v>Senior</v>
      </c>
      <c r="S1858" cm="1">
        <f t="array" ref="S1858">_xlfn.IFS(Q1858 ="Fortnightly",14,Q1858="Weekly",7,Q1858="Monthly",30,Q1858="Quarterly",90,Q1858="Bi-Weekly",14,Q1858="Annually",365,Q1858="Every 3 Months",90,TRUE,"NOT FOUND")</f>
        <v>14</v>
      </c>
    </row>
    <row r="1859" spans="1:19" x14ac:dyDescent="0.35">
      <c r="A1859">
        <v>1858</v>
      </c>
      <c r="B1859">
        <v>51</v>
      </c>
      <c r="C1859" t="s">
        <v>7</v>
      </c>
      <c r="D1859" t="s">
        <v>101</v>
      </c>
      <c r="E1859" t="s">
        <v>9</v>
      </c>
      <c r="F1859">
        <v>85</v>
      </c>
      <c r="G1859" t="s">
        <v>100</v>
      </c>
      <c r="H1859" t="s">
        <v>11</v>
      </c>
      <c r="I1859" t="s">
        <v>20</v>
      </c>
      <c r="J1859" t="s">
        <v>41</v>
      </c>
      <c r="K1859">
        <v>4</v>
      </c>
      <c r="L1859" t="s">
        <v>140</v>
      </c>
      <c r="M1859" t="s">
        <v>33</v>
      </c>
      <c r="N1859" t="s">
        <v>140</v>
      </c>
      <c r="O1859">
        <v>33</v>
      </c>
      <c r="P1859" t="s">
        <v>21</v>
      </c>
      <c r="Q1859" t="s">
        <v>76</v>
      </c>
      <c r="R1859" t="str" cm="1">
        <f t="array" ref="R1859">_xlfn.IFS(B1859&lt;31,"Young-Adult",B1859&lt;41,"Adult",B1859&lt;61,"Middle-aged",B1859&gt;=61,"Senior")</f>
        <v>Middle-aged</v>
      </c>
      <c r="S1859" cm="1">
        <f t="array" ref="S1859">_xlfn.IFS(Q1859 ="Fortnightly",14,Q1859="Weekly",7,Q1859="Monthly",30,Q1859="Quarterly",90,Q1859="Bi-Weekly",14,Q1859="Annually",365,Q1859="Every 3 Months",90,TRUE,"NOT FOUND")</f>
        <v>30</v>
      </c>
    </row>
    <row r="1860" spans="1:19" x14ac:dyDescent="0.35">
      <c r="A1860">
        <v>1859</v>
      </c>
      <c r="B1860">
        <v>22</v>
      </c>
      <c r="C1860" t="s">
        <v>7</v>
      </c>
      <c r="D1860" t="s">
        <v>107</v>
      </c>
      <c r="E1860" t="s">
        <v>55</v>
      </c>
      <c r="F1860">
        <v>69</v>
      </c>
      <c r="G1860" t="s">
        <v>19</v>
      </c>
      <c r="H1860" t="s">
        <v>24</v>
      </c>
      <c r="I1860" t="s">
        <v>88</v>
      </c>
      <c r="J1860" t="s">
        <v>25</v>
      </c>
      <c r="K1860">
        <v>4.9000000000000004</v>
      </c>
      <c r="L1860" t="s">
        <v>140</v>
      </c>
      <c r="M1860" t="s">
        <v>58</v>
      </c>
      <c r="N1860" t="s">
        <v>140</v>
      </c>
      <c r="O1860">
        <v>8</v>
      </c>
      <c r="P1860" t="s">
        <v>74</v>
      </c>
      <c r="Q1860" t="s">
        <v>37</v>
      </c>
      <c r="R1860" t="str" cm="1">
        <f t="array" ref="R1860">_xlfn.IFS(B1860&lt;31,"Young-Adult",B1860&lt;41,"Adult",B1860&lt;61,"Middle-aged",B1860&gt;=61,"Senior")</f>
        <v>Young-Adult</v>
      </c>
      <c r="S1860" cm="1">
        <f t="array" ref="S1860">_xlfn.IFS(Q1860 ="Fortnightly",14,Q1860="Weekly",7,Q1860="Monthly",30,Q1860="Quarterly",90,Q1860="Bi-Weekly",14,Q1860="Annually",365,Q1860="Every 3 Months",90,TRUE,"NOT FOUND")</f>
        <v>365</v>
      </c>
    </row>
    <row r="1861" spans="1:19" x14ac:dyDescent="0.35">
      <c r="A1861">
        <v>1860</v>
      </c>
      <c r="B1861">
        <v>54</v>
      </c>
      <c r="C1861" t="s">
        <v>7</v>
      </c>
      <c r="D1861" t="s">
        <v>121</v>
      </c>
      <c r="E1861" t="s">
        <v>55</v>
      </c>
      <c r="F1861">
        <v>26</v>
      </c>
      <c r="G1861" t="s">
        <v>115</v>
      </c>
      <c r="H1861" t="s">
        <v>11</v>
      </c>
      <c r="I1861" t="s">
        <v>106</v>
      </c>
      <c r="J1861" t="s">
        <v>41</v>
      </c>
      <c r="K1861">
        <v>3.7</v>
      </c>
      <c r="L1861" t="s">
        <v>140</v>
      </c>
      <c r="M1861" t="s">
        <v>62</v>
      </c>
      <c r="N1861" t="s">
        <v>140</v>
      </c>
      <c r="O1861">
        <v>29</v>
      </c>
      <c r="P1861" t="s">
        <v>74</v>
      </c>
      <c r="Q1861" t="s">
        <v>17</v>
      </c>
      <c r="R1861" t="str" cm="1">
        <f t="array" ref="R1861">_xlfn.IFS(B1861&lt;31,"Young-Adult",B1861&lt;41,"Adult",B1861&lt;61,"Middle-aged",B1861&gt;=61,"Senior")</f>
        <v>Middle-aged</v>
      </c>
      <c r="S1861" cm="1">
        <f t="array" ref="S1861">_xlfn.IFS(Q1861 ="Fortnightly",14,Q1861="Weekly",7,Q1861="Monthly",30,Q1861="Quarterly",90,Q1861="Bi-Weekly",14,Q1861="Annually",365,Q1861="Every 3 Months",90,TRUE,"NOT FOUND")</f>
        <v>14</v>
      </c>
    </row>
    <row r="1862" spans="1:19" x14ac:dyDescent="0.35">
      <c r="A1862">
        <v>1861</v>
      </c>
      <c r="B1862">
        <v>18</v>
      </c>
      <c r="C1862" t="s">
        <v>7</v>
      </c>
      <c r="D1862" t="s">
        <v>101</v>
      </c>
      <c r="E1862" t="s">
        <v>9</v>
      </c>
      <c r="F1862">
        <v>64</v>
      </c>
      <c r="G1862" t="s">
        <v>99</v>
      </c>
      <c r="H1862" t="s">
        <v>32</v>
      </c>
      <c r="I1862" t="s">
        <v>53</v>
      </c>
      <c r="J1862" t="s">
        <v>41</v>
      </c>
      <c r="K1862">
        <v>4.8</v>
      </c>
      <c r="L1862" t="s">
        <v>140</v>
      </c>
      <c r="M1862" t="s">
        <v>33</v>
      </c>
      <c r="N1862" t="s">
        <v>140</v>
      </c>
      <c r="O1862">
        <v>4</v>
      </c>
      <c r="P1862" t="s">
        <v>27</v>
      </c>
      <c r="Q1862" t="s">
        <v>76</v>
      </c>
      <c r="R1862" t="str" cm="1">
        <f t="array" ref="R1862">_xlfn.IFS(B1862&lt;31,"Young-Adult",B1862&lt;41,"Adult",B1862&lt;61,"Middle-aged",B1862&gt;=61,"Senior")</f>
        <v>Young-Adult</v>
      </c>
      <c r="S1862" cm="1">
        <f t="array" ref="S1862">_xlfn.IFS(Q1862 ="Fortnightly",14,Q1862="Weekly",7,Q1862="Monthly",30,Q1862="Quarterly",90,Q1862="Bi-Weekly",14,Q1862="Annually",365,Q1862="Every 3 Months",90,TRUE,"NOT FOUND")</f>
        <v>30</v>
      </c>
    </row>
    <row r="1863" spans="1:19" x14ac:dyDescent="0.35">
      <c r="A1863">
        <v>1862</v>
      </c>
      <c r="B1863">
        <v>29</v>
      </c>
      <c r="C1863" t="s">
        <v>7</v>
      </c>
      <c r="D1863" t="s">
        <v>38</v>
      </c>
      <c r="E1863" t="s">
        <v>30</v>
      </c>
      <c r="F1863">
        <v>60</v>
      </c>
      <c r="G1863" t="s">
        <v>135</v>
      </c>
      <c r="H1863" t="s">
        <v>24</v>
      </c>
      <c r="I1863" t="s">
        <v>88</v>
      </c>
      <c r="J1863" t="s">
        <v>45</v>
      </c>
      <c r="K1863">
        <v>3.6</v>
      </c>
      <c r="L1863" t="s">
        <v>140</v>
      </c>
      <c r="M1863" t="s">
        <v>42</v>
      </c>
      <c r="N1863" t="s">
        <v>140</v>
      </c>
      <c r="O1863">
        <v>19</v>
      </c>
      <c r="P1863" t="s">
        <v>74</v>
      </c>
      <c r="Q1863" t="s">
        <v>76</v>
      </c>
      <c r="R1863" t="str" cm="1">
        <f t="array" ref="R1863">_xlfn.IFS(B1863&lt;31,"Young-Adult",B1863&lt;41,"Adult",B1863&lt;61,"Middle-aged",B1863&gt;=61,"Senior")</f>
        <v>Young-Adult</v>
      </c>
      <c r="S1863" cm="1">
        <f t="array" ref="S1863">_xlfn.IFS(Q1863 ="Fortnightly",14,Q1863="Weekly",7,Q1863="Monthly",30,Q1863="Quarterly",90,Q1863="Bi-Weekly",14,Q1863="Annually",365,Q1863="Every 3 Months",90,TRUE,"NOT FOUND")</f>
        <v>30</v>
      </c>
    </row>
    <row r="1864" spans="1:19" x14ac:dyDescent="0.35">
      <c r="A1864">
        <v>1863</v>
      </c>
      <c r="B1864">
        <v>59</v>
      </c>
      <c r="C1864" t="s">
        <v>7</v>
      </c>
      <c r="D1864" t="s">
        <v>131</v>
      </c>
      <c r="E1864" t="s">
        <v>55</v>
      </c>
      <c r="F1864">
        <v>36</v>
      </c>
      <c r="G1864" t="s">
        <v>70</v>
      </c>
      <c r="H1864" t="s">
        <v>32</v>
      </c>
      <c r="I1864" t="s">
        <v>36</v>
      </c>
      <c r="J1864" t="s">
        <v>13</v>
      </c>
      <c r="K1864">
        <v>4.5999999999999996</v>
      </c>
      <c r="L1864" t="s">
        <v>140</v>
      </c>
      <c r="M1864" t="s">
        <v>15</v>
      </c>
      <c r="N1864" t="s">
        <v>140</v>
      </c>
      <c r="O1864">
        <v>10</v>
      </c>
      <c r="P1864" t="s">
        <v>34</v>
      </c>
      <c r="Q1864" t="s">
        <v>17</v>
      </c>
      <c r="R1864" t="str" cm="1">
        <f t="array" ref="R1864">_xlfn.IFS(B1864&lt;31,"Young-Adult",B1864&lt;41,"Adult",B1864&lt;61,"Middle-aged",B1864&gt;=61,"Senior")</f>
        <v>Middle-aged</v>
      </c>
      <c r="S1864" cm="1">
        <f t="array" ref="S1864">_xlfn.IFS(Q1864 ="Fortnightly",14,Q1864="Weekly",7,Q1864="Monthly",30,Q1864="Quarterly",90,Q1864="Bi-Weekly",14,Q1864="Annually",365,Q1864="Every 3 Months",90,TRUE,"NOT FOUND")</f>
        <v>14</v>
      </c>
    </row>
    <row r="1865" spans="1:19" x14ac:dyDescent="0.35">
      <c r="A1865">
        <v>1864</v>
      </c>
      <c r="B1865">
        <v>25</v>
      </c>
      <c r="C1865" t="s">
        <v>7</v>
      </c>
      <c r="D1865" t="s">
        <v>29</v>
      </c>
      <c r="E1865" t="s">
        <v>30</v>
      </c>
      <c r="F1865">
        <v>21</v>
      </c>
      <c r="G1865" t="s">
        <v>127</v>
      </c>
      <c r="H1865" t="s">
        <v>11</v>
      </c>
      <c r="I1865" t="s">
        <v>109</v>
      </c>
      <c r="J1865" t="s">
        <v>25</v>
      </c>
      <c r="K1865">
        <v>4.3</v>
      </c>
      <c r="L1865" t="s">
        <v>140</v>
      </c>
      <c r="M1865" t="s">
        <v>58</v>
      </c>
      <c r="N1865" t="s">
        <v>140</v>
      </c>
      <c r="O1865">
        <v>39</v>
      </c>
      <c r="P1865" t="s">
        <v>74</v>
      </c>
      <c r="Q1865" t="s">
        <v>76</v>
      </c>
      <c r="R1865" t="str" cm="1">
        <f t="array" ref="R1865">_xlfn.IFS(B1865&lt;31,"Young-Adult",B1865&lt;41,"Adult",B1865&lt;61,"Middle-aged",B1865&gt;=61,"Senior")</f>
        <v>Young-Adult</v>
      </c>
      <c r="S1865" cm="1">
        <f t="array" ref="S1865">_xlfn.IFS(Q1865 ="Fortnightly",14,Q1865="Weekly",7,Q1865="Monthly",30,Q1865="Quarterly",90,Q1865="Bi-Weekly",14,Q1865="Annually",365,Q1865="Every 3 Months",90,TRUE,"NOT FOUND")</f>
        <v>30</v>
      </c>
    </row>
    <row r="1866" spans="1:19" x14ac:dyDescent="0.35">
      <c r="A1866">
        <v>1865</v>
      </c>
      <c r="B1866">
        <v>19</v>
      </c>
      <c r="C1866" t="s">
        <v>7</v>
      </c>
      <c r="D1866" t="s">
        <v>120</v>
      </c>
      <c r="E1866" t="s">
        <v>55</v>
      </c>
      <c r="F1866">
        <v>72</v>
      </c>
      <c r="G1866" t="s">
        <v>39</v>
      </c>
      <c r="H1866" t="s">
        <v>24</v>
      </c>
      <c r="I1866" t="s">
        <v>97</v>
      </c>
      <c r="J1866" t="s">
        <v>45</v>
      </c>
      <c r="K1866">
        <v>3.2</v>
      </c>
      <c r="L1866" t="s">
        <v>140</v>
      </c>
      <c r="M1866" t="s">
        <v>58</v>
      </c>
      <c r="N1866" t="s">
        <v>140</v>
      </c>
      <c r="O1866">
        <v>21</v>
      </c>
      <c r="P1866" t="s">
        <v>16</v>
      </c>
      <c r="Q1866" t="s">
        <v>46</v>
      </c>
      <c r="R1866" t="str" cm="1">
        <f t="array" ref="R1866">_xlfn.IFS(B1866&lt;31,"Young-Adult",B1866&lt;41,"Adult",B1866&lt;61,"Middle-aged",B1866&gt;=61,"Senior")</f>
        <v>Young-Adult</v>
      </c>
      <c r="S1866" cm="1">
        <f t="array" ref="S1866">_xlfn.IFS(Q1866 ="Fortnightly",14,Q1866="Weekly",7,Q1866="Monthly",30,Q1866="Quarterly",90,Q1866="Bi-Weekly",14,Q1866="Annually",365,Q1866="Every 3 Months",90,TRUE,"NOT FOUND")</f>
        <v>90</v>
      </c>
    </row>
    <row r="1867" spans="1:19" x14ac:dyDescent="0.35">
      <c r="A1867">
        <v>1866</v>
      </c>
      <c r="B1867">
        <v>56</v>
      </c>
      <c r="C1867" t="s">
        <v>7</v>
      </c>
      <c r="D1867" t="s">
        <v>83</v>
      </c>
      <c r="E1867" t="s">
        <v>9</v>
      </c>
      <c r="F1867">
        <v>62</v>
      </c>
      <c r="G1867" t="s">
        <v>56</v>
      </c>
      <c r="H1867" t="s">
        <v>24</v>
      </c>
      <c r="I1867" t="s">
        <v>53</v>
      </c>
      <c r="J1867" t="s">
        <v>41</v>
      </c>
      <c r="K1867">
        <v>3.8</v>
      </c>
      <c r="L1867" t="s">
        <v>140</v>
      </c>
      <c r="M1867" t="s">
        <v>62</v>
      </c>
      <c r="N1867" t="s">
        <v>140</v>
      </c>
      <c r="O1867">
        <v>12</v>
      </c>
      <c r="P1867" t="s">
        <v>63</v>
      </c>
      <c r="Q1867" t="s">
        <v>76</v>
      </c>
      <c r="R1867" t="str" cm="1">
        <f t="array" ref="R1867">_xlfn.IFS(B1867&lt;31,"Young-Adult",B1867&lt;41,"Adult",B1867&lt;61,"Middle-aged",B1867&gt;=61,"Senior")</f>
        <v>Middle-aged</v>
      </c>
      <c r="S1867" cm="1">
        <f t="array" ref="S1867">_xlfn.IFS(Q1867 ="Fortnightly",14,Q1867="Weekly",7,Q1867="Monthly",30,Q1867="Quarterly",90,Q1867="Bi-Weekly",14,Q1867="Annually",365,Q1867="Every 3 Months",90,TRUE,"NOT FOUND")</f>
        <v>30</v>
      </c>
    </row>
    <row r="1868" spans="1:19" x14ac:dyDescent="0.35">
      <c r="A1868">
        <v>1867</v>
      </c>
      <c r="B1868">
        <v>31</v>
      </c>
      <c r="C1868" t="s">
        <v>7</v>
      </c>
      <c r="D1868" t="s">
        <v>101</v>
      </c>
      <c r="E1868" t="s">
        <v>9</v>
      </c>
      <c r="F1868">
        <v>44</v>
      </c>
      <c r="G1868" t="s">
        <v>108</v>
      </c>
      <c r="H1868" t="s">
        <v>80</v>
      </c>
      <c r="I1868" t="s">
        <v>68</v>
      </c>
      <c r="J1868" t="s">
        <v>13</v>
      </c>
      <c r="K1868">
        <v>4.2</v>
      </c>
      <c r="L1868" t="s">
        <v>140</v>
      </c>
      <c r="M1868" t="s">
        <v>42</v>
      </c>
      <c r="N1868" t="s">
        <v>140</v>
      </c>
      <c r="O1868">
        <v>9</v>
      </c>
      <c r="P1868" t="s">
        <v>27</v>
      </c>
      <c r="Q1868" t="s">
        <v>17</v>
      </c>
      <c r="R1868" t="str" cm="1">
        <f t="array" ref="R1868">_xlfn.IFS(B1868&lt;31,"Young-Adult",B1868&lt;41,"Adult",B1868&lt;61,"Middle-aged",B1868&gt;=61,"Senior")</f>
        <v>Adult</v>
      </c>
      <c r="S1868" cm="1">
        <f t="array" ref="S1868">_xlfn.IFS(Q1868 ="Fortnightly",14,Q1868="Weekly",7,Q1868="Monthly",30,Q1868="Quarterly",90,Q1868="Bi-Weekly",14,Q1868="Annually",365,Q1868="Every 3 Months",90,TRUE,"NOT FOUND")</f>
        <v>14</v>
      </c>
    </row>
    <row r="1869" spans="1:19" x14ac:dyDescent="0.35">
      <c r="A1869">
        <v>1868</v>
      </c>
      <c r="B1869">
        <v>45</v>
      </c>
      <c r="C1869" t="s">
        <v>7</v>
      </c>
      <c r="D1869" t="s">
        <v>75</v>
      </c>
      <c r="E1869" t="s">
        <v>9</v>
      </c>
      <c r="F1869">
        <v>52</v>
      </c>
      <c r="G1869" t="s">
        <v>67</v>
      </c>
      <c r="H1869" t="s">
        <v>32</v>
      </c>
      <c r="I1869" t="s">
        <v>98</v>
      </c>
      <c r="J1869" t="s">
        <v>45</v>
      </c>
      <c r="K1869">
        <v>3.4</v>
      </c>
      <c r="L1869" t="s">
        <v>140</v>
      </c>
      <c r="M1869" t="s">
        <v>58</v>
      </c>
      <c r="N1869" t="s">
        <v>140</v>
      </c>
      <c r="O1869">
        <v>20</v>
      </c>
      <c r="P1869" t="s">
        <v>16</v>
      </c>
      <c r="Q1869" t="s">
        <v>46</v>
      </c>
      <c r="R1869" t="str" cm="1">
        <f t="array" ref="R1869">_xlfn.IFS(B1869&lt;31,"Young-Adult",B1869&lt;41,"Adult",B1869&lt;61,"Middle-aged",B1869&gt;=61,"Senior")</f>
        <v>Middle-aged</v>
      </c>
      <c r="S1869" cm="1">
        <f t="array" ref="S1869">_xlfn.IFS(Q1869 ="Fortnightly",14,Q1869="Weekly",7,Q1869="Monthly",30,Q1869="Quarterly",90,Q1869="Bi-Weekly",14,Q1869="Annually",365,Q1869="Every 3 Months",90,TRUE,"NOT FOUND")</f>
        <v>90</v>
      </c>
    </row>
    <row r="1870" spans="1:19" x14ac:dyDescent="0.35">
      <c r="A1870">
        <v>1869</v>
      </c>
      <c r="B1870">
        <v>23</v>
      </c>
      <c r="C1870" t="s">
        <v>7</v>
      </c>
      <c r="D1870" t="s">
        <v>131</v>
      </c>
      <c r="E1870" t="s">
        <v>55</v>
      </c>
      <c r="F1870">
        <v>58</v>
      </c>
      <c r="G1870" t="s">
        <v>104</v>
      </c>
      <c r="H1870" t="s">
        <v>32</v>
      </c>
      <c r="I1870" t="s">
        <v>53</v>
      </c>
      <c r="J1870" t="s">
        <v>25</v>
      </c>
      <c r="K1870">
        <v>4.7</v>
      </c>
      <c r="L1870" t="s">
        <v>140</v>
      </c>
      <c r="M1870" t="s">
        <v>33</v>
      </c>
      <c r="N1870" t="s">
        <v>140</v>
      </c>
      <c r="O1870">
        <v>44</v>
      </c>
      <c r="P1870" t="s">
        <v>21</v>
      </c>
      <c r="Q1870" t="s">
        <v>17</v>
      </c>
      <c r="R1870" t="str" cm="1">
        <f t="array" ref="R1870">_xlfn.IFS(B1870&lt;31,"Young-Adult",B1870&lt;41,"Adult",B1870&lt;61,"Middle-aged",B1870&gt;=61,"Senior")</f>
        <v>Young-Adult</v>
      </c>
      <c r="S1870" cm="1">
        <f t="array" ref="S1870">_xlfn.IFS(Q1870 ="Fortnightly",14,Q1870="Weekly",7,Q1870="Monthly",30,Q1870="Quarterly",90,Q1870="Bi-Weekly",14,Q1870="Annually",365,Q1870="Every 3 Months",90,TRUE,"NOT FOUND")</f>
        <v>14</v>
      </c>
    </row>
    <row r="1871" spans="1:19" x14ac:dyDescent="0.35">
      <c r="A1871">
        <v>1870</v>
      </c>
      <c r="B1871">
        <v>18</v>
      </c>
      <c r="C1871" t="s">
        <v>7</v>
      </c>
      <c r="D1871" t="s">
        <v>8</v>
      </c>
      <c r="E1871" t="s">
        <v>9</v>
      </c>
      <c r="F1871">
        <v>77</v>
      </c>
      <c r="G1871" t="s">
        <v>52</v>
      </c>
      <c r="H1871" t="s">
        <v>24</v>
      </c>
      <c r="I1871" t="s">
        <v>106</v>
      </c>
      <c r="J1871" t="s">
        <v>25</v>
      </c>
      <c r="K1871">
        <v>3.9</v>
      </c>
      <c r="L1871" t="s">
        <v>140</v>
      </c>
      <c r="M1871" t="s">
        <v>58</v>
      </c>
      <c r="N1871" t="s">
        <v>140</v>
      </c>
      <c r="O1871">
        <v>16</v>
      </c>
      <c r="P1871" t="s">
        <v>74</v>
      </c>
      <c r="Q1871" t="s">
        <v>85</v>
      </c>
      <c r="R1871" t="str" cm="1">
        <f t="array" ref="R1871">_xlfn.IFS(B1871&lt;31,"Young-Adult",B1871&lt;41,"Adult",B1871&lt;61,"Middle-aged",B1871&gt;=61,"Senior")</f>
        <v>Young-Adult</v>
      </c>
      <c r="S1871" cm="1">
        <f t="array" ref="S1871">_xlfn.IFS(Q1871 ="Fortnightly",14,Q1871="Weekly",7,Q1871="Monthly",30,Q1871="Quarterly",90,Q1871="Bi-Weekly",14,Q1871="Annually",365,Q1871="Every 3 Months",90,TRUE,"NOT FOUND")</f>
        <v>90</v>
      </c>
    </row>
    <row r="1872" spans="1:19" x14ac:dyDescent="0.35">
      <c r="A1872">
        <v>1871</v>
      </c>
      <c r="B1872">
        <v>43</v>
      </c>
      <c r="C1872" t="s">
        <v>7</v>
      </c>
      <c r="D1872" t="s">
        <v>8</v>
      </c>
      <c r="E1872" t="s">
        <v>9</v>
      </c>
      <c r="F1872">
        <v>99</v>
      </c>
      <c r="G1872" t="s">
        <v>39</v>
      </c>
      <c r="H1872" t="s">
        <v>11</v>
      </c>
      <c r="I1872" t="s">
        <v>71</v>
      </c>
      <c r="J1872" t="s">
        <v>25</v>
      </c>
      <c r="K1872">
        <v>4.3</v>
      </c>
      <c r="L1872" t="s">
        <v>140</v>
      </c>
      <c r="M1872" t="s">
        <v>62</v>
      </c>
      <c r="N1872" t="s">
        <v>140</v>
      </c>
      <c r="O1872">
        <v>27</v>
      </c>
      <c r="P1872" t="s">
        <v>74</v>
      </c>
      <c r="Q1872" t="s">
        <v>17</v>
      </c>
      <c r="R1872" t="str" cm="1">
        <f t="array" ref="R1872">_xlfn.IFS(B1872&lt;31,"Young-Adult",B1872&lt;41,"Adult",B1872&lt;61,"Middle-aged",B1872&gt;=61,"Senior")</f>
        <v>Middle-aged</v>
      </c>
      <c r="S1872" cm="1">
        <f t="array" ref="S1872">_xlfn.IFS(Q1872 ="Fortnightly",14,Q1872="Weekly",7,Q1872="Monthly",30,Q1872="Quarterly",90,Q1872="Bi-Weekly",14,Q1872="Annually",365,Q1872="Every 3 Months",90,TRUE,"NOT FOUND")</f>
        <v>14</v>
      </c>
    </row>
    <row r="1873" spans="1:19" x14ac:dyDescent="0.35">
      <c r="A1873">
        <v>1872</v>
      </c>
      <c r="B1873">
        <v>56</v>
      </c>
      <c r="C1873" t="s">
        <v>7</v>
      </c>
      <c r="D1873" t="s">
        <v>22</v>
      </c>
      <c r="E1873" t="s">
        <v>9</v>
      </c>
      <c r="F1873">
        <v>96</v>
      </c>
      <c r="G1873" t="s">
        <v>103</v>
      </c>
      <c r="H1873" t="s">
        <v>80</v>
      </c>
      <c r="I1873" t="s">
        <v>71</v>
      </c>
      <c r="J1873" t="s">
        <v>45</v>
      </c>
      <c r="K1873">
        <v>2.7</v>
      </c>
      <c r="L1873" t="s">
        <v>140</v>
      </c>
      <c r="M1873" t="s">
        <v>42</v>
      </c>
      <c r="N1873" t="s">
        <v>140</v>
      </c>
      <c r="O1873">
        <v>14</v>
      </c>
      <c r="P1873" t="s">
        <v>21</v>
      </c>
      <c r="Q1873" t="s">
        <v>85</v>
      </c>
      <c r="R1873" t="str" cm="1">
        <f t="array" ref="R1873">_xlfn.IFS(B1873&lt;31,"Young-Adult",B1873&lt;41,"Adult",B1873&lt;61,"Middle-aged",B1873&gt;=61,"Senior")</f>
        <v>Middle-aged</v>
      </c>
      <c r="S1873" cm="1">
        <f t="array" ref="S1873">_xlfn.IFS(Q1873 ="Fortnightly",14,Q1873="Weekly",7,Q1873="Monthly",30,Q1873="Quarterly",90,Q1873="Bi-Weekly",14,Q1873="Annually",365,Q1873="Every 3 Months",90,TRUE,"NOT FOUND")</f>
        <v>90</v>
      </c>
    </row>
    <row r="1874" spans="1:19" x14ac:dyDescent="0.35">
      <c r="A1874">
        <v>1873</v>
      </c>
      <c r="B1874">
        <v>43</v>
      </c>
      <c r="C1874" t="s">
        <v>7</v>
      </c>
      <c r="D1874" t="s">
        <v>101</v>
      </c>
      <c r="E1874" t="s">
        <v>9</v>
      </c>
      <c r="F1874">
        <v>64</v>
      </c>
      <c r="G1874" t="s">
        <v>108</v>
      </c>
      <c r="H1874" t="s">
        <v>32</v>
      </c>
      <c r="I1874" t="s">
        <v>81</v>
      </c>
      <c r="J1874" t="s">
        <v>41</v>
      </c>
      <c r="K1874">
        <v>4.5999999999999996</v>
      </c>
      <c r="L1874" t="s">
        <v>140</v>
      </c>
      <c r="M1874" t="s">
        <v>42</v>
      </c>
      <c r="N1874" t="s">
        <v>140</v>
      </c>
      <c r="O1874">
        <v>24</v>
      </c>
      <c r="P1874" t="s">
        <v>27</v>
      </c>
      <c r="Q1874" t="s">
        <v>76</v>
      </c>
      <c r="R1874" t="str" cm="1">
        <f t="array" ref="R1874">_xlfn.IFS(B1874&lt;31,"Young-Adult",B1874&lt;41,"Adult",B1874&lt;61,"Middle-aged",B1874&gt;=61,"Senior")</f>
        <v>Middle-aged</v>
      </c>
      <c r="S1874" cm="1">
        <f t="array" ref="S1874">_xlfn.IFS(Q1874 ="Fortnightly",14,Q1874="Weekly",7,Q1874="Monthly",30,Q1874="Quarterly",90,Q1874="Bi-Weekly",14,Q1874="Annually",365,Q1874="Every 3 Months",90,TRUE,"NOT FOUND")</f>
        <v>30</v>
      </c>
    </row>
    <row r="1875" spans="1:19" x14ac:dyDescent="0.35">
      <c r="A1875">
        <v>1874</v>
      </c>
      <c r="B1875">
        <v>64</v>
      </c>
      <c r="C1875" t="s">
        <v>7</v>
      </c>
      <c r="D1875" t="s">
        <v>18</v>
      </c>
      <c r="E1875" t="s">
        <v>9</v>
      </c>
      <c r="F1875">
        <v>44</v>
      </c>
      <c r="G1875" t="s">
        <v>138</v>
      </c>
      <c r="H1875" t="s">
        <v>80</v>
      </c>
      <c r="I1875" t="s">
        <v>96</v>
      </c>
      <c r="J1875" t="s">
        <v>45</v>
      </c>
      <c r="K1875">
        <v>2.9</v>
      </c>
      <c r="L1875" t="s">
        <v>140</v>
      </c>
      <c r="M1875" t="s">
        <v>15</v>
      </c>
      <c r="N1875" t="s">
        <v>140</v>
      </c>
      <c r="O1875">
        <v>49</v>
      </c>
      <c r="P1875" t="s">
        <v>63</v>
      </c>
      <c r="Q1875" t="s">
        <v>28</v>
      </c>
      <c r="R1875" t="str" cm="1">
        <f t="array" ref="R1875">_xlfn.IFS(B1875&lt;31,"Young-Adult",B1875&lt;41,"Adult",B1875&lt;61,"Middle-aged",B1875&gt;=61,"Senior")</f>
        <v>Senior</v>
      </c>
      <c r="S1875" cm="1">
        <f t="array" ref="S1875">_xlfn.IFS(Q1875 ="Fortnightly",14,Q1875="Weekly",7,Q1875="Monthly",30,Q1875="Quarterly",90,Q1875="Bi-Weekly",14,Q1875="Annually",365,Q1875="Every 3 Months",90,TRUE,"NOT FOUND")</f>
        <v>7</v>
      </c>
    </row>
    <row r="1876" spans="1:19" x14ac:dyDescent="0.35">
      <c r="A1876">
        <v>1875</v>
      </c>
      <c r="B1876">
        <v>67</v>
      </c>
      <c r="C1876" t="s">
        <v>7</v>
      </c>
      <c r="D1876" t="s">
        <v>83</v>
      </c>
      <c r="E1876" t="s">
        <v>9</v>
      </c>
      <c r="F1876">
        <v>33</v>
      </c>
      <c r="G1876" t="s">
        <v>104</v>
      </c>
      <c r="H1876" t="s">
        <v>11</v>
      </c>
      <c r="I1876" t="s">
        <v>61</v>
      </c>
      <c r="J1876" t="s">
        <v>45</v>
      </c>
      <c r="K1876">
        <v>3.6</v>
      </c>
      <c r="L1876" t="s">
        <v>140</v>
      </c>
      <c r="M1876" t="s">
        <v>26</v>
      </c>
      <c r="N1876" t="s">
        <v>140</v>
      </c>
      <c r="O1876">
        <v>14</v>
      </c>
      <c r="P1876" t="s">
        <v>21</v>
      </c>
      <c r="Q1876" t="s">
        <v>28</v>
      </c>
      <c r="R1876" t="str" cm="1">
        <f t="array" ref="R1876">_xlfn.IFS(B1876&lt;31,"Young-Adult",B1876&lt;41,"Adult",B1876&lt;61,"Middle-aged",B1876&gt;=61,"Senior")</f>
        <v>Senior</v>
      </c>
      <c r="S1876" cm="1">
        <f t="array" ref="S1876">_xlfn.IFS(Q1876 ="Fortnightly",14,Q1876="Weekly",7,Q1876="Monthly",30,Q1876="Quarterly",90,Q1876="Bi-Weekly",14,Q1876="Annually",365,Q1876="Every 3 Months",90,TRUE,"NOT FOUND")</f>
        <v>7</v>
      </c>
    </row>
    <row r="1877" spans="1:19" x14ac:dyDescent="0.35">
      <c r="A1877">
        <v>1876</v>
      </c>
      <c r="B1877">
        <v>63</v>
      </c>
      <c r="C1877" t="s">
        <v>7</v>
      </c>
      <c r="D1877" t="s">
        <v>125</v>
      </c>
      <c r="E1877" t="s">
        <v>30</v>
      </c>
      <c r="F1877">
        <v>71</v>
      </c>
      <c r="G1877" t="s">
        <v>110</v>
      </c>
      <c r="H1877" t="s">
        <v>32</v>
      </c>
      <c r="I1877" t="s">
        <v>98</v>
      </c>
      <c r="J1877" t="s">
        <v>13</v>
      </c>
      <c r="K1877">
        <v>3.9</v>
      </c>
      <c r="L1877" t="s">
        <v>140</v>
      </c>
      <c r="M1877" t="s">
        <v>33</v>
      </c>
      <c r="N1877" t="s">
        <v>140</v>
      </c>
      <c r="O1877">
        <v>6</v>
      </c>
      <c r="P1877" t="s">
        <v>27</v>
      </c>
      <c r="Q1877" t="s">
        <v>46</v>
      </c>
      <c r="R1877" t="str" cm="1">
        <f t="array" ref="R1877">_xlfn.IFS(B1877&lt;31,"Young-Adult",B1877&lt;41,"Adult",B1877&lt;61,"Middle-aged",B1877&gt;=61,"Senior")</f>
        <v>Senior</v>
      </c>
      <c r="S1877" cm="1">
        <f t="array" ref="S1877">_xlfn.IFS(Q1877 ="Fortnightly",14,Q1877="Weekly",7,Q1877="Monthly",30,Q1877="Quarterly",90,Q1877="Bi-Weekly",14,Q1877="Annually",365,Q1877="Every 3 Months",90,TRUE,"NOT FOUND")</f>
        <v>90</v>
      </c>
    </row>
    <row r="1878" spans="1:19" x14ac:dyDescent="0.35">
      <c r="A1878">
        <v>1877</v>
      </c>
      <c r="B1878">
        <v>54</v>
      </c>
      <c r="C1878" t="s">
        <v>7</v>
      </c>
      <c r="D1878" t="s">
        <v>75</v>
      </c>
      <c r="E1878" t="s">
        <v>9</v>
      </c>
      <c r="F1878">
        <v>36</v>
      </c>
      <c r="G1878" t="s">
        <v>103</v>
      </c>
      <c r="H1878" t="s">
        <v>32</v>
      </c>
      <c r="I1878" t="s">
        <v>12</v>
      </c>
      <c r="J1878" t="s">
        <v>45</v>
      </c>
      <c r="K1878">
        <v>2.6</v>
      </c>
      <c r="L1878" t="s">
        <v>140</v>
      </c>
      <c r="M1878" t="s">
        <v>42</v>
      </c>
      <c r="N1878" t="s">
        <v>140</v>
      </c>
      <c r="O1878">
        <v>20</v>
      </c>
      <c r="P1878" t="s">
        <v>16</v>
      </c>
      <c r="Q1878" t="s">
        <v>46</v>
      </c>
      <c r="R1878" t="str" cm="1">
        <f t="array" ref="R1878">_xlfn.IFS(B1878&lt;31,"Young-Adult",B1878&lt;41,"Adult",B1878&lt;61,"Middle-aged",B1878&gt;=61,"Senior")</f>
        <v>Middle-aged</v>
      </c>
      <c r="S1878" cm="1">
        <f t="array" ref="S1878">_xlfn.IFS(Q1878 ="Fortnightly",14,Q1878="Weekly",7,Q1878="Monthly",30,Q1878="Quarterly",90,Q1878="Bi-Weekly",14,Q1878="Annually",365,Q1878="Every 3 Months",90,TRUE,"NOT FOUND")</f>
        <v>90</v>
      </c>
    </row>
    <row r="1879" spans="1:19" x14ac:dyDescent="0.35">
      <c r="A1879">
        <v>1878</v>
      </c>
      <c r="B1879">
        <v>69</v>
      </c>
      <c r="C1879" t="s">
        <v>7</v>
      </c>
      <c r="D1879" t="s">
        <v>131</v>
      </c>
      <c r="E1879" t="s">
        <v>55</v>
      </c>
      <c r="F1879">
        <v>62</v>
      </c>
      <c r="G1879" t="s">
        <v>126</v>
      </c>
      <c r="H1879" t="s">
        <v>11</v>
      </c>
      <c r="I1879" t="s">
        <v>57</v>
      </c>
      <c r="J1879" t="s">
        <v>45</v>
      </c>
      <c r="K1879">
        <v>3.6</v>
      </c>
      <c r="L1879" t="s">
        <v>140</v>
      </c>
      <c r="M1879" t="s">
        <v>15</v>
      </c>
      <c r="N1879" t="s">
        <v>140</v>
      </c>
      <c r="O1879">
        <v>3</v>
      </c>
      <c r="P1879" t="s">
        <v>27</v>
      </c>
      <c r="Q1879" t="s">
        <v>37</v>
      </c>
      <c r="R1879" t="str" cm="1">
        <f t="array" ref="R1879">_xlfn.IFS(B1879&lt;31,"Young-Adult",B1879&lt;41,"Adult",B1879&lt;61,"Middle-aged",B1879&gt;=61,"Senior")</f>
        <v>Senior</v>
      </c>
      <c r="S1879" cm="1">
        <f t="array" ref="S1879">_xlfn.IFS(Q1879 ="Fortnightly",14,Q1879="Weekly",7,Q1879="Monthly",30,Q1879="Quarterly",90,Q1879="Bi-Weekly",14,Q1879="Annually",365,Q1879="Every 3 Months",90,TRUE,"NOT FOUND")</f>
        <v>365</v>
      </c>
    </row>
    <row r="1880" spans="1:19" x14ac:dyDescent="0.35">
      <c r="A1880">
        <v>1879</v>
      </c>
      <c r="B1880">
        <v>34</v>
      </c>
      <c r="C1880" t="s">
        <v>7</v>
      </c>
      <c r="D1880" t="s">
        <v>113</v>
      </c>
      <c r="E1880" t="s">
        <v>9</v>
      </c>
      <c r="F1880">
        <v>29</v>
      </c>
      <c r="G1880" t="s">
        <v>89</v>
      </c>
      <c r="H1880" t="s">
        <v>11</v>
      </c>
      <c r="I1880" t="s">
        <v>124</v>
      </c>
      <c r="J1880" t="s">
        <v>41</v>
      </c>
      <c r="K1880">
        <v>3.4</v>
      </c>
      <c r="L1880" t="s">
        <v>140</v>
      </c>
      <c r="M1880" t="s">
        <v>62</v>
      </c>
      <c r="N1880" t="s">
        <v>140</v>
      </c>
      <c r="O1880">
        <v>5</v>
      </c>
      <c r="P1880" t="s">
        <v>27</v>
      </c>
      <c r="Q1880" t="s">
        <v>76</v>
      </c>
      <c r="R1880" t="str" cm="1">
        <f t="array" ref="R1880">_xlfn.IFS(B1880&lt;31,"Young-Adult",B1880&lt;41,"Adult",B1880&lt;61,"Middle-aged",B1880&gt;=61,"Senior")</f>
        <v>Adult</v>
      </c>
      <c r="S1880" cm="1">
        <f t="array" ref="S1880">_xlfn.IFS(Q1880 ="Fortnightly",14,Q1880="Weekly",7,Q1880="Monthly",30,Q1880="Quarterly",90,Q1880="Bi-Weekly",14,Q1880="Annually",365,Q1880="Every 3 Months",90,TRUE,"NOT FOUND")</f>
        <v>30</v>
      </c>
    </row>
    <row r="1881" spans="1:19" x14ac:dyDescent="0.35">
      <c r="A1881">
        <v>1880</v>
      </c>
      <c r="B1881">
        <v>56</v>
      </c>
      <c r="C1881" t="s">
        <v>7</v>
      </c>
      <c r="D1881" t="s">
        <v>101</v>
      </c>
      <c r="E1881" t="s">
        <v>9</v>
      </c>
      <c r="F1881">
        <v>33</v>
      </c>
      <c r="G1881" t="s">
        <v>110</v>
      </c>
      <c r="H1881" t="s">
        <v>11</v>
      </c>
      <c r="I1881" t="s">
        <v>49</v>
      </c>
      <c r="J1881" t="s">
        <v>25</v>
      </c>
      <c r="K1881">
        <v>3.5</v>
      </c>
      <c r="L1881" t="s">
        <v>140</v>
      </c>
      <c r="M1881" t="s">
        <v>15</v>
      </c>
      <c r="N1881" t="s">
        <v>140</v>
      </c>
      <c r="O1881">
        <v>46</v>
      </c>
      <c r="P1881" t="s">
        <v>21</v>
      </c>
      <c r="Q1881" t="s">
        <v>64</v>
      </c>
      <c r="R1881" t="str" cm="1">
        <f t="array" ref="R1881">_xlfn.IFS(B1881&lt;31,"Young-Adult",B1881&lt;41,"Adult",B1881&lt;61,"Middle-aged",B1881&gt;=61,"Senior")</f>
        <v>Middle-aged</v>
      </c>
      <c r="S1881" cm="1">
        <f t="array" ref="S1881">_xlfn.IFS(Q1881 ="Fortnightly",14,Q1881="Weekly",7,Q1881="Monthly",30,Q1881="Quarterly",90,Q1881="Bi-Weekly",14,Q1881="Annually",365,Q1881="Every 3 Months",90,TRUE,"NOT FOUND")</f>
        <v>14</v>
      </c>
    </row>
    <row r="1882" spans="1:19" x14ac:dyDescent="0.35">
      <c r="A1882">
        <v>1881</v>
      </c>
      <c r="B1882">
        <v>34</v>
      </c>
      <c r="C1882" t="s">
        <v>7</v>
      </c>
      <c r="D1882" t="s">
        <v>8</v>
      </c>
      <c r="E1882" t="s">
        <v>9</v>
      </c>
      <c r="F1882">
        <v>33</v>
      </c>
      <c r="G1882" t="s">
        <v>115</v>
      </c>
      <c r="H1882" t="s">
        <v>11</v>
      </c>
      <c r="I1882" t="s">
        <v>122</v>
      </c>
      <c r="J1882" t="s">
        <v>45</v>
      </c>
      <c r="K1882">
        <v>3.1</v>
      </c>
      <c r="L1882" t="s">
        <v>140</v>
      </c>
      <c r="M1882" t="s">
        <v>58</v>
      </c>
      <c r="N1882" t="s">
        <v>140</v>
      </c>
      <c r="O1882">
        <v>8</v>
      </c>
      <c r="P1882" t="s">
        <v>74</v>
      </c>
      <c r="Q1882" t="s">
        <v>76</v>
      </c>
      <c r="R1882" t="str" cm="1">
        <f t="array" ref="R1882">_xlfn.IFS(B1882&lt;31,"Young-Adult",B1882&lt;41,"Adult",B1882&lt;61,"Middle-aged",B1882&gt;=61,"Senior")</f>
        <v>Adult</v>
      </c>
      <c r="S1882" cm="1">
        <f t="array" ref="S1882">_xlfn.IFS(Q1882 ="Fortnightly",14,Q1882="Weekly",7,Q1882="Monthly",30,Q1882="Quarterly",90,Q1882="Bi-Weekly",14,Q1882="Annually",365,Q1882="Every 3 Months",90,TRUE,"NOT FOUND")</f>
        <v>30</v>
      </c>
    </row>
    <row r="1883" spans="1:19" x14ac:dyDescent="0.35">
      <c r="A1883">
        <v>1882</v>
      </c>
      <c r="B1883">
        <v>58</v>
      </c>
      <c r="C1883" t="s">
        <v>7</v>
      </c>
      <c r="D1883" t="s">
        <v>8</v>
      </c>
      <c r="E1883" t="s">
        <v>9</v>
      </c>
      <c r="F1883">
        <v>41</v>
      </c>
      <c r="G1883" t="s">
        <v>115</v>
      </c>
      <c r="H1883" t="s">
        <v>32</v>
      </c>
      <c r="I1883" t="s">
        <v>96</v>
      </c>
      <c r="J1883" t="s">
        <v>13</v>
      </c>
      <c r="K1883">
        <v>4.3</v>
      </c>
      <c r="L1883" t="s">
        <v>140</v>
      </c>
      <c r="M1883" t="s">
        <v>42</v>
      </c>
      <c r="N1883" t="s">
        <v>140</v>
      </c>
      <c r="O1883">
        <v>13</v>
      </c>
      <c r="P1883" t="s">
        <v>21</v>
      </c>
      <c r="Q1883" t="s">
        <v>64</v>
      </c>
      <c r="R1883" t="str" cm="1">
        <f t="array" ref="R1883">_xlfn.IFS(B1883&lt;31,"Young-Adult",B1883&lt;41,"Adult",B1883&lt;61,"Middle-aged",B1883&gt;=61,"Senior")</f>
        <v>Middle-aged</v>
      </c>
      <c r="S1883" cm="1">
        <f t="array" ref="S1883">_xlfn.IFS(Q1883 ="Fortnightly",14,Q1883="Weekly",7,Q1883="Monthly",30,Q1883="Quarterly",90,Q1883="Bi-Weekly",14,Q1883="Annually",365,Q1883="Every 3 Months",90,TRUE,"NOT FOUND")</f>
        <v>14</v>
      </c>
    </row>
    <row r="1884" spans="1:19" x14ac:dyDescent="0.35">
      <c r="A1884">
        <v>1883</v>
      </c>
      <c r="B1884">
        <v>44</v>
      </c>
      <c r="C1884" t="s">
        <v>7</v>
      </c>
      <c r="D1884" t="s">
        <v>107</v>
      </c>
      <c r="E1884" t="s">
        <v>55</v>
      </c>
      <c r="F1884">
        <v>54</v>
      </c>
      <c r="G1884" t="s">
        <v>110</v>
      </c>
      <c r="H1884" t="s">
        <v>11</v>
      </c>
      <c r="I1884" t="s">
        <v>132</v>
      </c>
      <c r="J1884" t="s">
        <v>13</v>
      </c>
      <c r="K1884">
        <v>5</v>
      </c>
      <c r="L1884" t="s">
        <v>140</v>
      </c>
      <c r="M1884" t="s">
        <v>62</v>
      </c>
      <c r="N1884" t="s">
        <v>140</v>
      </c>
      <c r="O1884">
        <v>25</v>
      </c>
      <c r="P1884" t="s">
        <v>63</v>
      </c>
      <c r="Q1884" t="s">
        <v>46</v>
      </c>
      <c r="R1884" t="str" cm="1">
        <f t="array" ref="R1884">_xlfn.IFS(B1884&lt;31,"Young-Adult",B1884&lt;41,"Adult",B1884&lt;61,"Middle-aged",B1884&gt;=61,"Senior")</f>
        <v>Middle-aged</v>
      </c>
      <c r="S1884" cm="1">
        <f t="array" ref="S1884">_xlfn.IFS(Q1884 ="Fortnightly",14,Q1884="Weekly",7,Q1884="Monthly",30,Q1884="Quarterly",90,Q1884="Bi-Weekly",14,Q1884="Annually",365,Q1884="Every 3 Months",90,TRUE,"NOT FOUND")</f>
        <v>90</v>
      </c>
    </row>
    <row r="1885" spans="1:19" x14ac:dyDescent="0.35">
      <c r="A1885">
        <v>1884</v>
      </c>
      <c r="B1885">
        <v>25</v>
      </c>
      <c r="C1885" t="s">
        <v>7</v>
      </c>
      <c r="D1885" t="s">
        <v>120</v>
      </c>
      <c r="E1885" t="s">
        <v>55</v>
      </c>
      <c r="F1885">
        <v>58</v>
      </c>
      <c r="G1885" t="s">
        <v>130</v>
      </c>
      <c r="H1885" t="s">
        <v>32</v>
      </c>
      <c r="I1885" t="s">
        <v>97</v>
      </c>
      <c r="J1885" t="s">
        <v>25</v>
      </c>
      <c r="K1885">
        <v>4.9000000000000004</v>
      </c>
      <c r="L1885" t="s">
        <v>140</v>
      </c>
      <c r="M1885" t="s">
        <v>62</v>
      </c>
      <c r="N1885" t="s">
        <v>140</v>
      </c>
      <c r="O1885">
        <v>39</v>
      </c>
      <c r="P1885" t="s">
        <v>74</v>
      </c>
      <c r="Q1885" t="s">
        <v>17</v>
      </c>
      <c r="R1885" t="str" cm="1">
        <f t="array" ref="R1885">_xlfn.IFS(B1885&lt;31,"Young-Adult",B1885&lt;41,"Adult",B1885&lt;61,"Middle-aged",B1885&gt;=61,"Senior")</f>
        <v>Young-Adult</v>
      </c>
      <c r="S1885" cm="1">
        <f t="array" ref="S1885">_xlfn.IFS(Q1885 ="Fortnightly",14,Q1885="Weekly",7,Q1885="Monthly",30,Q1885="Quarterly",90,Q1885="Bi-Weekly",14,Q1885="Annually",365,Q1885="Every 3 Months",90,TRUE,"NOT FOUND")</f>
        <v>14</v>
      </c>
    </row>
    <row r="1886" spans="1:19" x14ac:dyDescent="0.35">
      <c r="A1886">
        <v>1885</v>
      </c>
      <c r="B1886">
        <v>27</v>
      </c>
      <c r="C1886" t="s">
        <v>7</v>
      </c>
      <c r="D1886" t="s">
        <v>47</v>
      </c>
      <c r="E1886" t="s">
        <v>9</v>
      </c>
      <c r="F1886">
        <v>30</v>
      </c>
      <c r="G1886" t="s">
        <v>105</v>
      </c>
      <c r="H1886" t="s">
        <v>24</v>
      </c>
      <c r="I1886" t="s">
        <v>57</v>
      </c>
      <c r="J1886" t="s">
        <v>41</v>
      </c>
      <c r="K1886">
        <v>4.3</v>
      </c>
      <c r="L1886" t="s">
        <v>140</v>
      </c>
      <c r="M1886" t="s">
        <v>33</v>
      </c>
      <c r="N1886" t="s">
        <v>140</v>
      </c>
      <c r="O1886">
        <v>15</v>
      </c>
      <c r="P1886" t="s">
        <v>63</v>
      </c>
      <c r="Q1886" t="s">
        <v>64</v>
      </c>
      <c r="R1886" t="str" cm="1">
        <f t="array" ref="R1886">_xlfn.IFS(B1886&lt;31,"Young-Adult",B1886&lt;41,"Adult",B1886&lt;61,"Middle-aged",B1886&gt;=61,"Senior")</f>
        <v>Young-Adult</v>
      </c>
      <c r="S1886" cm="1">
        <f t="array" ref="S1886">_xlfn.IFS(Q1886 ="Fortnightly",14,Q1886="Weekly",7,Q1886="Monthly",30,Q1886="Quarterly",90,Q1886="Bi-Weekly",14,Q1886="Annually",365,Q1886="Every 3 Months",90,TRUE,"NOT FOUND")</f>
        <v>14</v>
      </c>
    </row>
    <row r="1887" spans="1:19" x14ac:dyDescent="0.35">
      <c r="A1887">
        <v>1886</v>
      </c>
      <c r="B1887">
        <v>26</v>
      </c>
      <c r="C1887" t="s">
        <v>7</v>
      </c>
      <c r="D1887" t="s">
        <v>94</v>
      </c>
      <c r="E1887" t="s">
        <v>55</v>
      </c>
      <c r="F1887">
        <v>53</v>
      </c>
      <c r="G1887" t="s">
        <v>95</v>
      </c>
      <c r="H1887" t="s">
        <v>24</v>
      </c>
      <c r="I1887" t="s">
        <v>20</v>
      </c>
      <c r="J1887" t="s">
        <v>13</v>
      </c>
      <c r="K1887">
        <v>4.4000000000000004</v>
      </c>
      <c r="L1887" t="s">
        <v>140</v>
      </c>
      <c r="M1887" t="s">
        <v>42</v>
      </c>
      <c r="N1887" t="s">
        <v>140</v>
      </c>
      <c r="O1887">
        <v>35</v>
      </c>
      <c r="P1887" t="s">
        <v>21</v>
      </c>
      <c r="Q1887" t="s">
        <v>76</v>
      </c>
      <c r="R1887" t="str" cm="1">
        <f t="array" ref="R1887">_xlfn.IFS(B1887&lt;31,"Young-Adult",B1887&lt;41,"Adult",B1887&lt;61,"Middle-aged",B1887&gt;=61,"Senior")</f>
        <v>Young-Adult</v>
      </c>
      <c r="S1887" cm="1">
        <f t="array" ref="S1887">_xlfn.IFS(Q1887 ="Fortnightly",14,Q1887="Weekly",7,Q1887="Monthly",30,Q1887="Quarterly",90,Q1887="Bi-Weekly",14,Q1887="Annually",365,Q1887="Every 3 Months",90,TRUE,"NOT FOUND")</f>
        <v>30</v>
      </c>
    </row>
    <row r="1888" spans="1:19" x14ac:dyDescent="0.35">
      <c r="A1888">
        <v>1887</v>
      </c>
      <c r="B1888">
        <v>18</v>
      </c>
      <c r="C1888" t="s">
        <v>7</v>
      </c>
      <c r="D1888" t="s">
        <v>131</v>
      </c>
      <c r="E1888" t="s">
        <v>55</v>
      </c>
      <c r="F1888">
        <v>91</v>
      </c>
      <c r="G1888" t="s">
        <v>60</v>
      </c>
      <c r="H1888" t="s">
        <v>11</v>
      </c>
      <c r="I1888" t="s">
        <v>106</v>
      </c>
      <c r="J1888" t="s">
        <v>25</v>
      </c>
      <c r="K1888">
        <v>4.4000000000000004</v>
      </c>
      <c r="L1888" t="s">
        <v>140</v>
      </c>
      <c r="M1888" t="s">
        <v>33</v>
      </c>
      <c r="N1888" t="s">
        <v>140</v>
      </c>
      <c r="O1888">
        <v>46</v>
      </c>
      <c r="P1888" t="s">
        <v>21</v>
      </c>
      <c r="Q1888" t="s">
        <v>64</v>
      </c>
      <c r="R1888" t="str" cm="1">
        <f t="array" ref="R1888">_xlfn.IFS(B1888&lt;31,"Young-Adult",B1888&lt;41,"Adult",B1888&lt;61,"Middle-aged",B1888&gt;=61,"Senior")</f>
        <v>Young-Adult</v>
      </c>
      <c r="S1888" cm="1">
        <f t="array" ref="S1888">_xlfn.IFS(Q1888 ="Fortnightly",14,Q1888="Weekly",7,Q1888="Monthly",30,Q1888="Quarterly",90,Q1888="Bi-Weekly",14,Q1888="Annually",365,Q1888="Every 3 Months",90,TRUE,"NOT FOUND")</f>
        <v>14</v>
      </c>
    </row>
    <row r="1889" spans="1:19" x14ac:dyDescent="0.35">
      <c r="A1889">
        <v>1888</v>
      </c>
      <c r="B1889">
        <v>64</v>
      </c>
      <c r="C1889" t="s">
        <v>7</v>
      </c>
      <c r="D1889" t="s">
        <v>92</v>
      </c>
      <c r="E1889" t="s">
        <v>9</v>
      </c>
      <c r="F1889">
        <v>44</v>
      </c>
      <c r="G1889" t="s">
        <v>102</v>
      </c>
      <c r="H1889" t="s">
        <v>80</v>
      </c>
      <c r="I1889" t="s">
        <v>68</v>
      </c>
      <c r="J1889" t="s">
        <v>45</v>
      </c>
      <c r="K1889">
        <v>3.5</v>
      </c>
      <c r="L1889" t="s">
        <v>140</v>
      </c>
      <c r="M1889" t="s">
        <v>15</v>
      </c>
      <c r="N1889" t="s">
        <v>140</v>
      </c>
      <c r="O1889">
        <v>3</v>
      </c>
      <c r="P1889" t="s">
        <v>34</v>
      </c>
      <c r="Q1889" t="s">
        <v>76</v>
      </c>
      <c r="R1889" t="str" cm="1">
        <f t="array" ref="R1889">_xlfn.IFS(B1889&lt;31,"Young-Adult",B1889&lt;41,"Adult",B1889&lt;61,"Middle-aged",B1889&gt;=61,"Senior")</f>
        <v>Senior</v>
      </c>
      <c r="S1889" cm="1">
        <f t="array" ref="S1889">_xlfn.IFS(Q1889 ="Fortnightly",14,Q1889="Weekly",7,Q1889="Monthly",30,Q1889="Quarterly",90,Q1889="Bi-Weekly",14,Q1889="Annually",365,Q1889="Every 3 Months",90,TRUE,"NOT FOUND")</f>
        <v>30</v>
      </c>
    </row>
    <row r="1890" spans="1:19" x14ac:dyDescent="0.35">
      <c r="A1890">
        <v>1889</v>
      </c>
      <c r="B1890">
        <v>62</v>
      </c>
      <c r="C1890" t="s">
        <v>7</v>
      </c>
      <c r="D1890" t="s">
        <v>92</v>
      </c>
      <c r="E1890" t="s">
        <v>9</v>
      </c>
      <c r="F1890">
        <v>89</v>
      </c>
      <c r="G1890" t="s">
        <v>135</v>
      </c>
      <c r="H1890" t="s">
        <v>80</v>
      </c>
      <c r="I1890" t="s">
        <v>36</v>
      </c>
      <c r="J1890" t="s">
        <v>13</v>
      </c>
      <c r="K1890">
        <v>3.4</v>
      </c>
      <c r="L1890" t="s">
        <v>140</v>
      </c>
      <c r="M1890" t="s">
        <v>26</v>
      </c>
      <c r="N1890" t="s">
        <v>140</v>
      </c>
      <c r="O1890">
        <v>48</v>
      </c>
      <c r="P1890" t="s">
        <v>27</v>
      </c>
      <c r="Q1890" t="s">
        <v>28</v>
      </c>
      <c r="R1890" t="str" cm="1">
        <f t="array" ref="R1890">_xlfn.IFS(B1890&lt;31,"Young-Adult",B1890&lt;41,"Adult",B1890&lt;61,"Middle-aged",B1890&gt;=61,"Senior")</f>
        <v>Senior</v>
      </c>
      <c r="S1890" cm="1">
        <f t="array" ref="S1890">_xlfn.IFS(Q1890 ="Fortnightly",14,Q1890="Weekly",7,Q1890="Monthly",30,Q1890="Quarterly",90,Q1890="Bi-Weekly",14,Q1890="Annually",365,Q1890="Every 3 Months",90,TRUE,"NOT FOUND")</f>
        <v>7</v>
      </c>
    </row>
    <row r="1891" spans="1:19" x14ac:dyDescent="0.35">
      <c r="A1891">
        <v>1890</v>
      </c>
      <c r="B1891">
        <v>59</v>
      </c>
      <c r="C1891" t="s">
        <v>7</v>
      </c>
      <c r="D1891" t="s">
        <v>75</v>
      </c>
      <c r="E1891" t="s">
        <v>9</v>
      </c>
      <c r="F1891">
        <v>57</v>
      </c>
      <c r="G1891" t="s">
        <v>86</v>
      </c>
      <c r="H1891" t="s">
        <v>11</v>
      </c>
      <c r="I1891" t="s">
        <v>88</v>
      </c>
      <c r="J1891" t="s">
        <v>25</v>
      </c>
      <c r="K1891">
        <v>2.5</v>
      </c>
      <c r="L1891" t="s">
        <v>140</v>
      </c>
      <c r="M1891" t="s">
        <v>33</v>
      </c>
      <c r="N1891" t="s">
        <v>140</v>
      </c>
      <c r="O1891">
        <v>27</v>
      </c>
      <c r="P1891" t="s">
        <v>63</v>
      </c>
      <c r="Q1891" t="s">
        <v>28</v>
      </c>
      <c r="R1891" t="str" cm="1">
        <f t="array" ref="R1891">_xlfn.IFS(B1891&lt;31,"Young-Adult",B1891&lt;41,"Adult",B1891&lt;61,"Middle-aged",B1891&gt;=61,"Senior")</f>
        <v>Middle-aged</v>
      </c>
      <c r="S1891" cm="1">
        <f t="array" ref="S1891">_xlfn.IFS(Q1891 ="Fortnightly",14,Q1891="Weekly",7,Q1891="Monthly",30,Q1891="Quarterly",90,Q1891="Bi-Weekly",14,Q1891="Annually",365,Q1891="Every 3 Months",90,TRUE,"NOT FOUND")</f>
        <v>7</v>
      </c>
    </row>
    <row r="1892" spans="1:19" x14ac:dyDescent="0.35">
      <c r="A1892">
        <v>1891</v>
      </c>
      <c r="B1892">
        <v>36</v>
      </c>
      <c r="C1892" t="s">
        <v>7</v>
      </c>
      <c r="D1892" t="s">
        <v>77</v>
      </c>
      <c r="E1892" t="s">
        <v>55</v>
      </c>
      <c r="F1892">
        <v>57</v>
      </c>
      <c r="G1892" t="s">
        <v>65</v>
      </c>
      <c r="H1892" t="s">
        <v>32</v>
      </c>
      <c r="I1892" t="s">
        <v>81</v>
      </c>
      <c r="J1892" t="s">
        <v>25</v>
      </c>
      <c r="K1892">
        <v>3.4</v>
      </c>
      <c r="L1892" t="s">
        <v>140</v>
      </c>
      <c r="M1892" t="s">
        <v>62</v>
      </c>
      <c r="N1892" t="s">
        <v>140</v>
      </c>
      <c r="O1892">
        <v>5</v>
      </c>
      <c r="P1892" t="s">
        <v>27</v>
      </c>
      <c r="Q1892" t="s">
        <v>28</v>
      </c>
      <c r="R1892" t="str" cm="1">
        <f t="array" ref="R1892">_xlfn.IFS(B1892&lt;31,"Young-Adult",B1892&lt;41,"Adult",B1892&lt;61,"Middle-aged",B1892&gt;=61,"Senior")</f>
        <v>Adult</v>
      </c>
      <c r="S1892" cm="1">
        <f t="array" ref="S1892">_xlfn.IFS(Q1892 ="Fortnightly",14,Q1892="Weekly",7,Q1892="Monthly",30,Q1892="Quarterly",90,Q1892="Bi-Weekly",14,Q1892="Annually",365,Q1892="Every 3 Months",90,TRUE,"NOT FOUND")</f>
        <v>7</v>
      </c>
    </row>
    <row r="1893" spans="1:19" x14ac:dyDescent="0.35">
      <c r="A1893">
        <v>1892</v>
      </c>
      <c r="B1893">
        <v>69</v>
      </c>
      <c r="C1893" t="s">
        <v>7</v>
      </c>
      <c r="D1893" t="s">
        <v>94</v>
      </c>
      <c r="E1893" t="s">
        <v>55</v>
      </c>
      <c r="F1893">
        <v>74</v>
      </c>
      <c r="G1893" t="s">
        <v>70</v>
      </c>
      <c r="H1893" t="s">
        <v>32</v>
      </c>
      <c r="I1893" t="s">
        <v>12</v>
      </c>
      <c r="J1893" t="s">
        <v>41</v>
      </c>
      <c r="K1893">
        <v>2.6</v>
      </c>
      <c r="L1893" t="s">
        <v>140</v>
      </c>
      <c r="M1893" t="s">
        <v>33</v>
      </c>
      <c r="N1893" t="s">
        <v>140</v>
      </c>
      <c r="O1893">
        <v>48</v>
      </c>
      <c r="P1893" t="s">
        <v>74</v>
      </c>
      <c r="Q1893" t="s">
        <v>46</v>
      </c>
      <c r="R1893" t="str" cm="1">
        <f t="array" ref="R1893">_xlfn.IFS(B1893&lt;31,"Young-Adult",B1893&lt;41,"Adult",B1893&lt;61,"Middle-aged",B1893&gt;=61,"Senior")</f>
        <v>Senior</v>
      </c>
      <c r="S1893" cm="1">
        <f t="array" ref="S1893">_xlfn.IFS(Q1893 ="Fortnightly",14,Q1893="Weekly",7,Q1893="Monthly",30,Q1893="Quarterly",90,Q1893="Bi-Weekly",14,Q1893="Annually",365,Q1893="Every 3 Months",90,TRUE,"NOT FOUND")</f>
        <v>90</v>
      </c>
    </row>
    <row r="1894" spans="1:19" x14ac:dyDescent="0.35">
      <c r="A1894">
        <v>1893</v>
      </c>
      <c r="B1894">
        <v>39</v>
      </c>
      <c r="C1894" t="s">
        <v>7</v>
      </c>
      <c r="D1894" t="s">
        <v>90</v>
      </c>
      <c r="E1894" t="s">
        <v>51</v>
      </c>
      <c r="F1894">
        <v>30</v>
      </c>
      <c r="G1894" t="s">
        <v>87</v>
      </c>
      <c r="H1894" t="s">
        <v>32</v>
      </c>
      <c r="I1894" t="s">
        <v>132</v>
      </c>
      <c r="J1894" t="s">
        <v>45</v>
      </c>
      <c r="K1894">
        <v>4.5999999999999996</v>
      </c>
      <c r="L1894" t="s">
        <v>140</v>
      </c>
      <c r="M1894" t="s">
        <v>58</v>
      </c>
      <c r="N1894" t="s">
        <v>140</v>
      </c>
      <c r="O1894">
        <v>12</v>
      </c>
      <c r="P1894" t="s">
        <v>16</v>
      </c>
      <c r="Q1894" t="s">
        <v>28</v>
      </c>
      <c r="R1894" t="str" cm="1">
        <f t="array" ref="R1894">_xlfn.IFS(B1894&lt;31,"Young-Adult",B1894&lt;41,"Adult",B1894&lt;61,"Middle-aged",B1894&gt;=61,"Senior")</f>
        <v>Adult</v>
      </c>
      <c r="S1894" cm="1">
        <f t="array" ref="S1894">_xlfn.IFS(Q1894 ="Fortnightly",14,Q1894="Weekly",7,Q1894="Monthly",30,Q1894="Quarterly",90,Q1894="Bi-Weekly",14,Q1894="Annually",365,Q1894="Every 3 Months",90,TRUE,"NOT FOUND")</f>
        <v>7</v>
      </c>
    </row>
    <row r="1895" spans="1:19" x14ac:dyDescent="0.35">
      <c r="A1895">
        <v>1894</v>
      </c>
      <c r="B1895">
        <v>28</v>
      </c>
      <c r="C1895" t="s">
        <v>7</v>
      </c>
      <c r="D1895" t="s">
        <v>69</v>
      </c>
      <c r="E1895" t="s">
        <v>9</v>
      </c>
      <c r="F1895">
        <v>20</v>
      </c>
      <c r="G1895" t="s">
        <v>67</v>
      </c>
      <c r="H1895" t="s">
        <v>11</v>
      </c>
      <c r="I1895" t="s">
        <v>96</v>
      </c>
      <c r="J1895" t="s">
        <v>41</v>
      </c>
      <c r="K1895">
        <v>3.7</v>
      </c>
      <c r="L1895" t="s">
        <v>140</v>
      </c>
      <c r="M1895" t="s">
        <v>15</v>
      </c>
      <c r="N1895" t="s">
        <v>140</v>
      </c>
      <c r="O1895">
        <v>10</v>
      </c>
      <c r="P1895" t="s">
        <v>34</v>
      </c>
      <c r="Q1895" t="s">
        <v>17</v>
      </c>
      <c r="R1895" t="str" cm="1">
        <f t="array" ref="R1895">_xlfn.IFS(B1895&lt;31,"Young-Adult",B1895&lt;41,"Adult",B1895&lt;61,"Middle-aged",B1895&gt;=61,"Senior")</f>
        <v>Young-Adult</v>
      </c>
      <c r="S1895" cm="1">
        <f t="array" ref="S1895">_xlfn.IFS(Q1895 ="Fortnightly",14,Q1895="Weekly",7,Q1895="Monthly",30,Q1895="Quarterly",90,Q1895="Bi-Weekly",14,Q1895="Annually",365,Q1895="Every 3 Months",90,TRUE,"NOT FOUND")</f>
        <v>14</v>
      </c>
    </row>
    <row r="1896" spans="1:19" x14ac:dyDescent="0.35">
      <c r="A1896">
        <v>1895</v>
      </c>
      <c r="B1896">
        <v>42</v>
      </c>
      <c r="C1896" t="s">
        <v>7</v>
      </c>
      <c r="D1896" t="s">
        <v>92</v>
      </c>
      <c r="E1896" t="s">
        <v>9</v>
      </c>
      <c r="F1896">
        <v>90</v>
      </c>
      <c r="G1896" t="s">
        <v>105</v>
      </c>
      <c r="H1896" t="s">
        <v>32</v>
      </c>
      <c r="I1896" t="s">
        <v>61</v>
      </c>
      <c r="J1896" t="s">
        <v>45</v>
      </c>
      <c r="K1896">
        <v>2.5</v>
      </c>
      <c r="L1896" t="s">
        <v>140</v>
      </c>
      <c r="M1896" t="s">
        <v>26</v>
      </c>
      <c r="N1896" t="s">
        <v>140</v>
      </c>
      <c r="O1896">
        <v>48</v>
      </c>
      <c r="P1896" t="s">
        <v>74</v>
      </c>
      <c r="Q1896" t="s">
        <v>64</v>
      </c>
      <c r="R1896" t="str" cm="1">
        <f t="array" ref="R1896">_xlfn.IFS(B1896&lt;31,"Young-Adult",B1896&lt;41,"Adult",B1896&lt;61,"Middle-aged",B1896&gt;=61,"Senior")</f>
        <v>Middle-aged</v>
      </c>
      <c r="S1896" cm="1">
        <f t="array" ref="S1896">_xlfn.IFS(Q1896 ="Fortnightly",14,Q1896="Weekly",7,Q1896="Monthly",30,Q1896="Quarterly",90,Q1896="Bi-Weekly",14,Q1896="Annually",365,Q1896="Every 3 Months",90,TRUE,"NOT FOUND")</f>
        <v>14</v>
      </c>
    </row>
    <row r="1897" spans="1:19" x14ac:dyDescent="0.35">
      <c r="A1897">
        <v>1896</v>
      </c>
      <c r="B1897">
        <v>31</v>
      </c>
      <c r="C1897" t="s">
        <v>7</v>
      </c>
      <c r="D1897" t="s">
        <v>22</v>
      </c>
      <c r="E1897" t="s">
        <v>9</v>
      </c>
      <c r="F1897">
        <v>61</v>
      </c>
      <c r="G1897" t="s">
        <v>137</v>
      </c>
      <c r="H1897" t="s">
        <v>11</v>
      </c>
      <c r="I1897" t="s">
        <v>114</v>
      </c>
      <c r="J1897" t="s">
        <v>45</v>
      </c>
      <c r="K1897">
        <v>4.5</v>
      </c>
      <c r="L1897" t="s">
        <v>140</v>
      </c>
      <c r="M1897" t="s">
        <v>15</v>
      </c>
      <c r="N1897" t="s">
        <v>140</v>
      </c>
      <c r="O1897">
        <v>3</v>
      </c>
      <c r="P1897" t="s">
        <v>74</v>
      </c>
      <c r="Q1897" t="s">
        <v>76</v>
      </c>
      <c r="R1897" t="str" cm="1">
        <f t="array" ref="R1897">_xlfn.IFS(B1897&lt;31,"Young-Adult",B1897&lt;41,"Adult",B1897&lt;61,"Middle-aged",B1897&gt;=61,"Senior")</f>
        <v>Adult</v>
      </c>
      <c r="S1897" cm="1">
        <f t="array" ref="S1897">_xlfn.IFS(Q1897 ="Fortnightly",14,Q1897="Weekly",7,Q1897="Monthly",30,Q1897="Quarterly",90,Q1897="Bi-Weekly",14,Q1897="Annually",365,Q1897="Every 3 Months",90,TRUE,"NOT FOUND")</f>
        <v>30</v>
      </c>
    </row>
    <row r="1898" spans="1:19" x14ac:dyDescent="0.35">
      <c r="A1898">
        <v>1897</v>
      </c>
      <c r="B1898">
        <v>57</v>
      </c>
      <c r="C1898" t="s">
        <v>7</v>
      </c>
      <c r="D1898" t="s">
        <v>29</v>
      </c>
      <c r="E1898" t="s">
        <v>30</v>
      </c>
      <c r="F1898">
        <v>51</v>
      </c>
      <c r="G1898" t="s">
        <v>95</v>
      </c>
      <c r="H1898" t="s">
        <v>32</v>
      </c>
      <c r="I1898" t="s">
        <v>68</v>
      </c>
      <c r="J1898" t="s">
        <v>45</v>
      </c>
      <c r="K1898">
        <v>2.9</v>
      </c>
      <c r="L1898" t="s">
        <v>140</v>
      </c>
      <c r="M1898" t="s">
        <v>42</v>
      </c>
      <c r="N1898" t="s">
        <v>140</v>
      </c>
      <c r="O1898">
        <v>19</v>
      </c>
      <c r="P1898" t="s">
        <v>16</v>
      </c>
      <c r="Q1898" t="s">
        <v>76</v>
      </c>
      <c r="R1898" t="str" cm="1">
        <f t="array" ref="R1898">_xlfn.IFS(B1898&lt;31,"Young-Adult",B1898&lt;41,"Adult",B1898&lt;61,"Middle-aged",B1898&gt;=61,"Senior")</f>
        <v>Middle-aged</v>
      </c>
      <c r="S1898" cm="1">
        <f t="array" ref="S1898">_xlfn.IFS(Q1898 ="Fortnightly",14,Q1898="Weekly",7,Q1898="Monthly",30,Q1898="Quarterly",90,Q1898="Bi-Weekly",14,Q1898="Annually",365,Q1898="Every 3 Months",90,TRUE,"NOT FOUND")</f>
        <v>30</v>
      </c>
    </row>
    <row r="1899" spans="1:19" x14ac:dyDescent="0.35">
      <c r="A1899">
        <v>1898</v>
      </c>
      <c r="B1899">
        <v>53</v>
      </c>
      <c r="C1899" t="s">
        <v>7</v>
      </c>
      <c r="D1899" t="s">
        <v>77</v>
      </c>
      <c r="E1899" t="s">
        <v>55</v>
      </c>
      <c r="F1899">
        <v>97</v>
      </c>
      <c r="G1899" t="s">
        <v>108</v>
      </c>
      <c r="H1899" t="s">
        <v>11</v>
      </c>
      <c r="I1899" t="s">
        <v>73</v>
      </c>
      <c r="J1899" t="s">
        <v>13</v>
      </c>
      <c r="K1899">
        <v>2.9</v>
      </c>
      <c r="L1899" t="s">
        <v>140</v>
      </c>
      <c r="M1899" t="s">
        <v>26</v>
      </c>
      <c r="N1899" t="s">
        <v>140</v>
      </c>
      <c r="O1899">
        <v>11</v>
      </c>
      <c r="P1899" t="s">
        <v>74</v>
      </c>
      <c r="Q1899" t="s">
        <v>17</v>
      </c>
      <c r="R1899" t="str" cm="1">
        <f t="array" ref="R1899">_xlfn.IFS(B1899&lt;31,"Young-Adult",B1899&lt;41,"Adult",B1899&lt;61,"Middle-aged",B1899&gt;=61,"Senior")</f>
        <v>Middle-aged</v>
      </c>
      <c r="S1899" cm="1">
        <f t="array" ref="S1899">_xlfn.IFS(Q1899 ="Fortnightly",14,Q1899="Weekly",7,Q1899="Monthly",30,Q1899="Quarterly",90,Q1899="Bi-Weekly",14,Q1899="Annually",365,Q1899="Every 3 Months",90,TRUE,"NOT FOUND")</f>
        <v>14</v>
      </c>
    </row>
    <row r="1900" spans="1:19" x14ac:dyDescent="0.35">
      <c r="A1900">
        <v>1899</v>
      </c>
      <c r="B1900">
        <v>59</v>
      </c>
      <c r="C1900" t="s">
        <v>7</v>
      </c>
      <c r="D1900" t="s">
        <v>83</v>
      </c>
      <c r="E1900" t="s">
        <v>9</v>
      </c>
      <c r="F1900">
        <v>97</v>
      </c>
      <c r="G1900" t="s">
        <v>93</v>
      </c>
      <c r="H1900" t="s">
        <v>11</v>
      </c>
      <c r="I1900" t="s">
        <v>124</v>
      </c>
      <c r="J1900" t="s">
        <v>45</v>
      </c>
      <c r="K1900">
        <v>3.5</v>
      </c>
      <c r="L1900" t="s">
        <v>140</v>
      </c>
      <c r="M1900" t="s">
        <v>33</v>
      </c>
      <c r="N1900" t="s">
        <v>140</v>
      </c>
      <c r="O1900">
        <v>25</v>
      </c>
      <c r="P1900" t="s">
        <v>16</v>
      </c>
      <c r="Q1900" t="s">
        <v>76</v>
      </c>
      <c r="R1900" t="str" cm="1">
        <f t="array" ref="R1900">_xlfn.IFS(B1900&lt;31,"Young-Adult",B1900&lt;41,"Adult",B1900&lt;61,"Middle-aged",B1900&gt;=61,"Senior")</f>
        <v>Middle-aged</v>
      </c>
      <c r="S1900" cm="1">
        <f t="array" ref="S1900">_xlfn.IFS(Q1900 ="Fortnightly",14,Q1900="Weekly",7,Q1900="Monthly",30,Q1900="Quarterly",90,Q1900="Bi-Weekly",14,Q1900="Annually",365,Q1900="Every 3 Months",90,TRUE,"NOT FOUND")</f>
        <v>30</v>
      </c>
    </row>
    <row r="1901" spans="1:19" x14ac:dyDescent="0.35">
      <c r="A1901">
        <v>1900</v>
      </c>
      <c r="B1901">
        <v>32</v>
      </c>
      <c r="C1901" t="s">
        <v>7</v>
      </c>
      <c r="D1901" t="s">
        <v>47</v>
      </c>
      <c r="E1901" t="s">
        <v>9</v>
      </c>
      <c r="F1901">
        <v>40</v>
      </c>
      <c r="G1901" t="s">
        <v>72</v>
      </c>
      <c r="H1901" t="s">
        <v>11</v>
      </c>
      <c r="I1901" t="s">
        <v>20</v>
      </c>
      <c r="J1901" t="s">
        <v>13</v>
      </c>
      <c r="K1901">
        <v>4.2</v>
      </c>
      <c r="L1901" t="s">
        <v>140</v>
      </c>
      <c r="M1901" t="s">
        <v>62</v>
      </c>
      <c r="N1901" t="s">
        <v>140</v>
      </c>
      <c r="O1901">
        <v>42</v>
      </c>
      <c r="P1901" t="s">
        <v>34</v>
      </c>
      <c r="Q1901" t="s">
        <v>28</v>
      </c>
      <c r="R1901" t="str" cm="1">
        <f t="array" ref="R1901">_xlfn.IFS(B1901&lt;31,"Young-Adult",B1901&lt;41,"Adult",B1901&lt;61,"Middle-aged",B1901&gt;=61,"Senior")</f>
        <v>Adult</v>
      </c>
      <c r="S1901" cm="1">
        <f t="array" ref="S1901">_xlfn.IFS(Q1901 ="Fortnightly",14,Q1901="Weekly",7,Q1901="Monthly",30,Q1901="Quarterly",90,Q1901="Bi-Weekly",14,Q1901="Annually",365,Q1901="Every 3 Months",90,TRUE,"NOT FOUND")</f>
        <v>7</v>
      </c>
    </row>
    <row r="1902" spans="1:19" x14ac:dyDescent="0.35">
      <c r="A1902">
        <v>1901</v>
      </c>
      <c r="B1902">
        <v>65</v>
      </c>
      <c r="C1902" t="s">
        <v>7</v>
      </c>
      <c r="D1902" t="s">
        <v>94</v>
      </c>
      <c r="E1902" t="s">
        <v>55</v>
      </c>
      <c r="F1902">
        <v>85</v>
      </c>
      <c r="G1902" t="s">
        <v>134</v>
      </c>
      <c r="H1902" t="s">
        <v>24</v>
      </c>
      <c r="I1902" t="s">
        <v>132</v>
      </c>
      <c r="J1902" t="s">
        <v>41</v>
      </c>
      <c r="K1902">
        <v>3.3</v>
      </c>
      <c r="L1902" t="s">
        <v>140</v>
      </c>
      <c r="M1902" t="s">
        <v>26</v>
      </c>
      <c r="N1902" t="s">
        <v>140</v>
      </c>
      <c r="O1902">
        <v>34</v>
      </c>
      <c r="P1902" t="s">
        <v>21</v>
      </c>
      <c r="Q1902" t="s">
        <v>46</v>
      </c>
      <c r="R1902" t="str" cm="1">
        <f t="array" ref="R1902">_xlfn.IFS(B1902&lt;31,"Young-Adult",B1902&lt;41,"Adult",B1902&lt;61,"Middle-aged",B1902&gt;=61,"Senior")</f>
        <v>Senior</v>
      </c>
      <c r="S1902" cm="1">
        <f t="array" ref="S1902">_xlfn.IFS(Q1902 ="Fortnightly",14,Q1902="Weekly",7,Q1902="Monthly",30,Q1902="Quarterly",90,Q1902="Bi-Weekly",14,Q1902="Annually",365,Q1902="Every 3 Months",90,TRUE,"NOT FOUND")</f>
        <v>90</v>
      </c>
    </row>
    <row r="1903" spans="1:19" x14ac:dyDescent="0.35">
      <c r="A1903">
        <v>1902</v>
      </c>
      <c r="B1903">
        <v>56</v>
      </c>
      <c r="C1903" t="s">
        <v>7</v>
      </c>
      <c r="D1903" t="s">
        <v>113</v>
      </c>
      <c r="E1903" t="s">
        <v>9</v>
      </c>
      <c r="F1903">
        <v>76</v>
      </c>
      <c r="G1903" t="s">
        <v>105</v>
      </c>
      <c r="H1903" t="s">
        <v>24</v>
      </c>
      <c r="I1903" t="s">
        <v>106</v>
      </c>
      <c r="J1903" t="s">
        <v>13</v>
      </c>
      <c r="K1903">
        <v>3.9</v>
      </c>
      <c r="L1903" t="s">
        <v>140</v>
      </c>
      <c r="M1903" t="s">
        <v>62</v>
      </c>
      <c r="N1903" t="s">
        <v>140</v>
      </c>
      <c r="O1903">
        <v>50</v>
      </c>
      <c r="P1903" t="s">
        <v>21</v>
      </c>
      <c r="Q1903" t="s">
        <v>46</v>
      </c>
      <c r="R1903" t="str" cm="1">
        <f t="array" ref="R1903">_xlfn.IFS(B1903&lt;31,"Young-Adult",B1903&lt;41,"Adult",B1903&lt;61,"Middle-aged",B1903&gt;=61,"Senior")</f>
        <v>Middle-aged</v>
      </c>
      <c r="S1903" cm="1">
        <f t="array" ref="S1903">_xlfn.IFS(Q1903 ="Fortnightly",14,Q1903="Weekly",7,Q1903="Monthly",30,Q1903="Quarterly",90,Q1903="Bi-Weekly",14,Q1903="Annually",365,Q1903="Every 3 Months",90,TRUE,"NOT FOUND")</f>
        <v>90</v>
      </c>
    </row>
    <row r="1904" spans="1:19" x14ac:dyDescent="0.35">
      <c r="A1904">
        <v>1903</v>
      </c>
      <c r="B1904">
        <v>31</v>
      </c>
      <c r="C1904" t="s">
        <v>7</v>
      </c>
      <c r="D1904" t="s">
        <v>29</v>
      </c>
      <c r="E1904" t="s">
        <v>30</v>
      </c>
      <c r="F1904">
        <v>22</v>
      </c>
      <c r="G1904" t="s">
        <v>118</v>
      </c>
      <c r="H1904" t="s">
        <v>24</v>
      </c>
      <c r="I1904" t="s">
        <v>66</v>
      </c>
      <c r="J1904" t="s">
        <v>25</v>
      </c>
      <c r="K1904">
        <v>5</v>
      </c>
      <c r="L1904" t="s">
        <v>140</v>
      </c>
      <c r="M1904" t="s">
        <v>62</v>
      </c>
      <c r="N1904" t="s">
        <v>140</v>
      </c>
      <c r="O1904">
        <v>21</v>
      </c>
      <c r="P1904" t="s">
        <v>16</v>
      </c>
      <c r="Q1904" t="s">
        <v>76</v>
      </c>
      <c r="R1904" t="str" cm="1">
        <f t="array" ref="R1904">_xlfn.IFS(B1904&lt;31,"Young-Adult",B1904&lt;41,"Adult",B1904&lt;61,"Middle-aged",B1904&gt;=61,"Senior")</f>
        <v>Adult</v>
      </c>
      <c r="S1904" cm="1">
        <f t="array" ref="S1904">_xlfn.IFS(Q1904 ="Fortnightly",14,Q1904="Weekly",7,Q1904="Monthly",30,Q1904="Quarterly",90,Q1904="Bi-Weekly",14,Q1904="Annually",365,Q1904="Every 3 Months",90,TRUE,"NOT FOUND")</f>
        <v>30</v>
      </c>
    </row>
    <row r="1905" spans="1:19" x14ac:dyDescent="0.35">
      <c r="A1905">
        <v>1904</v>
      </c>
      <c r="B1905">
        <v>59</v>
      </c>
      <c r="C1905" t="s">
        <v>7</v>
      </c>
      <c r="D1905" t="s">
        <v>83</v>
      </c>
      <c r="E1905" t="s">
        <v>9</v>
      </c>
      <c r="F1905">
        <v>63</v>
      </c>
      <c r="G1905" t="s">
        <v>86</v>
      </c>
      <c r="H1905" t="s">
        <v>32</v>
      </c>
      <c r="I1905" t="s">
        <v>68</v>
      </c>
      <c r="J1905" t="s">
        <v>41</v>
      </c>
      <c r="K1905">
        <v>3.3</v>
      </c>
      <c r="L1905" t="s">
        <v>140</v>
      </c>
      <c r="M1905" t="s">
        <v>42</v>
      </c>
      <c r="N1905" t="s">
        <v>140</v>
      </c>
      <c r="O1905">
        <v>37</v>
      </c>
      <c r="P1905" t="s">
        <v>63</v>
      </c>
      <c r="Q1905" t="s">
        <v>28</v>
      </c>
      <c r="R1905" t="str" cm="1">
        <f t="array" ref="R1905">_xlfn.IFS(B1905&lt;31,"Young-Adult",B1905&lt;41,"Adult",B1905&lt;61,"Middle-aged",B1905&gt;=61,"Senior")</f>
        <v>Middle-aged</v>
      </c>
      <c r="S1905" cm="1">
        <f t="array" ref="S1905">_xlfn.IFS(Q1905 ="Fortnightly",14,Q1905="Weekly",7,Q1905="Monthly",30,Q1905="Quarterly",90,Q1905="Bi-Weekly",14,Q1905="Annually",365,Q1905="Every 3 Months",90,TRUE,"NOT FOUND")</f>
        <v>7</v>
      </c>
    </row>
    <row r="1906" spans="1:19" x14ac:dyDescent="0.35">
      <c r="A1906">
        <v>1905</v>
      </c>
      <c r="B1906">
        <v>22</v>
      </c>
      <c r="C1906" t="s">
        <v>7</v>
      </c>
      <c r="D1906" t="s">
        <v>101</v>
      </c>
      <c r="E1906" t="s">
        <v>9</v>
      </c>
      <c r="F1906">
        <v>71</v>
      </c>
      <c r="G1906" t="s">
        <v>95</v>
      </c>
      <c r="H1906" t="s">
        <v>24</v>
      </c>
      <c r="I1906" t="s">
        <v>53</v>
      </c>
      <c r="J1906" t="s">
        <v>25</v>
      </c>
      <c r="K1906">
        <v>4.2</v>
      </c>
      <c r="L1906" t="s">
        <v>140</v>
      </c>
      <c r="M1906" t="s">
        <v>26</v>
      </c>
      <c r="N1906" t="s">
        <v>140</v>
      </c>
      <c r="O1906">
        <v>46</v>
      </c>
      <c r="P1906" t="s">
        <v>21</v>
      </c>
      <c r="Q1906" t="s">
        <v>76</v>
      </c>
      <c r="R1906" t="str" cm="1">
        <f t="array" ref="R1906">_xlfn.IFS(B1906&lt;31,"Young-Adult",B1906&lt;41,"Adult",B1906&lt;61,"Middle-aged",B1906&gt;=61,"Senior")</f>
        <v>Young-Adult</v>
      </c>
      <c r="S1906" cm="1">
        <f t="array" ref="S1906">_xlfn.IFS(Q1906 ="Fortnightly",14,Q1906="Weekly",7,Q1906="Monthly",30,Q1906="Quarterly",90,Q1906="Bi-Weekly",14,Q1906="Annually",365,Q1906="Every 3 Months",90,TRUE,"NOT FOUND")</f>
        <v>30</v>
      </c>
    </row>
    <row r="1907" spans="1:19" x14ac:dyDescent="0.35">
      <c r="A1907">
        <v>1906</v>
      </c>
      <c r="B1907">
        <v>47</v>
      </c>
      <c r="C1907" t="s">
        <v>7</v>
      </c>
      <c r="D1907" t="s">
        <v>125</v>
      </c>
      <c r="E1907" t="s">
        <v>30</v>
      </c>
      <c r="F1907">
        <v>35</v>
      </c>
      <c r="G1907" t="s">
        <v>123</v>
      </c>
      <c r="H1907" t="s">
        <v>32</v>
      </c>
      <c r="I1907" t="s">
        <v>73</v>
      </c>
      <c r="J1907" t="s">
        <v>41</v>
      </c>
      <c r="K1907">
        <v>4.9000000000000004</v>
      </c>
      <c r="L1907" t="s">
        <v>140</v>
      </c>
      <c r="M1907" t="s">
        <v>58</v>
      </c>
      <c r="N1907" t="s">
        <v>140</v>
      </c>
      <c r="O1907">
        <v>14</v>
      </c>
      <c r="P1907" t="s">
        <v>63</v>
      </c>
      <c r="Q1907" t="s">
        <v>17</v>
      </c>
      <c r="R1907" t="str" cm="1">
        <f t="array" ref="R1907">_xlfn.IFS(B1907&lt;31,"Young-Adult",B1907&lt;41,"Adult",B1907&lt;61,"Middle-aged",B1907&gt;=61,"Senior")</f>
        <v>Middle-aged</v>
      </c>
      <c r="S1907" cm="1">
        <f t="array" ref="S1907">_xlfn.IFS(Q1907 ="Fortnightly",14,Q1907="Weekly",7,Q1907="Monthly",30,Q1907="Quarterly",90,Q1907="Bi-Weekly",14,Q1907="Annually",365,Q1907="Every 3 Months",90,TRUE,"NOT FOUND")</f>
        <v>14</v>
      </c>
    </row>
    <row r="1908" spans="1:19" x14ac:dyDescent="0.35">
      <c r="A1908">
        <v>1907</v>
      </c>
      <c r="B1908">
        <v>23</v>
      </c>
      <c r="C1908" t="s">
        <v>7</v>
      </c>
      <c r="D1908" t="s">
        <v>120</v>
      </c>
      <c r="E1908" t="s">
        <v>55</v>
      </c>
      <c r="F1908">
        <v>30</v>
      </c>
      <c r="G1908" t="s">
        <v>117</v>
      </c>
      <c r="H1908" t="s">
        <v>32</v>
      </c>
      <c r="I1908" t="s">
        <v>84</v>
      </c>
      <c r="J1908" t="s">
        <v>25</v>
      </c>
      <c r="K1908">
        <v>4.5999999999999996</v>
      </c>
      <c r="L1908" t="s">
        <v>140</v>
      </c>
      <c r="M1908" t="s">
        <v>58</v>
      </c>
      <c r="N1908" t="s">
        <v>140</v>
      </c>
      <c r="O1908">
        <v>24</v>
      </c>
      <c r="P1908" t="s">
        <v>34</v>
      </c>
      <c r="Q1908" t="s">
        <v>17</v>
      </c>
      <c r="R1908" t="str" cm="1">
        <f t="array" ref="R1908">_xlfn.IFS(B1908&lt;31,"Young-Adult",B1908&lt;41,"Adult",B1908&lt;61,"Middle-aged",B1908&gt;=61,"Senior")</f>
        <v>Young-Adult</v>
      </c>
      <c r="S1908" cm="1">
        <f t="array" ref="S1908">_xlfn.IFS(Q1908 ="Fortnightly",14,Q1908="Weekly",7,Q1908="Monthly",30,Q1908="Quarterly",90,Q1908="Bi-Weekly",14,Q1908="Annually",365,Q1908="Every 3 Months",90,TRUE,"NOT FOUND")</f>
        <v>14</v>
      </c>
    </row>
    <row r="1909" spans="1:19" x14ac:dyDescent="0.35">
      <c r="A1909">
        <v>1908</v>
      </c>
      <c r="B1909">
        <v>69</v>
      </c>
      <c r="C1909" t="s">
        <v>7</v>
      </c>
      <c r="D1909" t="s">
        <v>75</v>
      </c>
      <c r="E1909" t="s">
        <v>9</v>
      </c>
      <c r="F1909">
        <v>74</v>
      </c>
      <c r="G1909" t="s">
        <v>118</v>
      </c>
      <c r="H1909" t="s">
        <v>11</v>
      </c>
      <c r="I1909" t="s">
        <v>109</v>
      </c>
      <c r="J1909" t="s">
        <v>45</v>
      </c>
      <c r="K1909">
        <v>4.8</v>
      </c>
      <c r="L1909" t="s">
        <v>140</v>
      </c>
      <c r="M1909" t="s">
        <v>62</v>
      </c>
      <c r="N1909" t="s">
        <v>140</v>
      </c>
      <c r="O1909">
        <v>36</v>
      </c>
      <c r="P1909" t="s">
        <v>27</v>
      </c>
      <c r="Q1909" t="s">
        <v>85</v>
      </c>
      <c r="R1909" t="str" cm="1">
        <f t="array" ref="R1909">_xlfn.IFS(B1909&lt;31,"Young-Adult",B1909&lt;41,"Adult",B1909&lt;61,"Middle-aged",B1909&gt;=61,"Senior")</f>
        <v>Senior</v>
      </c>
      <c r="S1909" cm="1">
        <f t="array" ref="S1909">_xlfn.IFS(Q1909 ="Fortnightly",14,Q1909="Weekly",7,Q1909="Monthly",30,Q1909="Quarterly",90,Q1909="Bi-Weekly",14,Q1909="Annually",365,Q1909="Every 3 Months",90,TRUE,"NOT FOUND")</f>
        <v>90</v>
      </c>
    </row>
    <row r="1910" spans="1:19" x14ac:dyDescent="0.35">
      <c r="A1910">
        <v>1909</v>
      </c>
      <c r="B1910">
        <v>18</v>
      </c>
      <c r="C1910" t="s">
        <v>7</v>
      </c>
      <c r="D1910" t="s">
        <v>107</v>
      </c>
      <c r="E1910" t="s">
        <v>55</v>
      </c>
      <c r="F1910">
        <v>71</v>
      </c>
      <c r="G1910" t="s">
        <v>130</v>
      </c>
      <c r="H1910" t="s">
        <v>80</v>
      </c>
      <c r="I1910" t="s">
        <v>49</v>
      </c>
      <c r="J1910" t="s">
        <v>13</v>
      </c>
      <c r="K1910">
        <v>2.7</v>
      </c>
      <c r="L1910" t="s">
        <v>140</v>
      </c>
      <c r="M1910" t="s">
        <v>33</v>
      </c>
      <c r="N1910" t="s">
        <v>140</v>
      </c>
      <c r="O1910">
        <v>19</v>
      </c>
      <c r="P1910" t="s">
        <v>74</v>
      </c>
      <c r="Q1910" t="s">
        <v>64</v>
      </c>
      <c r="R1910" t="str" cm="1">
        <f t="array" ref="R1910">_xlfn.IFS(B1910&lt;31,"Young-Adult",B1910&lt;41,"Adult",B1910&lt;61,"Middle-aged",B1910&gt;=61,"Senior")</f>
        <v>Young-Adult</v>
      </c>
      <c r="S1910" cm="1">
        <f t="array" ref="S1910">_xlfn.IFS(Q1910 ="Fortnightly",14,Q1910="Weekly",7,Q1910="Monthly",30,Q1910="Quarterly",90,Q1910="Bi-Weekly",14,Q1910="Annually",365,Q1910="Every 3 Months",90,TRUE,"NOT FOUND")</f>
        <v>14</v>
      </c>
    </row>
    <row r="1911" spans="1:19" x14ac:dyDescent="0.35">
      <c r="A1911">
        <v>1910</v>
      </c>
      <c r="B1911">
        <v>50</v>
      </c>
      <c r="C1911" t="s">
        <v>7</v>
      </c>
      <c r="D1911" t="s">
        <v>18</v>
      </c>
      <c r="E1911" t="s">
        <v>9</v>
      </c>
      <c r="F1911">
        <v>84</v>
      </c>
      <c r="G1911" t="s">
        <v>10</v>
      </c>
      <c r="H1911" t="s">
        <v>24</v>
      </c>
      <c r="I1911" t="s">
        <v>82</v>
      </c>
      <c r="J1911" t="s">
        <v>25</v>
      </c>
      <c r="K1911">
        <v>4.3</v>
      </c>
      <c r="L1911" t="s">
        <v>140</v>
      </c>
      <c r="M1911" t="s">
        <v>62</v>
      </c>
      <c r="N1911" t="s">
        <v>140</v>
      </c>
      <c r="O1911">
        <v>12</v>
      </c>
      <c r="P1911" t="s">
        <v>27</v>
      </c>
      <c r="Q1911" t="s">
        <v>76</v>
      </c>
      <c r="R1911" t="str" cm="1">
        <f t="array" ref="R1911">_xlfn.IFS(B1911&lt;31,"Young-Adult",B1911&lt;41,"Adult",B1911&lt;61,"Middle-aged",B1911&gt;=61,"Senior")</f>
        <v>Middle-aged</v>
      </c>
      <c r="S1911" cm="1">
        <f t="array" ref="S1911">_xlfn.IFS(Q1911 ="Fortnightly",14,Q1911="Weekly",7,Q1911="Monthly",30,Q1911="Quarterly",90,Q1911="Bi-Weekly",14,Q1911="Annually",365,Q1911="Every 3 Months",90,TRUE,"NOT FOUND")</f>
        <v>30</v>
      </c>
    </row>
    <row r="1912" spans="1:19" x14ac:dyDescent="0.35">
      <c r="A1912">
        <v>1911</v>
      </c>
      <c r="B1912">
        <v>29</v>
      </c>
      <c r="C1912" t="s">
        <v>7</v>
      </c>
      <c r="D1912" t="s">
        <v>29</v>
      </c>
      <c r="E1912" t="s">
        <v>30</v>
      </c>
      <c r="F1912">
        <v>38</v>
      </c>
      <c r="G1912" t="s">
        <v>72</v>
      </c>
      <c r="H1912" t="s">
        <v>24</v>
      </c>
      <c r="I1912" t="s">
        <v>122</v>
      </c>
      <c r="J1912" t="s">
        <v>45</v>
      </c>
      <c r="K1912">
        <v>3.8</v>
      </c>
      <c r="L1912" t="s">
        <v>140</v>
      </c>
      <c r="M1912" t="s">
        <v>15</v>
      </c>
      <c r="N1912" t="s">
        <v>140</v>
      </c>
      <c r="O1912">
        <v>13</v>
      </c>
      <c r="P1912" t="s">
        <v>74</v>
      </c>
      <c r="Q1912" t="s">
        <v>46</v>
      </c>
      <c r="R1912" t="str" cm="1">
        <f t="array" ref="R1912">_xlfn.IFS(B1912&lt;31,"Young-Adult",B1912&lt;41,"Adult",B1912&lt;61,"Middle-aged",B1912&gt;=61,"Senior")</f>
        <v>Young-Adult</v>
      </c>
      <c r="S1912" cm="1">
        <f t="array" ref="S1912">_xlfn.IFS(Q1912 ="Fortnightly",14,Q1912="Weekly",7,Q1912="Monthly",30,Q1912="Quarterly",90,Q1912="Bi-Weekly",14,Q1912="Annually",365,Q1912="Every 3 Months",90,TRUE,"NOT FOUND")</f>
        <v>90</v>
      </c>
    </row>
    <row r="1913" spans="1:19" x14ac:dyDescent="0.35">
      <c r="A1913">
        <v>1912</v>
      </c>
      <c r="B1913">
        <v>65</v>
      </c>
      <c r="C1913" t="s">
        <v>7</v>
      </c>
      <c r="D1913" t="s">
        <v>94</v>
      </c>
      <c r="E1913" t="s">
        <v>55</v>
      </c>
      <c r="F1913">
        <v>81</v>
      </c>
      <c r="G1913" t="s">
        <v>105</v>
      </c>
      <c r="H1913" t="s">
        <v>32</v>
      </c>
      <c r="I1913" t="s">
        <v>12</v>
      </c>
      <c r="J1913" t="s">
        <v>25</v>
      </c>
      <c r="K1913">
        <v>4.9000000000000004</v>
      </c>
      <c r="L1913" t="s">
        <v>140</v>
      </c>
      <c r="M1913" t="s">
        <v>15</v>
      </c>
      <c r="N1913" t="s">
        <v>140</v>
      </c>
      <c r="O1913">
        <v>32</v>
      </c>
      <c r="P1913" t="s">
        <v>74</v>
      </c>
      <c r="Q1913" t="s">
        <v>64</v>
      </c>
      <c r="R1913" t="str" cm="1">
        <f t="array" ref="R1913">_xlfn.IFS(B1913&lt;31,"Young-Adult",B1913&lt;41,"Adult",B1913&lt;61,"Middle-aged",B1913&gt;=61,"Senior")</f>
        <v>Senior</v>
      </c>
      <c r="S1913" cm="1">
        <f t="array" ref="S1913">_xlfn.IFS(Q1913 ="Fortnightly",14,Q1913="Weekly",7,Q1913="Monthly",30,Q1913="Quarterly",90,Q1913="Bi-Weekly",14,Q1913="Annually",365,Q1913="Every 3 Months",90,TRUE,"NOT FOUND")</f>
        <v>14</v>
      </c>
    </row>
    <row r="1914" spans="1:19" x14ac:dyDescent="0.35">
      <c r="A1914">
        <v>1913</v>
      </c>
      <c r="B1914">
        <v>29</v>
      </c>
      <c r="C1914" t="s">
        <v>7</v>
      </c>
      <c r="D1914" t="s">
        <v>18</v>
      </c>
      <c r="E1914" t="s">
        <v>9</v>
      </c>
      <c r="F1914">
        <v>56</v>
      </c>
      <c r="G1914" t="s">
        <v>100</v>
      </c>
      <c r="H1914" t="s">
        <v>24</v>
      </c>
      <c r="I1914" t="s">
        <v>49</v>
      </c>
      <c r="J1914" t="s">
        <v>13</v>
      </c>
      <c r="K1914">
        <v>3.4</v>
      </c>
      <c r="L1914" t="s">
        <v>140</v>
      </c>
      <c r="M1914" t="s">
        <v>58</v>
      </c>
      <c r="N1914" t="s">
        <v>140</v>
      </c>
      <c r="O1914">
        <v>5</v>
      </c>
      <c r="P1914" t="s">
        <v>27</v>
      </c>
      <c r="Q1914" t="s">
        <v>64</v>
      </c>
      <c r="R1914" t="str" cm="1">
        <f t="array" ref="R1914">_xlfn.IFS(B1914&lt;31,"Young-Adult",B1914&lt;41,"Adult",B1914&lt;61,"Middle-aged",B1914&gt;=61,"Senior")</f>
        <v>Young-Adult</v>
      </c>
      <c r="S1914" cm="1">
        <f t="array" ref="S1914">_xlfn.IFS(Q1914 ="Fortnightly",14,Q1914="Weekly",7,Q1914="Monthly",30,Q1914="Quarterly",90,Q1914="Bi-Weekly",14,Q1914="Annually",365,Q1914="Every 3 Months",90,TRUE,"NOT FOUND")</f>
        <v>14</v>
      </c>
    </row>
    <row r="1915" spans="1:19" x14ac:dyDescent="0.35">
      <c r="A1915">
        <v>1914</v>
      </c>
      <c r="B1915">
        <v>49</v>
      </c>
      <c r="C1915" t="s">
        <v>7</v>
      </c>
      <c r="D1915" t="s">
        <v>75</v>
      </c>
      <c r="E1915" t="s">
        <v>9</v>
      </c>
      <c r="F1915">
        <v>48</v>
      </c>
      <c r="G1915" t="s">
        <v>10</v>
      </c>
      <c r="H1915" t="s">
        <v>32</v>
      </c>
      <c r="I1915" t="s">
        <v>88</v>
      </c>
      <c r="J1915" t="s">
        <v>13</v>
      </c>
      <c r="K1915">
        <v>3.6</v>
      </c>
      <c r="L1915" t="s">
        <v>140</v>
      </c>
      <c r="M1915" t="s">
        <v>15</v>
      </c>
      <c r="N1915" t="s">
        <v>140</v>
      </c>
      <c r="O1915">
        <v>29</v>
      </c>
      <c r="P1915" t="s">
        <v>21</v>
      </c>
      <c r="Q1915" t="s">
        <v>37</v>
      </c>
      <c r="R1915" t="str" cm="1">
        <f t="array" ref="R1915">_xlfn.IFS(B1915&lt;31,"Young-Adult",B1915&lt;41,"Adult",B1915&lt;61,"Middle-aged",B1915&gt;=61,"Senior")</f>
        <v>Middle-aged</v>
      </c>
      <c r="S1915" cm="1">
        <f t="array" ref="S1915">_xlfn.IFS(Q1915 ="Fortnightly",14,Q1915="Weekly",7,Q1915="Monthly",30,Q1915="Quarterly",90,Q1915="Bi-Weekly",14,Q1915="Annually",365,Q1915="Every 3 Months",90,TRUE,"NOT FOUND")</f>
        <v>365</v>
      </c>
    </row>
    <row r="1916" spans="1:19" x14ac:dyDescent="0.35">
      <c r="A1916">
        <v>1915</v>
      </c>
      <c r="B1916">
        <v>28</v>
      </c>
      <c r="C1916" t="s">
        <v>7</v>
      </c>
      <c r="D1916" t="s">
        <v>47</v>
      </c>
      <c r="E1916" t="s">
        <v>9</v>
      </c>
      <c r="F1916">
        <v>97</v>
      </c>
      <c r="G1916" t="s">
        <v>108</v>
      </c>
      <c r="H1916" t="s">
        <v>11</v>
      </c>
      <c r="I1916" t="s">
        <v>84</v>
      </c>
      <c r="J1916" t="s">
        <v>45</v>
      </c>
      <c r="K1916">
        <v>3.4</v>
      </c>
      <c r="L1916" t="s">
        <v>140</v>
      </c>
      <c r="M1916" t="s">
        <v>42</v>
      </c>
      <c r="N1916" t="s">
        <v>140</v>
      </c>
      <c r="O1916">
        <v>40</v>
      </c>
      <c r="P1916" t="s">
        <v>27</v>
      </c>
      <c r="Q1916" t="s">
        <v>17</v>
      </c>
      <c r="R1916" t="str" cm="1">
        <f t="array" ref="R1916">_xlfn.IFS(B1916&lt;31,"Young-Adult",B1916&lt;41,"Adult",B1916&lt;61,"Middle-aged",B1916&gt;=61,"Senior")</f>
        <v>Young-Adult</v>
      </c>
      <c r="S1916" cm="1">
        <f t="array" ref="S1916">_xlfn.IFS(Q1916 ="Fortnightly",14,Q1916="Weekly",7,Q1916="Monthly",30,Q1916="Quarterly",90,Q1916="Bi-Weekly",14,Q1916="Annually",365,Q1916="Every 3 Months",90,TRUE,"NOT FOUND")</f>
        <v>14</v>
      </c>
    </row>
    <row r="1917" spans="1:19" x14ac:dyDescent="0.35">
      <c r="A1917">
        <v>1916</v>
      </c>
      <c r="B1917">
        <v>51</v>
      </c>
      <c r="C1917" t="s">
        <v>7</v>
      </c>
      <c r="D1917" t="s">
        <v>120</v>
      </c>
      <c r="E1917" t="s">
        <v>55</v>
      </c>
      <c r="F1917">
        <v>74</v>
      </c>
      <c r="G1917" t="s">
        <v>78</v>
      </c>
      <c r="H1917" t="s">
        <v>32</v>
      </c>
      <c r="I1917" t="s">
        <v>124</v>
      </c>
      <c r="J1917" t="s">
        <v>45</v>
      </c>
      <c r="K1917">
        <v>4.7</v>
      </c>
      <c r="L1917" t="s">
        <v>140</v>
      </c>
      <c r="M1917" t="s">
        <v>58</v>
      </c>
      <c r="N1917" t="s">
        <v>140</v>
      </c>
      <c r="O1917">
        <v>44</v>
      </c>
      <c r="P1917" t="s">
        <v>21</v>
      </c>
      <c r="Q1917" t="s">
        <v>28</v>
      </c>
      <c r="R1917" t="str" cm="1">
        <f t="array" ref="R1917">_xlfn.IFS(B1917&lt;31,"Young-Adult",B1917&lt;41,"Adult",B1917&lt;61,"Middle-aged",B1917&gt;=61,"Senior")</f>
        <v>Middle-aged</v>
      </c>
      <c r="S1917" cm="1">
        <f t="array" ref="S1917">_xlfn.IFS(Q1917 ="Fortnightly",14,Q1917="Weekly",7,Q1917="Monthly",30,Q1917="Quarterly",90,Q1917="Bi-Weekly",14,Q1917="Annually",365,Q1917="Every 3 Months",90,TRUE,"NOT FOUND")</f>
        <v>7</v>
      </c>
    </row>
    <row r="1918" spans="1:19" x14ac:dyDescent="0.35">
      <c r="A1918">
        <v>1917</v>
      </c>
      <c r="B1918">
        <v>26</v>
      </c>
      <c r="C1918" t="s">
        <v>7</v>
      </c>
      <c r="D1918" t="s">
        <v>92</v>
      </c>
      <c r="E1918" t="s">
        <v>9</v>
      </c>
      <c r="F1918">
        <v>50</v>
      </c>
      <c r="G1918" t="s">
        <v>127</v>
      </c>
      <c r="H1918" t="s">
        <v>24</v>
      </c>
      <c r="I1918" t="s">
        <v>106</v>
      </c>
      <c r="J1918" t="s">
        <v>13</v>
      </c>
      <c r="K1918">
        <v>3</v>
      </c>
      <c r="L1918" t="s">
        <v>140</v>
      </c>
      <c r="M1918" t="s">
        <v>33</v>
      </c>
      <c r="N1918" t="s">
        <v>140</v>
      </c>
      <c r="O1918">
        <v>3</v>
      </c>
      <c r="P1918" t="s">
        <v>74</v>
      </c>
      <c r="Q1918" t="s">
        <v>64</v>
      </c>
      <c r="R1918" t="str" cm="1">
        <f t="array" ref="R1918">_xlfn.IFS(B1918&lt;31,"Young-Adult",B1918&lt;41,"Adult",B1918&lt;61,"Middle-aged",B1918&gt;=61,"Senior")</f>
        <v>Young-Adult</v>
      </c>
      <c r="S1918" cm="1">
        <f t="array" ref="S1918">_xlfn.IFS(Q1918 ="Fortnightly",14,Q1918="Weekly",7,Q1918="Monthly",30,Q1918="Quarterly",90,Q1918="Bi-Weekly",14,Q1918="Annually",365,Q1918="Every 3 Months",90,TRUE,"NOT FOUND")</f>
        <v>14</v>
      </c>
    </row>
    <row r="1919" spans="1:19" x14ac:dyDescent="0.35">
      <c r="A1919">
        <v>1918</v>
      </c>
      <c r="B1919">
        <v>38</v>
      </c>
      <c r="C1919" t="s">
        <v>7</v>
      </c>
      <c r="D1919" t="s">
        <v>75</v>
      </c>
      <c r="E1919" t="s">
        <v>9</v>
      </c>
      <c r="F1919">
        <v>71</v>
      </c>
      <c r="G1919" t="s">
        <v>65</v>
      </c>
      <c r="H1919" t="s">
        <v>11</v>
      </c>
      <c r="I1919" t="s">
        <v>82</v>
      </c>
      <c r="J1919" t="s">
        <v>13</v>
      </c>
      <c r="K1919">
        <v>3.4</v>
      </c>
      <c r="L1919" t="s">
        <v>140</v>
      </c>
      <c r="M1919" t="s">
        <v>26</v>
      </c>
      <c r="N1919" t="s">
        <v>140</v>
      </c>
      <c r="O1919">
        <v>35</v>
      </c>
      <c r="P1919" t="s">
        <v>34</v>
      </c>
      <c r="Q1919" t="s">
        <v>64</v>
      </c>
      <c r="R1919" t="str" cm="1">
        <f t="array" ref="R1919">_xlfn.IFS(B1919&lt;31,"Young-Adult",B1919&lt;41,"Adult",B1919&lt;61,"Middle-aged",B1919&gt;=61,"Senior")</f>
        <v>Adult</v>
      </c>
      <c r="S1919" cm="1">
        <f t="array" ref="S1919">_xlfn.IFS(Q1919 ="Fortnightly",14,Q1919="Weekly",7,Q1919="Monthly",30,Q1919="Quarterly",90,Q1919="Bi-Weekly",14,Q1919="Annually",365,Q1919="Every 3 Months",90,TRUE,"NOT FOUND")</f>
        <v>14</v>
      </c>
    </row>
    <row r="1920" spans="1:19" x14ac:dyDescent="0.35">
      <c r="A1920">
        <v>1919</v>
      </c>
      <c r="B1920">
        <v>35</v>
      </c>
      <c r="C1920" t="s">
        <v>7</v>
      </c>
      <c r="D1920" t="s">
        <v>75</v>
      </c>
      <c r="E1920" t="s">
        <v>9</v>
      </c>
      <c r="F1920">
        <v>33</v>
      </c>
      <c r="G1920" t="s">
        <v>123</v>
      </c>
      <c r="H1920" t="s">
        <v>24</v>
      </c>
      <c r="I1920" t="s">
        <v>61</v>
      </c>
      <c r="J1920" t="s">
        <v>41</v>
      </c>
      <c r="K1920">
        <v>4.5999999999999996</v>
      </c>
      <c r="L1920" t="s">
        <v>140</v>
      </c>
      <c r="M1920" t="s">
        <v>42</v>
      </c>
      <c r="N1920" t="s">
        <v>140</v>
      </c>
      <c r="O1920">
        <v>33</v>
      </c>
      <c r="P1920" t="s">
        <v>74</v>
      </c>
      <c r="Q1920" t="s">
        <v>76</v>
      </c>
      <c r="R1920" t="str" cm="1">
        <f t="array" ref="R1920">_xlfn.IFS(B1920&lt;31,"Young-Adult",B1920&lt;41,"Adult",B1920&lt;61,"Middle-aged",B1920&gt;=61,"Senior")</f>
        <v>Adult</v>
      </c>
      <c r="S1920" cm="1">
        <f t="array" ref="S1920">_xlfn.IFS(Q1920 ="Fortnightly",14,Q1920="Weekly",7,Q1920="Monthly",30,Q1920="Quarterly",90,Q1920="Bi-Weekly",14,Q1920="Annually",365,Q1920="Every 3 Months",90,TRUE,"NOT FOUND")</f>
        <v>30</v>
      </c>
    </row>
    <row r="1921" spans="1:19" x14ac:dyDescent="0.35">
      <c r="A1921">
        <v>1920</v>
      </c>
      <c r="B1921">
        <v>34</v>
      </c>
      <c r="C1921" t="s">
        <v>7</v>
      </c>
      <c r="D1921" t="s">
        <v>120</v>
      </c>
      <c r="E1921" t="s">
        <v>55</v>
      </c>
      <c r="F1921">
        <v>56</v>
      </c>
      <c r="G1921" t="s">
        <v>129</v>
      </c>
      <c r="H1921" t="s">
        <v>32</v>
      </c>
      <c r="I1921" t="s">
        <v>66</v>
      </c>
      <c r="J1921" t="s">
        <v>41</v>
      </c>
      <c r="K1921">
        <v>3.1</v>
      </c>
      <c r="L1921" t="s">
        <v>140</v>
      </c>
      <c r="M1921" t="s">
        <v>15</v>
      </c>
      <c r="N1921" t="s">
        <v>140</v>
      </c>
      <c r="O1921">
        <v>20</v>
      </c>
      <c r="P1921" t="s">
        <v>34</v>
      </c>
      <c r="Q1921" t="s">
        <v>64</v>
      </c>
      <c r="R1921" t="str" cm="1">
        <f t="array" ref="R1921">_xlfn.IFS(B1921&lt;31,"Young-Adult",B1921&lt;41,"Adult",B1921&lt;61,"Middle-aged",B1921&gt;=61,"Senior")</f>
        <v>Adult</v>
      </c>
      <c r="S1921" cm="1">
        <f t="array" ref="S1921">_xlfn.IFS(Q1921 ="Fortnightly",14,Q1921="Weekly",7,Q1921="Monthly",30,Q1921="Quarterly",90,Q1921="Bi-Weekly",14,Q1921="Annually",365,Q1921="Every 3 Months",90,TRUE,"NOT FOUND")</f>
        <v>14</v>
      </c>
    </row>
    <row r="1922" spans="1:19" x14ac:dyDescent="0.35">
      <c r="A1922">
        <v>1921</v>
      </c>
      <c r="B1922">
        <v>51</v>
      </c>
      <c r="C1922" t="s">
        <v>7</v>
      </c>
      <c r="D1922" t="s">
        <v>8</v>
      </c>
      <c r="E1922" t="s">
        <v>9</v>
      </c>
      <c r="F1922">
        <v>84</v>
      </c>
      <c r="G1922" t="s">
        <v>127</v>
      </c>
      <c r="H1922" t="s">
        <v>32</v>
      </c>
      <c r="I1922" t="s">
        <v>61</v>
      </c>
      <c r="J1922" t="s">
        <v>25</v>
      </c>
      <c r="K1922">
        <v>2.8</v>
      </c>
      <c r="L1922" t="s">
        <v>140</v>
      </c>
      <c r="M1922" t="s">
        <v>42</v>
      </c>
      <c r="N1922" t="s">
        <v>140</v>
      </c>
      <c r="O1922">
        <v>40</v>
      </c>
      <c r="P1922" t="s">
        <v>21</v>
      </c>
      <c r="Q1922" t="s">
        <v>85</v>
      </c>
      <c r="R1922" t="str" cm="1">
        <f t="array" ref="R1922">_xlfn.IFS(B1922&lt;31,"Young-Adult",B1922&lt;41,"Adult",B1922&lt;61,"Middle-aged",B1922&gt;=61,"Senior")</f>
        <v>Middle-aged</v>
      </c>
      <c r="S1922" cm="1">
        <f t="array" ref="S1922">_xlfn.IFS(Q1922 ="Fortnightly",14,Q1922="Weekly",7,Q1922="Monthly",30,Q1922="Quarterly",90,Q1922="Bi-Weekly",14,Q1922="Annually",365,Q1922="Every 3 Months",90,TRUE,"NOT FOUND")</f>
        <v>90</v>
      </c>
    </row>
    <row r="1923" spans="1:19" x14ac:dyDescent="0.35">
      <c r="A1923">
        <v>1922</v>
      </c>
      <c r="B1923">
        <v>47</v>
      </c>
      <c r="C1923" t="s">
        <v>7</v>
      </c>
      <c r="D1923" t="s">
        <v>43</v>
      </c>
      <c r="E1923" t="s">
        <v>9</v>
      </c>
      <c r="F1923">
        <v>36</v>
      </c>
      <c r="G1923" t="s">
        <v>139</v>
      </c>
      <c r="H1923" t="s">
        <v>32</v>
      </c>
      <c r="I1923" t="s">
        <v>84</v>
      </c>
      <c r="J1923" t="s">
        <v>45</v>
      </c>
      <c r="K1923">
        <v>3.5</v>
      </c>
      <c r="L1923" t="s">
        <v>140</v>
      </c>
      <c r="M1923" t="s">
        <v>62</v>
      </c>
      <c r="N1923" t="s">
        <v>140</v>
      </c>
      <c r="O1923">
        <v>13</v>
      </c>
      <c r="P1923" t="s">
        <v>16</v>
      </c>
      <c r="Q1923" t="s">
        <v>37</v>
      </c>
      <c r="R1923" t="str" cm="1">
        <f t="array" ref="R1923">_xlfn.IFS(B1923&lt;31,"Young-Adult",B1923&lt;41,"Adult",B1923&lt;61,"Middle-aged",B1923&gt;=61,"Senior")</f>
        <v>Middle-aged</v>
      </c>
      <c r="S1923" cm="1">
        <f t="array" ref="S1923">_xlfn.IFS(Q1923 ="Fortnightly",14,Q1923="Weekly",7,Q1923="Monthly",30,Q1923="Quarterly",90,Q1923="Bi-Weekly",14,Q1923="Annually",365,Q1923="Every 3 Months",90,TRUE,"NOT FOUND")</f>
        <v>365</v>
      </c>
    </row>
    <row r="1924" spans="1:19" x14ac:dyDescent="0.35">
      <c r="A1924">
        <v>1923</v>
      </c>
      <c r="B1924">
        <v>18</v>
      </c>
      <c r="C1924" t="s">
        <v>7</v>
      </c>
      <c r="D1924" t="s">
        <v>131</v>
      </c>
      <c r="E1924" t="s">
        <v>55</v>
      </c>
      <c r="F1924">
        <v>63</v>
      </c>
      <c r="G1924" t="s">
        <v>10</v>
      </c>
      <c r="H1924" t="s">
        <v>24</v>
      </c>
      <c r="I1924" t="s">
        <v>88</v>
      </c>
      <c r="J1924" t="s">
        <v>41</v>
      </c>
      <c r="K1924">
        <v>4.5999999999999996</v>
      </c>
      <c r="L1924" t="s">
        <v>140</v>
      </c>
      <c r="M1924" t="s">
        <v>42</v>
      </c>
      <c r="N1924" t="s">
        <v>140</v>
      </c>
      <c r="O1924">
        <v>9</v>
      </c>
      <c r="P1924" t="s">
        <v>34</v>
      </c>
      <c r="Q1924" t="s">
        <v>76</v>
      </c>
      <c r="R1924" t="str" cm="1">
        <f t="array" ref="R1924">_xlfn.IFS(B1924&lt;31,"Young-Adult",B1924&lt;41,"Adult",B1924&lt;61,"Middle-aged",B1924&gt;=61,"Senior")</f>
        <v>Young-Adult</v>
      </c>
      <c r="S1924" cm="1">
        <f t="array" ref="S1924">_xlfn.IFS(Q1924 ="Fortnightly",14,Q1924="Weekly",7,Q1924="Monthly",30,Q1924="Quarterly",90,Q1924="Bi-Weekly",14,Q1924="Annually",365,Q1924="Every 3 Months",90,TRUE,"NOT FOUND")</f>
        <v>30</v>
      </c>
    </row>
    <row r="1925" spans="1:19" x14ac:dyDescent="0.35">
      <c r="A1925">
        <v>1924</v>
      </c>
      <c r="B1925">
        <v>64</v>
      </c>
      <c r="C1925" t="s">
        <v>7</v>
      </c>
      <c r="D1925" t="s">
        <v>29</v>
      </c>
      <c r="E1925" t="s">
        <v>30</v>
      </c>
      <c r="F1925">
        <v>36</v>
      </c>
      <c r="G1925" t="s">
        <v>133</v>
      </c>
      <c r="H1925" t="s">
        <v>80</v>
      </c>
      <c r="I1925" t="s">
        <v>132</v>
      </c>
      <c r="J1925" t="s">
        <v>41</v>
      </c>
      <c r="K1925">
        <v>4.3</v>
      </c>
      <c r="L1925" t="s">
        <v>140</v>
      </c>
      <c r="M1925" t="s">
        <v>42</v>
      </c>
      <c r="N1925" t="s">
        <v>140</v>
      </c>
      <c r="O1925">
        <v>7</v>
      </c>
      <c r="P1925" t="s">
        <v>21</v>
      </c>
      <c r="Q1925" t="s">
        <v>37</v>
      </c>
      <c r="R1925" t="str" cm="1">
        <f t="array" ref="R1925">_xlfn.IFS(B1925&lt;31,"Young-Adult",B1925&lt;41,"Adult",B1925&lt;61,"Middle-aged",B1925&gt;=61,"Senior")</f>
        <v>Senior</v>
      </c>
      <c r="S1925" cm="1">
        <f t="array" ref="S1925">_xlfn.IFS(Q1925 ="Fortnightly",14,Q1925="Weekly",7,Q1925="Monthly",30,Q1925="Quarterly",90,Q1925="Bi-Weekly",14,Q1925="Annually",365,Q1925="Every 3 Months",90,TRUE,"NOT FOUND")</f>
        <v>365</v>
      </c>
    </row>
    <row r="1926" spans="1:19" x14ac:dyDescent="0.35">
      <c r="A1926">
        <v>1925</v>
      </c>
      <c r="B1926">
        <v>30</v>
      </c>
      <c r="C1926" t="s">
        <v>7</v>
      </c>
      <c r="D1926" t="s">
        <v>90</v>
      </c>
      <c r="E1926" t="s">
        <v>51</v>
      </c>
      <c r="F1926">
        <v>63</v>
      </c>
      <c r="G1926" t="s">
        <v>139</v>
      </c>
      <c r="H1926" t="s">
        <v>32</v>
      </c>
      <c r="I1926" t="s">
        <v>12</v>
      </c>
      <c r="J1926" t="s">
        <v>45</v>
      </c>
      <c r="K1926">
        <v>4.8</v>
      </c>
      <c r="L1926" t="s">
        <v>140</v>
      </c>
      <c r="M1926" t="s">
        <v>26</v>
      </c>
      <c r="N1926" t="s">
        <v>140</v>
      </c>
      <c r="O1926">
        <v>42</v>
      </c>
      <c r="P1926" t="s">
        <v>34</v>
      </c>
      <c r="Q1926" t="s">
        <v>46</v>
      </c>
      <c r="R1926" t="str" cm="1">
        <f t="array" ref="R1926">_xlfn.IFS(B1926&lt;31,"Young-Adult",B1926&lt;41,"Adult",B1926&lt;61,"Middle-aged",B1926&gt;=61,"Senior")</f>
        <v>Young-Adult</v>
      </c>
      <c r="S1926" cm="1">
        <f t="array" ref="S1926">_xlfn.IFS(Q1926 ="Fortnightly",14,Q1926="Weekly",7,Q1926="Monthly",30,Q1926="Quarterly",90,Q1926="Bi-Weekly",14,Q1926="Annually",365,Q1926="Every 3 Months",90,TRUE,"NOT FOUND")</f>
        <v>90</v>
      </c>
    </row>
    <row r="1927" spans="1:19" x14ac:dyDescent="0.35">
      <c r="A1927">
        <v>1926</v>
      </c>
      <c r="B1927">
        <v>59</v>
      </c>
      <c r="C1927" t="s">
        <v>7</v>
      </c>
      <c r="D1927" t="s">
        <v>38</v>
      </c>
      <c r="E1927" t="s">
        <v>30</v>
      </c>
      <c r="F1927">
        <v>32</v>
      </c>
      <c r="G1927" t="s">
        <v>128</v>
      </c>
      <c r="H1927" t="s">
        <v>11</v>
      </c>
      <c r="I1927" t="s">
        <v>82</v>
      </c>
      <c r="J1927" t="s">
        <v>13</v>
      </c>
      <c r="K1927">
        <v>2.9</v>
      </c>
      <c r="L1927" t="s">
        <v>140</v>
      </c>
      <c r="M1927" t="s">
        <v>15</v>
      </c>
      <c r="N1927" t="s">
        <v>140</v>
      </c>
      <c r="O1927">
        <v>44</v>
      </c>
      <c r="P1927" t="s">
        <v>27</v>
      </c>
      <c r="Q1927" t="s">
        <v>17</v>
      </c>
      <c r="R1927" t="str" cm="1">
        <f t="array" ref="R1927">_xlfn.IFS(B1927&lt;31,"Young-Adult",B1927&lt;41,"Adult",B1927&lt;61,"Middle-aged",B1927&gt;=61,"Senior")</f>
        <v>Middle-aged</v>
      </c>
      <c r="S1927" cm="1">
        <f t="array" ref="S1927">_xlfn.IFS(Q1927 ="Fortnightly",14,Q1927="Weekly",7,Q1927="Monthly",30,Q1927="Quarterly",90,Q1927="Bi-Weekly",14,Q1927="Annually",365,Q1927="Every 3 Months",90,TRUE,"NOT FOUND")</f>
        <v>14</v>
      </c>
    </row>
    <row r="1928" spans="1:19" x14ac:dyDescent="0.35">
      <c r="A1928">
        <v>1927</v>
      </c>
      <c r="B1928">
        <v>66</v>
      </c>
      <c r="C1928" t="s">
        <v>7</v>
      </c>
      <c r="D1928" t="s">
        <v>120</v>
      </c>
      <c r="E1928" t="s">
        <v>55</v>
      </c>
      <c r="F1928">
        <v>93</v>
      </c>
      <c r="G1928" t="s">
        <v>118</v>
      </c>
      <c r="H1928" t="s">
        <v>32</v>
      </c>
      <c r="I1928" t="s">
        <v>53</v>
      </c>
      <c r="J1928" t="s">
        <v>25</v>
      </c>
      <c r="K1928">
        <v>3</v>
      </c>
      <c r="L1928" t="s">
        <v>140</v>
      </c>
      <c r="M1928" t="s">
        <v>15</v>
      </c>
      <c r="N1928" t="s">
        <v>140</v>
      </c>
      <c r="O1928">
        <v>6</v>
      </c>
      <c r="P1928" t="s">
        <v>34</v>
      </c>
      <c r="Q1928" t="s">
        <v>37</v>
      </c>
      <c r="R1928" t="str" cm="1">
        <f t="array" ref="R1928">_xlfn.IFS(B1928&lt;31,"Young-Adult",B1928&lt;41,"Adult",B1928&lt;61,"Middle-aged",B1928&gt;=61,"Senior")</f>
        <v>Senior</v>
      </c>
      <c r="S1928" cm="1">
        <f t="array" ref="S1928">_xlfn.IFS(Q1928 ="Fortnightly",14,Q1928="Weekly",7,Q1928="Monthly",30,Q1928="Quarterly",90,Q1928="Bi-Weekly",14,Q1928="Annually",365,Q1928="Every 3 Months",90,TRUE,"NOT FOUND")</f>
        <v>365</v>
      </c>
    </row>
    <row r="1929" spans="1:19" x14ac:dyDescent="0.35">
      <c r="A1929">
        <v>1928</v>
      </c>
      <c r="B1929">
        <v>40</v>
      </c>
      <c r="C1929" t="s">
        <v>7</v>
      </c>
      <c r="D1929" t="s">
        <v>83</v>
      </c>
      <c r="E1929" t="s">
        <v>9</v>
      </c>
      <c r="F1929">
        <v>29</v>
      </c>
      <c r="G1929" t="s">
        <v>91</v>
      </c>
      <c r="H1929" t="s">
        <v>32</v>
      </c>
      <c r="I1929" t="s">
        <v>57</v>
      </c>
      <c r="J1929" t="s">
        <v>41</v>
      </c>
      <c r="K1929">
        <v>2.9</v>
      </c>
      <c r="L1929" t="s">
        <v>140</v>
      </c>
      <c r="M1929" t="s">
        <v>42</v>
      </c>
      <c r="N1929" t="s">
        <v>140</v>
      </c>
      <c r="O1929">
        <v>8</v>
      </c>
      <c r="P1929" t="s">
        <v>21</v>
      </c>
      <c r="Q1929" t="s">
        <v>85</v>
      </c>
      <c r="R1929" t="str" cm="1">
        <f t="array" ref="R1929">_xlfn.IFS(B1929&lt;31,"Young-Adult",B1929&lt;41,"Adult",B1929&lt;61,"Middle-aged",B1929&gt;=61,"Senior")</f>
        <v>Adult</v>
      </c>
      <c r="S1929" cm="1">
        <f t="array" ref="S1929">_xlfn.IFS(Q1929 ="Fortnightly",14,Q1929="Weekly",7,Q1929="Monthly",30,Q1929="Quarterly",90,Q1929="Bi-Weekly",14,Q1929="Annually",365,Q1929="Every 3 Months",90,TRUE,"NOT FOUND")</f>
        <v>90</v>
      </c>
    </row>
    <row r="1930" spans="1:19" x14ac:dyDescent="0.35">
      <c r="A1930">
        <v>1929</v>
      </c>
      <c r="B1930">
        <v>25</v>
      </c>
      <c r="C1930" t="s">
        <v>7</v>
      </c>
      <c r="D1930" t="s">
        <v>77</v>
      </c>
      <c r="E1930" t="s">
        <v>55</v>
      </c>
      <c r="F1930">
        <v>92</v>
      </c>
      <c r="G1930" t="s">
        <v>79</v>
      </c>
      <c r="H1930" t="s">
        <v>24</v>
      </c>
      <c r="I1930" t="s">
        <v>81</v>
      </c>
      <c r="J1930" t="s">
        <v>41</v>
      </c>
      <c r="K1930">
        <v>3.7</v>
      </c>
      <c r="L1930" t="s">
        <v>140</v>
      </c>
      <c r="M1930" t="s">
        <v>42</v>
      </c>
      <c r="N1930" t="s">
        <v>140</v>
      </c>
      <c r="O1930">
        <v>10</v>
      </c>
      <c r="P1930" t="s">
        <v>34</v>
      </c>
      <c r="Q1930" t="s">
        <v>28</v>
      </c>
      <c r="R1930" t="str" cm="1">
        <f t="array" ref="R1930">_xlfn.IFS(B1930&lt;31,"Young-Adult",B1930&lt;41,"Adult",B1930&lt;61,"Middle-aged",B1930&gt;=61,"Senior")</f>
        <v>Young-Adult</v>
      </c>
      <c r="S1930" cm="1">
        <f t="array" ref="S1930">_xlfn.IFS(Q1930 ="Fortnightly",14,Q1930="Weekly",7,Q1930="Monthly",30,Q1930="Quarterly",90,Q1930="Bi-Weekly",14,Q1930="Annually",365,Q1930="Every 3 Months",90,TRUE,"NOT FOUND")</f>
        <v>7</v>
      </c>
    </row>
    <row r="1931" spans="1:19" x14ac:dyDescent="0.35">
      <c r="A1931">
        <v>1930</v>
      </c>
      <c r="B1931">
        <v>59</v>
      </c>
      <c r="C1931" t="s">
        <v>7</v>
      </c>
      <c r="D1931" t="s">
        <v>22</v>
      </c>
      <c r="E1931" t="s">
        <v>9</v>
      </c>
      <c r="F1931">
        <v>33</v>
      </c>
      <c r="G1931" t="s">
        <v>65</v>
      </c>
      <c r="H1931" t="s">
        <v>11</v>
      </c>
      <c r="I1931" t="s">
        <v>98</v>
      </c>
      <c r="J1931" t="s">
        <v>45</v>
      </c>
      <c r="K1931">
        <v>4.7</v>
      </c>
      <c r="L1931" t="s">
        <v>140</v>
      </c>
      <c r="M1931" t="s">
        <v>42</v>
      </c>
      <c r="N1931" t="s">
        <v>140</v>
      </c>
      <c r="O1931">
        <v>46</v>
      </c>
      <c r="P1931" t="s">
        <v>16</v>
      </c>
      <c r="Q1931" t="s">
        <v>46</v>
      </c>
      <c r="R1931" t="str" cm="1">
        <f t="array" ref="R1931">_xlfn.IFS(B1931&lt;31,"Young-Adult",B1931&lt;41,"Adult",B1931&lt;61,"Middle-aged",B1931&gt;=61,"Senior")</f>
        <v>Middle-aged</v>
      </c>
      <c r="S1931" cm="1">
        <f t="array" ref="S1931">_xlfn.IFS(Q1931 ="Fortnightly",14,Q1931="Weekly",7,Q1931="Monthly",30,Q1931="Quarterly",90,Q1931="Bi-Weekly",14,Q1931="Annually",365,Q1931="Every 3 Months",90,TRUE,"NOT FOUND")</f>
        <v>90</v>
      </c>
    </row>
    <row r="1932" spans="1:19" x14ac:dyDescent="0.35">
      <c r="A1932">
        <v>1931</v>
      </c>
      <c r="B1932">
        <v>66</v>
      </c>
      <c r="C1932" t="s">
        <v>7</v>
      </c>
      <c r="D1932" t="s">
        <v>83</v>
      </c>
      <c r="E1932" t="s">
        <v>9</v>
      </c>
      <c r="F1932">
        <v>52</v>
      </c>
      <c r="G1932" t="s">
        <v>86</v>
      </c>
      <c r="H1932" t="s">
        <v>11</v>
      </c>
      <c r="I1932" t="s">
        <v>36</v>
      </c>
      <c r="J1932" t="s">
        <v>25</v>
      </c>
      <c r="K1932">
        <v>3.5</v>
      </c>
      <c r="L1932" t="s">
        <v>140</v>
      </c>
      <c r="M1932" t="s">
        <v>62</v>
      </c>
      <c r="N1932" t="s">
        <v>140</v>
      </c>
      <c r="O1932">
        <v>26</v>
      </c>
      <c r="P1932" t="s">
        <v>21</v>
      </c>
      <c r="Q1932" t="s">
        <v>28</v>
      </c>
      <c r="R1932" t="str" cm="1">
        <f t="array" ref="R1932">_xlfn.IFS(B1932&lt;31,"Young-Adult",B1932&lt;41,"Adult",B1932&lt;61,"Middle-aged",B1932&gt;=61,"Senior")</f>
        <v>Senior</v>
      </c>
      <c r="S1932" cm="1">
        <f t="array" ref="S1932">_xlfn.IFS(Q1932 ="Fortnightly",14,Q1932="Weekly",7,Q1932="Monthly",30,Q1932="Quarterly",90,Q1932="Bi-Weekly",14,Q1932="Annually",365,Q1932="Every 3 Months",90,TRUE,"NOT FOUND")</f>
        <v>7</v>
      </c>
    </row>
    <row r="1933" spans="1:19" x14ac:dyDescent="0.35">
      <c r="A1933">
        <v>1932</v>
      </c>
      <c r="B1933">
        <v>54</v>
      </c>
      <c r="C1933" t="s">
        <v>7</v>
      </c>
      <c r="D1933" t="s">
        <v>94</v>
      </c>
      <c r="E1933" t="s">
        <v>55</v>
      </c>
      <c r="F1933">
        <v>42</v>
      </c>
      <c r="G1933" t="s">
        <v>103</v>
      </c>
      <c r="H1933" t="s">
        <v>24</v>
      </c>
      <c r="I1933" t="s">
        <v>66</v>
      </c>
      <c r="J1933" t="s">
        <v>25</v>
      </c>
      <c r="K1933">
        <v>2.7</v>
      </c>
      <c r="L1933" t="s">
        <v>140</v>
      </c>
      <c r="M1933" t="s">
        <v>62</v>
      </c>
      <c r="N1933" t="s">
        <v>140</v>
      </c>
      <c r="O1933">
        <v>6</v>
      </c>
      <c r="P1933" t="s">
        <v>74</v>
      </c>
      <c r="Q1933" t="s">
        <v>85</v>
      </c>
      <c r="R1933" t="str" cm="1">
        <f t="array" ref="R1933">_xlfn.IFS(B1933&lt;31,"Young-Adult",B1933&lt;41,"Adult",B1933&lt;61,"Middle-aged",B1933&gt;=61,"Senior")</f>
        <v>Middle-aged</v>
      </c>
      <c r="S1933" cm="1">
        <f t="array" ref="S1933">_xlfn.IFS(Q1933 ="Fortnightly",14,Q1933="Weekly",7,Q1933="Monthly",30,Q1933="Quarterly",90,Q1933="Bi-Weekly",14,Q1933="Annually",365,Q1933="Every 3 Months",90,TRUE,"NOT FOUND")</f>
        <v>90</v>
      </c>
    </row>
    <row r="1934" spans="1:19" x14ac:dyDescent="0.35">
      <c r="A1934">
        <v>1933</v>
      </c>
      <c r="B1934">
        <v>42</v>
      </c>
      <c r="C1934" t="s">
        <v>7</v>
      </c>
      <c r="D1934" t="s">
        <v>92</v>
      </c>
      <c r="E1934" t="s">
        <v>9</v>
      </c>
      <c r="F1934">
        <v>36</v>
      </c>
      <c r="G1934" t="s">
        <v>116</v>
      </c>
      <c r="H1934" t="s">
        <v>32</v>
      </c>
      <c r="I1934" t="s">
        <v>40</v>
      </c>
      <c r="J1934" t="s">
        <v>25</v>
      </c>
      <c r="K1934">
        <v>5</v>
      </c>
      <c r="L1934" t="s">
        <v>140</v>
      </c>
      <c r="M1934" t="s">
        <v>26</v>
      </c>
      <c r="N1934" t="s">
        <v>140</v>
      </c>
      <c r="O1934">
        <v>47</v>
      </c>
      <c r="P1934" t="s">
        <v>27</v>
      </c>
      <c r="Q1934" t="s">
        <v>85</v>
      </c>
      <c r="R1934" t="str" cm="1">
        <f t="array" ref="R1934">_xlfn.IFS(B1934&lt;31,"Young-Adult",B1934&lt;41,"Adult",B1934&lt;61,"Middle-aged",B1934&gt;=61,"Senior")</f>
        <v>Middle-aged</v>
      </c>
      <c r="S1934" cm="1">
        <f t="array" ref="S1934">_xlfn.IFS(Q1934 ="Fortnightly",14,Q1934="Weekly",7,Q1934="Monthly",30,Q1934="Quarterly",90,Q1934="Bi-Weekly",14,Q1934="Annually",365,Q1934="Every 3 Months",90,TRUE,"NOT FOUND")</f>
        <v>90</v>
      </c>
    </row>
    <row r="1935" spans="1:19" x14ac:dyDescent="0.35">
      <c r="A1935">
        <v>1934</v>
      </c>
      <c r="B1935">
        <v>48</v>
      </c>
      <c r="C1935" t="s">
        <v>7</v>
      </c>
      <c r="D1935" t="s">
        <v>29</v>
      </c>
      <c r="E1935" t="s">
        <v>30</v>
      </c>
      <c r="F1935">
        <v>67</v>
      </c>
      <c r="G1935" t="s">
        <v>44</v>
      </c>
      <c r="H1935" t="s">
        <v>11</v>
      </c>
      <c r="I1935" t="s">
        <v>71</v>
      </c>
      <c r="J1935" t="s">
        <v>41</v>
      </c>
      <c r="K1935">
        <v>4.0999999999999996</v>
      </c>
      <c r="L1935" t="s">
        <v>140</v>
      </c>
      <c r="M1935" t="s">
        <v>33</v>
      </c>
      <c r="N1935" t="s">
        <v>140</v>
      </c>
      <c r="O1935">
        <v>28</v>
      </c>
      <c r="P1935" t="s">
        <v>16</v>
      </c>
      <c r="Q1935" t="s">
        <v>37</v>
      </c>
      <c r="R1935" t="str" cm="1">
        <f t="array" ref="R1935">_xlfn.IFS(B1935&lt;31,"Young-Adult",B1935&lt;41,"Adult",B1935&lt;61,"Middle-aged",B1935&gt;=61,"Senior")</f>
        <v>Middle-aged</v>
      </c>
      <c r="S1935" cm="1">
        <f t="array" ref="S1935">_xlfn.IFS(Q1935 ="Fortnightly",14,Q1935="Weekly",7,Q1935="Monthly",30,Q1935="Quarterly",90,Q1935="Bi-Weekly",14,Q1935="Annually",365,Q1935="Every 3 Months",90,TRUE,"NOT FOUND")</f>
        <v>365</v>
      </c>
    </row>
    <row r="1936" spans="1:19" x14ac:dyDescent="0.35">
      <c r="A1936">
        <v>1935</v>
      </c>
      <c r="B1936">
        <v>34</v>
      </c>
      <c r="C1936" t="s">
        <v>7</v>
      </c>
      <c r="D1936" t="s">
        <v>90</v>
      </c>
      <c r="E1936" t="s">
        <v>51</v>
      </c>
      <c r="F1936">
        <v>43</v>
      </c>
      <c r="G1936" t="s">
        <v>139</v>
      </c>
      <c r="H1936" t="s">
        <v>11</v>
      </c>
      <c r="I1936" t="s">
        <v>68</v>
      </c>
      <c r="J1936" t="s">
        <v>13</v>
      </c>
      <c r="K1936">
        <v>2.7</v>
      </c>
      <c r="L1936" t="s">
        <v>140</v>
      </c>
      <c r="M1936" t="s">
        <v>26</v>
      </c>
      <c r="N1936" t="s">
        <v>140</v>
      </c>
      <c r="O1936">
        <v>23</v>
      </c>
      <c r="P1936" t="s">
        <v>63</v>
      </c>
      <c r="Q1936" t="s">
        <v>37</v>
      </c>
      <c r="R1936" t="str" cm="1">
        <f t="array" ref="R1936">_xlfn.IFS(B1936&lt;31,"Young-Adult",B1936&lt;41,"Adult",B1936&lt;61,"Middle-aged",B1936&gt;=61,"Senior")</f>
        <v>Adult</v>
      </c>
      <c r="S1936" cm="1">
        <f t="array" ref="S1936">_xlfn.IFS(Q1936 ="Fortnightly",14,Q1936="Weekly",7,Q1936="Monthly",30,Q1936="Quarterly",90,Q1936="Bi-Weekly",14,Q1936="Annually",365,Q1936="Every 3 Months",90,TRUE,"NOT FOUND")</f>
        <v>365</v>
      </c>
    </row>
    <row r="1937" spans="1:19" x14ac:dyDescent="0.35">
      <c r="A1937">
        <v>1936</v>
      </c>
      <c r="B1937">
        <v>19</v>
      </c>
      <c r="C1937" t="s">
        <v>7</v>
      </c>
      <c r="D1937" t="s">
        <v>8</v>
      </c>
      <c r="E1937" t="s">
        <v>9</v>
      </c>
      <c r="F1937">
        <v>68</v>
      </c>
      <c r="G1937" t="s">
        <v>86</v>
      </c>
      <c r="H1937" t="s">
        <v>80</v>
      </c>
      <c r="I1937" t="s">
        <v>71</v>
      </c>
      <c r="J1937" t="s">
        <v>25</v>
      </c>
      <c r="K1937">
        <v>4.8</v>
      </c>
      <c r="L1937" t="s">
        <v>140</v>
      </c>
      <c r="M1937" t="s">
        <v>26</v>
      </c>
      <c r="N1937" t="s">
        <v>140</v>
      </c>
      <c r="O1937">
        <v>45</v>
      </c>
      <c r="P1937" t="s">
        <v>21</v>
      </c>
      <c r="Q1937" t="s">
        <v>17</v>
      </c>
      <c r="R1937" t="str" cm="1">
        <f t="array" ref="R1937">_xlfn.IFS(B1937&lt;31,"Young-Adult",B1937&lt;41,"Adult",B1937&lt;61,"Middle-aged",B1937&gt;=61,"Senior")</f>
        <v>Young-Adult</v>
      </c>
      <c r="S1937" cm="1">
        <f t="array" ref="S1937">_xlfn.IFS(Q1937 ="Fortnightly",14,Q1937="Weekly",7,Q1937="Monthly",30,Q1937="Quarterly",90,Q1937="Bi-Weekly",14,Q1937="Annually",365,Q1937="Every 3 Months",90,TRUE,"NOT FOUND")</f>
        <v>14</v>
      </c>
    </row>
    <row r="1938" spans="1:19" x14ac:dyDescent="0.35">
      <c r="A1938">
        <v>1937</v>
      </c>
      <c r="B1938">
        <v>70</v>
      </c>
      <c r="C1938" t="s">
        <v>7</v>
      </c>
      <c r="D1938" t="s">
        <v>94</v>
      </c>
      <c r="E1938" t="s">
        <v>55</v>
      </c>
      <c r="F1938">
        <v>60</v>
      </c>
      <c r="G1938" t="s">
        <v>136</v>
      </c>
      <c r="H1938" t="s">
        <v>24</v>
      </c>
      <c r="I1938" t="s">
        <v>73</v>
      </c>
      <c r="J1938" t="s">
        <v>41</v>
      </c>
      <c r="K1938">
        <v>4.3</v>
      </c>
      <c r="L1938" t="s">
        <v>140</v>
      </c>
      <c r="M1938" t="s">
        <v>58</v>
      </c>
      <c r="N1938" t="s">
        <v>140</v>
      </c>
      <c r="O1938">
        <v>44</v>
      </c>
      <c r="P1938" t="s">
        <v>34</v>
      </c>
      <c r="Q1938" t="s">
        <v>85</v>
      </c>
      <c r="R1938" t="str" cm="1">
        <f t="array" ref="R1938">_xlfn.IFS(B1938&lt;31,"Young-Adult",B1938&lt;41,"Adult",B1938&lt;61,"Middle-aged",B1938&gt;=61,"Senior")</f>
        <v>Senior</v>
      </c>
      <c r="S1938" cm="1">
        <f t="array" ref="S1938">_xlfn.IFS(Q1938 ="Fortnightly",14,Q1938="Weekly",7,Q1938="Monthly",30,Q1938="Quarterly",90,Q1938="Bi-Weekly",14,Q1938="Annually",365,Q1938="Every 3 Months",90,TRUE,"NOT FOUND")</f>
        <v>90</v>
      </c>
    </row>
    <row r="1939" spans="1:19" x14ac:dyDescent="0.35">
      <c r="A1939">
        <v>1938</v>
      </c>
      <c r="B1939">
        <v>43</v>
      </c>
      <c r="C1939" t="s">
        <v>7</v>
      </c>
      <c r="D1939" t="s">
        <v>113</v>
      </c>
      <c r="E1939" t="s">
        <v>9</v>
      </c>
      <c r="F1939">
        <v>53</v>
      </c>
      <c r="G1939" t="s">
        <v>67</v>
      </c>
      <c r="H1939" t="s">
        <v>32</v>
      </c>
      <c r="I1939" t="s">
        <v>66</v>
      </c>
      <c r="J1939" t="s">
        <v>41</v>
      </c>
      <c r="K1939">
        <v>4.5</v>
      </c>
      <c r="L1939" t="s">
        <v>140</v>
      </c>
      <c r="M1939" t="s">
        <v>58</v>
      </c>
      <c r="N1939" t="s">
        <v>140</v>
      </c>
      <c r="O1939">
        <v>11</v>
      </c>
      <c r="P1939" t="s">
        <v>63</v>
      </c>
      <c r="Q1939" t="s">
        <v>76</v>
      </c>
      <c r="R1939" t="str" cm="1">
        <f t="array" ref="R1939">_xlfn.IFS(B1939&lt;31,"Young-Adult",B1939&lt;41,"Adult",B1939&lt;61,"Middle-aged",B1939&gt;=61,"Senior")</f>
        <v>Middle-aged</v>
      </c>
      <c r="S1939" cm="1">
        <f t="array" ref="S1939">_xlfn.IFS(Q1939 ="Fortnightly",14,Q1939="Weekly",7,Q1939="Monthly",30,Q1939="Quarterly",90,Q1939="Bi-Weekly",14,Q1939="Annually",365,Q1939="Every 3 Months",90,TRUE,"NOT FOUND")</f>
        <v>30</v>
      </c>
    </row>
    <row r="1940" spans="1:19" x14ac:dyDescent="0.35">
      <c r="A1940">
        <v>1939</v>
      </c>
      <c r="B1940">
        <v>46</v>
      </c>
      <c r="C1940" t="s">
        <v>7</v>
      </c>
      <c r="D1940" t="s">
        <v>22</v>
      </c>
      <c r="E1940" t="s">
        <v>9</v>
      </c>
      <c r="F1940">
        <v>23</v>
      </c>
      <c r="G1940" t="s">
        <v>10</v>
      </c>
      <c r="H1940" t="s">
        <v>11</v>
      </c>
      <c r="I1940" t="s">
        <v>132</v>
      </c>
      <c r="J1940" t="s">
        <v>25</v>
      </c>
      <c r="K1940">
        <v>3.8</v>
      </c>
      <c r="L1940" t="s">
        <v>140</v>
      </c>
      <c r="M1940" t="s">
        <v>42</v>
      </c>
      <c r="N1940" t="s">
        <v>140</v>
      </c>
      <c r="O1940">
        <v>39</v>
      </c>
      <c r="P1940" t="s">
        <v>74</v>
      </c>
      <c r="Q1940" t="s">
        <v>64</v>
      </c>
      <c r="R1940" t="str" cm="1">
        <f t="array" ref="R1940">_xlfn.IFS(B1940&lt;31,"Young-Adult",B1940&lt;41,"Adult",B1940&lt;61,"Middle-aged",B1940&gt;=61,"Senior")</f>
        <v>Middle-aged</v>
      </c>
      <c r="S1940" cm="1">
        <f t="array" ref="S1940">_xlfn.IFS(Q1940 ="Fortnightly",14,Q1940="Weekly",7,Q1940="Monthly",30,Q1940="Quarterly",90,Q1940="Bi-Weekly",14,Q1940="Annually",365,Q1940="Every 3 Months",90,TRUE,"NOT FOUND")</f>
        <v>14</v>
      </c>
    </row>
    <row r="1941" spans="1:19" x14ac:dyDescent="0.35">
      <c r="A1941">
        <v>1940</v>
      </c>
      <c r="B1941">
        <v>66</v>
      </c>
      <c r="C1941" t="s">
        <v>7</v>
      </c>
      <c r="D1941" t="s">
        <v>131</v>
      </c>
      <c r="E1941" t="s">
        <v>55</v>
      </c>
      <c r="F1941">
        <v>57</v>
      </c>
      <c r="G1941" t="s">
        <v>111</v>
      </c>
      <c r="H1941" t="s">
        <v>11</v>
      </c>
      <c r="I1941" t="s">
        <v>124</v>
      </c>
      <c r="J1941" t="s">
        <v>13</v>
      </c>
      <c r="K1941">
        <v>3.7</v>
      </c>
      <c r="L1941" t="s">
        <v>140</v>
      </c>
      <c r="M1941" t="s">
        <v>62</v>
      </c>
      <c r="N1941" t="s">
        <v>140</v>
      </c>
      <c r="O1941">
        <v>20</v>
      </c>
      <c r="P1941" t="s">
        <v>34</v>
      </c>
      <c r="Q1941" t="s">
        <v>85</v>
      </c>
      <c r="R1941" t="str" cm="1">
        <f t="array" ref="R1941">_xlfn.IFS(B1941&lt;31,"Young-Adult",B1941&lt;41,"Adult",B1941&lt;61,"Middle-aged",B1941&gt;=61,"Senior")</f>
        <v>Senior</v>
      </c>
      <c r="S1941" cm="1">
        <f t="array" ref="S1941">_xlfn.IFS(Q1941 ="Fortnightly",14,Q1941="Weekly",7,Q1941="Monthly",30,Q1941="Quarterly",90,Q1941="Bi-Weekly",14,Q1941="Annually",365,Q1941="Every 3 Months",90,TRUE,"NOT FOUND")</f>
        <v>90</v>
      </c>
    </row>
    <row r="1942" spans="1:19" x14ac:dyDescent="0.35">
      <c r="A1942">
        <v>1941</v>
      </c>
      <c r="B1942">
        <v>50</v>
      </c>
      <c r="C1942" t="s">
        <v>7</v>
      </c>
      <c r="D1942" t="s">
        <v>112</v>
      </c>
      <c r="E1942" t="s">
        <v>55</v>
      </c>
      <c r="F1942">
        <v>89</v>
      </c>
      <c r="G1942" t="s">
        <v>108</v>
      </c>
      <c r="H1942" t="s">
        <v>11</v>
      </c>
      <c r="I1942" t="s">
        <v>12</v>
      </c>
      <c r="J1942" t="s">
        <v>45</v>
      </c>
      <c r="K1942">
        <v>3.9</v>
      </c>
      <c r="L1942" t="s">
        <v>140</v>
      </c>
      <c r="M1942" t="s">
        <v>58</v>
      </c>
      <c r="N1942" t="s">
        <v>140</v>
      </c>
      <c r="O1942">
        <v>48</v>
      </c>
      <c r="P1942" t="s">
        <v>34</v>
      </c>
      <c r="Q1942" t="s">
        <v>17</v>
      </c>
      <c r="R1942" t="str" cm="1">
        <f t="array" ref="R1942">_xlfn.IFS(B1942&lt;31,"Young-Adult",B1942&lt;41,"Adult",B1942&lt;61,"Middle-aged",B1942&gt;=61,"Senior")</f>
        <v>Middle-aged</v>
      </c>
      <c r="S1942" cm="1">
        <f t="array" ref="S1942">_xlfn.IFS(Q1942 ="Fortnightly",14,Q1942="Weekly",7,Q1942="Monthly",30,Q1942="Quarterly",90,Q1942="Bi-Weekly",14,Q1942="Annually",365,Q1942="Every 3 Months",90,TRUE,"NOT FOUND")</f>
        <v>14</v>
      </c>
    </row>
    <row r="1943" spans="1:19" x14ac:dyDescent="0.35">
      <c r="A1943">
        <v>1942</v>
      </c>
      <c r="B1943">
        <v>55</v>
      </c>
      <c r="C1943" t="s">
        <v>7</v>
      </c>
      <c r="D1943" t="s">
        <v>59</v>
      </c>
      <c r="E1943" t="s">
        <v>30</v>
      </c>
      <c r="F1943">
        <v>99</v>
      </c>
      <c r="G1943" t="s">
        <v>117</v>
      </c>
      <c r="H1943" t="s">
        <v>80</v>
      </c>
      <c r="I1943" t="s">
        <v>88</v>
      </c>
      <c r="J1943" t="s">
        <v>13</v>
      </c>
      <c r="K1943">
        <v>3.3</v>
      </c>
      <c r="L1943" t="s">
        <v>140</v>
      </c>
      <c r="M1943" t="s">
        <v>42</v>
      </c>
      <c r="N1943" t="s">
        <v>140</v>
      </c>
      <c r="O1943">
        <v>46</v>
      </c>
      <c r="P1943" t="s">
        <v>27</v>
      </c>
      <c r="Q1943" t="s">
        <v>46</v>
      </c>
      <c r="R1943" t="str" cm="1">
        <f t="array" ref="R1943">_xlfn.IFS(B1943&lt;31,"Young-Adult",B1943&lt;41,"Adult",B1943&lt;61,"Middle-aged",B1943&gt;=61,"Senior")</f>
        <v>Middle-aged</v>
      </c>
      <c r="S1943" cm="1">
        <f t="array" ref="S1943">_xlfn.IFS(Q1943 ="Fortnightly",14,Q1943="Weekly",7,Q1943="Monthly",30,Q1943="Quarterly",90,Q1943="Bi-Weekly",14,Q1943="Annually",365,Q1943="Every 3 Months",90,TRUE,"NOT FOUND")</f>
        <v>90</v>
      </c>
    </row>
    <row r="1944" spans="1:19" x14ac:dyDescent="0.35">
      <c r="A1944">
        <v>1943</v>
      </c>
      <c r="B1944">
        <v>63</v>
      </c>
      <c r="C1944" t="s">
        <v>7</v>
      </c>
      <c r="D1944" t="s">
        <v>83</v>
      </c>
      <c r="E1944" t="s">
        <v>9</v>
      </c>
      <c r="F1944">
        <v>28</v>
      </c>
      <c r="G1944" t="s">
        <v>78</v>
      </c>
      <c r="H1944" t="s">
        <v>32</v>
      </c>
      <c r="I1944" t="s">
        <v>97</v>
      </c>
      <c r="J1944" t="s">
        <v>45</v>
      </c>
      <c r="K1944">
        <v>3.4</v>
      </c>
      <c r="L1944" t="s">
        <v>140</v>
      </c>
      <c r="M1944" t="s">
        <v>15</v>
      </c>
      <c r="N1944" t="s">
        <v>140</v>
      </c>
      <c r="O1944">
        <v>22</v>
      </c>
      <c r="P1944" t="s">
        <v>34</v>
      </c>
      <c r="Q1944" t="s">
        <v>76</v>
      </c>
      <c r="R1944" t="str" cm="1">
        <f t="array" ref="R1944">_xlfn.IFS(B1944&lt;31,"Young-Adult",B1944&lt;41,"Adult",B1944&lt;61,"Middle-aged",B1944&gt;=61,"Senior")</f>
        <v>Senior</v>
      </c>
      <c r="S1944" cm="1">
        <f t="array" ref="S1944">_xlfn.IFS(Q1944 ="Fortnightly",14,Q1944="Weekly",7,Q1944="Monthly",30,Q1944="Quarterly",90,Q1944="Bi-Weekly",14,Q1944="Annually",365,Q1944="Every 3 Months",90,TRUE,"NOT FOUND")</f>
        <v>30</v>
      </c>
    </row>
    <row r="1945" spans="1:19" x14ac:dyDescent="0.35">
      <c r="A1945">
        <v>1944</v>
      </c>
      <c r="B1945">
        <v>32</v>
      </c>
      <c r="C1945" t="s">
        <v>7</v>
      </c>
      <c r="D1945" t="s">
        <v>113</v>
      </c>
      <c r="E1945" t="s">
        <v>9</v>
      </c>
      <c r="F1945">
        <v>53</v>
      </c>
      <c r="G1945" t="s">
        <v>138</v>
      </c>
      <c r="H1945" t="s">
        <v>11</v>
      </c>
      <c r="I1945" t="s">
        <v>71</v>
      </c>
      <c r="J1945" t="s">
        <v>41</v>
      </c>
      <c r="K1945">
        <v>3.8</v>
      </c>
      <c r="L1945" t="s">
        <v>140</v>
      </c>
      <c r="M1945" t="s">
        <v>33</v>
      </c>
      <c r="N1945" t="s">
        <v>140</v>
      </c>
      <c r="O1945">
        <v>45</v>
      </c>
      <c r="P1945" t="s">
        <v>21</v>
      </c>
      <c r="Q1945" t="s">
        <v>37</v>
      </c>
      <c r="R1945" t="str" cm="1">
        <f t="array" ref="R1945">_xlfn.IFS(B1945&lt;31,"Young-Adult",B1945&lt;41,"Adult",B1945&lt;61,"Middle-aged",B1945&gt;=61,"Senior")</f>
        <v>Adult</v>
      </c>
      <c r="S1945" cm="1">
        <f t="array" ref="S1945">_xlfn.IFS(Q1945 ="Fortnightly",14,Q1945="Weekly",7,Q1945="Monthly",30,Q1945="Quarterly",90,Q1945="Bi-Weekly",14,Q1945="Annually",365,Q1945="Every 3 Months",90,TRUE,"NOT FOUND")</f>
        <v>365</v>
      </c>
    </row>
    <row r="1946" spans="1:19" x14ac:dyDescent="0.35">
      <c r="A1946">
        <v>1945</v>
      </c>
      <c r="B1946">
        <v>30</v>
      </c>
      <c r="C1946" t="s">
        <v>7</v>
      </c>
      <c r="D1946" t="s">
        <v>92</v>
      </c>
      <c r="E1946" t="s">
        <v>9</v>
      </c>
      <c r="F1946">
        <v>45</v>
      </c>
      <c r="G1946" t="s">
        <v>60</v>
      </c>
      <c r="H1946" t="s">
        <v>32</v>
      </c>
      <c r="I1946" t="s">
        <v>68</v>
      </c>
      <c r="J1946" t="s">
        <v>13</v>
      </c>
      <c r="K1946">
        <v>2.7</v>
      </c>
      <c r="L1946" t="s">
        <v>140</v>
      </c>
      <c r="M1946" t="s">
        <v>26</v>
      </c>
      <c r="N1946" t="s">
        <v>140</v>
      </c>
      <c r="O1946">
        <v>49</v>
      </c>
      <c r="P1946" t="s">
        <v>21</v>
      </c>
      <c r="Q1946" t="s">
        <v>85</v>
      </c>
      <c r="R1946" t="str" cm="1">
        <f t="array" ref="R1946">_xlfn.IFS(B1946&lt;31,"Young-Adult",B1946&lt;41,"Adult",B1946&lt;61,"Middle-aged",B1946&gt;=61,"Senior")</f>
        <v>Young-Adult</v>
      </c>
      <c r="S1946" cm="1">
        <f t="array" ref="S1946">_xlfn.IFS(Q1946 ="Fortnightly",14,Q1946="Weekly",7,Q1946="Monthly",30,Q1946="Quarterly",90,Q1946="Bi-Weekly",14,Q1946="Annually",365,Q1946="Every 3 Months",90,TRUE,"NOT FOUND")</f>
        <v>90</v>
      </c>
    </row>
    <row r="1947" spans="1:19" x14ac:dyDescent="0.35">
      <c r="A1947">
        <v>1946</v>
      </c>
      <c r="B1947">
        <v>35</v>
      </c>
      <c r="C1947" t="s">
        <v>7</v>
      </c>
      <c r="D1947" t="s">
        <v>92</v>
      </c>
      <c r="E1947" t="s">
        <v>9</v>
      </c>
      <c r="F1947">
        <v>38</v>
      </c>
      <c r="G1947" t="s">
        <v>130</v>
      </c>
      <c r="H1947" t="s">
        <v>32</v>
      </c>
      <c r="I1947" t="s">
        <v>68</v>
      </c>
      <c r="J1947" t="s">
        <v>13</v>
      </c>
      <c r="K1947">
        <v>2.9</v>
      </c>
      <c r="L1947" t="s">
        <v>140</v>
      </c>
      <c r="M1947" t="s">
        <v>58</v>
      </c>
      <c r="N1947" t="s">
        <v>140</v>
      </c>
      <c r="O1947">
        <v>9</v>
      </c>
      <c r="P1947" t="s">
        <v>27</v>
      </c>
      <c r="Q1947" t="s">
        <v>85</v>
      </c>
      <c r="R1947" t="str" cm="1">
        <f t="array" ref="R1947">_xlfn.IFS(B1947&lt;31,"Young-Adult",B1947&lt;41,"Adult",B1947&lt;61,"Middle-aged",B1947&gt;=61,"Senior")</f>
        <v>Adult</v>
      </c>
      <c r="S1947" cm="1">
        <f t="array" ref="S1947">_xlfn.IFS(Q1947 ="Fortnightly",14,Q1947="Weekly",7,Q1947="Monthly",30,Q1947="Quarterly",90,Q1947="Bi-Weekly",14,Q1947="Annually",365,Q1947="Every 3 Months",90,TRUE,"NOT FOUND")</f>
        <v>90</v>
      </c>
    </row>
    <row r="1948" spans="1:19" x14ac:dyDescent="0.35">
      <c r="A1948">
        <v>1947</v>
      </c>
      <c r="B1948">
        <v>59</v>
      </c>
      <c r="C1948" t="s">
        <v>7</v>
      </c>
      <c r="D1948" t="s">
        <v>83</v>
      </c>
      <c r="E1948" t="s">
        <v>9</v>
      </c>
      <c r="F1948">
        <v>49</v>
      </c>
      <c r="G1948" t="s">
        <v>48</v>
      </c>
      <c r="H1948" t="s">
        <v>32</v>
      </c>
      <c r="I1948" t="s">
        <v>40</v>
      </c>
      <c r="J1948" t="s">
        <v>41</v>
      </c>
      <c r="K1948">
        <v>4.5</v>
      </c>
      <c r="L1948" t="s">
        <v>140</v>
      </c>
      <c r="M1948" t="s">
        <v>42</v>
      </c>
      <c r="N1948" t="s">
        <v>140</v>
      </c>
      <c r="O1948">
        <v>41</v>
      </c>
      <c r="P1948" t="s">
        <v>27</v>
      </c>
      <c r="Q1948" t="s">
        <v>46</v>
      </c>
      <c r="R1948" t="str" cm="1">
        <f t="array" ref="R1948">_xlfn.IFS(B1948&lt;31,"Young-Adult",B1948&lt;41,"Adult",B1948&lt;61,"Middle-aged",B1948&gt;=61,"Senior")</f>
        <v>Middle-aged</v>
      </c>
      <c r="S1948" cm="1">
        <f t="array" ref="S1948">_xlfn.IFS(Q1948 ="Fortnightly",14,Q1948="Weekly",7,Q1948="Monthly",30,Q1948="Quarterly",90,Q1948="Bi-Weekly",14,Q1948="Annually",365,Q1948="Every 3 Months",90,TRUE,"NOT FOUND")</f>
        <v>90</v>
      </c>
    </row>
    <row r="1949" spans="1:19" x14ac:dyDescent="0.35">
      <c r="A1949">
        <v>1948</v>
      </c>
      <c r="B1949">
        <v>59</v>
      </c>
      <c r="C1949" t="s">
        <v>7</v>
      </c>
      <c r="D1949" t="s">
        <v>43</v>
      </c>
      <c r="E1949" t="s">
        <v>9</v>
      </c>
      <c r="F1949">
        <v>32</v>
      </c>
      <c r="G1949" t="s">
        <v>72</v>
      </c>
      <c r="H1949" t="s">
        <v>32</v>
      </c>
      <c r="I1949" t="s">
        <v>12</v>
      </c>
      <c r="J1949" t="s">
        <v>41</v>
      </c>
      <c r="K1949">
        <v>2.6</v>
      </c>
      <c r="L1949" t="s">
        <v>140</v>
      </c>
      <c r="M1949" t="s">
        <v>62</v>
      </c>
      <c r="N1949" t="s">
        <v>140</v>
      </c>
      <c r="O1949">
        <v>2</v>
      </c>
      <c r="P1949" t="s">
        <v>34</v>
      </c>
      <c r="Q1949" t="s">
        <v>76</v>
      </c>
      <c r="R1949" t="str" cm="1">
        <f t="array" ref="R1949">_xlfn.IFS(B1949&lt;31,"Young-Adult",B1949&lt;41,"Adult",B1949&lt;61,"Middle-aged",B1949&gt;=61,"Senior")</f>
        <v>Middle-aged</v>
      </c>
      <c r="S1949" cm="1">
        <f t="array" ref="S1949">_xlfn.IFS(Q1949 ="Fortnightly",14,Q1949="Weekly",7,Q1949="Monthly",30,Q1949="Quarterly",90,Q1949="Bi-Weekly",14,Q1949="Annually",365,Q1949="Every 3 Months",90,TRUE,"NOT FOUND")</f>
        <v>30</v>
      </c>
    </row>
    <row r="1950" spans="1:19" x14ac:dyDescent="0.35">
      <c r="A1950">
        <v>1949</v>
      </c>
      <c r="B1950">
        <v>54</v>
      </c>
      <c r="C1950" t="s">
        <v>7</v>
      </c>
      <c r="D1950" t="s">
        <v>101</v>
      </c>
      <c r="E1950" t="s">
        <v>9</v>
      </c>
      <c r="F1950">
        <v>37</v>
      </c>
      <c r="G1950" t="s">
        <v>127</v>
      </c>
      <c r="H1950" t="s">
        <v>11</v>
      </c>
      <c r="I1950" t="s">
        <v>98</v>
      </c>
      <c r="J1950" t="s">
        <v>13</v>
      </c>
      <c r="K1950">
        <v>3.1</v>
      </c>
      <c r="L1950" t="s">
        <v>140</v>
      </c>
      <c r="M1950" t="s">
        <v>33</v>
      </c>
      <c r="N1950" t="s">
        <v>140</v>
      </c>
      <c r="O1950">
        <v>39</v>
      </c>
      <c r="P1950" t="s">
        <v>34</v>
      </c>
      <c r="Q1950" t="s">
        <v>64</v>
      </c>
      <c r="R1950" t="str" cm="1">
        <f t="array" ref="R1950">_xlfn.IFS(B1950&lt;31,"Young-Adult",B1950&lt;41,"Adult",B1950&lt;61,"Middle-aged",B1950&gt;=61,"Senior")</f>
        <v>Middle-aged</v>
      </c>
      <c r="S1950" cm="1">
        <f t="array" ref="S1950">_xlfn.IFS(Q1950 ="Fortnightly",14,Q1950="Weekly",7,Q1950="Monthly",30,Q1950="Quarterly",90,Q1950="Bi-Weekly",14,Q1950="Annually",365,Q1950="Every 3 Months",90,TRUE,"NOT FOUND")</f>
        <v>14</v>
      </c>
    </row>
    <row r="1951" spans="1:19" x14ac:dyDescent="0.35">
      <c r="A1951">
        <v>1950</v>
      </c>
      <c r="B1951">
        <v>63</v>
      </c>
      <c r="C1951" t="s">
        <v>7</v>
      </c>
      <c r="D1951" t="s">
        <v>69</v>
      </c>
      <c r="E1951" t="s">
        <v>9</v>
      </c>
      <c r="F1951">
        <v>80</v>
      </c>
      <c r="G1951" t="s">
        <v>133</v>
      </c>
      <c r="H1951" t="s">
        <v>11</v>
      </c>
      <c r="I1951" t="s">
        <v>12</v>
      </c>
      <c r="J1951" t="s">
        <v>13</v>
      </c>
      <c r="K1951">
        <v>4.7</v>
      </c>
      <c r="L1951" t="s">
        <v>140</v>
      </c>
      <c r="M1951" t="s">
        <v>62</v>
      </c>
      <c r="N1951" t="s">
        <v>140</v>
      </c>
      <c r="O1951">
        <v>12</v>
      </c>
      <c r="P1951" t="s">
        <v>34</v>
      </c>
      <c r="Q1951" t="s">
        <v>46</v>
      </c>
      <c r="R1951" t="str" cm="1">
        <f t="array" ref="R1951">_xlfn.IFS(B1951&lt;31,"Young-Adult",B1951&lt;41,"Adult",B1951&lt;61,"Middle-aged",B1951&gt;=61,"Senior")</f>
        <v>Senior</v>
      </c>
      <c r="S1951" cm="1">
        <f t="array" ref="S1951">_xlfn.IFS(Q1951 ="Fortnightly",14,Q1951="Weekly",7,Q1951="Monthly",30,Q1951="Quarterly",90,Q1951="Bi-Weekly",14,Q1951="Annually",365,Q1951="Every 3 Months",90,TRUE,"NOT FOUND")</f>
        <v>90</v>
      </c>
    </row>
    <row r="1952" spans="1:19" x14ac:dyDescent="0.35">
      <c r="A1952">
        <v>1951</v>
      </c>
      <c r="B1952">
        <v>43</v>
      </c>
      <c r="C1952" t="s">
        <v>7</v>
      </c>
      <c r="D1952" t="s">
        <v>120</v>
      </c>
      <c r="E1952" t="s">
        <v>55</v>
      </c>
      <c r="F1952">
        <v>78</v>
      </c>
      <c r="G1952" t="s">
        <v>60</v>
      </c>
      <c r="H1952" t="s">
        <v>11</v>
      </c>
      <c r="I1952" t="s">
        <v>132</v>
      </c>
      <c r="J1952" t="s">
        <v>41</v>
      </c>
      <c r="K1952">
        <v>4.5999999999999996</v>
      </c>
      <c r="L1952" t="s">
        <v>140</v>
      </c>
      <c r="M1952" t="s">
        <v>26</v>
      </c>
      <c r="N1952" t="s">
        <v>140</v>
      </c>
      <c r="O1952">
        <v>26</v>
      </c>
      <c r="P1952" t="s">
        <v>34</v>
      </c>
      <c r="Q1952" t="s">
        <v>85</v>
      </c>
      <c r="R1952" t="str" cm="1">
        <f t="array" ref="R1952">_xlfn.IFS(B1952&lt;31,"Young-Adult",B1952&lt;41,"Adult",B1952&lt;61,"Middle-aged",B1952&gt;=61,"Senior")</f>
        <v>Middle-aged</v>
      </c>
      <c r="S1952" cm="1">
        <f t="array" ref="S1952">_xlfn.IFS(Q1952 ="Fortnightly",14,Q1952="Weekly",7,Q1952="Monthly",30,Q1952="Quarterly",90,Q1952="Bi-Weekly",14,Q1952="Annually",365,Q1952="Every 3 Months",90,TRUE,"NOT FOUND")</f>
        <v>90</v>
      </c>
    </row>
    <row r="1953" spans="1:19" x14ac:dyDescent="0.35">
      <c r="A1953">
        <v>1952</v>
      </c>
      <c r="B1953">
        <v>33</v>
      </c>
      <c r="C1953" t="s">
        <v>7</v>
      </c>
      <c r="D1953" t="s">
        <v>131</v>
      </c>
      <c r="E1953" t="s">
        <v>55</v>
      </c>
      <c r="F1953">
        <v>53</v>
      </c>
      <c r="G1953" t="s">
        <v>127</v>
      </c>
      <c r="H1953" t="s">
        <v>11</v>
      </c>
      <c r="I1953" t="s">
        <v>68</v>
      </c>
      <c r="J1953" t="s">
        <v>41</v>
      </c>
      <c r="K1953">
        <v>2.7</v>
      </c>
      <c r="L1953" t="s">
        <v>140</v>
      </c>
      <c r="M1953" t="s">
        <v>33</v>
      </c>
      <c r="N1953" t="s">
        <v>140</v>
      </c>
      <c r="O1953">
        <v>32</v>
      </c>
      <c r="P1953" t="s">
        <v>63</v>
      </c>
      <c r="Q1953" t="s">
        <v>64</v>
      </c>
      <c r="R1953" t="str" cm="1">
        <f t="array" ref="R1953">_xlfn.IFS(B1953&lt;31,"Young-Adult",B1953&lt;41,"Adult",B1953&lt;61,"Middle-aged",B1953&gt;=61,"Senior")</f>
        <v>Adult</v>
      </c>
      <c r="S1953" cm="1">
        <f t="array" ref="S1953">_xlfn.IFS(Q1953 ="Fortnightly",14,Q1953="Weekly",7,Q1953="Monthly",30,Q1953="Quarterly",90,Q1953="Bi-Weekly",14,Q1953="Annually",365,Q1953="Every 3 Months",90,TRUE,"NOT FOUND")</f>
        <v>14</v>
      </c>
    </row>
    <row r="1954" spans="1:19" x14ac:dyDescent="0.35">
      <c r="A1954">
        <v>1953</v>
      </c>
      <c r="B1954">
        <v>57</v>
      </c>
      <c r="C1954" t="s">
        <v>7</v>
      </c>
      <c r="D1954" t="s">
        <v>59</v>
      </c>
      <c r="E1954" t="s">
        <v>30</v>
      </c>
      <c r="F1954">
        <v>82</v>
      </c>
      <c r="G1954" t="s">
        <v>116</v>
      </c>
      <c r="H1954" t="s">
        <v>11</v>
      </c>
      <c r="I1954" t="s">
        <v>122</v>
      </c>
      <c r="J1954" t="s">
        <v>41</v>
      </c>
      <c r="K1954">
        <v>4.5999999999999996</v>
      </c>
      <c r="L1954" t="s">
        <v>140</v>
      </c>
      <c r="M1954" t="s">
        <v>58</v>
      </c>
      <c r="N1954" t="s">
        <v>140</v>
      </c>
      <c r="O1954">
        <v>50</v>
      </c>
      <c r="P1954" t="s">
        <v>21</v>
      </c>
      <c r="Q1954" t="s">
        <v>64</v>
      </c>
      <c r="R1954" t="str" cm="1">
        <f t="array" ref="R1954">_xlfn.IFS(B1954&lt;31,"Young-Adult",B1954&lt;41,"Adult",B1954&lt;61,"Middle-aged",B1954&gt;=61,"Senior")</f>
        <v>Middle-aged</v>
      </c>
      <c r="S1954" cm="1">
        <f t="array" ref="S1954">_xlfn.IFS(Q1954 ="Fortnightly",14,Q1954="Weekly",7,Q1954="Monthly",30,Q1954="Quarterly",90,Q1954="Bi-Weekly",14,Q1954="Annually",365,Q1954="Every 3 Months",90,TRUE,"NOT FOUND")</f>
        <v>14</v>
      </c>
    </row>
    <row r="1955" spans="1:19" x14ac:dyDescent="0.35">
      <c r="A1955">
        <v>1954</v>
      </c>
      <c r="B1955">
        <v>25</v>
      </c>
      <c r="C1955" t="s">
        <v>7</v>
      </c>
      <c r="D1955" t="s">
        <v>75</v>
      </c>
      <c r="E1955" t="s">
        <v>9</v>
      </c>
      <c r="F1955">
        <v>33</v>
      </c>
      <c r="G1955" t="s">
        <v>100</v>
      </c>
      <c r="H1955" t="s">
        <v>80</v>
      </c>
      <c r="I1955" t="s">
        <v>84</v>
      </c>
      <c r="J1955" t="s">
        <v>25</v>
      </c>
      <c r="K1955">
        <v>4.8</v>
      </c>
      <c r="L1955" t="s">
        <v>140</v>
      </c>
      <c r="M1955" t="s">
        <v>42</v>
      </c>
      <c r="N1955" t="s">
        <v>140</v>
      </c>
      <c r="O1955">
        <v>3</v>
      </c>
      <c r="P1955" t="s">
        <v>34</v>
      </c>
      <c r="Q1955" t="s">
        <v>17</v>
      </c>
      <c r="R1955" t="str" cm="1">
        <f t="array" ref="R1955">_xlfn.IFS(B1955&lt;31,"Young-Adult",B1955&lt;41,"Adult",B1955&lt;61,"Middle-aged",B1955&gt;=61,"Senior")</f>
        <v>Young-Adult</v>
      </c>
      <c r="S1955" cm="1">
        <f t="array" ref="S1955">_xlfn.IFS(Q1955 ="Fortnightly",14,Q1955="Weekly",7,Q1955="Monthly",30,Q1955="Quarterly",90,Q1955="Bi-Weekly",14,Q1955="Annually",365,Q1955="Every 3 Months",90,TRUE,"NOT FOUND")</f>
        <v>14</v>
      </c>
    </row>
    <row r="1956" spans="1:19" x14ac:dyDescent="0.35">
      <c r="A1956">
        <v>1955</v>
      </c>
      <c r="B1956">
        <v>26</v>
      </c>
      <c r="C1956" t="s">
        <v>7</v>
      </c>
      <c r="D1956" t="s">
        <v>131</v>
      </c>
      <c r="E1956" t="s">
        <v>55</v>
      </c>
      <c r="F1956">
        <v>77</v>
      </c>
      <c r="G1956" t="s">
        <v>100</v>
      </c>
      <c r="H1956" t="s">
        <v>32</v>
      </c>
      <c r="I1956" t="s">
        <v>57</v>
      </c>
      <c r="J1956" t="s">
        <v>13</v>
      </c>
      <c r="K1956">
        <v>4.2</v>
      </c>
      <c r="L1956" t="s">
        <v>140</v>
      </c>
      <c r="M1956" t="s">
        <v>26</v>
      </c>
      <c r="N1956" t="s">
        <v>140</v>
      </c>
      <c r="O1956">
        <v>3</v>
      </c>
      <c r="P1956" t="s">
        <v>16</v>
      </c>
      <c r="Q1956" t="s">
        <v>46</v>
      </c>
      <c r="R1956" t="str" cm="1">
        <f t="array" ref="R1956">_xlfn.IFS(B1956&lt;31,"Young-Adult",B1956&lt;41,"Adult",B1956&lt;61,"Middle-aged",B1956&gt;=61,"Senior")</f>
        <v>Young-Adult</v>
      </c>
      <c r="S1956" cm="1">
        <f t="array" ref="S1956">_xlfn.IFS(Q1956 ="Fortnightly",14,Q1956="Weekly",7,Q1956="Monthly",30,Q1956="Quarterly",90,Q1956="Bi-Weekly",14,Q1956="Annually",365,Q1956="Every 3 Months",90,TRUE,"NOT FOUND")</f>
        <v>90</v>
      </c>
    </row>
    <row r="1957" spans="1:19" x14ac:dyDescent="0.35">
      <c r="A1957">
        <v>1956</v>
      </c>
      <c r="B1957">
        <v>50</v>
      </c>
      <c r="C1957" t="s">
        <v>7</v>
      </c>
      <c r="D1957" t="s">
        <v>92</v>
      </c>
      <c r="E1957" t="s">
        <v>9</v>
      </c>
      <c r="F1957">
        <v>56</v>
      </c>
      <c r="G1957" t="s">
        <v>19</v>
      </c>
      <c r="H1957" t="s">
        <v>32</v>
      </c>
      <c r="I1957" t="s">
        <v>57</v>
      </c>
      <c r="J1957" t="s">
        <v>13</v>
      </c>
      <c r="K1957">
        <v>4.9000000000000004</v>
      </c>
      <c r="L1957" t="s">
        <v>140</v>
      </c>
      <c r="M1957" t="s">
        <v>15</v>
      </c>
      <c r="N1957" t="s">
        <v>140</v>
      </c>
      <c r="O1957">
        <v>37</v>
      </c>
      <c r="P1957" t="s">
        <v>21</v>
      </c>
      <c r="Q1957" t="s">
        <v>76</v>
      </c>
      <c r="R1957" t="str" cm="1">
        <f t="array" ref="R1957">_xlfn.IFS(B1957&lt;31,"Young-Adult",B1957&lt;41,"Adult",B1957&lt;61,"Middle-aged",B1957&gt;=61,"Senior")</f>
        <v>Middle-aged</v>
      </c>
      <c r="S1957" cm="1">
        <f t="array" ref="S1957">_xlfn.IFS(Q1957 ="Fortnightly",14,Q1957="Weekly",7,Q1957="Monthly",30,Q1957="Quarterly",90,Q1957="Bi-Weekly",14,Q1957="Annually",365,Q1957="Every 3 Months",90,TRUE,"NOT FOUND")</f>
        <v>30</v>
      </c>
    </row>
    <row r="1958" spans="1:19" x14ac:dyDescent="0.35">
      <c r="A1958">
        <v>1957</v>
      </c>
      <c r="B1958">
        <v>70</v>
      </c>
      <c r="C1958" t="s">
        <v>7</v>
      </c>
      <c r="D1958" t="s">
        <v>113</v>
      </c>
      <c r="E1958" t="s">
        <v>9</v>
      </c>
      <c r="F1958">
        <v>37</v>
      </c>
      <c r="G1958" t="s">
        <v>89</v>
      </c>
      <c r="H1958" t="s">
        <v>32</v>
      </c>
      <c r="I1958" t="s">
        <v>57</v>
      </c>
      <c r="J1958" t="s">
        <v>13</v>
      </c>
      <c r="K1958">
        <v>4.9000000000000004</v>
      </c>
      <c r="L1958" t="s">
        <v>140</v>
      </c>
      <c r="M1958" t="s">
        <v>15</v>
      </c>
      <c r="N1958" t="s">
        <v>140</v>
      </c>
      <c r="O1958">
        <v>20</v>
      </c>
      <c r="P1958" t="s">
        <v>27</v>
      </c>
      <c r="Q1958" t="s">
        <v>17</v>
      </c>
      <c r="R1958" t="str" cm="1">
        <f t="array" ref="R1958">_xlfn.IFS(B1958&lt;31,"Young-Adult",B1958&lt;41,"Adult",B1958&lt;61,"Middle-aged",B1958&gt;=61,"Senior")</f>
        <v>Senior</v>
      </c>
      <c r="S1958" cm="1">
        <f t="array" ref="S1958">_xlfn.IFS(Q1958 ="Fortnightly",14,Q1958="Weekly",7,Q1958="Monthly",30,Q1958="Quarterly",90,Q1958="Bi-Weekly",14,Q1958="Annually",365,Q1958="Every 3 Months",90,TRUE,"NOT FOUND")</f>
        <v>14</v>
      </c>
    </row>
    <row r="1959" spans="1:19" x14ac:dyDescent="0.35">
      <c r="A1959">
        <v>1958</v>
      </c>
      <c r="B1959">
        <v>68</v>
      </c>
      <c r="C1959" t="s">
        <v>7</v>
      </c>
      <c r="D1959" t="s">
        <v>131</v>
      </c>
      <c r="E1959" t="s">
        <v>55</v>
      </c>
      <c r="F1959">
        <v>54</v>
      </c>
      <c r="G1959" t="s">
        <v>119</v>
      </c>
      <c r="H1959" t="s">
        <v>32</v>
      </c>
      <c r="I1959" t="s">
        <v>97</v>
      </c>
      <c r="J1959" t="s">
        <v>25</v>
      </c>
      <c r="K1959">
        <v>4.5</v>
      </c>
      <c r="L1959" t="s">
        <v>140</v>
      </c>
      <c r="M1959" t="s">
        <v>62</v>
      </c>
      <c r="N1959" t="s">
        <v>140</v>
      </c>
      <c r="O1959">
        <v>26</v>
      </c>
      <c r="P1959" t="s">
        <v>21</v>
      </c>
      <c r="Q1959" t="s">
        <v>64</v>
      </c>
      <c r="R1959" t="str" cm="1">
        <f t="array" ref="R1959">_xlfn.IFS(B1959&lt;31,"Young-Adult",B1959&lt;41,"Adult",B1959&lt;61,"Middle-aged",B1959&gt;=61,"Senior")</f>
        <v>Senior</v>
      </c>
      <c r="S1959" cm="1">
        <f t="array" ref="S1959">_xlfn.IFS(Q1959 ="Fortnightly",14,Q1959="Weekly",7,Q1959="Monthly",30,Q1959="Quarterly",90,Q1959="Bi-Weekly",14,Q1959="Annually",365,Q1959="Every 3 Months",90,TRUE,"NOT FOUND")</f>
        <v>14</v>
      </c>
    </row>
    <row r="1960" spans="1:19" x14ac:dyDescent="0.35">
      <c r="A1960">
        <v>1959</v>
      </c>
      <c r="B1960">
        <v>39</v>
      </c>
      <c r="C1960" t="s">
        <v>7</v>
      </c>
      <c r="D1960" t="s">
        <v>47</v>
      </c>
      <c r="E1960" t="s">
        <v>9</v>
      </c>
      <c r="F1960">
        <v>67</v>
      </c>
      <c r="G1960" t="s">
        <v>95</v>
      </c>
      <c r="H1960" t="s">
        <v>32</v>
      </c>
      <c r="I1960" t="s">
        <v>12</v>
      </c>
      <c r="J1960" t="s">
        <v>13</v>
      </c>
      <c r="K1960">
        <v>2.7</v>
      </c>
      <c r="L1960" t="s">
        <v>140</v>
      </c>
      <c r="M1960" t="s">
        <v>62</v>
      </c>
      <c r="N1960" t="s">
        <v>140</v>
      </c>
      <c r="O1960">
        <v>47</v>
      </c>
      <c r="P1960" t="s">
        <v>21</v>
      </c>
      <c r="Q1960" t="s">
        <v>46</v>
      </c>
      <c r="R1960" t="str" cm="1">
        <f t="array" ref="R1960">_xlfn.IFS(B1960&lt;31,"Young-Adult",B1960&lt;41,"Adult",B1960&lt;61,"Middle-aged",B1960&gt;=61,"Senior")</f>
        <v>Adult</v>
      </c>
      <c r="S1960" cm="1">
        <f t="array" ref="S1960">_xlfn.IFS(Q1960 ="Fortnightly",14,Q1960="Weekly",7,Q1960="Monthly",30,Q1960="Quarterly",90,Q1960="Bi-Weekly",14,Q1960="Annually",365,Q1960="Every 3 Months",90,TRUE,"NOT FOUND")</f>
        <v>90</v>
      </c>
    </row>
    <row r="1961" spans="1:19" x14ac:dyDescent="0.35">
      <c r="A1961">
        <v>1960</v>
      </c>
      <c r="B1961">
        <v>46</v>
      </c>
      <c r="C1961" t="s">
        <v>7</v>
      </c>
      <c r="D1961" t="s">
        <v>59</v>
      </c>
      <c r="E1961" t="s">
        <v>30</v>
      </c>
      <c r="F1961">
        <v>90</v>
      </c>
      <c r="G1961" t="s">
        <v>100</v>
      </c>
      <c r="H1961" t="s">
        <v>32</v>
      </c>
      <c r="I1961" t="s">
        <v>40</v>
      </c>
      <c r="J1961" t="s">
        <v>45</v>
      </c>
      <c r="K1961">
        <v>3.1</v>
      </c>
      <c r="L1961" t="s">
        <v>140</v>
      </c>
      <c r="M1961" t="s">
        <v>62</v>
      </c>
      <c r="N1961" t="s">
        <v>140</v>
      </c>
      <c r="O1961">
        <v>7</v>
      </c>
      <c r="P1961" t="s">
        <v>27</v>
      </c>
      <c r="Q1961" t="s">
        <v>85</v>
      </c>
      <c r="R1961" t="str" cm="1">
        <f t="array" ref="R1961">_xlfn.IFS(B1961&lt;31,"Young-Adult",B1961&lt;41,"Adult",B1961&lt;61,"Middle-aged",B1961&gt;=61,"Senior")</f>
        <v>Middle-aged</v>
      </c>
      <c r="S1961" cm="1">
        <f t="array" ref="S1961">_xlfn.IFS(Q1961 ="Fortnightly",14,Q1961="Weekly",7,Q1961="Monthly",30,Q1961="Quarterly",90,Q1961="Bi-Weekly",14,Q1961="Annually",365,Q1961="Every 3 Months",90,TRUE,"NOT FOUND")</f>
        <v>90</v>
      </c>
    </row>
    <row r="1962" spans="1:19" x14ac:dyDescent="0.35">
      <c r="A1962">
        <v>1961</v>
      </c>
      <c r="B1962">
        <v>57</v>
      </c>
      <c r="C1962" t="s">
        <v>7</v>
      </c>
      <c r="D1962" t="s">
        <v>22</v>
      </c>
      <c r="E1962" t="s">
        <v>9</v>
      </c>
      <c r="F1962">
        <v>72</v>
      </c>
      <c r="G1962" t="s">
        <v>23</v>
      </c>
      <c r="H1962" t="s">
        <v>11</v>
      </c>
      <c r="I1962" t="s">
        <v>96</v>
      </c>
      <c r="J1962" t="s">
        <v>41</v>
      </c>
      <c r="K1962">
        <v>3.3</v>
      </c>
      <c r="L1962" t="s">
        <v>140</v>
      </c>
      <c r="M1962" t="s">
        <v>58</v>
      </c>
      <c r="N1962" t="s">
        <v>140</v>
      </c>
      <c r="O1962">
        <v>40</v>
      </c>
      <c r="P1962" t="s">
        <v>27</v>
      </c>
      <c r="Q1962" t="s">
        <v>37</v>
      </c>
      <c r="R1962" t="str" cm="1">
        <f t="array" ref="R1962">_xlfn.IFS(B1962&lt;31,"Young-Adult",B1962&lt;41,"Adult",B1962&lt;61,"Middle-aged",B1962&gt;=61,"Senior")</f>
        <v>Middle-aged</v>
      </c>
      <c r="S1962" cm="1">
        <f t="array" ref="S1962">_xlfn.IFS(Q1962 ="Fortnightly",14,Q1962="Weekly",7,Q1962="Monthly",30,Q1962="Quarterly",90,Q1962="Bi-Weekly",14,Q1962="Annually",365,Q1962="Every 3 Months",90,TRUE,"NOT FOUND")</f>
        <v>365</v>
      </c>
    </row>
    <row r="1963" spans="1:19" x14ac:dyDescent="0.35">
      <c r="A1963">
        <v>1962</v>
      </c>
      <c r="B1963">
        <v>47</v>
      </c>
      <c r="C1963" t="s">
        <v>7</v>
      </c>
      <c r="D1963" t="s">
        <v>125</v>
      </c>
      <c r="E1963" t="s">
        <v>30</v>
      </c>
      <c r="F1963">
        <v>59</v>
      </c>
      <c r="G1963" t="s">
        <v>95</v>
      </c>
      <c r="H1963" t="s">
        <v>11</v>
      </c>
      <c r="I1963" t="s">
        <v>82</v>
      </c>
      <c r="J1963" t="s">
        <v>41</v>
      </c>
      <c r="K1963">
        <v>2.6</v>
      </c>
      <c r="L1963" t="s">
        <v>140</v>
      </c>
      <c r="M1963" t="s">
        <v>26</v>
      </c>
      <c r="N1963" t="s">
        <v>140</v>
      </c>
      <c r="O1963">
        <v>45</v>
      </c>
      <c r="P1963" t="s">
        <v>74</v>
      </c>
      <c r="Q1963" t="s">
        <v>46</v>
      </c>
      <c r="R1963" t="str" cm="1">
        <f t="array" ref="R1963">_xlfn.IFS(B1963&lt;31,"Young-Adult",B1963&lt;41,"Adult",B1963&lt;61,"Middle-aged",B1963&gt;=61,"Senior")</f>
        <v>Middle-aged</v>
      </c>
      <c r="S1963" cm="1">
        <f t="array" ref="S1963">_xlfn.IFS(Q1963 ="Fortnightly",14,Q1963="Weekly",7,Q1963="Monthly",30,Q1963="Quarterly",90,Q1963="Bi-Weekly",14,Q1963="Annually",365,Q1963="Every 3 Months",90,TRUE,"NOT FOUND")</f>
        <v>90</v>
      </c>
    </row>
    <row r="1964" spans="1:19" x14ac:dyDescent="0.35">
      <c r="A1964">
        <v>1963</v>
      </c>
      <c r="B1964">
        <v>40</v>
      </c>
      <c r="C1964" t="s">
        <v>7</v>
      </c>
      <c r="D1964" t="s">
        <v>112</v>
      </c>
      <c r="E1964" t="s">
        <v>55</v>
      </c>
      <c r="F1964">
        <v>45</v>
      </c>
      <c r="G1964" t="s">
        <v>134</v>
      </c>
      <c r="H1964" t="s">
        <v>32</v>
      </c>
      <c r="I1964" t="s">
        <v>53</v>
      </c>
      <c r="J1964" t="s">
        <v>45</v>
      </c>
      <c r="K1964">
        <v>4.4000000000000004</v>
      </c>
      <c r="L1964" t="s">
        <v>140</v>
      </c>
      <c r="M1964" t="s">
        <v>42</v>
      </c>
      <c r="N1964" t="s">
        <v>140</v>
      </c>
      <c r="O1964">
        <v>20</v>
      </c>
      <c r="P1964" t="s">
        <v>34</v>
      </c>
      <c r="Q1964" t="s">
        <v>17</v>
      </c>
      <c r="R1964" t="str" cm="1">
        <f t="array" ref="R1964">_xlfn.IFS(B1964&lt;31,"Young-Adult",B1964&lt;41,"Adult",B1964&lt;61,"Middle-aged",B1964&gt;=61,"Senior")</f>
        <v>Adult</v>
      </c>
      <c r="S1964" cm="1">
        <f t="array" ref="S1964">_xlfn.IFS(Q1964 ="Fortnightly",14,Q1964="Weekly",7,Q1964="Monthly",30,Q1964="Quarterly",90,Q1964="Bi-Weekly",14,Q1964="Annually",365,Q1964="Every 3 Months",90,TRUE,"NOT FOUND")</f>
        <v>14</v>
      </c>
    </row>
    <row r="1965" spans="1:19" x14ac:dyDescent="0.35">
      <c r="A1965">
        <v>1964</v>
      </c>
      <c r="B1965">
        <v>52</v>
      </c>
      <c r="C1965" t="s">
        <v>7</v>
      </c>
      <c r="D1965" t="s">
        <v>47</v>
      </c>
      <c r="E1965" t="s">
        <v>9</v>
      </c>
      <c r="F1965">
        <v>30</v>
      </c>
      <c r="G1965" t="s">
        <v>139</v>
      </c>
      <c r="H1965" t="s">
        <v>11</v>
      </c>
      <c r="I1965" t="s">
        <v>57</v>
      </c>
      <c r="J1965" t="s">
        <v>25</v>
      </c>
      <c r="K1965">
        <v>3.9</v>
      </c>
      <c r="L1965" t="s">
        <v>140</v>
      </c>
      <c r="M1965" t="s">
        <v>42</v>
      </c>
      <c r="N1965" t="s">
        <v>140</v>
      </c>
      <c r="O1965">
        <v>11</v>
      </c>
      <c r="P1965" t="s">
        <v>27</v>
      </c>
      <c r="Q1965" t="s">
        <v>28</v>
      </c>
      <c r="R1965" t="str" cm="1">
        <f t="array" ref="R1965">_xlfn.IFS(B1965&lt;31,"Young-Adult",B1965&lt;41,"Adult",B1965&lt;61,"Middle-aged",B1965&gt;=61,"Senior")</f>
        <v>Middle-aged</v>
      </c>
      <c r="S1965" cm="1">
        <f t="array" ref="S1965">_xlfn.IFS(Q1965 ="Fortnightly",14,Q1965="Weekly",7,Q1965="Monthly",30,Q1965="Quarterly",90,Q1965="Bi-Weekly",14,Q1965="Annually",365,Q1965="Every 3 Months",90,TRUE,"NOT FOUND")</f>
        <v>7</v>
      </c>
    </row>
    <row r="1966" spans="1:19" x14ac:dyDescent="0.35">
      <c r="A1966">
        <v>1965</v>
      </c>
      <c r="B1966">
        <v>40</v>
      </c>
      <c r="C1966" t="s">
        <v>7</v>
      </c>
      <c r="D1966" t="s">
        <v>83</v>
      </c>
      <c r="E1966" t="s">
        <v>9</v>
      </c>
      <c r="F1966">
        <v>51</v>
      </c>
      <c r="G1966" t="s">
        <v>52</v>
      </c>
      <c r="H1966" t="s">
        <v>24</v>
      </c>
      <c r="I1966" t="s">
        <v>97</v>
      </c>
      <c r="J1966" t="s">
        <v>41</v>
      </c>
      <c r="K1966">
        <v>4.5999999999999996</v>
      </c>
      <c r="L1966" t="s">
        <v>140</v>
      </c>
      <c r="M1966" t="s">
        <v>15</v>
      </c>
      <c r="N1966" t="s">
        <v>140</v>
      </c>
      <c r="O1966">
        <v>50</v>
      </c>
      <c r="P1966" t="s">
        <v>74</v>
      </c>
      <c r="Q1966" t="s">
        <v>76</v>
      </c>
      <c r="R1966" t="str" cm="1">
        <f t="array" ref="R1966">_xlfn.IFS(B1966&lt;31,"Young-Adult",B1966&lt;41,"Adult",B1966&lt;61,"Middle-aged",B1966&gt;=61,"Senior")</f>
        <v>Adult</v>
      </c>
      <c r="S1966" cm="1">
        <f t="array" ref="S1966">_xlfn.IFS(Q1966 ="Fortnightly",14,Q1966="Weekly",7,Q1966="Monthly",30,Q1966="Quarterly",90,Q1966="Bi-Weekly",14,Q1966="Annually",365,Q1966="Every 3 Months",90,TRUE,"NOT FOUND")</f>
        <v>30</v>
      </c>
    </row>
    <row r="1967" spans="1:19" x14ac:dyDescent="0.35">
      <c r="A1967">
        <v>1966</v>
      </c>
      <c r="B1967">
        <v>67</v>
      </c>
      <c r="C1967" t="s">
        <v>7</v>
      </c>
      <c r="D1967" t="s">
        <v>18</v>
      </c>
      <c r="E1967" t="s">
        <v>9</v>
      </c>
      <c r="F1967">
        <v>90</v>
      </c>
      <c r="G1967" t="s">
        <v>104</v>
      </c>
      <c r="H1967" t="s">
        <v>32</v>
      </c>
      <c r="I1967" t="s">
        <v>40</v>
      </c>
      <c r="J1967" t="s">
        <v>45</v>
      </c>
      <c r="K1967">
        <v>4.9000000000000004</v>
      </c>
      <c r="L1967" t="s">
        <v>140</v>
      </c>
      <c r="M1967" t="s">
        <v>15</v>
      </c>
      <c r="N1967" t="s">
        <v>140</v>
      </c>
      <c r="O1967">
        <v>25</v>
      </c>
      <c r="P1967" t="s">
        <v>74</v>
      </c>
      <c r="Q1967" t="s">
        <v>46</v>
      </c>
      <c r="R1967" t="str" cm="1">
        <f t="array" ref="R1967">_xlfn.IFS(B1967&lt;31,"Young-Adult",B1967&lt;41,"Adult",B1967&lt;61,"Middle-aged",B1967&gt;=61,"Senior")</f>
        <v>Senior</v>
      </c>
      <c r="S1967" cm="1">
        <f t="array" ref="S1967">_xlfn.IFS(Q1967 ="Fortnightly",14,Q1967="Weekly",7,Q1967="Monthly",30,Q1967="Quarterly",90,Q1967="Bi-Weekly",14,Q1967="Annually",365,Q1967="Every 3 Months",90,TRUE,"NOT FOUND")</f>
        <v>90</v>
      </c>
    </row>
    <row r="1968" spans="1:19" x14ac:dyDescent="0.35">
      <c r="A1968">
        <v>1967</v>
      </c>
      <c r="B1968">
        <v>67</v>
      </c>
      <c r="C1968" t="s">
        <v>7</v>
      </c>
      <c r="D1968" t="s">
        <v>90</v>
      </c>
      <c r="E1968" t="s">
        <v>51</v>
      </c>
      <c r="F1968">
        <v>95</v>
      </c>
      <c r="G1968" t="s">
        <v>104</v>
      </c>
      <c r="H1968" t="s">
        <v>80</v>
      </c>
      <c r="I1968" t="s">
        <v>61</v>
      </c>
      <c r="J1968" t="s">
        <v>13</v>
      </c>
      <c r="K1968">
        <v>3.7</v>
      </c>
      <c r="L1968" t="s">
        <v>140</v>
      </c>
      <c r="M1968" t="s">
        <v>15</v>
      </c>
      <c r="N1968" t="s">
        <v>140</v>
      </c>
      <c r="O1968">
        <v>5</v>
      </c>
      <c r="P1968" t="s">
        <v>27</v>
      </c>
      <c r="Q1968" t="s">
        <v>17</v>
      </c>
      <c r="R1968" t="str" cm="1">
        <f t="array" ref="R1968">_xlfn.IFS(B1968&lt;31,"Young-Adult",B1968&lt;41,"Adult",B1968&lt;61,"Middle-aged",B1968&gt;=61,"Senior")</f>
        <v>Senior</v>
      </c>
      <c r="S1968" cm="1">
        <f t="array" ref="S1968">_xlfn.IFS(Q1968 ="Fortnightly",14,Q1968="Weekly",7,Q1968="Monthly",30,Q1968="Quarterly",90,Q1968="Bi-Weekly",14,Q1968="Annually",365,Q1968="Every 3 Months",90,TRUE,"NOT FOUND")</f>
        <v>14</v>
      </c>
    </row>
    <row r="1969" spans="1:19" x14ac:dyDescent="0.35">
      <c r="A1969">
        <v>1968</v>
      </c>
      <c r="B1969">
        <v>37</v>
      </c>
      <c r="C1969" t="s">
        <v>7</v>
      </c>
      <c r="D1969" t="s">
        <v>69</v>
      </c>
      <c r="E1969" t="s">
        <v>9</v>
      </c>
      <c r="F1969">
        <v>81</v>
      </c>
      <c r="G1969" t="s">
        <v>130</v>
      </c>
      <c r="H1969" t="s">
        <v>11</v>
      </c>
      <c r="I1969" t="s">
        <v>122</v>
      </c>
      <c r="J1969" t="s">
        <v>45</v>
      </c>
      <c r="K1969">
        <v>3.7</v>
      </c>
      <c r="L1969" t="s">
        <v>140</v>
      </c>
      <c r="M1969" t="s">
        <v>42</v>
      </c>
      <c r="N1969" t="s">
        <v>140</v>
      </c>
      <c r="O1969">
        <v>4</v>
      </c>
      <c r="P1969" t="s">
        <v>16</v>
      </c>
      <c r="Q1969" t="s">
        <v>37</v>
      </c>
      <c r="R1969" t="str" cm="1">
        <f t="array" ref="R1969">_xlfn.IFS(B1969&lt;31,"Young-Adult",B1969&lt;41,"Adult",B1969&lt;61,"Middle-aged",B1969&gt;=61,"Senior")</f>
        <v>Adult</v>
      </c>
      <c r="S1969" cm="1">
        <f t="array" ref="S1969">_xlfn.IFS(Q1969 ="Fortnightly",14,Q1969="Weekly",7,Q1969="Monthly",30,Q1969="Quarterly",90,Q1969="Bi-Weekly",14,Q1969="Annually",365,Q1969="Every 3 Months",90,TRUE,"NOT FOUND")</f>
        <v>365</v>
      </c>
    </row>
    <row r="1970" spans="1:19" x14ac:dyDescent="0.35">
      <c r="A1970">
        <v>1969</v>
      </c>
      <c r="B1970">
        <v>67</v>
      </c>
      <c r="C1970" t="s">
        <v>7</v>
      </c>
      <c r="D1970" t="s">
        <v>43</v>
      </c>
      <c r="E1970" t="s">
        <v>9</v>
      </c>
      <c r="F1970">
        <v>70</v>
      </c>
      <c r="G1970" t="s">
        <v>136</v>
      </c>
      <c r="H1970" t="s">
        <v>24</v>
      </c>
      <c r="I1970" t="s">
        <v>132</v>
      </c>
      <c r="J1970" t="s">
        <v>25</v>
      </c>
      <c r="K1970">
        <v>4.2</v>
      </c>
      <c r="L1970" t="s">
        <v>140</v>
      </c>
      <c r="M1970" t="s">
        <v>42</v>
      </c>
      <c r="N1970" t="s">
        <v>140</v>
      </c>
      <c r="O1970">
        <v>25</v>
      </c>
      <c r="P1970" t="s">
        <v>27</v>
      </c>
      <c r="Q1970" t="s">
        <v>28</v>
      </c>
      <c r="R1970" t="str" cm="1">
        <f t="array" ref="R1970">_xlfn.IFS(B1970&lt;31,"Young-Adult",B1970&lt;41,"Adult",B1970&lt;61,"Middle-aged",B1970&gt;=61,"Senior")</f>
        <v>Senior</v>
      </c>
      <c r="S1970" cm="1">
        <f t="array" ref="S1970">_xlfn.IFS(Q1970 ="Fortnightly",14,Q1970="Weekly",7,Q1970="Monthly",30,Q1970="Quarterly",90,Q1970="Bi-Weekly",14,Q1970="Annually",365,Q1970="Every 3 Months",90,TRUE,"NOT FOUND")</f>
        <v>7</v>
      </c>
    </row>
    <row r="1971" spans="1:19" x14ac:dyDescent="0.35">
      <c r="A1971">
        <v>1970</v>
      </c>
      <c r="B1971">
        <v>64</v>
      </c>
      <c r="C1971" t="s">
        <v>7</v>
      </c>
      <c r="D1971" t="s">
        <v>69</v>
      </c>
      <c r="E1971" t="s">
        <v>9</v>
      </c>
      <c r="F1971">
        <v>32</v>
      </c>
      <c r="G1971" t="s">
        <v>48</v>
      </c>
      <c r="H1971" t="s">
        <v>24</v>
      </c>
      <c r="I1971" t="s">
        <v>97</v>
      </c>
      <c r="J1971" t="s">
        <v>13</v>
      </c>
      <c r="K1971">
        <v>3.5</v>
      </c>
      <c r="L1971" t="s">
        <v>140</v>
      </c>
      <c r="M1971" t="s">
        <v>33</v>
      </c>
      <c r="N1971" t="s">
        <v>140</v>
      </c>
      <c r="O1971">
        <v>11</v>
      </c>
      <c r="P1971" t="s">
        <v>63</v>
      </c>
      <c r="Q1971" t="s">
        <v>17</v>
      </c>
      <c r="R1971" t="str" cm="1">
        <f t="array" ref="R1971">_xlfn.IFS(B1971&lt;31,"Young-Adult",B1971&lt;41,"Adult",B1971&lt;61,"Middle-aged",B1971&gt;=61,"Senior")</f>
        <v>Senior</v>
      </c>
      <c r="S1971" cm="1">
        <f t="array" ref="S1971">_xlfn.IFS(Q1971 ="Fortnightly",14,Q1971="Weekly",7,Q1971="Monthly",30,Q1971="Quarterly",90,Q1971="Bi-Weekly",14,Q1971="Annually",365,Q1971="Every 3 Months",90,TRUE,"NOT FOUND")</f>
        <v>14</v>
      </c>
    </row>
    <row r="1972" spans="1:19" x14ac:dyDescent="0.35">
      <c r="A1972">
        <v>1971</v>
      </c>
      <c r="B1972">
        <v>28</v>
      </c>
      <c r="C1972" t="s">
        <v>7</v>
      </c>
      <c r="D1972" t="s">
        <v>121</v>
      </c>
      <c r="E1972" t="s">
        <v>55</v>
      </c>
      <c r="F1972">
        <v>94</v>
      </c>
      <c r="G1972" t="s">
        <v>116</v>
      </c>
      <c r="H1972" t="s">
        <v>32</v>
      </c>
      <c r="I1972" t="s">
        <v>114</v>
      </c>
      <c r="J1972" t="s">
        <v>25</v>
      </c>
      <c r="K1972">
        <v>2.9</v>
      </c>
      <c r="L1972" t="s">
        <v>140</v>
      </c>
      <c r="M1972" t="s">
        <v>33</v>
      </c>
      <c r="N1972" t="s">
        <v>140</v>
      </c>
      <c r="O1972">
        <v>4</v>
      </c>
      <c r="P1972" t="s">
        <v>27</v>
      </c>
      <c r="Q1972" t="s">
        <v>64</v>
      </c>
      <c r="R1972" t="str" cm="1">
        <f t="array" ref="R1972">_xlfn.IFS(B1972&lt;31,"Young-Adult",B1972&lt;41,"Adult",B1972&lt;61,"Middle-aged",B1972&gt;=61,"Senior")</f>
        <v>Young-Adult</v>
      </c>
      <c r="S1972" cm="1">
        <f t="array" ref="S1972">_xlfn.IFS(Q1972 ="Fortnightly",14,Q1972="Weekly",7,Q1972="Monthly",30,Q1972="Quarterly",90,Q1972="Bi-Weekly",14,Q1972="Annually",365,Q1972="Every 3 Months",90,TRUE,"NOT FOUND")</f>
        <v>14</v>
      </c>
    </row>
    <row r="1973" spans="1:19" x14ac:dyDescent="0.35">
      <c r="A1973">
        <v>1972</v>
      </c>
      <c r="B1973">
        <v>54</v>
      </c>
      <c r="C1973" t="s">
        <v>7</v>
      </c>
      <c r="D1973" t="s">
        <v>112</v>
      </c>
      <c r="E1973" t="s">
        <v>55</v>
      </c>
      <c r="F1973">
        <v>29</v>
      </c>
      <c r="G1973" t="s">
        <v>126</v>
      </c>
      <c r="H1973" t="s">
        <v>80</v>
      </c>
      <c r="I1973" t="s">
        <v>114</v>
      </c>
      <c r="J1973" t="s">
        <v>25</v>
      </c>
      <c r="K1973">
        <v>3.4</v>
      </c>
      <c r="L1973" t="s">
        <v>140</v>
      </c>
      <c r="M1973" t="s">
        <v>33</v>
      </c>
      <c r="N1973" t="s">
        <v>140</v>
      </c>
      <c r="O1973">
        <v>1</v>
      </c>
      <c r="P1973" t="s">
        <v>16</v>
      </c>
      <c r="Q1973" t="s">
        <v>76</v>
      </c>
      <c r="R1973" t="str" cm="1">
        <f t="array" ref="R1973">_xlfn.IFS(B1973&lt;31,"Young-Adult",B1973&lt;41,"Adult",B1973&lt;61,"Middle-aged",B1973&gt;=61,"Senior")</f>
        <v>Middle-aged</v>
      </c>
      <c r="S1973" cm="1">
        <f t="array" ref="S1973">_xlfn.IFS(Q1973 ="Fortnightly",14,Q1973="Weekly",7,Q1973="Monthly",30,Q1973="Quarterly",90,Q1973="Bi-Weekly",14,Q1973="Annually",365,Q1973="Every 3 Months",90,TRUE,"NOT FOUND")</f>
        <v>30</v>
      </c>
    </row>
    <row r="1974" spans="1:19" x14ac:dyDescent="0.35">
      <c r="A1974">
        <v>1973</v>
      </c>
      <c r="B1974">
        <v>54</v>
      </c>
      <c r="C1974" t="s">
        <v>7</v>
      </c>
      <c r="D1974" t="s">
        <v>120</v>
      </c>
      <c r="E1974" t="s">
        <v>55</v>
      </c>
      <c r="F1974">
        <v>31</v>
      </c>
      <c r="G1974" t="s">
        <v>48</v>
      </c>
      <c r="H1974" t="s">
        <v>32</v>
      </c>
      <c r="I1974" t="s">
        <v>53</v>
      </c>
      <c r="J1974" t="s">
        <v>41</v>
      </c>
      <c r="K1974">
        <v>3.3</v>
      </c>
      <c r="L1974" t="s">
        <v>140</v>
      </c>
      <c r="M1974" t="s">
        <v>15</v>
      </c>
      <c r="N1974" t="s">
        <v>140</v>
      </c>
      <c r="O1974">
        <v>48</v>
      </c>
      <c r="P1974" t="s">
        <v>34</v>
      </c>
      <c r="Q1974" t="s">
        <v>85</v>
      </c>
      <c r="R1974" t="str" cm="1">
        <f t="array" ref="R1974">_xlfn.IFS(B1974&lt;31,"Young-Adult",B1974&lt;41,"Adult",B1974&lt;61,"Middle-aged",B1974&gt;=61,"Senior")</f>
        <v>Middle-aged</v>
      </c>
      <c r="S1974" cm="1">
        <f t="array" ref="S1974">_xlfn.IFS(Q1974 ="Fortnightly",14,Q1974="Weekly",7,Q1974="Monthly",30,Q1974="Quarterly",90,Q1974="Bi-Weekly",14,Q1974="Annually",365,Q1974="Every 3 Months",90,TRUE,"NOT FOUND")</f>
        <v>90</v>
      </c>
    </row>
    <row r="1975" spans="1:19" x14ac:dyDescent="0.35">
      <c r="A1975">
        <v>1974</v>
      </c>
      <c r="B1975">
        <v>24</v>
      </c>
      <c r="C1975" t="s">
        <v>7</v>
      </c>
      <c r="D1975" t="s">
        <v>75</v>
      </c>
      <c r="E1975" t="s">
        <v>9</v>
      </c>
      <c r="F1975">
        <v>20</v>
      </c>
      <c r="G1975" t="s">
        <v>116</v>
      </c>
      <c r="H1975" t="s">
        <v>80</v>
      </c>
      <c r="I1975" t="s">
        <v>96</v>
      </c>
      <c r="J1975" t="s">
        <v>45</v>
      </c>
      <c r="K1975">
        <v>4.5</v>
      </c>
      <c r="L1975" t="s">
        <v>140</v>
      </c>
      <c r="M1975" t="s">
        <v>42</v>
      </c>
      <c r="N1975" t="s">
        <v>140</v>
      </c>
      <c r="O1975">
        <v>9</v>
      </c>
      <c r="P1975" t="s">
        <v>16</v>
      </c>
      <c r="Q1975" t="s">
        <v>85</v>
      </c>
      <c r="R1975" t="str" cm="1">
        <f t="array" ref="R1975">_xlfn.IFS(B1975&lt;31,"Young-Adult",B1975&lt;41,"Adult",B1975&lt;61,"Middle-aged",B1975&gt;=61,"Senior")</f>
        <v>Young-Adult</v>
      </c>
      <c r="S1975" cm="1">
        <f t="array" ref="S1975">_xlfn.IFS(Q1975 ="Fortnightly",14,Q1975="Weekly",7,Q1975="Monthly",30,Q1975="Quarterly",90,Q1975="Bi-Weekly",14,Q1975="Annually",365,Q1975="Every 3 Months",90,TRUE,"NOT FOUND")</f>
        <v>90</v>
      </c>
    </row>
    <row r="1976" spans="1:19" x14ac:dyDescent="0.35">
      <c r="A1976">
        <v>1975</v>
      </c>
      <c r="B1976">
        <v>27</v>
      </c>
      <c r="C1976" t="s">
        <v>7</v>
      </c>
      <c r="D1976" t="s">
        <v>131</v>
      </c>
      <c r="E1976" t="s">
        <v>55</v>
      </c>
      <c r="F1976">
        <v>44</v>
      </c>
      <c r="G1976" t="s">
        <v>110</v>
      </c>
      <c r="H1976" t="s">
        <v>32</v>
      </c>
      <c r="I1976" t="s">
        <v>88</v>
      </c>
      <c r="J1976" t="s">
        <v>13</v>
      </c>
      <c r="K1976">
        <v>4.5999999999999996</v>
      </c>
      <c r="L1976" t="s">
        <v>140</v>
      </c>
      <c r="M1976" t="s">
        <v>58</v>
      </c>
      <c r="N1976" t="s">
        <v>140</v>
      </c>
      <c r="O1976">
        <v>2</v>
      </c>
      <c r="P1976" t="s">
        <v>34</v>
      </c>
      <c r="Q1976" t="s">
        <v>17</v>
      </c>
      <c r="R1976" t="str" cm="1">
        <f t="array" ref="R1976">_xlfn.IFS(B1976&lt;31,"Young-Adult",B1976&lt;41,"Adult",B1976&lt;61,"Middle-aged",B1976&gt;=61,"Senior")</f>
        <v>Young-Adult</v>
      </c>
      <c r="S1976" cm="1">
        <f t="array" ref="S1976">_xlfn.IFS(Q1976 ="Fortnightly",14,Q1976="Weekly",7,Q1976="Monthly",30,Q1976="Quarterly",90,Q1976="Bi-Weekly",14,Q1976="Annually",365,Q1976="Every 3 Months",90,TRUE,"NOT FOUND")</f>
        <v>14</v>
      </c>
    </row>
    <row r="1977" spans="1:19" x14ac:dyDescent="0.35">
      <c r="A1977">
        <v>1976</v>
      </c>
      <c r="B1977">
        <v>53</v>
      </c>
      <c r="C1977" t="s">
        <v>7</v>
      </c>
      <c r="D1977" t="s">
        <v>90</v>
      </c>
      <c r="E1977" t="s">
        <v>51</v>
      </c>
      <c r="F1977">
        <v>77</v>
      </c>
      <c r="G1977" t="s">
        <v>103</v>
      </c>
      <c r="H1977" t="s">
        <v>11</v>
      </c>
      <c r="I1977" t="s">
        <v>36</v>
      </c>
      <c r="J1977" t="s">
        <v>45</v>
      </c>
      <c r="K1977">
        <v>2.9</v>
      </c>
      <c r="L1977" t="s">
        <v>140</v>
      </c>
      <c r="M1977" t="s">
        <v>15</v>
      </c>
      <c r="N1977" t="s">
        <v>140</v>
      </c>
      <c r="O1977">
        <v>4</v>
      </c>
      <c r="P1977" t="s">
        <v>21</v>
      </c>
      <c r="Q1977" t="s">
        <v>46</v>
      </c>
      <c r="R1977" t="str" cm="1">
        <f t="array" ref="R1977">_xlfn.IFS(B1977&lt;31,"Young-Adult",B1977&lt;41,"Adult",B1977&lt;61,"Middle-aged",B1977&gt;=61,"Senior")</f>
        <v>Middle-aged</v>
      </c>
      <c r="S1977" cm="1">
        <f t="array" ref="S1977">_xlfn.IFS(Q1977 ="Fortnightly",14,Q1977="Weekly",7,Q1977="Monthly",30,Q1977="Quarterly",90,Q1977="Bi-Weekly",14,Q1977="Annually",365,Q1977="Every 3 Months",90,TRUE,"NOT FOUND")</f>
        <v>90</v>
      </c>
    </row>
    <row r="1978" spans="1:19" x14ac:dyDescent="0.35">
      <c r="A1978">
        <v>1977</v>
      </c>
      <c r="B1978">
        <v>32</v>
      </c>
      <c r="C1978" t="s">
        <v>7</v>
      </c>
      <c r="D1978" t="s">
        <v>54</v>
      </c>
      <c r="E1978" t="s">
        <v>55</v>
      </c>
      <c r="F1978">
        <v>51</v>
      </c>
      <c r="G1978" t="s">
        <v>39</v>
      </c>
      <c r="H1978" t="s">
        <v>32</v>
      </c>
      <c r="I1978" t="s">
        <v>57</v>
      </c>
      <c r="J1978" t="s">
        <v>25</v>
      </c>
      <c r="K1978">
        <v>3.2</v>
      </c>
      <c r="L1978" t="s">
        <v>140</v>
      </c>
      <c r="M1978" t="s">
        <v>33</v>
      </c>
      <c r="N1978" t="s">
        <v>140</v>
      </c>
      <c r="O1978">
        <v>43</v>
      </c>
      <c r="P1978" t="s">
        <v>34</v>
      </c>
      <c r="Q1978" t="s">
        <v>17</v>
      </c>
      <c r="R1978" t="str" cm="1">
        <f t="array" ref="R1978">_xlfn.IFS(B1978&lt;31,"Young-Adult",B1978&lt;41,"Adult",B1978&lt;61,"Middle-aged",B1978&gt;=61,"Senior")</f>
        <v>Adult</v>
      </c>
      <c r="S1978" cm="1">
        <f t="array" ref="S1978">_xlfn.IFS(Q1978 ="Fortnightly",14,Q1978="Weekly",7,Q1978="Monthly",30,Q1978="Quarterly",90,Q1978="Bi-Weekly",14,Q1978="Annually",365,Q1978="Every 3 Months",90,TRUE,"NOT FOUND")</f>
        <v>14</v>
      </c>
    </row>
    <row r="1979" spans="1:19" x14ac:dyDescent="0.35">
      <c r="A1979">
        <v>1978</v>
      </c>
      <c r="B1979">
        <v>24</v>
      </c>
      <c r="C1979" t="s">
        <v>7</v>
      </c>
      <c r="D1979" t="s">
        <v>29</v>
      </c>
      <c r="E1979" t="s">
        <v>30</v>
      </c>
      <c r="F1979">
        <v>49</v>
      </c>
      <c r="G1979" t="s">
        <v>91</v>
      </c>
      <c r="H1979" t="s">
        <v>32</v>
      </c>
      <c r="I1979" t="s">
        <v>73</v>
      </c>
      <c r="J1979" t="s">
        <v>41</v>
      </c>
      <c r="K1979">
        <v>2.6</v>
      </c>
      <c r="L1979" t="s">
        <v>140</v>
      </c>
      <c r="M1979" t="s">
        <v>26</v>
      </c>
      <c r="N1979" t="s">
        <v>140</v>
      </c>
      <c r="O1979">
        <v>32</v>
      </c>
      <c r="P1979" t="s">
        <v>63</v>
      </c>
      <c r="Q1979" t="s">
        <v>37</v>
      </c>
      <c r="R1979" t="str" cm="1">
        <f t="array" ref="R1979">_xlfn.IFS(B1979&lt;31,"Young-Adult",B1979&lt;41,"Adult",B1979&lt;61,"Middle-aged",B1979&gt;=61,"Senior")</f>
        <v>Young-Adult</v>
      </c>
      <c r="S1979" cm="1">
        <f t="array" ref="S1979">_xlfn.IFS(Q1979 ="Fortnightly",14,Q1979="Weekly",7,Q1979="Monthly",30,Q1979="Quarterly",90,Q1979="Bi-Weekly",14,Q1979="Annually",365,Q1979="Every 3 Months",90,TRUE,"NOT FOUND")</f>
        <v>365</v>
      </c>
    </row>
    <row r="1980" spans="1:19" x14ac:dyDescent="0.35">
      <c r="A1980">
        <v>1979</v>
      </c>
      <c r="B1980">
        <v>45</v>
      </c>
      <c r="C1980" t="s">
        <v>7</v>
      </c>
      <c r="D1980" t="s">
        <v>77</v>
      </c>
      <c r="E1980" t="s">
        <v>55</v>
      </c>
      <c r="F1980">
        <v>78</v>
      </c>
      <c r="G1980" t="s">
        <v>23</v>
      </c>
      <c r="H1980" t="s">
        <v>11</v>
      </c>
      <c r="I1980" t="s">
        <v>124</v>
      </c>
      <c r="J1980" t="s">
        <v>25</v>
      </c>
      <c r="K1980">
        <v>3.8</v>
      </c>
      <c r="L1980" t="s">
        <v>140</v>
      </c>
      <c r="M1980" t="s">
        <v>62</v>
      </c>
      <c r="N1980" t="s">
        <v>140</v>
      </c>
      <c r="O1980">
        <v>1</v>
      </c>
      <c r="P1980" t="s">
        <v>21</v>
      </c>
      <c r="Q1980" t="s">
        <v>46</v>
      </c>
      <c r="R1980" t="str" cm="1">
        <f t="array" ref="R1980">_xlfn.IFS(B1980&lt;31,"Young-Adult",B1980&lt;41,"Adult",B1980&lt;61,"Middle-aged",B1980&gt;=61,"Senior")</f>
        <v>Middle-aged</v>
      </c>
      <c r="S1980" cm="1">
        <f t="array" ref="S1980">_xlfn.IFS(Q1980 ="Fortnightly",14,Q1980="Weekly",7,Q1980="Monthly",30,Q1980="Quarterly",90,Q1980="Bi-Weekly",14,Q1980="Annually",365,Q1980="Every 3 Months",90,TRUE,"NOT FOUND")</f>
        <v>90</v>
      </c>
    </row>
    <row r="1981" spans="1:19" x14ac:dyDescent="0.35">
      <c r="A1981">
        <v>1980</v>
      </c>
      <c r="B1981">
        <v>49</v>
      </c>
      <c r="C1981" t="s">
        <v>7</v>
      </c>
      <c r="D1981" t="s">
        <v>22</v>
      </c>
      <c r="E1981" t="s">
        <v>9</v>
      </c>
      <c r="F1981">
        <v>98</v>
      </c>
      <c r="G1981" t="s">
        <v>110</v>
      </c>
      <c r="H1981" t="s">
        <v>11</v>
      </c>
      <c r="I1981" t="s">
        <v>132</v>
      </c>
      <c r="J1981" t="s">
        <v>25</v>
      </c>
      <c r="K1981">
        <v>2.8</v>
      </c>
      <c r="L1981" t="s">
        <v>140</v>
      </c>
      <c r="M1981" t="s">
        <v>62</v>
      </c>
      <c r="N1981" t="s">
        <v>140</v>
      </c>
      <c r="O1981">
        <v>38</v>
      </c>
      <c r="P1981" t="s">
        <v>74</v>
      </c>
      <c r="Q1981" t="s">
        <v>17</v>
      </c>
      <c r="R1981" t="str" cm="1">
        <f t="array" ref="R1981">_xlfn.IFS(B1981&lt;31,"Young-Adult",B1981&lt;41,"Adult",B1981&lt;61,"Middle-aged",B1981&gt;=61,"Senior")</f>
        <v>Middle-aged</v>
      </c>
      <c r="S1981" cm="1">
        <f t="array" ref="S1981">_xlfn.IFS(Q1981 ="Fortnightly",14,Q1981="Weekly",7,Q1981="Monthly",30,Q1981="Quarterly",90,Q1981="Bi-Weekly",14,Q1981="Annually",365,Q1981="Every 3 Months",90,TRUE,"NOT FOUND")</f>
        <v>14</v>
      </c>
    </row>
    <row r="1982" spans="1:19" x14ac:dyDescent="0.35">
      <c r="A1982">
        <v>1981</v>
      </c>
      <c r="B1982">
        <v>51</v>
      </c>
      <c r="C1982" t="s">
        <v>7</v>
      </c>
      <c r="D1982" t="s">
        <v>29</v>
      </c>
      <c r="E1982" t="s">
        <v>30</v>
      </c>
      <c r="F1982">
        <v>94</v>
      </c>
      <c r="G1982" t="s">
        <v>134</v>
      </c>
      <c r="H1982" t="s">
        <v>32</v>
      </c>
      <c r="I1982" t="s">
        <v>84</v>
      </c>
      <c r="J1982" t="s">
        <v>13</v>
      </c>
      <c r="K1982">
        <v>4.4000000000000004</v>
      </c>
      <c r="L1982" t="s">
        <v>140</v>
      </c>
      <c r="M1982" t="s">
        <v>62</v>
      </c>
      <c r="N1982" t="s">
        <v>140</v>
      </c>
      <c r="O1982">
        <v>25</v>
      </c>
      <c r="P1982" t="s">
        <v>34</v>
      </c>
      <c r="Q1982" t="s">
        <v>17</v>
      </c>
      <c r="R1982" t="str" cm="1">
        <f t="array" ref="R1982">_xlfn.IFS(B1982&lt;31,"Young-Adult",B1982&lt;41,"Adult",B1982&lt;61,"Middle-aged",B1982&gt;=61,"Senior")</f>
        <v>Middle-aged</v>
      </c>
      <c r="S1982" cm="1">
        <f t="array" ref="S1982">_xlfn.IFS(Q1982 ="Fortnightly",14,Q1982="Weekly",7,Q1982="Monthly",30,Q1982="Quarterly",90,Q1982="Bi-Weekly",14,Q1982="Annually",365,Q1982="Every 3 Months",90,TRUE,"NOT FOUND")</f>
        <v>14</v>
      </c>
    </row>
    <row r="1983" spans="1:19" x14ac:dyDescent="0.35">
      <c r="A1983">
        <v>1982</v>
      </c>
      <c r="B1983">
        <v>69</v>
      </c>
      <c r="C1983" t="s">
        <v>7</v>
      </c>
      <c r="D1983" t="s">
        <v>59</v>
      </c>
      <c r="E1983" t="s">
        <v>30</v>
      </c>
      <c r="F1983">
        <v>91</v>
      </c>
      <c r="G1983" t="s">
        <v>139</v>
      </c>
      <c r="H1983" t="s">
        <v>11</v>
      </c>
      <c r="I1983" t="s">
        <v>71</v>
      </c>
      <c r="J1983" t="s">
        <v>41</v>
      </c>
      <c r="K1983">
        <v>4.7</v>
      </c>
      <c r="L1983" t="s">
        <v>140</v>
      </c>
      <c r="M1983" t="s">
        <v>15</v>
      </c>
      <c r="N1983" t="s">
        <v>140</v>
      </c>
      <c r="O1983">
        <v>42</v>
      </c>
      <c r="P1983" t="s">
        <v>34</v>
      </c>
      <c r="Q1983" t="s">
        <v>46</v>
      </c>
      <c r="R1983" t="str" cm="1">
        <f t="array" ref="R1983">_xlfn.IFS(B1983&lt;31,"Young-Adult",B1983&lt;41,"Adult",B1983&lt;61,"Middle-aged",B1983&gt;=61,"Senior")</f>
        <v>Senior</v>
      </c>
      <c r="S1983" cm="1">
        <f t="array" ref="S1983">_xlfn.IFS(Q1983 ="Fortnightly",14,Q1983="Weekly",7,Q1983="Monthly",30,Q1983="Quarterly",90,Q1983="Bi-Weekly",14,Q1983="Annually",365,Q1983="Every 3 Months",90,TRUE,"NOT FOUND")</f>
        <v>90</v>
      </c>
    </row>
    <row r="1984" spans="1:19" x14ac:dyDescent="0.35">
      <c r="A1984">
        <v>1983</v>
      </c>
      <c r="B1984">
        <v>41</v>
      </c>
      <c r="C1984" t="s">
        <v>7</v>
      </c>
      <c r="D1984" t="s">
        <v>77</v>
      </c>
      <c r="E1984" t="s">
        <v>55</v>
      </c>
      <c r="F1984">
        <v>77</v>
      </c>
      <c r="G1984" t="s">
        <v>99</v>
      </c>
      <c r="H1984" t="s">
        <v>32</v>
      </c>
      <c r="I1984" t="s">
        <v>36</v>
      </c>
      <c r="J1984" t="s">
        <v>41</v>
      </c>
      <c r="K1984">
        <v>2.7</v>
      </c>
      <c r="L1984" t="s">
        <v>140</v>
      </c>
      <c r="M1984" t="s">
        <v>58</v>
      </c>
      <c r="N1984" t="s">
        <v>140</v>
      </c>
      <c r="O1984">
        <v>32</v>
      </c>
      <c r="P1984" t="s">
        <v>34</v>
      </c>
      <c r="Q1984" t="s">
        <v>76</v>
      </c>
      <c r="R1984" t="str" cm="1">
        <f t="array" ref="R1984">_xlfn.IFS(B1984&lt;31,"Young-Adult",B1984&lt;41,"Adult",B1984&lt;61,"Middle-aged",B1984&gt;=61,"Senior")</f>
        <v>Middle-aged</v>
      </c>
      <c r="S1984" cm="1">
        <f t="array" ref="S1984">_xlfn.IFS(Q1984 ="Fortnightly",14,Q1984="Weekly",7,Q1984="Monthly",30,Q1984="Quarterly",90,Q1984="Bi-Weekly",14,Q1984="Annually",365,Q1984="Every 3 Months",90,TRUE,"NOT FOUND")</f>
        <v>30</v>
      </c>
    </row>
    <row r="1985" spans="1:19" x14ac:dyDescent="0.35">
      <c r="A1985">
        <v>1984</v>
      </c>
      <c r="B1985">
        <v>59</v>
      </c>
      <c r="C1985" t="s">
        <v>7</v>
      </c>
      <c r="D1985" t="s">
        <v>107</v>
      </c>
      <c r="E1985" t="s">
        <v>55</v>
      </c>
      <c r="F1985">
        <v>97</v>
      </c>
      <c r="G1985" t="s">
        <v>130</v>
      </c>
      <c r="H1985" t="s">
        <v>32</v>
      </c>
      <c r="I1985" t="s">
        <v>57</v>
      </c>
      <c r="J1985" t="s">
        <v>41</v>
      </c>
      <c r="K1985">
        <v>2.6</v>
      </c>
      <c r="L1985" t="s">
        <v>140</v>
      </c>
      <c r="M1985" t="s">
        <v>33</v>
      </c>
      <c r="N1985" t="s">
        <v>140</v>
      </c>
      <c r="O1985">
        <v>21</v>
      </c>
      <c r="P1985" t="s">
        <v>74</v>
      </c>
      <c r="Q1985" t="s">
        <v>46</v>
      </c>
      <c r="R1985" t="str" cm="1">
        <f t="array" ref="R1985">_xlfn.IFS(B1985&lt;31,"Young-Adult",B1985&lt;41,"Adult",B1985&lt;61,"Middle-aged",B1985&gt;=61,"Senior")</f>
        <v>Middle-aged</v>
      </c>
      <c r="S1985" cm="1">
        <f t="array" ref="S1985">_xlfn.IFS(Q1985 ="Fortnightly",14,Q1985="Weekly",7,Q1985="Monthly",30,Q1985="Quarterly",90,Q1985="Bi-Weekly",14,Q1985="Annually",365,Q1985="Every 3 Months",90,TRUE,"NOT FOUND")</f>
        <v>90</v>
      </c>
    </row>
    <row r="1986" spans="1:19" x14ac:dyDescent="0.35">
      <c r="A1986">
        <v>1985</v>
      </c>
      <c r="B1986">
        <v>26</v>
      </c>
      <c r="C1986" t="s">
        <v>7</v>
      </c>
      <c r="D1986" t="s">
        <v>75</v>
      </c>
      <c r="E1986" t="s">
        <v>9</v>
      </c>
      <c r="F1986">
        <v>58</v>
      </c>
      <c r="G1986" t="s">
        <v>52</v>
      </c>
      <c r="H1986" t="s">
        <v>32</v>
      </c>
      <c r="I1986" t="s">
        <v>82</v>
      </c>
      <c r="J1986" t="s">
        <v>41</v>
      </c>
      <c r="K1986">
        <v>3.4</v>
      </c>
      <c r="L1986" t="s">
        <v>140</v>
      </c>
      <c r="M1986" t="s">
        <v>58</v>
      </c>
      <c r="N1986" t="s">
        <v>140</v>
      </c>
      <c r="O1986">
        <v>26</v>
      </c>
      <c r="P1986" t="s">
        <v>34</v>
      </c>
      <c r="Q1986" t="s">
        <v>17</v>
      </c>
      <c r="R1986" t="str" cm="1">
        <f t="array" ref="R1986">_xlfn.IFS(B1986&lt;31,"Young-Adult",B1986&lt;41,"Adult",B1986&lt;61,"Middle-aged",B1986&gt;=61,"Senior")</f>
        <v>Young-Adult</v>
      </c>
      <c r="S1986" cm="1">
        <f t="array" ref="S1986">_xlfn.IFS(Q1986 ="Fortnightly",14,Q1986="Weekly",7,Q1986="Monthly",30,Q1986="Quarterly",90,Q1986="Bi-Weekly",14,Q1986="Annually",365,Q1986="Every 3 Months",90,TRUE,"NOT FOUND")</f>
        <v>14</v>
      </c>
    </row>
    <row r="1987" spans="1:19" x14ac:dyDescent="0.35">
      <c r="A1987">
        <v>1986</v>
      </c>
      <c r="B1987">
        <v>23</v>
      </c>
      <c r="C1987" t="s">
        <v>7</v>
      </c>
      <c r="D1987" t="s">
        <v>131</v>
      </c>
      <c r="E1987" t="s">
        <v>55</v>
      </c>
      <c r="F1987">
        <v>97</v>
      </c>
      <c r="G1987" t="s">
        <v>110</v>
      </c>
      <c r="H1987" t="s">
        <v>32</v>
      </c>
      <c r="I1987" t="s">
        <v>68</v>
      </c>
      <c r="J1987" t="s">
        <v>25</v>
      </c>
      <c r="K1987">
        <v>3.9</v>
      </c>
      <c r="L1987" t="s">
        <v>140</v>
      </c>
      <c r="M1987" t="s">
        <v>58</v>
      </c>
      <c r="N1987" t="s">
        <v>140</v>
      </c>
      <c r="O1987">
        <v>6</v>
      </c>
      <c r="P1987" t="s">
        <v>27</v>
      </c>
      <c r="Q1987" t="s">
        <v>17</v>
      </c>
      <c r="R1987" t="str" cm="1">
        <f t="array" ref="R1987">_xlfn.IFS(B1987&lt;31,"Young-Adult",B1987&lt;41,"Adult",B1987&lt;61,"Middle-aged",B1987&gt;=61,"Senior")</f>
        <v>Young-Adult</v>
      </c>
      <c r="S1987" cm="1">
        <f t="array" ref="S1987">_xlfn.IFS(Q1987 ="Fortnightly",14,Q1987="Weekly",7,Q1987="Monthly",30,Q1987="Quarterly",90,Q1987="Bi-Weekly",14,Q1987="Annually",365,Q1987="Every 3 Months",90,TRUE,"NOT FOUND")</f>
        <v>14</v>
      </c>
    </row>
    <row r="1988" spans="1:19" x14ac:dyDescent="0.35">
      <c r="A1988">
        <v>1987</v>
      </c>
      <c r="B1988">
        <v>62</v>
      </c>
      <c r="C1988" t="s">
        <v>7</v>
      </c>
      <c r="D1988" t="s">
        <v>50</v>
      </c>
      <c r="E1988" t="s">
        <v>51</v>
      </c>
      <c r="F1988">
        <v>48</v>
      </c>
      <c r="G1988" t="s">
        <v>60</v>
      </c>
      <c r="H1988" t="s">
        <v>11</v>
      </c>
      <c r="I1988" t="s">
        <v>84</v>
      </c>
      <c r="J1988" t="s">
        <v>41</v>
      </c>
      <c r="K1988">
        <v>3.4</v>
      </c>
      <c r="L1988" t="s">
        <v>140</v>
      </c>
      <c r="M1988" t="s">
        <v>58</v>
      </c>
      <c r="N1988" t="s">
        <v>140</v>
      </c>
      <c r="O1988">
        <v>14</v>
      </c>
      <c r="P1988" t="s">
        <v>16</v>
      </c>
      <c r="Q1988" t="s">
        <v>46</v>
      </c>
      <c r="R1988" t="str" cm="1">
        <f t="array" ref="R1988">_xlfn.IFS(B1988&lt;31,"Young-Adult",B1988&lt;41,"Adult",B1988&lt;61,"Middle-aged",B1988&gt;=61,"Senior")</f>
        <v>Senior</v>
      </c>
      <c r="S1988" cm="1">
        <f t="array" ref="S1988">_xlfn.IFS(Q1988 ="Fortnightly",14,Q1988="Weekly",7,Q1988="Monthly",30,Q1988="Quarterly",90,Q1988="Bi-Weekly",14,Q1988="Annually",365,Q1988="Every 3 Months",90,TRUE,"NOT FOUND")</f>
        <v>90</v>
      </c>
    </row>
    <row r="1989" spans="1:19" x14ac:dyDescent="0.35">
      <c r="A1989">
        <v>1988</v>
      </c>
      <c r="B1989">
        <v>69</v>
      </c>
      <c r="C1989" t="s">
        <v>7</v>
      </c>
      <c r="D1989" t="s">
        <v>121</v>
      </c>
      <c r="E1989" t="s">
        <v>55</v>
      </c>
      <c r="F1989">
        <v>23</v>
      </c>
      <c r="G1989" t="s">
        <v>117</v>
      </c>
      <c r="H1989" t="s">
        <v>80</v>
      </c>
      <c r="I1989" t="s">
        <v>40</v>
      </c>
      <c r="J1989" t="s">
        <v>41</v>
      </c>
      <c r="K1989">
        <v>3.4</v>
      </c>
      <c r="L1989" t="s">
        <v>140</v>
      </c>
      <c r="M1989" t="s">
        <v>15</v>
      </c>
      <c r="N1989" t="s">
        <v>140</v>
      </c>
      <c r="O1989">
        <v>4</v>
      </c>
      <c r="P1989" t="s">
        <v>21</v>
      </c>
      <c r="Q1989" t="s">
        <v>46</v>
      </c>
      <c r="R1989" t="str" cm="1">
        <f t="array" ref="R1989">_xlfn.IFS(B1989&lt;31,"Young-Adult",B1989&lt;41,"Adult",B1989&lt;61,"Middle-aged",B1989&gt;=61,"Senior")</f>
        <v>Senior</v>
      </c>
      <c r="S1989" cm="1">
        <f t="array" ref="S1989">_xlfn.IFS(Q1989 ="Fortnightly",14,Q1989="Weekly",7,Q1989="Monthly",30,Q1989="Quarterly",90,Q1989="Bi-Weekly",14,Q1989="Annually",365,Q1989="Every 3 Months",90,TRUE,"NOT FOUND")</f>
        <v>90</v>
      </c>
    </row>
    <row r="1990" spans="1:19" x14ac:dyDescent="0.35">
      <c r="A1990">
        <v>1989</v>
      </c>
      <c r="B1990">
        <v>46</v>
      </c>
      <c r="C1990" t="s">
        <v>7</v>
      </c>
      <c r="D1990" t="s">
        <v>83</v>
      </c>
      <c r="E1990" t="s">
        <v>9</v>
      </c>
      <c r="F1990">
        <v>79</v>
      </c>
      <c r="G1990" t="s">
        <v>129</v>
      </c>
      <c r="H1990" t="s">
        <v>32</v>
      </c>
      <c r="I1990" t="s">
        <v>68</v>
      </c>
      <c r="J1990" t="s">
        <v>13</v>
      </c>
      <c r="K1990">
        <v>3.9</v>
      </c>
      <c r="L1990" t="s">
        <v>140</v>
      </c>
      <c r="M1990" t="s">
        <v>26</v>
      </c>
      <c r="N1990" t="s">
        <v>140</v>
      </c>
      <c r="O1990">
        <v>26</v>
      </c>
      <c r="P1990" t="s">
        <v>63</v>
      </c>
      <c r="Q1990" t="s">
        <v>28</v>
      </c>
      <c r="R1990" t="str" cm="1">
        <f t="array" ref="R1990">_xlfn.IFS(B1990&lt;31,"Young-Adult",B1990&lt;41,"Adult",B1990&lt;61,"Middle-aged",B1990&gt;=61,"Senior")</f>
        <v>Middle-aged</v>
      </c>
      <c r="S1990" cm="1">
        <f t="array" ref="S1990">_xlfn.IFS(Q1990 ="Fortnightly",14,Q1990="Weekly",7,Q1990="Monthly",30,Q1990="Quarterly",90,Q1990="Bi-Weekly",14,Q1990="Annually",365,Q1990="Every 3 Months",90,TRUE,"NOT FOUND")</f>
        <v>7</v>
      </c>
    </row>
    <row r="1991" spans="1:19" x14ac:dyDescent="0.35">
      <c r="A1991">
        <v>1990</v>
      </c>
      <c r="B1991">
        <v>35</v>
      </c>
      <c r="C1991" t="s">
        <v>7</v>
      </c>
      <c r="D1991" t="s">
        <v>94</v>
      </c>
      <c r="E1991" t="s">
        <v>55</v>
      </c>
      <c r="F1991">
        <v>42</v>
      </c>
      <c r="G1991" t="s">
        <v>116</v>
      </c>
      <c r="H1991" t="s">
        <v>24</v>
      </c>
      <c r="I1991" t="s">
        <v>49</v>
      </c>
      <c r="J1991" t="s">
        <v>25</v>
      </c>
      <c r="K1991">
        <v>4</v>
      </c>
      <c r="L1991" t="s">
        <v>140</v>
      </c>
      <c r="M1991" t="s">
        <v>15</v>
      </c>
      <c r="N1991" t="s">
        <v>140</v>
      </c>
      <c r="O1991">
        <v>39</v>
      </c>
      <c r="P1991" t="s">
        <v>34</v>
      </c>
      <c r="Q1991" t="s">
        <v>64</v>
      </c>
      <c r="R1991" t="str" cm="1">
        <f t="array" ref="R1991">_xlfn.IFS(B1991&lt;31,"Young-Adult",B1991&lt;41,"Adult",B1991&lt;61,"Middle-aged",B1991&gt;=61,"Senior")</f>
        <v>Adult</v>
      </c>
      <c r="S1991" cm="1">
        <f t="array" ref="S1991">_xlfn.IFS(Q1991 ="Fortnightly",14,Q1991="Weekly",7,Q1991="Monthly",30,Q1991="Quarterly",90,Q1991="Bi-Weekly",14,Q1991="Annually",365,Q1991="Every 3 Months",90,TRUE,"NOT FOUND")</f>
        <v>14</v>
      </c>
    </row>
    <row r="1992" spans="1:19" x14ac:dyDescent="0.35">
      <c r="A1992">
        <v>1991</v>
      </c>
      <c r="B1992">
        <v>32</v>
      </c>
      <c r="C1992" t="s">
        <v>7</v>
      </c>
      <c r="D1992" t="s">
        <v>120</v>
      </c>
      <c r="E1992" t="s">
        <v>55</v>
      </c>
      <c r="F1992">
        <v>95</v>
      </c>
      <c r="G1992" t="s">
        <v>127</v>
      </c>
      <c r="H1992" t="s">
        <v>11</v>
      </c>
      <c r="I1992" t="s">
        <v>40</v>
      </c>
      <c r="J1992" t="s">
        <v>25</v>
      </c>
      <c r="K1992">
        <v>3.4</v>
      </c>
      <c r="L1992" t="s">
        <v>140</v>
      </c>
      <c r="M1992" t="s">
        <v>58</v>
      </c>
      <c r="N1992" t="s">
        <v>140</v>
      </c>
      <c r="O1992">
        <v>15</v>
      </c>
      <c r="P1992" t="s">
        <v>34</v>
      </c>
      <c r="Q1992" t="s">
        <v>37</v>
      </c>
      <c r="R1992" t="str" cm="1">
        <f t="array" ref="R1992">_xlfn.IFS(B1992&lt;31,"Young-Adult",B1992&lt;41,"Adult",B1992&lt;61,"Middle-aged",B1992&gt;=61,"Senior")</f>
        <v>Adult</v>
      </c>
      <c r="S1992" cm="1">
        <f t="array" ref="S1992">_xlfn.IFS(Q1992 ="Fortnightly",14,Q1992="Weekly",7,Q1992="Monthly",30,Q1992="Quarterly",90,Q1992="Bi-Weekly",14,Q1992="Annually",365,Q1992="Every 3 Months",90,TRUE,"NOT FOUND")</f>
        <v>365</v>
      </c>
    </row>
    <row r="1993" spans="1:19" x14ac:dyDescent="0.35">
      <c r="A1993">
        <v>1992</v>
      </c>
      <c r="B1993">
        <v>46</v>
      </c>
      <c r="C1993" t="s">
        <v>7</v>
      </c>
      <c r="D1993" t="s">
        <v>38</v>
      </c>
      <c r="E1993" t="s">
        <v>30</v>
      </c>
      <c r="F1993">
        <v>29</v>
      </c>
      <c r="G1993" t="s">
        <v>56</v>
      </c>
      <c r="H1993" t="s">
        <v>32</v>
      </c>
      <c r="I1993" t="s">
        <v>98</v>
      </c>
      <c r="J1993" t="s">
        <v>41</v>
      </c>
      <c r="K1993">
        <v>3.7</v>
      </c>
      <c r="L1993" t="s">
        <v>140</v>
      </c>
      <c r="M1993" t="s">
        <v>33</v>
      </c>
      <c r="N1993" t="s">
        <v>140</v>
      </c>
      <c r="O1993">
        <v>1</v>
      </c>
      <c r="P1993" t="s">
        <v>16</v>
      </c>
      <c r="Q1993" t="s">
        <v>85</v>
      </c>
      <c r="R1993" t="str" cm="1">
        <f t="array" ref="R1993">_xlfn.IFS(B1993&lt;31,"Young-Adult",B1993&lt;41,"Adult",B1993&lt;61,"Middle-aged",B1993&gt;=61,"Senior")</f>
        <v>Middle-aged</v>
      </c>
      <c r="S1993" cm="1">
        <f t="array" ref="S1993">_xlfn.IFS(Q1993 ="Fortnightly",14,Q1993="Weekly",7,Q1993="Monthly",30,Q1993="Quarterly",90,Q1993="Bi-Weekly",14,Q1993="Annually",365,Q1993="Every 3 Months",90,TRUE,"NOT FOUND")</f>
        <v>90</v>
      </c>
    </row>
    <row r="1994" spans="1:19" x14ac:dyDescent="0.35">
      <c r="A1994">
        <v>1993</v>
      </c>
      <c r="B1994">
        <v>33</v>
      </c>
      <c r="C1994" t="s">
        <v>7</v>
      </c>
      <c r="D1994" t="s">
        <v>92</v>
      </c>
      <c r="E1994" t="s">
        <v>9</v>
      </c>
      <c r="F1994">
        <v>98</v>
      </c>
      <c r="G1994" t="s">
        <v>115</v>
      </c>
      <c r="H1994" t="s">
        <v>11</v>
      </c>
      <c r="I1994" t="s">
        <v>68</v>
      </c>
      <c r="J1994" t="s">
        <v>13</v>
      </c>
      <c r="K1994">
        <v>4.9000000000000004</v>
      </c>
      <c r="L1994" t="s">
        <v>140</v>
      </c>
      <c r="M1994" t="s">
        <v>58</v>
      </c>
      <c r="N1994" t="s">
        <v>140</v>
      </c>
      <c r="O1994">
        <v>28</v>
      </c>
      <c r="P1994" t="s">
        <v>16</v>
      </c>
      <c r="Q1994" t="s">
        <v>76</v>
      </c>
      <c r="R1994" t="str" cm="1">
        <f t="array" ref="R1994">_xlfn.IFS(B1994&lt;31,"Young-Adult",B1994&lt;41,"Adult",B1994&lt;61,"Middle-aged",B1994&gt;=61,"Senior")</f>
        <v>Adult</v>
      </c>
      <c r="S1994" cm="1">
        <f t="array" ref="S1994">_xlfn.IFS(Q1994 ="Fortnightly",14,Q1994="Weekly",7,Q1994="Monthly",30,Q1994="Quarterly",90,Q1994="Bi-Weekly",14,Q1994="Annually",365,Q1994="Every 3 Months",90,TRUE,"NOT FOUND")</f>
        <v>30</v>
      </c>
    </row>
    <row r="1995" spans="1:19" x14ac:dyDescent="0.35">
      <c r="A1995">
        <v>1994</v>
      </c>
      <c r="B1995">
        <v>32</v>
      </c>
      <c r="C1995" t="s">
        <v>7</v>
      </c>
      <c r="D1995" t="s">
        <v>8</v>
      </c>
      <c r="E1995" t="s">
        <v>9</v>
      </c>
      <c r="F1995">
        <v>96</v>
      </c>
      <c r="G1995" t="s">
        <v>60</v>
      </c>
      <c r="H1995" t="s">
        <v>24</v>
      </c>
      <c r="I1995" t="s">
        <v>61</v>
      </c>
      <c r="J1995" t="s">
        <v>25</v>
      </c>
      <c r="K1995">
        <v>5</v>
      </c>
      <c r="L1995" t="s">
        <v>140</v>
      </c>
      <c r="M1995" t="s">
        <v>15</v>
      </c>
      <c r="N1995" t="s">
        <v>140</v>
      </c>
      <c r="O1995">
        <v>17</v>
      </c>
      <c r="P1995" t="s">
        <v>21</v>
      </c>
      <c r="Q1995" t="s">
        <v>28</v>
      </c>
      <c r="R1995" t="str" cm="1">
        <f t="array" ref="R1995">_xlfn.IFS(B1995&lt;31,"Young-Adult",B1995&lt;41,"Adult",B1995&lt;61,"Middle-aged",B1995&gt;=61,"Senior")</f>
        <v>Adult</v>
      </c>
      <c r="S1995" cm="1">
        <f t="array" ref="S1995">_xlfn.IFS(Q1995 ="Fortnightly",14,Q1995="Weekly",7,Q1995="Monthly",30,Q1995="Quarterly",90,Q1995="Bi-Weekly",14,Q1995="Annually",365,Q1995="Every 3 Months",90,TRUE,"NOT FOUND")</f>
        <v>7</v>
      </c>
    </row>
    <row r="1996" spans="1:19" x14ac:dyDescent="0.35">
      <c r="A1996">
        <v>1995</v>
      </c>
      <c r="B1996">
        <v>33</v>
      </c>
      <c r="C1996" t="s">
        <v>7</v>
      </c>
      <c r="D1996" t="s">
        <v>77</v>
      </c>
      <c r="E1996" t="s">
        <v>55</v>
      </c>
      <c r="F1996">
        <v>66</v>
      </c>
      <c r="G1996" t="s">
        <v>95</v>
      </c>
      <c r="H1996" t="s">
        <v>32</v>
      </c>
      <c r="I1996" t="s">
        <v>98</v>
      </c>
      <c r="J1996" t="s">
        <v>45</v>
      </c>
      <c r="K1996">
        <v>2.9</v>
      </c>
      <c r="L1996" t="s">
        <v>140</v>
      </c>
      <c r="M1996" t="s">
        <v>33</v>
      </c>
      <c r="N1996" t="s">
        <v>140</v>
      </c>
      <c r="O1996">
        <v>24</v>
      </c>
      <c r="P1996" t="s">
        <v>27</v>
      </c>
      <c r="Q1996" t="s">
        <v>28</v>
      </c>
      <c r="R1996" t="str" cm="1">
        <f t="array" ref="R1996">_xlfn.IFS(B1996&lt;31,"Young-Adult",B1996&lt;41,"Adult",B1996&lt;61,"Middle-aged",B1996&gt;=61,"Senior")</f>
        <v>Adult</v>
      </c>
      <c r="S1996" cm="1">
        <f t="array" ref="S1996">_xlfn.IFS(Q1996 ="Fortnightly",14,Q1996="Weekly",7,Q1996="Monthly",30,Q1996="Quarterly",90,Q1996="Bi-Weekly",14,Q1996="Annually",365,Q1996="Every 3 Months",90,TRUE,"NOT FOUND")</f>
        <v>7</v>
      </c>
    </row>
    <row r="1997" spans="1:19" x14ac:dyDescent="0.35">
      <c r="A1997">
        <v>1996</v>
      </c>
      <c r="B1997">
        <v>67</v>
      </c>
      <c r="C1997" t="s">
        <v>7</v>
      </c>
      <c r="D1997" t="s">
        <v>125</v>
      </c>
      <c r="E1997" t="s">
        <v>30</v>
      </c>
      <c r="F1997">
        <v>80</v>
      </c>
      <c r="G1997" t="s">
        <v>56</v>
      </c>
      <c r="H1997" t="s">
        <v>24</v>
      </c>
      <c r="I1997" t="s">
        <v>73</v>
      </c>
      <c r="J1997" t="s">
        <v>25</v>
      </c>
      <c r="K1997">
        <v>3</v>
      </c>
      <c r="L1997" t="s">
        <v>140</v>
      </c>
      <c r="M1997" t="s">
        <v>42</v>
      </c>
      <c r="N1997" t="s">
        <v>140</v>
      </c>
      <c r="O1997">
        <v>29</v>
      </c>
      <c r="P1997" t="s">
        <v>74</v>
      </c>
      <c r="Q1997" t="s">
        <v>46</v>
      </c>
      <c r="R1997" t="str" cm="1">
        <f t="array" ref="R1997">_xlfn.IFS(B1997&lt;31,"Young-Adult",B1997&lt;41,"Adult",B1997&lt;61,"Middle-aged",B1997&gt;=61,"Senior")</f>
        <v>Senior</v>
      </c>
      <c r="S1997" cm="1">
        <f t="array" ref="S1997">_xlfn.IFS(Q1997 ="Fortnightly",14,Q1997="Weekly",7,Q1997="Monthly",30,Q1997="Quarterly",90,Q1997="Bi-Weekly",14,Q1997="Annually",365,Q1997="Every 3 Months",90,TRUE,"NOT FOUND")</f>
        <v>90</v>
      </c>
    </row>
    <row r="1998" spans="1:19" x14ac:dyDescent="0.35">
      <c r="A1998">
        <v>1997</v>
      </c>
      <c r="B1998">
        <v>67</v>
      </c>
      <c r="C1998" t="s">
        <v>7</v>
      </c>
      <c r="D1998" t="s">
        <v>38</v>
      </c>
      <c r="E1998" t="s">
        <v>30</v>
      </c>
      <c r="F1998">
        <v>27</v>
      </c>
      <c r="G1998" t="s">
        <v>135</v>
      </c>
      <c r="H1998" t="s">
        <v>11</v>
      </c>
      <c r="I1998" t="s">
        <v>114</v>
      </c>
      <c r="J1998" t="s">
        <v>41</v>
      </c>
      <c r="K1998">
        <v>3.3</v>
      </c>
      <c r="L1998" t="s">
        <v>140</v>
      </c>
      <c r="M1998" t="s">
        <v>33</v>
      </c>
      <c r="N1998" t="s">
        <v>140</v>
      </c>
      <c r="O1998">
        <v>18</v>
      </c>
      <c r="P1998" t="s">
        <v>21</v>
      </c>
      <c r="Q1998" t="s">
        <v>85</v>
      </c>
      <c r="R1998" t="str" cm="1">
        <f t="array" ref="R1998">_xlfn.IFS(B1998&lt;31,"Young-Adult",B1998&lt;41,"Adult",B1998&lt;61,"Middle-aged",B1998&gt;=61,"Senior")</f>
        <v>Senior</v>
      </c>
      <c r="S1998" cm="1">
        <f t="array" ref="S1998">_xlfn.IFS(Q1998 ="Fortnightly",14,Q1998="Weekly",7,Q1998="Monthly",30,Q1998="Quarterly",90,Q1998="Bi-Weekly",14,Q1998="Annually",365,Q1998="Every 3 Months",90,TRUE,"NOT FOUND")</f>
        <v>90</v>
      </c>
    </row>
    <row r="1999" spans="1:19" x14ac:dyDescent="0.35">
      <c r="A1999">
        <v>1998</v>
      </c>
      <c r="B1999">
        <v>42</v>
      </c>
      <c r="C1999" t="s">
        <v>7</v>
      </c>
      <c r="D1999" t="s">
        <v>120</v>
      </c>
      <c r="E1999" t="s">
        <v>55</v>
      </c>
      <c r="F1999">
        <v>25</v>
      </c>
      <c r="G1999" t="s">
        <v>127</v>
      </c>
      <c r="H1999" t="s">
        <v>32</v>
      </c>
      <c r="I1999" t="s">
        <v>61</v>
      </c>
      <c r="J1999" t="s">
        <v>45</v>
      </c>
      <c r="K1999">
        <v>4.7</v>
      </c>
      <c r="L1999" t="s">
        <v>140</v>
      </c>
      <c r="M1999" t="s">
        <v>15</v>
      </c>
      <c r="N1999" t="s">
        <v>140</v>
      </c>
      <c r="O1999">
        <v>10</v>
      </c>
      <c r="P1999" t="s">
        <v>74</v>
      </c>
      <c r="Q1999" t="s">
        <v>64</v>
      </c>
      <c r="R1999" t="str" cm="1">
        <f t="array" ref="R1999">_xlfn.IFS(B1999&lt;31,"Young-Adult",B1999&lt;41,"Adult",B1999&lt;61,"Middle-aged",B1999&gt;=61,"Senior")</f>
        <v>Middle-aged</v>
      </c>
      <c r="S1999" cm="1">
        <f t="array" ref="S1999">_xlfn.IFS(Q1999 ="Fortnightly",14,Q1999="Weekly",7,Q1999="Monthly",30,Q1999="Quarterly",90,Q1999="Bi-Weekly",14,Q1999="Annually",365,Q1999="Every 3 Months",90,TRUE,"NOT FOUND")</f>
        <v>14</v>
      </c>
    </row>
    <row r="2000" spans="1:19" x14ac:dyDescent="0.35">
      <c r="A2000">
        <v>1999</v>
      </c>
      <c r="B2000">
        <v>20</v>
      </c>
      <c r="C2000" t="s">
        <v>7</v>
      </c>
      <c r="D2000" t="s">
        <v>83</v>
      </c>
      <c r="E2000" t="s">
        <v>9</v>
      </c>
      <c r="F2000">
        <v>45</v>
      </c>
      <c r="G2000" t="s">
        <v>117</v>
      </c>
      <c r="H2000" t="s">
        <v>32</v>
      </c>
      <c r="I2000" t="s">
        <v>109</v>
      </c>
      <c r="J2000" t="s">
        <v>45</v>
      </c>
      <c r="K2000">
        <v>3.4</v>
      </c>
      <c r="L2000" t="s">
        <v>140</v>
      </c>
      <c r="M2000" t="s">
        <v>58</v>
      </c>
      <c r="N2000" t="s">
        <v>140</v>
      </c>
      <c r="O2000">
        <v>19</v>
      </c>
      <c r="P2000" t="s">
        <v>21</v>
      </c>
      <c r="Q2000" t="s">
        <v>46</v>
      </c>
      <c r="R2000" t="str" cm="1">
        <f t="array" ref="R2000">_xlfn.IFS(B2000&lt;31,"Young-Adult",B2000&lt;41,"Adult",B2000&lt;61,"Middle-aged",B2000&gt;=61,"Senior")</f>
        <v>Young-Adult</v>
      </c>
      <c r="S2000" cm="1">
        <f t="array" ref="S2000">_xlfn.IFS(Q2000 ="Fortnightly",14,Q2000="Weekly",7,Q2000="Monthly",30,Q2000="Quarterly",90,Q2000="Bi-Weekly",14,Q2000="Annually",365,Q2000="Every 3 Months",90,TRUE,"NOT FOUND")</f>
        <v>90</v>
      </c>
    </row>
    <row r="2001" spans="1:19" x14ac:dyDescent="0.35">
      <c r="A2001">
        <v>2000</v>
      </c>
      <c r="B2001">
        <v>39</v>
      </c>
      <c r="C2001" t="s">
        <v>7</v>
      </c>
      <c r="D2001" t="s">
        <v>113</v>
      </c>
      <c r="E2001" t="s">
        <v>9</v>
      </c>
      <c r="F2001">
        <v>89</v>
      </c>
      <c r="G2001" t="s">
        <v>110</v>
      </c>
      <c r="H2001" t="s">
        <v>11</v>
      </c>
      <c r="I2001" t="s">
        <v>114</v>
      </c>
      <c r="J2001" t="s">
        <v>13</v>
      </c>
      <c r="K2001">
        <v>4.5999999999999996</v>
      </c>
      <c r="L2001" t="s">
        <v>140</v>
      </c>
      <c r="M2001" t="s">
        <v>58</v>
      </c>
      <c r="N2001" t="s">
        <v>140</v>
      </c>
      <c r="O2001">
        <v>26</v>
      </c>
      <c r="P2001" t="s">
        <v>74</v>
      </c>
      <c r="Q2001" t="s">
        <v>76</v>
      </c>
      <c r="R2001" t="str" cm="1">
        <f t="array" ref="R2001">_xlfn.IFS(B2001&lt;31,"Young-Adult",B2001&lt;41,"Adult",B2001&lt;61,"Middle-aged",B2001&gt;=61,"Senior")</f>
        <v>Adult</v>
      </c>
      <c r="S2001" cm="1">
        <f t="array" ref="S2001">_xlfn.IFS(Q2001 ="Fortnightly",14,Q2001="Weekly",7,Q2001="Monthly",30,Q2001="Quarterly",90,Q2001="Bi-Weekly",14,Q2001="Annually",365,Q2001="Every 3 Months",90,TRUE,"NOT FOUND")</f>
        <v>30</v>
      </c>
    </row>
    <row r="2002" spans="1:19" x14ac:dyDescent="0.35">
      <c r="A2002">
        <v>2001</v>
      </c>
      <c r="B2002">
        <v>26</v>
      </c>
      <c r="C2002" t="s">
        <v>7</v>
      </c>
      <c r="D2002" t="s">
        <v>121</v>
      </c>
      <c r="E2002" t="s">
        <v>55</v>
      </c>
      <c r="F2002">
        <v>27</v>
      </c>
      <c r="G2002" t="s">
        <v>87</v>
      </c>
      <c r="H2002" t="s">
        <v>32</v>
      </c>
      <c r="I2002" t="s">
        <v>81</v>
      </c>
      <c r="J2002" t="s">
        <v>13</v>
      </c>
      <c r="K2002">
        <v>3.6</v>
      </c>
      <c r="L2002" t="s">
        <v>140</v>
      </c>
      <c r="M2002" t="s">
        <v>58</v>
      </c>
      <c r="N2002" t="s">
        <v>140</v>
      </c>
      <c r="O2002">
        <v>25</v>
      </c>
      <c r="P2002" t="s">
        <v>21</v>
      </c>
      <c r="Q2002" t="s">
        <v>64</v>
      </c>
      <c r="R2002" t="str" cm="1">
        <f t="array" ref="R2002">_xlfn.IFS(B2002&lt;31,"Young-Adult",B2002&lt;41,"Adult",B2002&lt;61,"Middle-aged",B2002&gt;=61,"Senior")</f>
        <v>Young-Adult</v>
      </c>
      <c r="S2002" cm="1">
        <f t="array" ref="S2002">_xlfn.IFS(Q2002 ="Fortnightly",14,Q2002="Weekly",7,Q2002="Monthly",30,Q2002="Quarterly",90,Q2002="Bi-Weekly",14,Q2002="Annually",365,Q2002="Every 3 Months",90,TRUE,"NOT FOUND")</f>
        <v>14</v>
      </c>
    </row>
    <row r="2003" spans="1:19" x14ac:dyDescent="0.35">
      <c r="A2003">
        <v>2002</v>
      </c>
      <c r="B2003">
        <v>51</v>
      </c>
      <c r="C2003" t="s">
        <v>7</v>
      </c>
      <c r="D2003" t="s">
        <v>77</v>
      </c>
      <c r="E2003" t="s">
        <v>55</v>
      </c>
      <c r="F2003">
        <v>90</v>
      </c>
      <c r="G2003" t="s">
        <v>39</v>
      </c>
      <c r="H2003" t="s">
        <v>24</v>
      </c>
      <c r="I2003" t="s">
        <v>61</v>
      </c>
      <c r="J2003" t="s">
        <v>13</v>
      </c>
      <c r="K2003">
        <v>2.6</v>
      </c>
      <c r="L2003" t="s">
        <v>140</v>
      </c>
      <c r="M2003" t="s">
        <v>26</v>
      </c>
      <c r="N2003" t="s">
        <v>140</v>
      </c>
      <c r="O2003">
        <v>2</v>
      </c>
      <c r="P2003" t="s">
        <v>74</v>
      </c>
      <c r="Q2003" t="s">
        <v>17</v>
      </c>
      <c r="R2003" t="str" cm="1">
        <f t="array" ref="R2003">_xlfn.IFS(B2003&lt;31,"Young-Adult",B2003&lt;41,"Adult",B2003&lt;61,"Middle-aged",B2003&gt;=61,"Senior")</f>
        <v>Middle-aged</v>
      </c>
      <c r="S2003" cm="1">
        <f t="array" ref="S2003">_xlfn.IFS(Q2003 ="Fortnightly",14,Q2003="Weekly",7,Q2003="Monthly",30,Q2003="Quarterly",90,Q2003="Bi-Weekly",14,Q2003="Annually",365,Q2003="Every 3 Months",90,TRUE,"NOT FOUND")</f>
        <v>14</v>
      </c>
    </row>
    <row r="2004" spans="1:19" x14ac:dyDescent="0.35">
      <c r="A2004">
        <v>2003</v>
      </c>
      <c r="B2004">
        <v>31</v>
      </c>
      <c r="C2004" t="s">
        <v>7</v>
      </c>
      <c r="D2004" t="s">
        <v>43</v>
      </c>
      <c r="E2004" t="s">
        <v>9</v>
      </c>
      <c r="F2004">
        <v>65</v>
      </c>
      <c r="G2004" t="s">
        <v>72</v>
      </c>
      <c r="H2004" t="s">
        <v>32</v>
      </c>
      <c r="I2004" t="s">
        <v>96</v>
      </c>
      <c r="J2004" t="s">
        <v>41</v>
      </c>
      <c r="K2004">
        <v>2.7</v>
      </c>
      <c r="L2004" t="s">
        <v>140</v>
      </c>
      <c r="M2004" t="s">
        <v>15</v>
      </c>
      <c r="N2004" t="s">
        <v>140</v>
      </c>
      <c r="O2004">
        <v>19</v>
      </c>
      <c r="P2004" t="s">
        <v>34</v>
      </c>
      <c r="Q2004" t="s">
        <v>85</v>
      </c>
      <c r="R2004" t="str" cm="1">
        <f t="array" ref="R2004">_xlfn.IFS(B2004&lt;31,"Young-Adult",B2004&lt;41,"Adult",B2004&lt;61,"Middle-aged",B2004&gt;=61,"Senior")</f>
        <v>Adult</v>
      </c>
      <c r="S2004" cm="1">
        <f t="array" ref="S2004">_xlfn.IFS(Q2004 ="Fortnightly",14,Q2004="Weekly",7,Q2004="Monthly",30,Q2004="Quarterly",90,Q2004="Bi-Weekly",14,Q2004="Annually",365,Q2004="Every 3 Months",90,TRUE,"NOT FOUND")</f>
        <v>90</v>
      </c>
    </row>
    <row r="2005" spans="1:19" x14ac:dyDescent="0.35">
      <c r="A2005">
        <v>2004</v>
      </c>
      <c r="B2005">
        <v>68</v>
      </c>
      <c r="C2005" t="s">
        <v>7</v>
      </c>
      <c r="D2005" t="s">
        <v>38</v>
      </c>
      <c r="E2005" t="s">
        <v>30</v>
      </c>
      <c r="F2005">
        <v>72</v>
      </c>
      <c r="G2005" t="s">
        <v>19</v>
      </c>
      <c r="H2005" t="s">
        <v>24</v>
      </c>
      <c r="I2005" t="s">
        <v>132</v>
      </c>
      <c r="J2005" t="s">
        <v>25</v>
      </c>
      <c r="K2005">
        <v>3.1</v>
      </c>
      <c r="L2005" t="s">
        <v>140</v>
      </c>
      <c r="M2005" t="s">
        <v>15</v>
      </c>
      <c r="N2005" t="s">
        <v>140</v>
      </c>
      <c r="O2005">
        <v>32</v>
      </c>
      <c r="P2005" t="s">
        <v>21</v>
      </c>
      <c r="Q2005" t="s">
        <v>46</v>
      </c>
      <c r="R2005" t="str" cm="1">
        <f t="array" ref="R2005">_xlfn.IFS(B2005&lt;31,"Young-Adult",B2005&lt;41,"Adult",B2005&lt;61,"Middle-aged",B2005&gt;=61,"Senior")</f>
        <v>Senior</v>
      </c>
      <c r="S2005" cm="1">
        <f t="array" ref="S2005">_xlfn.IFS(Q2005 ="Fortnightly",14,Q2005="Weekly",7,Q2005="Monthly",30,Q2005="Quarterly",90,Q2005="Bi-Weekly",14,Q2005="Annually",365,Q2005="Every 3 Months",90,TRUE,"NOT FOUND")</f>
        <v>90</v>
      </c>
    </row>
    <row r="2006" spans="1:19" x14ac:dyDescent="0.35">
      <c r="A2006">
        <v>2005</v>
      </c>
      <c r="B2006">
        <v>44</v>
      </c>
      <c r="C2006" t="s">
        <v>7</v>
      </c>
      <c r="D2006" t="s">
        <v>59</v>
      </c>
      <c r="E2006" t="s">
        <v>30</v>
      </c>
      <c r="F2006">
        <v>70</v>
      </c>
      <c r="G2006" t="s">
        <v>130</v>
      </c>
      <c r="H2006" t="s">
        <v>11</v>
      </c>
      <c r="I2006" t="s">
        <v>132</v>
      </c>
      <c r="J2006" t="s">
        <v>45</v>
      </c>
      <c r="K2006">
        <v>3.2</v>
      </c>
      <c r="L2006" t="s">
        <v>140</v>
      </c>
      <c r="M2006" t="s">
        <v>58</v>
      </c>
      <c r="N2006" t="s">
        <v>140</v>
      </c>
      <c r="O2006">
        <v>13</v>
      </c>
      <c r="P2006" t="s">
        <v>21</v>
      </c>
      <c r="Q2006" t="s">
        <v>64</v>
      </c>
      <c r="R2006" t="str" cm="1">
        <f t="array" ref="R2006">_xlfn.IFS(B2006&lt;31,"Young-Adult",B2006&lt;41,"Adult",B2006&lt;61,"Middle-aged",B2006&gt;=61,"Senior")</f>
        <v>Middle-aged</v>
      </c>
      <c r="S2006" cm="1">
        <f t="array" ref="S2006">_xlfn.IFS(Q2006 ="Fortnightly",14,Q2006="Weekly",7,Q2006="Monthly",30,Q2006="Quarterly",90,Q2006="Bi-Weekly",14,Q2006="Annually",365,Q2006="Every 3 Months",90,TRUE,"NOT FOUND")</f>
        <v>14</v>
      </c>
    </row>
    <row r="2007" spans="1:19" x14ac:dyDescent="0.35">
      <c r="A2007">
        <v>2006</v>
      </c>
      <c r="B2007">
        <v>18</v>
      </c>
      <c r="C2007" t="s">
        <v>7</v>
      </c>
      <c r="D2007" t="s">
        <v>29</v>
      </c>
      <c r="E2007" t="s">
        <v>30</v>
      </c>
      <c r="F2007">
        <v>82</v>
      </c>
      <c r="G2007" t="s">
        <v>110</v>
      </c>
      <c r="H2007" t="s">
        <v>32</v>
      </c>
      <c r="I2007" t="s">
        <v>97</v>
      </c>
      <c r="J2007" t="s">
        <v>13</v>
      </c>
      <c r="K2007">
        <v>3.4</v>
      </c>
      <c r="L2007" t="s">
        <v>140</v>
      </c>
      <c r="M2007" t="s">
        <v>62</v>
      </c>
      <c r="N2007" t="s">
        <v>140</v>
      </c>
      <c r="O2007">
        <v>30</v>
      </c>
      <c r="P2007" t="s">
        <v>34</v>
      </c>
      <c r="Q2007" t="s">
        <v>17</v>
      </c>
      <c r="R2007" t="str" cm="1">
        <f t="array" ref="R2007">_xlfn.IFS(B2007&lt;31,"Young-Adult",B2007&lt;41,"Adult",B2007&lt;61,"Middle-aged",B2007&gt;=61,"Senior")</f>
        <v>Young-Adult</v>
      </c>
      <c r="S2007" cm="1">
        <f t="array" ref="S2007">_xlfn.IFS(Q2007 ="Fortnightly",14,Q2007="Weekly",7,Q2007="Monthly",30,Q2007="Quarterly",90,Q2007="Bi-Weekly",14,Q2007="Annually",365,Q2007="Every 3 Months",90,TRUE,"NOT FOUND")</f>
        <v>14</v>
      </c>
    </row>
    <row r="2008" spans="1:19" x14ac:dyDescent="0.35">
      <c r="A2008">
        <v>2007</v>
      </c>
      <c r="B2008">
        <v>58</v>
      </c>
      <c r="C2008" t="s">
        <v>7</v>
      </c>
      <c r="D2008" t="s">
        <v>107</v>
      </c>
      <c r="E2008" t="s">
        <v>55</v>
      </c>
      <c r="F2008">
        <v>97</v>
      </c>
      <c r="G2008" t="s">
        <v>118</v>
      </c>
      <c r="H2008" t="s">
        <v>24</v>
      </c>
      <c r="I2008" t="s">
        <v>57</v>
      </c>
      <c r="J2008" t="s">
        <v>45</v>
      </c>
      <c r="K2008">
        <v>4.4000000000000004</v>
      </c>
      <c r="L2008" t="s">
        <v>140</v>
      </c>
      <c r="M2008" t="s">
        <v>15</v>
      </c>
      <c r="N2008" t="s">
        <v>140</v>
      </c>
      <c r="O2008">
        <v>2</v>
      </c>
      <c r="P2008" t="s">
        <v>27</v>
      </c>
      <c r="Q2008" t="s">
        <v>37</v>
      </c>
      <c r="R2008" t="str" cm="1">
        <f t="array" ref="R2008">_xlfn.IFS(B2008&lt;31,"Young-Adult",B2008&lt;41,"Adult",B2008&lt;61,"Middle-aged",B2008&gt;=61,"Senior")</f>
        <v>Middle-aged</v>
      </c>
      <c r="S2008" cm="1">
        <f t="array" ref="S2008">_xlfn.IFS(Q2008 ="Fortnightly",14,Q2008="Weekly",7,Q2008="Monthly",30,Q2008="Quarterly",90,Q2008="Bi-Weekly",14,Q2008="Annually",365,Q2008="Every 3 Months",90,TRUE,"NOT FOUND")</f>
        <v>365</v>
      </c>
    </row>
    <row r="2009" spans="1:19" x14ac:dyDescent="0.35">
      <c r="A2009">
        <v>2008</v>
      </c>
      <c r="B2009">
        <v>26</v>
      </c>
      <c r="C2009" t="s">
        <v>7</v>
      </c>
      <c r="D2009" t="s">
        <v>43</v>
      </c>
      <c r="E2009" t="s">
        <v>9</v>
      </c>
      <c r="F2009">
        <v>25</v>
      </c>
      <c r="G2009" t="s">
        <v>129</v>
      </c>
      <c r="H2009" t="s">
        <v>32</v>
      </c>
      <c r="I2009" t="s">
        <v>53</v>
      </c>
      <c r="J2009" t="s">
        <v>41</v>
      </c>
      <c r="K2009">
        <v>3.2</v>
      </c>
      <c r="L2009" t="s">
        <v>140</v>
      </c>
      <c r="M2009" t="s">
        <v>58</v>
      </c>
      <c r="N2009" t="s">
        <v>140</v>
      </c>
      <c r="O2009">
        <v>8</v>
      </c>
      <c r="P2009" t="s">
        <v>34</v>
      </c>
      <c r="Q2009" t="s">
        <v>46</v>
      </c>
      <c r="R2009" t="str" cm="1">
        <f t="array" ref="R2009">_xlfn.IFS(B2009&lt;31,"Young-Adult",B2009&lt;41,"Adult",B2009&lt;61,"Middle-aged",B2009&gt;=61,"Senior")</f>
        <v>Young-Adult</v>
      </c>
      <c r="S2009" cm="1">
        <f t="array" ref="S2009">_xlfn.IFS(Q2009 ="Fortnightly",14,Q2009="Weekly",7,Q2009="Monthly",30,Q2009="Quarterly",90,Q2009="Bi-Weekly",14,Q2009="Annually",365,Q2009="Every 3 Months",90,TRUE,"NOT FOUND")</f>
        <v>90</v>
      </c>
    </row>
    <row r="2010" spans="1:19" x14ac:dyDescent="0.35">
      <c r="A2010">
        <v>2009</v>
      </c>
      <c r="B2010">
        <v>57</v>
      </c>
      <c r="C2010" t="s">
        <v>7</v>
      </c>
      <c r="D2010" t="s">
        <v>75</v>
      </c>
      <c r="E2010" t="s">
        <v>9</v>
      </c>
      <c r="F2010">
        <v>48</v>
      </c>
      <c r="G2010" t="s">
        <v>91</v>
      </c>
      <c r="H2010" t="s">
        <v>32</v>
      </c>
      <c r="I2010" t="s">
        <v>12</v>
      </c>
      <c r="J2010" t="s">
        <v>25</v>
      </c>
      <c r="K2010">
        <v>2.5</v>
      </c>
      <c r="L2010" t="s">
        <v>140</v>
      </c>
      <c r="M2010" t="s">
        <v>26</v>
      </c>
      <c r="N2010" t="s">
        <v>140</v>
      </c>
      <c r="O2010">
        <v>27</v>
      </c>
      <c r="P2010" t="s">
        <v>34</v>
      </c>
      <c r="Q2010" t="s">
        <v>85</v>
      </c>
      <c r="R2010" t="str" cm="1">
        <f t="array" ref="R2010">_xlfn.IFS(B2010&lt;31,"Young-Adult",B2010&lt;41,"Adult",B2010&lt;61,"Middle-aged",B2010&gt;=61,"Senior")</f>
        <v>Middle-aged</v>
      </c>
      <c r="S2010" cm="1">
        <f t="array" ref="S2010">_xlfn.IFS(Q2010 ="Fortnightly",14,Q2010="Weekly",7,Q2010="Monthly",30,Q2010="Quarterly",90,Q2010="Bi-Weekly",14,Q2010="Annually",365,Q2010="Every 3 Months",90,TRUE,"NOT FOUND")</f>
        <v>90</v>
      </c>
    </row>
    <row r="2011" spans="1:19" x14ac:dyDescent="0.35">
      <c r="A2011">
        <v>2010</v>
      </c>
      <c r="B2011">
        <v>37</v>
      </c>
      <c r="C2011" t="s">
        <v>7</v>
      </c>
      <c r="D2011" t="s">
        <v>125</v>
      </c>
      <c r="E2011" t="s">
        <v>30</v>
      </c>
      <c r="F2011">
        <v>99</v>
      </c>
      <c r="G2011" t="s">
        <v>78</v>
      </c>
      <c r="H2011" t="s">
        <v>32</v>
      </c>
      <c r="I2011" t="s">
        <v>114</v>
      </c>
      <c r="J2011" t="s">
        <v>41</v>
      </c>
      <c r="K2011">
        <v>3.8</v>
      </c>
      <c r="L2011" t="s">
        <v>140</v>
      </c>
      <c r="M2011" t="s">
        <v>33</v>
      </c>
      <c r="N2011" t="s">
        <v>140</v>
      </c>
      <c r="O2011">
        <v>26</v>
      </c>
      <c r="P2011" t="s">
        <v>16</v>
      </c>
      <c r="Q2011" t="s">
        <v>64</v>
      </c>
      <c r="R2011" t="str" cm="1">
        <f t="array" ref="R2011">_xlfn.IFS(B2011&lt;31,"Young-Adult",B2011&lt;41,"Adult",B2011&lt;61,"Middle-aged",B2011&gt;=61,"Senior")</f>
        <v>Adult</v>
      </c>
      <c r="S2011" cm="1">
        <f t="array" ref="S2011">_xlfn.IFS(Q2011 ="Fortnightly",14,Q2011="Weekly",7,Q2011="Monthly",30,Q2011="Quarterly",90,Q2011="Bi-Weekly",14,Q2011="Annually",365,Q2011="Every 3 Months",90,TRUE,"NOT FOUND")</f>
        <v>14</v>
      </c>
    </row>
    <row r="2012" spans="1:19" x14ac:dyDescent="0.35">
      <c r="A2012">
        <v>2011</v>
      </c>
      <c r="B2012">
        <v>24</v>
      </c>
      <c r="C2012" t="s">
        <v>7</v>
      </c>
      <c r="D2012" t="s">
        <v>18</v>
      </c>
      <c r="E2012" t="s">
        <v>9</v>
      </c>
      <c r="F2012">
        <v>21</v>
      </c>
      <c r="G2012" t="s">
        <v>93</v>
      </c>
      <c r="H2012" t="s">
        <v>32</v>
      </c>
      <c r="I2012" t="s">
        <v>20</v>
      </c>
      <c r="J2012" t="s">
        <v>41</v>
      </c>
      <c r="K2012">
        <v>4.4000000000000004</v>
      </c>
      <c r="L2012" t="s">
        <v>140</v>
      </c>
      <c r="M2012" t="s">
        <v>58</v>
      </c>
      <c r="N2012" t="s">
        <v>140</v>
      </c>
      <c r="O2012">
        <v>3</v>
      </c>
      <c r="P2012" t="s">
        <v>74</v>
      </c>
      <c r="Q2012" t="s">
        <v>64</v>
      </c>
      <c r="R2012" t="str" cm="1">
        <f t="array" ref="R2012">_xlfn.IFS(B2012&lt;31,"Young-Adult",B2012&lt;41,"Adult",B2012&lt;61,"Middle-aged",B2012&gt;=61,"Senior")</f>
        <v>Young-Adult</v>
      </c>
      <c r="S2012" cm="1">
        <f t="array" ref="S2012">_xlfn.IFS(Q2012 ="Fortnightly",14,Q2012="Weekly",7,Q2012="Monthly",30,Q2012="Quarterly",90,Q2012="Bi-Weekly",14,Q2012="Annually",365,Q2012="Every 3 Months",90,TRUE,"NOT FOUND")</f>
        <v>14</v>
      </c>
    </row>
    <row r="2013" spans="1:19" x14ac:dyDescent="0.35">
      <c r="A2013">
        <v>2012</v>
      </c>
      <c r="B2013">
        <v>57</v>
      </c>
      <c r="C2013" t="s">
        <v>7</v>
      </c>
      <c r="D2013" t="s">
        <v>29</v>
      </c>
      <c r="E2013" t="s">
        <v>30</v>
      </c>
      <c r="F2013">
        <v>94</v>
      </c>
      <c r="G2013" t="s">
        <v>52</v>
      </c>
      <c r="H2013" t="s">
        <v>32</v>
      </c>
      <c r="I2013" t="s">
        <v>106</v>
      </c>
      <c r="J2013" t="s">
        <v>25</v>
      </c>
      <c r="K2013">
        <v>3.7</v>
      </c>
      <c r="L2013" t="s">
        <v>140</v>
      </c>
      <c r="M2013" t="s">
        <v>15</v>
      </c>
      <c r="N2013" t="s">
        <v>140</v>
      </c>
      <c r="O2013">
        <v>4</v>
      </c>
      <c r="P2013" t="s">
        <v>63</v>
      </c>
      <c r="Q2013" t="s">
        <v>76</v>
      </c>
      <c r="R2013" t="str" cm="1">
        <f t="array" ref="R2013">_xlfn.IFS(B2013&lt;31,"Young-Adult",B2013&lt;41,"Adult",B2013&lt;61,"Middle-aged",B2013&gt;=61,"Senior")</f>
        <v>Middle-aged</v>
      </c>
      <c r="S2013" cm="1">
        <f t="array" ref="S2013">_xlfn.IFS(Q2013 ="Fortnightly",14,Q2013="Weekly",7,Q2013="Monthly",30,Q2013="Quarterly",90,Q2013="Bi-Weekly",14,Q2013="Annually",365,Q2013="Every 3 Months",90,TRUE,"NOT FOUND")</f>
        <v>30</v>
      </c>
    </row>
    <row r="2014" spans="1:19" x14ac:dyDescent="0.35">
      <c r="A2014">
        <v>2013</v>
      </c>
      <c r="B2014">
        <v>48</v>
      </c>
      <c r="C2014" t="s">
        <v>7</v>
      </c>
      <c r="D2014" t="s">
        <v>22</v>
      </c>
      <c r="E2014" t="s">
        <v>9</v>
      </c>
      <c r="F2014">
        <v>53</v>
      </c>
      <c r="G2014" t="s">
        <v>95</v>
      </c>
      <c r="H2014" t="s">
        <v>11</v>
      </c>
      <c r="I2014" t="s">
        <v>84</v>
      </c>
      <c r="J2014" t="s">
        <v>45</v>
      </c>
      <c r="K2014">
        <v>3.2</v>
      </c>
      <c r="L2014" t="s">
        <v>140</v>
      </c>
      <c r="M2014" t="s">
        <v>62</v>
      </c>
      <c r="N2014" t="s">
        <v>140</v>
      </c>
      <c r="O2014">
        <v>5</v>
      </c>
      <c r="P2014" t="s">
        <v>21</v>
      </c>
      <c r="Q2014" t="s">
        <v>17</v>
      </c>
      <c r="R2014" t="str" cm="1">
        <f t="array" ref="R2014">_xlfn.IFS(B2014&lt;31,"Young-Adult",B2014&lt;41,"Adult",B2014&lt;61,"Middle-aged",B2014&gt;=61,"Senior")</f>
        <v>Middle-aged</v>
      </c>
      <c r="S2014" cm="1">
        <f t="array" ref="S2014">_xlfn.IFS(Q2014 ="Fortnightly",14,Q2014="Weekly",7,Q2014="Monthly",30,Q2014="Quarterly",90,Q2014="Bi-Weekly",14,Q2014="Annually",365,Q2014="Every 3 Months",90,TRUE,"NOT FOUND")</f>
        <v>14</v>
      </c>
    </row>
    <row r="2015" spans="1:19" x14ac:dyDescent="0.35">
      <c r="A2015">
        <v>2014</v>
      </c>
      <c r="B2015">
        <v>39</v>
      </c>
      <c r="C2015" t="s">
        <v>7</v>
      </c>
      <c r="D2015" t="s">
        <v>120</v>
      </c>
      <c r="E2015" t="s">
        <v>55</v>
      </c>
      <c r="F2015">
        <v>70</v>
      </c>
      <c r="G2015" t="s">
        <v>129</v>
      </c>
      <c r="H2015" t="s">
        <v>32</v>
      </c>
      <c r="I2015" t="s">
        <v>88</v>
      </c>
      <c r="J2015" t="s">
        <v>13</v>
      </c>
      <c r="K2015">
        <v>4.9000000000000004</v>
      </c>
      <c r="L2015" t="s">
        <v>140</v>
      </c>
      <c r="M2015" t="s">
        <v>42</v>
      </c>
      <c r="N2015" t="s">
        <v>140</v>
      </c>
      <c r="O2015">
        <v>25</v>
      </c>
      <c r="P2015" t="s">
        <v>74</v>
      </c>
      <c r="Q2015" t="s">
        <v>46</v>
      </c>
      <c r="R2015" t="str" cm="1">
        <f t="array" ref="R2015">_xlfn.IFS(B2015&lt;31,"Young-Adult",B2015&lt;41,"Adult",B2015&lt;61,"Middle-aged",B2015&gt;=61,"Senior")</f>
        <v>Adult</v>
      </c>
      <c r="S2015" cm="1">
        <f t="array" ref="S2015">_xlfn.IFS(Q2015 ="Fortnightly",14,Q2015="Weekly",7,Q2015="Monthly",30,Q2015="Quarterly",90,Q2015="Bi-Weekly",14,Q2015="Annually",365,Q2015="Every 3 Months",90,TRUE,"NOT FOUND")</f>
        <v>90</v>
      </c>
    </row>
    <row r="2016" spans="1:19" x14ac:dyDescent="0.35">
      <c r="A2016">
        <v>2015</v>
      </c>
      <c r="B2016">
        <v>51</v>
      </c>
      <c r="C2016" t="s">
        <v>7</v>
      </c>
      <c r="D2016" t="s">
        <v>75</v>
      </c>
      <c r="E2016" t="s">
        <v>9</v>
      </c>
      <c r="F2016">
        <v>26</v>
      </c>
      <c r="G2016" t="s">
        <v>138</v>
      </c>
      <c r="H2016" t="s">
        <v>11</v>
      </c>
      <c r="I2016" t="s">
        <v>82</v>
      </c>
      <c r="J2016" t="s">
        <v>41</v>
      </c>
      <c r="K2016">
        <v>3.9</v>
      </c>
      <c r="L2016" t="s">
        <v>140</v>
      </c>
      <c r="M2016" t="s">
        <v>42</v>
      </c>
      <c r="N2016" t="s">
        <v>140</v>
      </c>
      <c r="O2016">
        <v>47</v>
      </c>
      <c r="P2016" t="s">
        <v>34</v>
      </c>
      <c r="Q2016" t="s">
        <v>64</v>
      </c>
      <c r="R2016" t="str" cm="1">
        <f t="array" ref="R2016">_xlfn.IFS(B2016&lt;31,"Young-Adult",B2016&lt;41,"Adult",B2016&lt;61,"Middle-aged",B2016&gt;=61,"Senior")</f>
        <v>Middle-aged</v>
      </c>
      <c r="S2016" cm="1">
        <f t="array" ref="S2016">_xlfn.IFS(Q2016 ="Fortnightly",14,Q2016="Weekly",7,Q2016="Monthly",30,Q2016="Quarterly",90,Q2016="Bi-Weekly",14,Q2016="Annually",365,Q2016="Every 3 Months",90,TRUE,"NOT FOUND")</f>
        <v>14</v>
      </c>
    </row>
    <row r="2017" spans="1:19" x14ac:dyDescent="0.35">
      <c r="A2017">
        <v>2016</v>
      </c>
      <c r="B2017">
        <v>57</v>
      </c>
      <c r="C2017" t="s">
        <v>7</v>
      </c>
      <c r="D2017" t="s">
        <v>121</v>
      </c>
      <c r="E2017" t="s">
        <v>55</v>
      </c>
      <c r="F2017">
        <v>82</v>
      </c>
      <c r="G2017" t="s">
        <v>129</v>
      </c>
      <c r="H2017" t="s">
        <v>24</v>
      </c>
      <c r="I2017" t="s">
        <v>57</v>
      </c>
      <c r="J2017" t="s">
        <v>41</v>
      </c>
      <c r="K2017">
        <v>4.5</v>
      </c>
      <c r="L2017" t="s">
        <v>140</v>
      </c>
      <c r="M2017" t="s">
        <v>33</v>
      </c>
      <c r="N2017" t="s">
        <v>140</v>
      </c>
      <c r="O2017">
        <v>8</v>
      </c>
      <c r="P2017" t="s">
        <v>27</v>
      </c>
      <c r="Q2017" t="s">
        <v>17</v>
      </c>
      <c r="R2017" t="str" cm="1">
        <f t="array" ref="R2017">_xlfn.IFS(B2017&lt;31,"Young-Adult",B2017&lt;41,"Adult",B2017&lt;61,"Middle-aged",B2017&gt;=61,"Senior")</f>
        <v>Middle-aged</v>
      </c>
      <c r="S2017" cm="1">
        <f t="array" ref="S2017">_xlfn.IFS(Q2017 ="Fortnightly",14,Q2017="Weekly",7,Q2017="Monthly",30,Q2017="Quarterly",90,Q2017="Bi-Weekly",14,Q2017="Annually",365,Q2017="Every 3 Months",90,TRUE,"NOT FOUND")</f>
        <v>14</v>
      </c>
    </row>
    <row r="2018" spans="1:19" x14ac:dyDescent="0.35">
      <c r="A2018">
        <v>2017</v>
      </c>
      <c r="B2018">
        <v>53</v>
      </c>
      <c r="C2018" t="s">
        <v>7</v>
      </c>
      <c r="D2018" t="s">
        <v>59</v>
      </c>
      <c r="E2018" t="s">
        <v>30</v>
      </c>
      <c r="F2018">
        <v>47</v>
      </c>
      <c r="G2018" t="s">
        <v>19</v>
      </c>
      <c r="H2018" t="s">
        <v>24</v>
      </c>
      <c r="I2018" t="s">
        <v>71</v>
      </c>
      <c r="J2018" t="s">
        <v>13</v>
      </c>
      <c r="K2018">
        <v>3.4</v>
      </c>
      <c r="L2018" t="s">
        <v>140</v>
      </c>
      <c r="M2018" t="s">
        <v>42</v>
      </c>
      <c r="N2018" t="s">
        <v>140</v>
      </c>
      <c r="O2018">
        <v>20</v>
      </c>
      <c r="P2018" t="s">
        <v>74</v>
      </c>
      <c r="Q2018" t="s">
        <v>17</v>
      </c>
      <c r="R2018" t="str" cm="1">
        <f t="array" ref="R2018">_xlfn.IFS(B2018&lt;31,"Young-Adult",B2018&lt;41,"Adult",B2018&lt;61,"Middle-aged",B2018&gt;=61,"Senior")</f>
        <v>Middle-aged</v>
      </c>
      <c r="S2018" cm="1">
        <f t="array" ref="S2018">_xlfn.IFS(Q2018 ="Fortnightly",14,Q2018="Weekly",7,Q2018="Monthly",30,Q2018="Quarterly",90,Q2018="Bi-Weekly",14,Q2018="Annually",365,Q2018="Every 3 Months",90,TRUE,"NOT FOUND")</f>
        <v>14</v>
      </c>
    </row>
    <row r="2019" spans="1:19" x14ac:dyDescent="0.35">
      <c r="A2019">
        <v>2018</v>
      </c>
      <c r="B2019">
        <v>70</v>
      </c>
      <c r="C2019" t="s">
        <v>7</v>
      </c>
      <c r="D2019" t="s">
        <v>113</v>
      </c>
      <c r="E2019" t="s">
        <v>9</v>
      </c>
      <c r="F2019">
        <v>32</v>
      </c>
      <c r="G2019" t="s">
        <v>23</v>
      </c>
      <c r="H2019" t="s">
        <v>24</v>
      </c>
      <c r="I2019" t="s">
        <v>84</v>
      </c>
      <c r="J2019" t="s">
        <v>13</v>
      </c>
      <c r="K2019">
        <v>4.0999999999999996</v>
      </c>
      <c r="L2019" t="s">
        <v>140</v>
      </c>
      <c r="M2019" t="s">
        <v>33</v>
      </c>
      <c r="N2019" t="s">
        <v>140</v>
      </c>
      <c r="O2019">
        <v>42</v>
      </c>
      <c r="P2019" t="s">
        <v>63</v>
      </c>
      <c r="Q2019" t="s">
        <v>85</v>
      </c>
      <c r="R2019" t="str" cm="1">
        <f t="array" ref="R2019">_xlfn.IFS(B2019&lt;31,"Young-Adult",B2019&lt;41,"Adult",B2019&lt;61,"Middle-aged",B2019&gt;=61,"Senior")</f>
        <v>Senior</v>
      </c>
      <c r="S2019" cm="1">
        <f t="array" ref="S2019">_xlfn.IFS(Q2019 ="Fortnightly",14,Q2019="Weekly",7,Q2019="Monthly",30,Q2019="Quarterly",90,Q2019="Bi-Weekly",14,Q2019="Annually",365,Q2019="Every 3 Months",90,TRUE,"NOT FOUND")</f>
        <v>90</v>
      </c>
    </row>
    <row r="2020" spans="1:19" x14ac:dyDescent="0.35">
      <c r="A2020">
        <v>2019</v>
      </c>
      <c r="B2020">
        <v>60</v>
      </c>
      <c r="C2020" t="s">
        <v>7</v>
      </c>
      <c r="D2020" t="s">
        <v>120</v>
      </c>
      <c r="E2020" t="s">
        <v>55</v>
      </c>
      <c r="F2020">
        <v>97</v>
      </c>
      <c r="G2020" t="s">
        <v>60</v>
      </c>
      <c r="H2020" t="s">
        <v>24</v>
      </c>
      <c r="I2020" t="s">
        <v>68</v>
      </c>
      <c r="J2020" t="s">
        <v>45</v>
      </c>
      <c r="K2020">
        <v>4.5</v>
      </c>
      <c r="L2020" t="s">
        <v>140</v>
      </c>
      <c r="M2020" t="s">
        <v>62</v>
      </c>
      <c r="N2020" t="s">
        <v>140</v>
      </c>
      <c r="O2020">
        <v>20</v>
      </c>
      <c r="P2020" t="s">
        <v>63</v>
      </c>
      <c r="Q2020" t="s">
        <v>28</v>
      </c>
      <c r="R2020" t="str" cm="1">
        <f t="array" ref="R2020">_xlfn.IFS(B2020&lt;31,"Young-Adult",B2020&lt;41,"Adult",B2020&lt;61,"Middle-aged",B2020&gt;=61,"Senior")</f>
        <v>Middle-aged</v>
      </c>
      <c r="S2020" cm="1">
        <f t="array" ref="S2020">_xlfn.IFS(Q2020 ="Fortnightly",14,Q2020="Weekly",7,Q2020="Monthly",30,Q2020="Quarterly",90,Q2020="Bi-Weekly",14,Q2020="Annually",365,Q2020="Every 3 Months",90,TRUE,"NOT FOUND")</f>
        <v>7</v>
      </c>
    </row>
    <row r="2021" spans="1:19" x14ac:dyDescent="0.35">
      <c r="A2021">
        <v>2020</v>
      </c>
      <c r="B2021">
        <v>31</v>
      </c>
      <c r="C2021" t="s">
        <v>7</v>
      </c>
      <c r="D2021" t="s">
        <v>43</v>
      </c>
      <c r="E2021" t="s">
        <v>9</v>
      </c>
      <c r="F2021">
        <v>68</v>
      </c>
      <c r="G2021" t="s">
        <v>123</v>
      </c>
      <c r="H2021" t="s">
        <v>24</v>
      </c>
      <c r="I2021" t="s">
        <v>96</v>
      </c>
      <c r="J2021" t="s">
        <v>13</v>
      </c>
      <c r="K2021">
        <v>4.7</v>
      </c>
      <c r="L2021" t="s">
        <v>140</v>
      </c>
      <c r="M2021" t="s">
        <v>62</v>
      </c>
      <c r="N2021" t="s">
        <v>140</v>
      </c>
      <c r="O2021">
        <v>23</v>
      </c>
      <c r="P2021" t="s">
        <v>21</v>
      </c>
      <c r="Q2021" t="s">
        <v>17</v>
      </c>
      <c r="R2021" t="str" cm="1">
        <f t="array" ref="R2021">_xlfn.IFS(B2021&lt;31,"Young-Adult",B2021&lt;41,"Adult",B2021&lt;61,"Middle-aged",B2021&gt;=61,"Senior")</f>
        <v>Adult</v>
      </c>
      <c r="S2021" cm="1">
        <f t="array" ref="S2021">_xlfn.IFS(Q2021 ="Fortnightly",14,Q2021="Weekly",7,Q2021="Monthly",30,Q2021="Quarterly",90,Q2021="Bi-Weekly",14,Q2021="Annually",365,Q2021="Every 3 Months",90,TRUE,"NOT FOUND")</f>
        <v>14</v>
      </c>
    </row>
    <row r="2022" spans="1:19" x14ac:dyDescent="0.35">
      <c r="A2022">
        <v>2021</v>
      </c>
      <c r="B2022">
        <v>41</v>
      </c>
      <c r="C2022" t="s">
        <v>7</v>
      </c>
      <c r="D2022" t="s">
        <v>18</v>
      </c>
      <c r="E2022" t="s">
        <v>9</v>
      </c>
      <c r="F2022">
        <v>23</v>
      </c>
      <c r="G2022" t="s">
        <v>126</v>
      </c>
      <c r="H2022" t="s">
        <v>32</v>
      </c>
      <c r="I2022" t="s">
        <v>106</v>
      </c>
      <c r="J2022" t="s">
        <v>13</v>
      </c>
      <c r="K2022">
        <v>4.8</v>
      </c>
      <c r="L2022" t="s">
        <v>140</v>
      </c>
      <c r="M2022" t="s">
        <v>33</v>
      </c>
      <c r="N2022" t="s">
        <v>140</v>
      </c>
      <c r="O2022">
        <v>26</v>
      </c>
      <c r="P2022" t="s">
        <v>21</v>
      </c>
      <c r="Q2022" t="s">
        <v>46</v>
      </c>
      <c r="R2022" t="str" cm="1">
        <f t="array" ref="R2022">_xlfn.IFS(B2022&lt;31,"Young-Adult",B2022&lt;41,"Adult",B2022&lt;61,"Middle-aged",B2022&gt;=61,"Senior")</f>
        <v>Middle-aged</v>
      </c>
      <c r="S2022" cm="1">
        <f t="array" ref="S2022">_xlfn.IFS(Q2022 ="Fortnightly",14,Q2022="Weekly",7,Q2022="Monthly",30,Q2022="Quarterly",90,Q2022="Bi-Weekly",14,Q2022="Annually",365,Q2022="Every 3 Months",90,TRUE,"NOT FOUND")</f>
        <v>90</v>
      </c>
    </row>
    <row r="2023" spans="1:19" x14ac:dyDescent="0.35">
      <c r="A2023">
        <v>2022</v>
      </c>
      <c r="B2023">
        <v>62</v>
      </c>
      <c r="C2023" t="s">
        <v>7</v>
      </c>
      <c r="D2023" t="s">
        <v>54</v>
      </c>
      <c r="E2023" t="s">
        <v>55</v>
      </c>
      <c r="F2023">
        <v>33</v>
      </c>
      <c r="G2023" t="s">
        <v>19</v>
      </c>
      <c r="H2023" t="s">
        <v>32</v>
      </c>
      <c r="I2023" t="s">
        <v>84</v>
      </c>
      <c r="J2023" t="s">
        <v>13</v>
      </c>
      <c r="K2023">
        <v>4.4000000000000004</v>
      </c>
      <c r="L2023" t="s">
        <v>140</v>
      </c>
      <c r="M2023" t="s">
        <v>42</v>
      </c>
      <c r="N2023" t="s">
        <v>140</v>
      </c>
      <c r="O2023">
        <v>48</v>
      </c>
      <c r="P2023" t="s">
        <v>16</v>
      </c>
      <c r="Q2023" t="s">
        <v>46</v>
      </c>
      <c r="R2023" t="str" cm="1">
        <f t="array" ref="R2023">_xlfn.IFS(B2023&lt;31,"Young-Adult",B2023&lt;41,"Adult",B2023&lt;61,"Middle-aged",B2023&gt;=61,"Senior")</f>
        <v>Senior</v>
      </c>
      <c r="S2023" cm="1">
        <f t="array" ref="S2023">_xlfn.IFS(Q2023 ="Fortnightly",14,Q2023="Weekly",7,Q2023="Monthly",30,Q2023="Quarterly",90,Q2023="Bi-Weekly",14,Q2023="Annually",365,Q2023="Every 3 Months",90,TRUE,"NOT FOUND")</f>
        <v>90</v>
      </c>
    </row>
    <row r="2024" spans="1:19" x14ac:dyDescent="0.35">
      <c r="A2024">
        <v>2023</v>
      </c>
      <c r="B2024">
        <v>59</v>
      </c>
      <c r="C2024" t="s">
        <v>7</v>
      </c>
      <c r="D2024" t="s">
        <v>94</v>
      </c>
      <c r="E2024" t="s">
        <v>55</v>
      </c>
      <c r="F2024">
        <v>38</v>
      </c>
      <c r="G2024" t="s">
        <v>78</v>
      </c>
      <c r="H2024" t="s">
        <v>24</v>
      </c>
      <c r="I2024" t="s">
        <v>82</v>
      </c>
      <c r="J2024" t="s">
        <v>13</v>
      </c>
      <c r="K2024">
        <v>4</v>
      </c>
      <c r="L2024" t="s">
        <v>140</v>
      </c>
      <c r="M2024" t="s">
        <v>62</v>
      </c>
      <c r="N2024" t="s">
        <v>140</v>
      </c>
      <c r="O2024">
        <v>16</v>
      </c>
      <c r="P2024" t="s">
        <v>21</v>
      </c>
      <c r="Q2024" t="s">
        <v>64</v>
      </c>
      <c r="R2024" t="str" cm="1">
        <f t="array" ref="R2024">_xlfn.IFS(B2024&lt;31,"Young-Adult",B2024&lt;41,"Adult",B2024&lt;61,"Middle-aged",B2024&gt;=61,"Senior")</f>
        <v>Middle-aged</v>
      </c>
      <c r="S2024" cm="1">
        <f t="array" ref="S2024">_xlfn.IFS(Q2024 ="Fortnightly",14,Q2024="Weekly",7,Q2024="Monthly",30,Q2024="Quarterly",90,Q2024="Bi-Weekly",14,Q2024="Annually",365,Q2024="Every 3 Months",90,TRUE,"NOT FOUND")</f>
        <v>14</v>
      </c>
    </row>
    <row r="2025" spans="1:19" x14ac:dyDescent="0.35">
      <c r="A2025">
        <v>2024</v>
      </c>
      <c r="B2025">
        <v>46</v>
      </c>
      <c r="C2025" t="s">
        <v>7</v>
      </c>
      <c r="D2025" t="s">
        <v>113</v>
      </c>
      <c r="E2025" t="s">
        <v>9</v>
      </c>
      <c r="F2025">
        <v>68</v>
      </c>
      <c r="G2025" t="s">
        <v>123</v>
      </c>
      <c r="H2025" t="s">
        <v>24</v>
      </c>
      <c r="I2025" t="s">
        <v>73</v>
      </c>
      <c r="J2025" t="s">
        <v>13</v>
      </c>
      <c r="K2025">
        <v>4.0999999999999996</v>
      </c>
      <c r="L2025" t="s">
        <v>140</v>
      </c>
      <c r="M2025" t="s">
        <v>62</v>
      </c>
      <c r="N2025" t="s">
        <v>140</v>
      </c>
      <c r="O2025">
        <v>28</v>
      </c>
      <c r="P2025" t="s">
        <v>21</v>
      </c>
      <c r="Q2025" t="s">
        <v>64</v>
      </c>
      <c r="R2025" t="str" cm="1">
        <f t="array" ref="R2025">_xlfn.IFS(B2025&lt;31,"Young-Adult",B2025&lt;41,"Adult",B2025&lt;61,"Middle-aged",B2025&gt;=61,"Senior")</f>
        <v>Middle-aged</v>
      </c>
      <c r="S2025" cm="1">
        <f t="array" ref="S2025">_xlfn.IFS(Q2025 ="Fortnightly",14,Q2025="Weekly",7,Q2025="Monthly",30,Q2025="Quarterly",90,Q2025="Bi-Weekly",14,Q2025="Annually",365,Q2025="Every 3 Months",90,TRUE,"NOT FOUND")</f>
        <v>14</v>
      </c>
    </row>
    <row r="2026" spans="1:19" x14ac:dyDescent="0.35">
      <c r="A2026">
        <v>2025</v>
      </c>
      <c r="B2026">
        <v>62</v>
      </c>
      <c r="C2026" t="s">
        <v>7</v>
      </c>
      <c r="D2026" t="s">
        <v>113</v>
      </c>
      <c r="E2026" t="s">
        <v>9</v>
      </c>
      <c r="F2026">
        <v>23</v>
      </c>
      <c r="G2026" t="s">
        <v>60</v>
      </c>
      <c r="H2026" t="s">
        <v>11</v>
      </c>
      <c r="I2026" t="s">
        <v>53</v>
      </c>
      <c r="J2026" t="s">
        <v>45</v>
      </c>
      <c r="K2026">
        <v>3.7</v>
      </c>
      <c r="L2026" t="s">
        <v>140</v>
      </c>
      <c r="M2026" t="s">
        <v>15</v>
      </c>
      <c r="N2026" t="s">
        <v>140</v>
      </c>
      <c r="O2026">
        <v>39</v>
      </c>
      <c r="P2026" t="s">
        <v>34</v>
      </c>
      <c r="Q2026" t="s">
        <v>28</v>
      </c>
      <c r="R2026" t="str" cm="1">
        <f t="array" ref="R2026">_xlfn.IFS(B2026&lt;31,"Young-Adult",B2026&lt;41,"Adult",B2026&lt;61,"Middle-aged",B2026&gt;=61,"Senior")</f>
        <v>Senior</v>
      </c>
      <c r="S2026" cm="1">
        <f t="array" ref="S2026">_xlfn.IFS(Q2026 ="Fortnightly",14,Q2026="Weekly",7,Q2026="Monthly",30,Q2026="Quarterly",90,Q2026="Bi-Weekly",14,Q2026="Annually",365,Q2026="Every 3 Months",90,TRUE,"NOT FOUND")</f>
        <v>7</v>
      </c>
    </row>
    <row r="2027" spans="1:19" x14ac:dyDescent="0.35">
      <c r="A2027">
        <v>2026</v>
      </c>
      <c r="B2027">
        <v>42</v>
      </c>
      <c r="C2027" t="s">
        <v>7</v>
      </c>
      <c r="D2027" t="s">
        <v>43</v>
      </c>
      <c r="E2027" t="s">
        <v>9</v>
      </c>
      <c r="F2027">
        <v>29</v>
      </c>
      <c r="G2027" t="s">
        <v>67</v>
      </c>
      <c r="H2027" t="s">
        <v>32</v>
      </c>
      <c r="I2027" t="s">
        <v>36</v>
      </c>
      <c r="J2027" t="s">
        <v>41</v>
      </c>
      <c r="K2027">
        <v>3</v>
      </c>
      <c r="L2027" t="s">
        <v>140</v>
      </c>
      <c r="M2027" t="s">
        <v>15</v>
      </c>
      <c r="N2027" t="s">
        <v>140</v>
      </c>
      <c r="O2027">
        <v>43</v>
      </c>
      <c r="P2027" t="s">
        <v>74</v>
      </c>
      <c r="Q2027" t="s">
        <v>17</v>
      </c>
      <c r="R2027" t="str" cm="1">
        <f t="array" ref="R2027">_xlfn.IFS(B2027&lt;31,"Young-Adult",B2027&lt;41,"Adult",B2027&lt;61,"Middle-aged",B2027&gt;=61,"Senior")</f>
        <v>Middle-aged</v>
      </c>
      <c r="S2027" cm="1">
        <f t="array" ref="S2027">_xlfn.IFS(Q2027 ="Fortnightly",14,Q2027="Weekly",7,Q2027="Monthly",30,Q2027="Quarterly",90,Q2027="Bi-Weekly",14,Q2027="Annually",365,Q2027="Every 3 Months",90,TRUE,"NOT FOUND")</f>
        <v>14</v>
      </c>
    </row>
    <row r="2028" spans="1:19" x14ac:dyDescent="0.35">
      <c r="A2028">
        <v>2027</v>
      </c>
      <c r="B2028">
        <v>37</v>
      </c>
      <c r="C2028" t="s">
        <v>7</v>
      </c>
      <c r="D2028" t="s">
        <v>107</v>
      </c>
      <c r="E2028" t="s">
        <v>55</v>
      </c>
      <c r="F2028">
        <v>35</v>
      </c>
      <c r="G2028" t="s">
        <v>19</v>
      </c>
      <c r="H2028" t="s">
        <v>32</v>
      </c>
      <c r="I2028" t="s">
        <v>109</v>
      </c>
      <c r="J2028" t="s">
        <v>13</v>
      </c>
      <c r="K2028">
        <v>3.6</v>
      </c>
      <c r="L2028" t="s">
        <v>140</v>
      </c>
      <c r="M2028" t="s">
        <v>15</v>
      </c>
      <c r="N2028" t="s">
        <v>140</v>
      </c>
      <c r="O2028">
        <v>45</v>
      </c>
      <c r="P2028" t="s">
        <v>63</v>
      </c>
      <c r="Q2028" t="s">
        <v>85</v>
      </c>
      <c r="R2028" t="str" cm="1">
        <f t="array" ref="R2028">_xlfn.IFS(B2028&lt;31,"Young-Adult",B2028&lt;41,"Adult",B2028&lt;61,"Middle-aged",B2028&gt;=61,"Senior")</f>
        <v>Adult</v>
      </c>
      <c r="S2028" cm="1">
        <f t="array" ref="S2028">_xlfn.IFS(Q2028 ="Fortnightly",14,Q2028="Weekly",7,Q2028="Monthly",30,Q2028="Quarterly",90,Q2028="Bi-Weekly",14,Q2028="Annually",365,Q2028="Every 3 Months",90,TRUE,"NOT FOUND")</f>
        <v>90</v>
      </c>
    </row>
    <row r="2029" spans="1:19" x14ac:dyDescent="0.35">
      <c r="A2029">
        <v>2028</v>
      </c>
      <c r="B2029">
        <v>50</v>
      </c>
      <c r="C2029" t="s">
        <v>7</v>
      </c>
      <c r="D2029" t="s">
        <v>59</v>
      </c>
      <c r="E2029" t="s">
        <v>30</v>
      </c>
      <c r="F2029">
        <v>73</v>
      </c>
      <c r="G2029" t="s">
        <v>133</v>
      </c>
      <c r="H2029" t="s">
        <v>24</v>
      </c>
      <c r="I2029" t="s">
        <v>68</v>
      </c>
      <c r="J2029" t="s">
        <v>45</v>
      </c>
      <c r="K2029">
        <v>4.8</v>
      </c>
      <c r="L2029" t="s">
        <v>140</v>
      </c>
      <c r="M2029" t="s">
        <v>42</v>
      </c>
      <c r="N2029" t="s">
        <v>140</v>
      </c>
      <c r="O2029">
        <v>50</v>
      </c>
      <c r="P2029" t="s">
        <v>27</v>
      </c>
      <c r="Q2029" t="s">
        <v>85</v>
      </c>
      <c r="R2029" t="str" cm="1">
        <f t="array" ref="R2029">_xlfn.IFS(B2029&lt;31,"Young-Adult",B2029&lt;41,"Adult",B2029&lt;61,"Middle-aged",B2029&gt;=61,"Senior")</f>
        <v>Middle-aged</v>
      </c>
      <c r="S2029" cm="1">
        <f t="array" ref="S2029">_xlfn.IFS(Q2029 ="Fortnightly",14,Q2029="Weekly",7,Q2029="Monthly",30,Q2029="Quarterly",90,Q2029="Bi-Weekly",14,Q2029="Annually",365,Q2029="Every 3 Months",90,TRUE,"NOT FOUND")</f>
        <v>90</v>
      </c>
    </row>
    <row r="2030" spans="1:19" x14ac:dyDescent="0.35">
      <c r="A2030">
        <v>2029</v>
      </c>
      <c r="B2030">
        <v>29</v>
      </c>
      <c r="C2030" t="s">
        <v>7</v>
      </c>
      <c r="D2030" t="s">
        <v>59</v>
      </c>
      <c r="E2030" t="s">
        <v>30</v>
      </c>
      <c r="F2030">
        <v>84</v>
      </c>
      <c r="G2030" t="s">
        <v>111</v>
      </c>
      <c r="H2030" t="s">
        <v>80</v>
      </c>
      <c r="I2030" t="s">
        <v>61</v>
      </c>
      <c r="J2030" t="s">
        <v>45</v>
      </c>
      <c r="K2030">
        <v>3.7</v>
      </c>
      <c r="L2030" t="s">
        <v>140</v>
      </c>
      <c r="M2030" t="s">
        <v>58</v>
      </c>
      <c r="N2030" t="s">
        <v>140</v>
      </c>
      <c r="O2030">
        <v>10</v>
      </c>
      <c r="P2030" t="s">
        <v>16</v>
      </c>
      <c r="Q2030" t="s">
        <v>64</v>
      </c>
      <c r="R2030" t="str" cm="1">
        <f t="array" ref="R2030">_xlfn.IFS(B2030&lt;31,"Young-Adult",B2030&lt;41,"Adult",B2030&lt;61,"Middle-aged",B2030&gt;=61,"Senior")</f>
        <v>Young-Adult</v>
      </c>
      <c r="S2030" cm="1">
        <f t="array" ref="S2030">_xlfn.IFS(Q2030 ="Fortnightly",14,Q2030="Weekly",7,Q2030="Monthly",30,Q2030="Quarterly",90,Q2030="Bi-Weekly",14,Q2030="Annually",365,Q2030="Every 3 Months",90,TRUE,"NOT FOUND")</f>
        <v>14</v>
      </c>
    </row>
    <row r="2031" spans="1:19" x14ac:dyDescent="0.35">
      <c r="A2031">
        <v>2030</v>
      </c>
      <c r="B2031">
        <v>25</v>
      </c>
      <c r="C2031" t="s">
        <v>7</v>
      </c>
      <c r="D2031" t="s">
        <v>107</v>
      </c>
      <c r="E2031" t="s">
        <v>55</v>
      </c>
      <c r="F2031">
        <v>23</v>
      </c>
      <c r="G2031" t="s">
        <v>44</v>
      </c>
      <c r="H2031" t="s">
        <v>32</v>
      </c>
      <c r="I2031" t="s">
        <v>57</v>
      </c>
      <c r="J2031" t="s">
        <v>25</v>
      </c>
      <c r="K2031">
        <v>4.5999999999999996</v>
      </c>
      <c r="L2031" t="s">
        <v>140</v>
      </c>
      <c r="M2031" t="s">
        <v>33</v>
      </c>
      <c r="N2031" t="s">
        <v>140</v>
      </c>
      <c r="O2031">
        <v>40</v>
      </c>
      <c r="P2031" t="s">
        <v>34</v>
      </c>
      <c r="Q2031" t="s">
        <v>46</v>
      </c>
      <c r="R2031" t="str" cm="1">
        <f t="array" ref="R2031">_xlfn.IFS(B2031&lt;31,"Young-Adult",B2031&lt;41,"Adult",B2031&lt;61,"Middle-aged",B2031&gt;=61,"Senior")</f>
        <v>Young-Adult</v>
      </c>
      <c r="S2031" cm="1">
        <f t="array" ref="S2031">_xlfn.IFS(Q2031 ="Fortnightly",14,Q2031="Weekly",7,Q2031="Monthly",30,Q2031="Quarterly",90,Q2031="Bi-Weekly",14,Q2031="Annually",365,Q2031="Every 3 Months",90,TRUE,"NOT FOUND")</f>
        <v>90</v>
      </c>
    </row>
    <row r="2032" spans="1:19" x14ac:dyDescent="0.35">
      <c r="A2032">
        <v>2031</v>
      </c>
      <c r="B2032">
        <v>66</v>
      </c>
      <c r="C2032" t="s">
        <v>7</v>
      </c>
      <c r="D2032" t="s">
        <v>77</v>
      </c>
      <c r="E2032" t="s">
        <v>55</v>
      </c>
      <c r="F2032">
        <v>67</v>
      </c>
      <c r="G2032" t="s">
        <v>118</v>
      </c>
      <c r="H2032" t="s">
        <v>24</v>
      </c>
      <c r="I2032" t="s">
        <v>84</v>
      </c>
      <c r="J2032" t="s">
        <v>41</v>
      </c>
      <c r="K2032">
        <v>2.8</v>
      </c>
      <c r="L2032" t="s">
        <v>140</v>
      </c>
      <c r="M2032" t="s">
        <v>42</v>
      </c>
      <c r="N2032" t="s">
        <v>140</v>
      </c>
      <c r="O2032">
        <v>38</v>
      </c>
      <c r="P2032" t="s">
        <v>27</v>
      </c>
      <c r="Q2032" t="s">
        <v>76</v>
      </c>
      <c r="R2032" t="str" cm="1">
        <f t="array" ref="R2032">_xlfn.IFS(B2032&lt;31,"Young-Adult",B2032&lt;41,"Adult",B2032&lt;61,"Middle-aged",B2032&gt;=61,"Senior")</f>
        <v>Senior</v>
      </c>
      <c r="S2032" cm="1">
        <f t="array" ref="S2032">_xlfn.IFS(Q2032 ="Fortnightly",14,Q2032="Weekly",7,Q2032="Monthly",30,Q2032="Quarterly",90,Q2032="Bi-Weekly",14,Q2032="Annually",365,Q2032="Every 3 Months",90,TRUE,"NOT FOUND")</f>
        <v>30</v>
      </c>
    </row>
    <row r="2033" spans="1:19" x14ac:dyDescent="0.35">
      <c r="A2033">
        <v>2032</v>
      </c>
      <c r="B2033">
        <v>21</v>
      </c>
      <c r="C2033" t="s">
        <v>7</v>
      </c>
      <c r="D2033" t="s">
        <v>113</v>
      </c>
      <c r="E2033" t="s">
        <v>9</v>
      </c>
      <c r="F2033">
        <v>51</v>
      </c>
      <c r="G2033" t="s">
        <v>86</v>
      </c>
      <c r="H2033" t="s">
        <v>11</v>
      </c>
      <c r="I2033" t="s">
        <v>49</v>
      </c>
      <c r="J2033" t="s">
        <v>25</v>
      </c>
      <c r="K2033">
        <v>4</v>
      </c>
      <c r="L2033" t="s">
        <v>140</v>
      </c>
      <c r="M2033" t="s">
        <v>42</v>
      </c>
      <c r="N2033" t="s">
        <v>140</v>
      </c>
      <c r="O2033">
        <v>2</v>
      </c>
      <c r="P2033" t="s">
        <v>27</v>
      </c>
      <c r="Q2033" t="s">
        <v>76</v>
      </c>
      <c r="R2033" t="str" cm="1">
        <f t="array" ref="R2033">_xlfn.IFS(B2033&lt;31,"Young-Adult",B2033&lt;41,"Adult",B2033&lt;61,"Middle-aged",B2033&gt;=61,"Senior")</f>
        <v>Young-Adult</v>
      </c>
      <c r="S2033" cm="1">
        <f t="array" ref="S2033">_xlfn.IFS(Q2033 ="Fortnightly",14,Q2033="Weekly",7,Q2033="Monthly",30,Q2033="Quarterly",90,Q2033="Bi-Weekly",14,Q2033="Annually",365,Q2033="Every 3 Months",90,TRUE,"NOT FOUND")</f>
        <v>30</v>
      </c>
    </row>
    <row r="2034" spans="1:19" x14ac:dyDescent="0.35">
      <c r="A2034">
        <v>2033</v>
      </c>
      <c r="B2034">
        <v>46</v>
      </c>
      <c r="C2034" t="s">
        <v>7</v>
      </c>
      <c r="D2034" t="s">
        <v>8</v>
      </c>
      <c r="E2034" t="s">
        <v>9</v>
      </c>
      <c r="F2034">
        <v>36</v>
      </c>
      <c r="G2034" t="s">
        <v>119</v>
      </c>
      <c r="H2034" t="s">
        <v>32</v>
      </c>
      <c r="I2034" t="s">
        <v>20</v>
      </c>
      <c r="J2034" t="s">
        <v>13</v>
      </c>
      <c r="K2034">
        <v>4.2</v>
      </c>
      <c r="L2034" t="s">
        <v>140</v>
      </c>
      <c r="M2034" t="s">
        <v>33</v>
      </c>
      <c r="N2034" t="s">
        <v>140</v>
      </c>
      <c r="O2034">
        <v>13</v>
      </c>
      <c r="P2034" t="s">
        <v>21</v>
      </c>
      <c r="Q2034" t="s">
        <v>37</v>
      </c>
      <c r="R2034" t="str" cm="1">
        <f t="array" ref="R2034">_xlfn.IFS(B2034&lt;31,"Young-Adult",B2034&lt;41,"Adult",B2034&lt;61,"Middle-aged",B2034&gt;=61,"Senior")</f>
        <v>Middle-aged</v>
      </c>
      <c r="S2034" cm="1">
        <f t="array" ref="S2034">_xlfn.IFS(Q2034 ="Fortnightly",14,Q2034="Weekly",7,Q2034="Monthly",30,Q2034="Quarterly",90,Q2034="Bi-Weekly",14,Q2034="Annually",365,Q2034="Every 3 Months",90,TRUE,"NOT FOUND")</f>
        <v>365</v>
      </c>
    </row>
    <row r="2035" spans="1:19" x14ac:dyDescent="0.35">
      <c r="A2035">
        <v>2034</v>
      </c>
      <c r="B2035">
        <v>57</v>
      </c>
      <c r="C2035" t="s">
        <v>7</v>
      </c>
      <c r="D2035" t="s">
        <v>22</v>
      </c>
      <c r="E2035" t="s">
        <v>9</v>
      </c>
      <c r="F2035">
        <v>55</v>
      </c>
      <c r="G2035" t="s">
        <v>103</v>
      </c>
      <c r="H2035" t="s">
        <v>11</v>
      </c>
      <c r="I2035" t="s">
        <v>66</v>
      </c>
      <c r="J2035" t="s">
        <v>41</v>
      </c>
      <c r="K2035">
        <v>3.6</v>
      </c>
      <c r="L2035" t="s">
        <v>140</v>
      </c>
      <c r="M2035" t="s">
        <v>15</v>
      </c>
      <c r="N2035" t="s">
        <v>140</v>
      </c>
      <c r="O2035">
        <v>33</v>
      </c>
      <c r="P2035" t="s">
        <v>16</v>
      </c>
      <c r="Q2035" t="s">
        <v>37</v>
      </c>
      <c r="R2035" t="str" cm="1">
        <f t="array" ref="R2035">_xlfn.IFS(B2035&lt;31,"Young-Adult",B2035&lt;41,"Adult",B2035&lt;61,"Middle-aged",B2035&gt;=61,"Senior")</f>
        <v>Middle-aged</v>
      </c>
      <c r="S2035" cm="1">
        <f t="array" ref="S2035">_xlfn.IFS(Q2035 ="Fortnightly",14,Q2035="Weekly",7,Q2035="Monthly",30,Q2035="Quarterly",90,Q2035="Bi-Weekly",14,Q2035="Annually",365,Q2035="Every 3 Months",90,TRUE,"NOT FOUND")</f>
        <v>365</v>
      </c>
    </row>
    <row r="2036" spans="1:19" x14ac:dyDescent="0.35">
      <c r="A2036">
        <v>2035</v>
      </c>
      <c r="B2036">
        <v>61</v>
      </c>
      <c r="C2036" t="s">
        <v>7</v>
      </c>
      <c r="D2036" t="s">
        <v>47</v>
      </c>
      <c r="E2036" t="s">
        <v>9</v>
      </c>
      <c r="F2036">
        <v>30</v>
      </c>
      <c r="G2036" t="s">
        <v>78</v>
      </c>
      <c r="H2036" t="s">
        <v>32</v>
      </c>
      <c r="I2036" t="s">
        <v>88</v>
      </c>
      <c r="J2036" t="s">
        <v>25</v>
      </c>
      <c r="K2036">
        <v>2.9</v>
      </c>
      <c r="L2036" t="s">
        <v>140</v>
      </c>
      <c r="M2036" t="s">
        <v>62</v>
      </c>
      <c r="N2036" t="s">
        <v>140</v>
      </c>
      <c r="O2036">
        <v>27</v>
      </c>
      <c r="P2036" t="s">
        <v>34</v>
      </c>
      <c r="Q2036" t="s">
        <v>76</v>
      </c>
      <c r="R2036" t="str" cm="1">
        <f t="array" ref="R2036">_xlfn.IFS(B2036&lt;31,"Young-Adult",B2036&lt;41,"Adult",B2036&lt;61,"Middle-aged",B2036&gt;=61,"Senior")</f>
        <v>Senior</v>
      </c>
      <c r="S2036" cm="1">
        <f t="array" ref="S2036">_xlfn.IFS(Q2036 ="Fortnightly",14,Q2036="Weekly",7,Q2036="Monthly",30,Q2036="Quarterly",90,Q2036="Bi-Weekly",14,Q2036="Annually",365,Q2036="Every 3 Months",90,TRUE,"NOT FOUND")</f>
        <v>30</v>
      </c>
    </row>
    <row r="2037" spans="1:19" x14ac:dyDescent="0.35">
      <c r="A2037">
        <v>2036</v>
      </c>
      <c r="B2037">
        <v>53</v>
      </c>
      <c r="C2037" t="s">
        <v>7</v>
      </c>
      <c r="D2037" t="s">
        <v>101</v>
      </c>
      <c r="E2037" t="s">
        <v>9</v>
      </c>
      <c r="F2037">
        <v>70</v>
      </c>
      <c r="G2037" t="s">
        <v>89</v>
      </c>
      <c r="H2037" t="s">
        <v>24</v>
      </c>
      <c r="I2037" t="s">
        <v>122</v>
      </c>
      <c r="J2037" t="s">
        <v>41</v>
      </c>
      <c r="K2037">
        <v>4.0999999999999996</v>
      </c>
      <c r="L2037" t="s">
        <v>140</v>
      </c>
      <c r="M2037" t="s">
        <v>15</v>
      </c>
      <c r="N2037" t="s">
        <v>140</v>
      </c>
      <c r="O2037">
        <v>43</v>
      </c>
      <c r="P2037" t="s">
        <v>63</v>
      </c>
      <c r="Q2037" t="s">
        <v>28</v>
      </c>
      <c r="R2037" t="str" cm="1">
        <f t="array" ref="R2037">_xlfn.IFS(B2037&lt;31,"Young-Adult",B2037&lt;41,"Adult",B2037&lt;61,"Middle-aged",B2037&gt;=61,"Senior")</f>
        <v>Middle-aged</v>
      </c>
      <c r="S2037" cm="1">
        <f t="array" ref="S2037">_xlfn.IFS(Q2037 ="Fortnightly",14,Q2037="Weekly",7,Q2037="Monthly",30,Q2037="Quarterly",90,Q2037="Bi-Weekly",14,Q2037="Annually",365,Q2037="Every 3 Months",90,TRUE,"NOT FOUND")</f>
        <v>7</v>
      </c>
    </row>
    <row r="2038" spans="1:19" x14ac:dyDescent="0.35">
      <c r="A2038">
        <v>2037</v>
      </c>
      <c r="B2038">
        <v>37</v>
      </c>
      <c r="C2038" t="s">
        <v>7</v>
      </c>
      <c r="D2038" t="s">
        <v>8</v>
      </c>
      <c r="E2038" t="s">
        <v>9</v>
      </c>
      <c r="F2038">
        <v>63</v>
      </c>
      <c r="G2038" t="s">
        <v>136</v>
      </c>
      <c r="H2038" t="s">
        <v>24</v>
      </c>
      <c r="I2038" t="s">
        <v>81</v>
      </c>
      <c r="J2038" t="s">
        <v>13</v>
      </c>
      <c r="K2038">
        <v>3.1</v>
      </c>
      <c r="L2038" t="s">
        <v>140</v>
      </c>
      <c r="M2038" t="s">
        <v>33</v>
      </c>
      <c r="N2038" t="s">
        <v>140</v>
      </c>
      <c r="O2038">
        <v>46</v>
      </c>
      <c r="P2038" t="s">
        <v>21</v>
      </c>
      <c r="Q2038" t="s">
        <v>28</v>
      </c>
      <c r="R2038" t="str" cm="1">
        <f t="array" ref="R2038">_xlfn.IFS(B2038&lt;31,"Young-Adult",B2038&lt;41,"Adult",B2038&lt;61,"Middle-aged",B2038&gt;=61,"Senior")</f>
        <v>Adult</v>
      </c>
      <c r="S2038" cm="1">
        <f t="array" ref="S2038">_xlfn.IFS(Q2038 ="Fortnightly",14,Q2038="Weekly",7,Q2038="Monthly",30,Q2038="Quarterly",90,Q2038="Bi-Weekly",14,Q2038="Annually",365,Q2038="Every 3 Months",90,TRUE,"NOT FOUND")</f>
        <v>7</v>
      </c>
    </row>
    <row r="2039" spans="1:19" x14ac:dyDescent="0.35">
      <c r="A2039">
        <v>2038</v>
      </c>
      <c r="B2039">
        <v>39</v>
      </c>
      <c r="C2039" t="s">
        <v>7</v>
      </c>
      <c r="D2039" t="s">
        <v>121</v>
      </c>
      <c r="E2039" t="s">
        <v>55</v>
      </c>
      <c r="F2039">
        <v>87</v>
      </c>
      <c r="G2039" t="s">
        <v>103</v>
      </c>
      <c r="H2039" t="s">
        <v>24</v>
      </c>
      <c r="I2039" t="s">
        <v>84</v>
      </c>
      <c r="J2039" t="s">
        <v>41</v>
      </c>
      <c r="K2039">
        <v>4.3</v>
      </c>
      <c r="L2039" t="s">
        <v>140</v>
      </c>
      <c r="M2039" t="s">
        <v>15</v>
      </c>
      <c r="N2039" t="s">
        <v>140</v>
      </c>
      <c r="O2039">
        <v>7</v>
      </c>
      <c r="P2039" t="s">
        <v>16</v>
      </c>
      <c r="Q2039" t="s">
        <v>64</v>
      </c>
      <c r="R2039" t="str" cm="1">
        <f t="array" ref="R2039">_xlfn.IFS(B2039&lt;31,"Young-Adult",B2039&lt;41,"Adult",B2039&lt;61,"Middle-aged",B2039&gt;=61,"Senior")</f>
        <v>Adult</v>
      </c>
      <c r="S2039" cm="1">
        <f t="array" ref="S2039">_xlfn.IFS(Q2039 ="Fortnightly",14,Q2039="Weekly",7,Q2039="Monthly",30,Q2039="Quarterly",90,Q2039="Bi-Weekly",14,Q2039="Annually",365,Q2039="Every 3 Months",90,TRUE,"NOT FOUND")</f>
        <v>14</v>
      </c>
    </row>
    <row r="2040" spans="1:19" x14ac:dyDescent="0.35">
      <c r="A2040">
        <v>2039</v>
      </c>
      <c r="B2040">
        <v>53</v>
      </c>
      <c r="C2040" t="s">
        <v>7</v>
      </c>
      <c r="D2040" t="s">
        <v>8</v>
      </c>
      <c r="E2040" t="s">
        <v>9</v>
      </c>
      <c r="F2040">
        <v>70</v>
      </c>
      <c r="G2040" t="s">
        <v>60</v>
      </c>
      <c r="H2040" t="s">
        <v>11</v>
      </c>
      <c r="I2040" t="s">
        <v>109</v>
      </c>
      <c r="J2040" t="s">
        <v>25</v>
      </c>
      <c r="K2040">
        <v>4.4000000000000004</v>
      </c>
      <c r="L2040" t="s">
        <v>140</v>
      </c>
      <c r="M2040" t="s">
        <v>33</v>
      </c>
      <c r="N2040" t="s">
        <v>140</v>
      </c>
      <c r="O2040">
        <v>35</v>
      </c>
      <c r="P2040" t="s">
        <v>27</v>
      </c>
      <c r="Q2040" t="s">
        <v>17</v>
      </c>
      <c r="R2040" t="str" cm="1">
        <f t="array" ref="R2040">_xlfn.IFS(B2040&lt;31,"Young-Adult",B2040&lt;41,"Adult",B2040&lt;61,"Middle-aged",B2040&gt;=61,"Senior")</f>
        <v>Middle-aged</v>
      </c>
      <c r="S2040" cm="1">
        <f t="array" ref="S2040">_xlfn.IFS(Q2040 ="Fortnightly",14,Q2040="Weekly",7,Q2040="Monthly",30,Q2040="Quarterly",90,Q2040="Bi-Weekly",14,Q2040="Annually",365,Q2040="Every 3 Months",90,TRUE,"NOT FOUND")</f>
        <v>14</v>
      </c>
    </row>
    <row r="2041" spans="1:19" x14ac:dyDescent="0.35">
      <c r="A2041">
        <v>2040</v>
      </c>
      <c r="B2041">
        <v>35</v>
      </c>
      <c r="C2041" t="s">
        <v>7</v>
      </c>
      <c r="D2041" t="s">
        <v>101</v>
      </c>
      <c r="E2041" t="s">
        <v>9</v>
      </c>
      <c r="F2041">
        <v>51</v>
      </c>
      <c r="G2041" t="s">
        <v>136</v>
      </c>
      <c r="H2041" t="s">
        <v>32</v>
      </c>
      <c r="I2041" t="s">
        <v>66</v>
      </c>
      <c r="J2041" t="s">
        <v>25</v>
      </c>
      <c r="K2041">
        <v>3.1</v>
      </c>
      <c r="L2041" t="s">
        <v>140</v>
      </c>
      <c r="M2041" t="s">
        <v>33</v>
      </c>
      <c r="N2041" t="s">
        <v>140</v>
      </c>
      <c r="O2041">
        <v>31</v>
      </c>
      <c r="P2041" t="s">
        <v>74</v>
      </c>
      <c r="Q2041" t="s">
        <v>64</v>
      </c>
      <c r="R2041" t="str" cm="1">
        <f t="array" ref="R2041">_xlfn.IFS(B2041&lt;31,"Young-Adult",B2041&lt;41,"Adult",B2041&lt;61,"Middle-aged",B2041&gt;=61,"Senior")</f>
        <v>Adult</v>
      </c>
      <c r="S2041" cm="1">
        <f t="array" ref="S2041">_xlfn.IFS(Q2041 ="Fortnightly",14,Q2041="Weekly",7,Q2041="Monthly",30,Q2041="Quarterly",90,Q2041="Bi-Weekly",14,Q2041="Annually",365,Q2041="Every 3 Months",90,TRUE,"NOT FOUND")</f>
        <v>14</v>
      </c>
    </row>
    <row r="2042" spans="1:19" x14ac:dyDescent="0.35">
      <c r="A2042">
        <v>2041</v>
      </c>
      <c r="B2042">
        <v>69</v>
      </c>
      <c r="C2042" t="s">
        <v>7</v>
      </c>
      <c r="D2042" t="s">
        <v>94</v>
      </c>
      <c r="E2042" t="s">
        <v>55</v>
      </c>
      <c r="F2042">
        <v>25</v>
      </c>
      <c r="G2042" t="s">
        <v>119</v>
      </c>
      <c r="H2042" t="s">
        <v>80</v>
      </c>
      <c r="I2042" t="s">
        <v>12</v>
      </c>
      <c r="J2042" t="s">
        <v>25</v>
      </c>
      <c r="K2042">
        <v>2.9</v>
      </c>
      <c r="L2042" t="s">
        <v>140</v>
      </c>
      <c r="M2042" t="s">
        <v>26</v>
      </c>
      <c r="N2042" t="s">
        <v>140</v>
      </c>
      <c r="O2042">
        <v>42</v>
      </c>
      <c r="P2042" t="s">
        <v>16</v>
      </c>
      <c r="Q2042" t="s">
        <v>46</v>
      </c>
      <c r="R2042" t="str" cm="1">
        <f t="array" ref="R2042">_xlfn.IFS(B2042&lt;31,"Young-Adult",B2042&lt;41,"Adult",B2042&lt;61,"Middle-aged",B2042&gt;=61,"Senior")</f>
        <v>Senior</v>
      </c>
      <c r="S2042" cm="1">
        <f t="array" ref="S2042">_xlfn.IFS(Q2042 ="Fortnightly",14,Q2042="Weekly",7,Q2042="Monthly",30,Q2042="Quarterly",90,Q2042="Bi-Weekly",14,Q2042="Annually",365,Q2042="Every 3 Months",90,TRUE,"NOT FOUND")</f>
        <v>90</v>
      </c>
    </row>
    <row r="2043" spans="1:19" x14ac:dyDescent="0.35">
      <c r="A2043">
        <v>2042</v>
      </c>
      <c r="B2043">
        <v>66</v>
      </c>
      <c r="C2043" t="s">
        <v>7</v>
      </c>
      <c r="D2043" t="s">
        <v>90</v>
      </c>
      <c r="E2043" t="s">
        <v>51</v>
      </c>
      <c r="F2043">
        <v>32</v>
      </c>
      <c r="G2043" t="s">
        <v>72</v>
      </c>
      <c r="H2043" t="s">
        <v>24</v>
      </c>
      <c r="I2043" t="s">
        <v>81</v>
      </c>
      <c r="J2043" t="s">
        <v>13</v>
      </c>
      <c r="K2043">
        <v>3.2</v>
      </c>
      <c r="L2043" t="s">
        <v>140</v>
      </c>
      <c r="M2043" t="s">
        <v>33</v>
      </c>
      <c r="N2043" t="s">
        <v>140</v>
      </c>
      <c r="O2043">
        <v>14</v>
      </c>
      <c r="P2043" t="s">
        <v>34</v>
      </c>
      <c r="Q2043" t="s">
        <v>64</v>
      </c>
      <c r="R2043" t="str" cm="1">
        <f t="array" ref="R2043">_xlfn.IFS(B2043&lt;31,"Young-Adult",B2043&lt;41,"Adult",B2043&lt;61,"Middle-aged",B2043&gt;=61,"Senior")</f>
        <v>Senior</v>
      </c>
      <c r="S2043" cm="1">
        <f t="array" ref="S2043">_xlfn.IFS(Q2043 ="Fortnightly",14,Q2043="Weekly",7,Q2043="Monthly",30,Q2043="Quarterly",90,Q2043="Bi-Weekly",14,Q2043="Annually",365,Q2043="Every 3 Months",90,TRUE,"NOT FOUND")</f>
        <v>14</v>
      </c>
    </row>
    <row r="2044" spans="1:19" x14ac:dyDescent="0.35">
      <c r="A2044">
        <v>2043</v>
      </c>
      <c r="B2044">
        <v>19</v>
      </c>
      <c r="C2044" t="s">
        <v>7</v>
      </c>
      <c r="D2044" t="s">
        <v>59</v>
      </c>
      <c r="E2044" t="s">
        <v>30</v>
      </c>
      <c r="F2044">
        <v>52</v>
      </c>
      <c r="G2044" t="s">
        <v>78</v>
      </c>
      <c r="H2044" t="s">
        <v>32</v>
      </c>
      <c r="I2044" t="s">
        <v>96</v>
      </c>
      <c r="J2044" t="s">
        <v>25</v>
      </c>
      <c r="K2044">
        <v>4</v>
      </c>
      <c r="L2044" t="s">
        <v>140</v>
      </c>
      <c r="M2044" t="s">
        <v>58</v>
      </c>
      <c r="N2044" t="s">
        <v>140</v>
      </c>
      <c r="O2044">
        <v>35</v>
      </c>
      <c r="P2044" t="s">
        <v>16</v>
      </c>
      <c r="Q2044" t="s">
        <v>76</v>
      </c>
      <c r="R2044" t="str" cm="1">
        <f t="array" ref="R2044">_xlfn.IFS(B2044&lt;31,"Young-Adult",B2044&lt;41,"Adult",B2044&lt;61,"Middle-aged",B2044&gt;=61,"Senior")</f>
        <v>Young-Adult</v>
      </c>
      <c r="S2044" cm="1">
        <f t="array" ref="S2044">_xlfn.IFS(Q2044 ="Fortnightly",14,Q2044="Weekly",7,Q2044="Monthly",30,Q2044="Quarterly",90,Q2044="Bi-Weekly",14,Q2044="Annually",365,Q2044="Every 3 Months",90,TRUE,"NOT FOUND")</f>
        <v>30</v>
      </c>
    </row>
    <row r="2045" spans="1:19" x14ac:dyDescent="0.35">
      <c r="A2045">
        <v>2044</v>
      </c>
      <c r="B2045">
        <v>47</v>
      </c>
      <c r="C2045" t="s">
        <v>7</v>
      </c>
      <c r="D2045" t="s">
        <v>131</v>
      </c>
      <c r="E2045" t="s">
        <v>55</v>
      </c>
      <c r="F2045">
        <v>33</v>
      </c>
      <c r="G2045" t="s">
        <v>72</v>
      </c>
      <c r="H2045" t="s">
        <v>32</v>
      </c>
      <c r="I2045" t="s">
        <v>49</v>
      </c>
      <c r="J2045" t="s">
        <v>41</v>
      </c>
      <c r="K2045">
        <v>2.7</v>
      </c>
      <c r="L2045" t="s">
        <v>140</v>
      </c>
      <c r="M2045" t="s">
        <v>42</v>
      </c>
      <c r="N2045" t="s">
        <v>140</v>
      </c>
      <c r="O2045">
        <v>49</v>
      </c>
      <c r="P2045" t="s">
        <v>34</v>
      </c>
      <c r="Q2045" t="s">
        <v>28</v>
      </c>
      <c r="R2045" t="str" cm="1">
        <f t="array" ref="R2045">_xlfn.IFS(B2045&lt;31,"Young-Adult",B2045&lt;41,"Adult",B2045&lt;61,"Middle-aged",B2045&gt;=61,"Senior")</f>
        <v>Middle-aged</v>
      </c>
      <c r="S2045" cm="1">
        <f t="array" ref="S2045">_xlfn.IFS(Q2045 ="Fortnightly",14,Q2045="Weekly",7,Q2045="Monthly",30,Q2045="Quarterly",90,Q2045="Bi-Weekly",14,Q2045="Annually",365,Q2045="Every 3 Months",90,TRUE,"NOT FOUND")</f>
        <v>7</v>
      </c>
    </row>
    <row r="2046" spans="1:19" x14ac:dyDescent="0.35">
      <c r="A2046">
        <v>2045</v>
      </c>
      <c r="B2046">
        <v>49</v>
      </c>
      <c r="C2046" t="s">
        <v>7</v>
      </c>
      <c r="D2046" t="s">
        <v>22</v>
      </c>
      <c r="E2046" t="s">
        <v>9</v>
      </c>
      <c r="F2046">
        <v>68</v>
      </c>
      <c r="G2046" t="s">
        <v>56</v>
      </c>
      <c r="H2046" t="s">
        <v>11</v>
      </c>
      <c r="I2046" t="s">
        <v>109</v>
      </c>
      <c r="J2046" t="s">
        <v>25</v>
      </c>
      <c r="K2046">
        <v>3</v>
      </c>
      <c r="L2046" t="s">
        <v>140</v>
      </c>
      <c r="M2046" t="s">
        <v>26</v>
      </c>
      <c r="N2046" t="s">
        <v>140</v>
      </c>
      <c r="O2046">
        <v>17</v>
      </c>
      <c r="P2046" t="s">
        <v>34</v>
      </c>
      <c r="Q2046" t="s">
        <v>17</v>
      </c>
      <c r="R2046" t="str" cm="1">
        <f t="array" ref="R2046">_xlfn.IFS(B2046&lt;31,"Young-Adult",B2046&lt;41,"Adult",B2046&lt;61,"Middle-aged",B2046&gt;=61,"Senior")</f>
        <v>Middle-aged</v>
      </c>
      <c r="S2046" cm="1">
        <f t="array" ref="S2046">_xlfn.IFS(Q2046 ="Fortnightly",14,Q2046="Weekly",7,Q2046="Monthly",30,Q2046="Quarterly",90,Q2046="Bi-Weekly",14,Q2046="Annually",365,Q2046="Every 3 Months",90,TRUE,"NOT FOUND")</f>
        <v>14</v>
      </c>
    </row>
    <row r="2047" spans="1:19" x14ac:dyDescent="0.35">
      <c r="A2047">
        <v>2046</v>
      </c>
      <c r="B2047">
        <v>31</v>
      </c>
      <c r="C2047" t="s">
        <v>7</v>
      </c>
      <c r="D2047" t="s">
        <v>94</v>
      </c>
      <c r="E2047" t="s">
        <v>55</v>
      </c>
      <c r="F2047">
        <v>20</v>
      </c>
      <c r="G2047" t="s">
        <v>130</v>
      </c>
      <c r="H2047" t="s">
        <v>32</v>
      </c>
      <c r="I2047" t="s">
        <v>96</v>
      </c>
      <c r="J2047" t="s">
        <v>45</v>
      </c>
      <c r="K2047">
        <v>4.4000000000000004</v>
      </c>
      <c r="L2047" t="s">
        <v>140</v>
      </c>
      <c r="M2047" t="s">
        <v>15</v>
      </c>
      <c r="N2047" t="s">
        <v>140</v>
      </c>
      <c r="O2047">
        <v>26</v>
      </c>
      <c r="P2047" t="s">
        <v>34</v>
      </c>
      <c r="Q2047" t="s">
        <v>46</v>
      </c>
      <c r="R2047" t="str" cm="1">
        <f t="array" ref="R2047">_xlfn.IFS(B2047&lt;31,"Young-Adult",B2047&lt;41,"Adult",B2047&lt;61,"Middle-aged",B2047&gt;=61,"Senior")</f>
        <v>Adult</v>
      </c>
      <c r="S2047" cm="1">
        <f t="array" ref="S2047">_xlfn.IFS(Q2047 ="Fortnightly",14,Q2047="Weekly",7,Q2047="Monthly",30,Q2047="Quarterly",90,Q2047="Bi-Weekly",14,Q2047="Annually",365,Q2047="Every 3 Months",90,TRUE,"NOT FOUND")</f>
        <v>90</v>
      </c>
    </row>
    <row r="2048" spans="1:19" x14ac:dyDescent="0.35">
      <c r="A2048">
        <v>2047</v>
      </c>
      <c r="B2048">
        <v>39</v>
      </c>
      <c r="C2048" t="s">
        <v>7</v>
      </c>
      <c r="D2048" t="s">
        <v>83</v>
      </c>
      <c r="E2048" t="s">
        <v>9</v>
      </c>
      <c r="F2048">
        <v>32</v>
      </c>
      <c r="G2048" t="s">
        <v>89</v>
      </c>
      <c r="H2048" t="s">
        <v>32</v>
      </c>
      <c r="I2048" t="s">
        <v>20</v>
      </c>
      <c r="J2048" t="s">
        <v>13</v>
      </c>
      <c r="K2048">
        <v>2.8</v>
      </c>
      <c r="L2048" t="s">
        <v>140</v>
      </c>
      <c r="M2048" t="s">
        <v>26</v>
      </c>
      <c r="N2048" t="s">
        <v>140</v>
      </c>
      <c r="O2048">
        <v>30</v>
      </c>
      <c r="P2048" t="s">
        <v>21</v>
      </c>
      <c r="Q2048" t="s">
        <v>85</v>
      </c>
      <c r="R2048" t="str" cm="1">
        <f t="array" ref="R2048">_xlfn.IFS(B2048&lt;31,"Young-Adult",B2048&lt;41,"Adult",B2048&lt;61,"Middle-aged",B2048&gt;=61,"Senior")</f>
        <v>Adult</v>
      </c>
      <c r="S2048" cm="1">
        <f t="array" ref="S2048">_xlfn.IFS(Q2048 ="Fortnightly",14,Q2048="Weekly",7,Q2048="Monthly",30,Q2048="Quarterly",90,Q2048="Bi-Weekly",14,Q2048="Annually",365,Q2048="Every 3 Months",90,TRUE,"NOT FOUND")</f>
        <v>90</v>
      </c>
    </row>
    <row r="2049" spans="1:19" x14ac:dyDescent="0.35">
      <c r="A2049">
        <v>2048</v>
      </c>
      <c r="B2049">
        <v>58</v>
      </c>
      <c r="C2049" t="s">
        <v>7</v>
      </c>
      <c r="D2049" t="s">
        <v>94</v>
      </c>
      <c r="E2049" t="s">
        <v>55</v>
      </c>
      <c r="F2049">
        <v>82</v>
      </c>
      <c r="G2049" t="s">
        <v>127</v>
      </c>
      <c r="H2049" t="s">
        <v>32</v>
      </c>
      <c r="I2049" t="s">
        <v>53</v>
      </c>
      <c r="J2049" t="s">
        <v>41</v>
      </c>
      <c r="K2049">
        <v>3.1</v>
      </c>
      <c r="L2049" t="s">
        <v>140</v>
      </c>
      <c r="M2049" t="s">
        <v>62</v>
      </c>
      <c r="N2049" t="s">
        <v>140</v>
      </c>
      <c r="O2049">
        <v>32</v>
      </c>
      <c r="P2049" t="s">
        <v>21</v>
      </c>
      <c r="Q2049" t="s">
        <v>37</v>
      </c>
      <c r="R2049" t="str" cm="1">
        <f t="array" ref="R2049">_xlfn.IFS(B2049&lt;31,"Young-Adult",B2049&lt;41,"Adult",B2049&lt;61,"Middle-aged",B2049&gt;=61,"Senior")</f>
        <v>Middle-aged</v>
      </c>
      <c r="S2049" cm="1">
        <f t="array" ref="S2049">_xlfn.IFS(Q2049 ="Fortnightly",14,Q2049="Weekly",7,Q2049="Monthly",30,Q2049="Quarterly",90,Q2049="Bi-Weekly",14,Q2049="Annually",365,Q2049="Every 3 Months",90,TRUE,"NOT FOUND")</f>
        <v>365</v>
      </c>
    </row>
    <row r="2050" spans="1:19" x14ac:dyDescent="0.35">
      <c r="A2050">
        <v>2049</v>
      </c>
      <c r="B2050">
        <v>45</v>
      </c>
      <c r="C2050" t="s">
        <v>7</v>
      </c>
      <c r="D2050" t="s">
        <v>38</v>
      </c>
      <c r="E2050" t="s">
        <v>30</v>
      </c>
      <c r="F2050">
        <v>64</v>
      </c>
      <c r="G2050" t="s">
        <v>139</v>
      </c>
      <c r="H2050" t="s">
        <v>80</v>
      </c>
      <c r="I2050" t="s">
        <v>57</v>
      </c>
      <c r="J2050" t="s">
        <v>13</v>
      </c>
      <c r="K2050">
        <v>3.9</v>
      </c>
      <c r="L2050" t="s">
        <v>140</v>
      </c>
      <c r="M2050" t="s">
        <v>15</v>
      </c>
      <c r="N2050" t="s">
        <v>140</v>
      </c>
      <c r="O2050">
        <v>35</v>
      </c>
      <c r="P2050" t="s">
        <v>63</v>
      </c>
      <c r="Q2050" t="s">
        <v>46</v>
      </c>
      <c r="R2050" t="str" cm="1">
        <f t="array" ref="R2050">_xlfn.IFS(B2050&lt;31,"Young-Adult",B2050&lt;41,"Adult",B2050&lt;61,"Middle-aged",B2050&gt;=61,"Senior")</f>
        <v>Middle-aged</v>
      </c>
      <c r="S2050" cm="1">
        <f t="array" ref="S2050">_xlfn.IFS(Q2050 ="Fortnightly",14,Q2050="Weekly",7,Q2050="Monthly",30,Q2050="Quarterly",90,Q2050="Bi-Weekly",14,Q2050="Annually",365,Q2050="Every 3 Months",90,TRUE,"NOT FOUND")</f>
        <v>90</v>
      </c>
    </row>
    <row r="2051" spans="1:19" x14ac:dyDescent="0.35">
      <c r="A2051">
        <v>2050</v>
      </c>
      <c r="B2051">
        <v>68</v>
      </c>
      <c r="C2051" t="s">
        <v>7</v>
      </c>
      <c r="D2051" t="s">
        <v>125</v>
      </c>
      <c r="E2051" t="s">
        <v>30</v>
      </c>
      <c r="F2051">
        <v>24</v>
      </c>
      <c r="G2051" t="s">
        <v>31</v>
      </c>
      <c r="H2051" t="s">
        <v>11</v>
      </c>
      <c r="I2051" t="s">
        <v>132</v>
      </c>
      <c r="J2051" t="s">
        <v>45</v>
      </c>
      <c r="K2051">
        <v>2.7</v>
      </c>
      <c r="L2051" t="s">
        <v>140</v>
      </c>
      <c r="M2051" t="s">
        <v>42</v>
      </c>
      <c r="N2051" t="s">
        <v>140</v>
      </c>
      <c r="O2051">
        <v>15</v>
      </c>
      <c r="P2051" t="s">
        <v>16</v>
      </c>
      <c r="Q2051" t="s">
        <v>37</v>
      </c>
      <c r="R2051" t="str" cm="1">
        <f t="array" ref="R2051">_xlfn.IFS(B2051&lt;31,"Young-Adult",B2051&lt;41,"Adult",B2051&lt;61,"Middle-aged",B2051&gt;=61,"Senior")</f>
        <v>Senior</v>
      </c>
      <c r="S2051" cm="1">
        <f t="array" ref="S2051">_xlfn.IFS(Q2051 ="Fortnightly",14,Q2051="Weekly",7,Q2051="Monthly",30,Q2051="Quarterly",90,Q2051="Bi-Weekly",14,Q2051="Annually",365,Q2051="Every 3 Months",90,TRUE,"NOT FOUND")</f>
        <v>365</v>
      </c>
    </row>
    <row r="2052" spans="1:19" x14ac:dyDescent="0.35">
      <c r="A2052">
        <v>2051</v>
      </c>
      <c r="B2052">
        <v>35</v>
      </c>
      <c r="C2052" t="s">
        <v>7</v>
      </c>
      <c r="D2052" t="s">
        <v>112</v>
      </c>
      <c r="E2052" t="s">
        <v>55</v>
      </c>
      <c r="F2052">
        <v>96</v>
      </c>
      <c r="G2052" t="s">
        <v>79</v>
      </c>
      <c r="H2052" t="s">
        <v>32</v>
      </c>
      <c r="I2052" t="s">
        <v>73</v>
      </c>
      <c r="J2052" t="s">
        <v>41</v>
      </c>
      <c r="K2052">
        <v>3.4</v>
      </c>
      <c r="L2052" t="s">
        <v>140</v>
      </c>
      <c r="M2052" t="s">
        <v>62</v>
      </c>
      <c r="N2052" t="s">
        <v>140</v>
      </c>
      <c r="O2052">
        <v>10</v>
      </c>
      <c r="P2052" t="s">
        <v>74</v>
      </c>
      <c r="Q2052" t="s">
        <v>37</v>
      </c>
      <c r="R2052" t="str" cm="1">
        <f t="array" ref="R2052">_xlfn.IFS(B2052&lt;31,"Young-Adult",B2052&lt;41,"Adult",B2052&lt;61,"Middle-aged",B2052&gt;=61,"Senior")</f>
        <v>Adult</v>
      </c>
      <c r="S2052" cm="1">
        <f t="array" ref="S2052">_xlfn.IFS(Q2052 ="Fortnightly",14,Q2052="Weekly",7,Q2052="Monthly",30,Q2052="Quarterly",90,Q2052="Bi-Weekly",14,Q2052="Annually",365,Q2052="Every 3 Months",90,TRUE,"NOT FOUND")</f>
        <v>365</v>
      </c>
    </row>
    <row r="2053" spans="1:19" x14ac:dyDescent="0.35">
      <c r="A2053">
        <v>2052</v>
      </c>
      <c r="B2053">
        <v>65</v>
      </c>
      <c r="C2053" t="s">
        <v>7</v>
      </c>
      <c r="D2053" t="s">
        <v>101</v>
      </c>
      <c r="E2053" t="s">
        <v>9</v>
      </c>
      <c r="F2053">
        <v>94</v>
      </c>
      <c r="G2053" t="s">
        <v>23</v>
      </c>
      <c r="H2053" t="s">
        <v>11</v>
      </c>
      <c r="I2053" t="s">
        <v>82</v>
      </c>
      <c r="J2053" t="s">
        <v>25</v>
      </c>
      <c r="K2053">
        <v>3.8</v>
      </c>
      <c r="L2053" t="s">
        <v>140</v>
      </c>
      <c r="M2053" t="s">
        <v>26</v>
      </c>
      <c r="N2053" t="s">
        <v>140</v>
      </c>
      <c r="O2053">
        <v>14</v>
      </c>
      <c r="P2053" t="s">
        <v>27</v>
      </c>
      <c r="Q2053" t="s">
        <v>76</v>
      </c>
      <c r="R2053" t="str" cm="1">
        <f t="array" ref="R2053">_xlfn.IFS(B2053&lt;31,"Young-Adult",B2053&lt;41,"Adult",B2053&lt;61,"Middle-aged",B2053&gt;=61,"Senior")</f>
        <v>Senior</v>
      </c>
      <c r="S2053" cm="1">
        <f t="array" ref="S2053">_xlfn.IFS(Q2053 ="Fortnightly",14,Q2053="Weekly",7,Q2053="Monthly",30,Q2053="Quarterly",90,Q2053="Bi-Weekly",14,Q2053="Annually",365,Q2053="Every 3 Months",90,TRUE,"NOT FOUND")</f>
        <v>30</v>
      </c>
    </row>
    <row r="2054" spans="1:19" x14ac:dyDescent="0.35">
      <c r="A2054">
        <v>2053</v>
      </c>
      <c r="B2054">
        <v>45</v>
      </c>
      <c r="C2054" t="s">
        <v>7</v>
      </c>
      <c r="D2054" t="s">
        <v>120</v>
      </c>
      <c r="E2054" t="s">
        <v>55</v>
      </c>
      <c r="F2054">
        <v>48</v>
      </c>
      <c r="G2054" t="s">
        <v>70</v>
      </c>
      <c r="H2054" t="s">
        <v>32</v>
      </c>
      <c r="I2054" t="s">
        <v>12</v>
      </c>
      <c r="J2054" t="s">
        <v>13</v>
      </c>
      <c r="K2054">
        <v>3.7</v>
      </c>
      <c r="L2054" t="s">
        <v>140</v>
      </c>
      <c r="M2054" t="s">
        <v>58</v>
      </c>
      <c r="N2054" t="s">
        <v>140</v>
      </c>
      <c r="O2054">
        <v>30</v>
      </c>
      <c r="P2054" t="s">
        <v>63</v>
      </c>
      <c r="Q2054" t="s">
        <v>37</v>
      </c>
      <c r="R2054" t="str" cm="1">
        <f t="array" ref="R2054">_xlfn.IFS(B2054&lt;31,"Young-Adult",B2054&lt;41,"Adult",B2054&lt;61,"Middle-aged",B2054&gt;=61,"Senior")</f>
        <v>Middle-aged</v>
      </c>
      <c r="S2054" cm="1">
        <f t="array" ref="S2054">_xlfn.IFS(Q2054 ="Fortnightly",14,Q2054="Weekly",7,Q2054="Monthly",30,Q2054="Quarterly",90,Q2054="Bi-Weekly",14,Q2054="Annually",365,Q2054="Every 3 Months",90,TRUE,"NOT FOUND")</f>
        <v>365</v>
      </c>
    </row>
    <row r="2055" spans="1:19" x14ac:dyDescent="0.35">
      <c r="A2055">
        <v>2054</v>
      </c>
      <c r="B2055">
        <v>19</v>
      </c>
      <c r="C2055" t="s">
        <v>7</v>
      </c>
      <c r="D2055" t="s">
        <v>77</v>
      </c>
      <c r="E2055" t="s">
        <v>55</v>
      </c>
      <c r="F2055">
        <v>60</v>
      </c>
      <c r="G2055" t="s">
        <v>39</v>
      </c>
      <c r="H2055" t="s">
        <v>24</v>
      </c>
      <c r="I2055" t="s">
        <v>61</v>
      </c>
      <c r="J2055" t="s">
        <v>25</v>
      </c>
      <c r="K2055">
        <v>4.5</v>
      </c>
      <c r="L2055" t="s">
        <v>140</v>
      </c>
      <c r="M2055" t="s">
        <v>58</v>
      </c>
      <c r="N2055" t="s">
        <v>140</v>
      </c>
      <c r="O2055">
        <v>16</v>
      </c>
      <c r="P2055" t="s">
        <v>27</v>
      </c>
      <c r="Q2055" t="s">
        <v>17</v>
      </c>
      <c r="R2055" t="str" cm="1">
        <f t="array" ref="R2055">_xlfn.IFS(B2055&lt;31,"Young-Adult",B2055&lt;41,"Adult",B2055&lt;61,"Middle-aged",B2055&gt;=61,"Senior")</f>
        <v>Young-Adult</v>
      </c>
      <c r="S2055" cm="1">
        <f t="array" ref="S2055">_xlfn.IFS(Q2055 ="Fortnightly",14,Q2055="Weekly",7,Q2055="Monthly",30,Q2055="Quarterly",90,Q2055="Bi-Weekly",14,Q2055="Annually",365,Q2055="Every 3 Months",90,TRUE,"NOT FOUND")</f>
        <v>14</v>
      </c>
    </row>
    <row r="2056" spans="1:19" x14ac:dyDescent="0.35">
      <c r="A2056">
        <v>2055</v>
      </c>
      <c r="B2056">
        <v>65</v>
      </c>
      <c r="C2056" t="s">
        <v>7</v>
      </c>
      <c r="D2056" t="s">
        <v>18</v>
      </c>
      <c r="E2056" t="s">
        <v>9</v>
      </c>
      <c r="F2056">
        <v>56</v>
      </c>
      <c r="G2056" t="s">
        <v>115</v>
      </c>
      <c r="H2056" t="s">
        <v>80</v>
      </c>
      <c r="I2056" t="s">
        <v>68</v>
      </c>
      <c r="J2056" t="s">
        <v>25</v>
      </c>
      <c r="K2056">
        <v>2.9</v>
      </c>
      <c r="L2056" t="s">
        <v>140</v>
      </c>
      <c r="M2056" t="s">
        <v>15</v>
      </c>
      <c r="N2056" t="s">
        <v>140</v>
      </c>
      <c r="O2056">
        <v>14</v>
      </c>
      <c r="P2056" t="s">
        <v>34</v>
      </c>
      <c r="Q2056" t="s">
        <v>37</v>
      </c>
      <c r="R2056" t="str" cm="1">
        <f t="array" ref="R2056">_xlfn.IFS(B2056&lt;31,"Young-Adult",B2056&lt;41,"Adult",B2056&lt;61,"Middle-aged",B2056&gt;=61,"Senior")</f>
        <v>Senior</v>
      </c>
      <c r="S2056" cm="1">
        <f t="array" ref="S2056">_xlfn.IFS(Q2056 ="Fortnightly",14,Q2056="Weekly",7,Q2056="Monthly",30,Q2056="Quarterly",90,Q2056="Bi-Weekly",14,Q2056="Annually",365,Q2056="Every 3 Months",90,TRUE,"NOT FOUND")</f>
        <v>365</v>
      </c>
    </row>
    <row r="2057" spans="1:19" x14ac:dyDescent="0.35">
      <c r="A2057">
        <v>2056</v>
      </c>
      <c r="B2057">
        <v>28</v>
      </c>
      <c r="C2057" t="s">
        <v>7</v>
      </c>
      <c r="D2057" t="s">
        <v>54</v>
      </c>
      <c r="E2057" t="s">
        <v>55</v>
      </c>
      <c r="F2057">
        <v>33</v>
      </c>
      <c r="G2057" t="s">
        <v>93</v>
      </c>
      <c r="H2057" t="s">
        <v>32</v>
      </c>
      <c r="I2057" t="s">
        <v>53</v>
      </c>
      <c r="J2057" t="s">
        <v>45</v>
      </c>
      <c r="K2057">
        <v>3.4</v>
      </c>
      <c r="L2057" t="s">
        <v>140</v>
      </c>
      <c r="M2057" t="s">
        <v>58</v>
      </c>
      <c r="N2057" t="s">
        <v>140</v>
      </c>
      <c r="O2057">
        <v>28</v>
      </c>
      <c r="P2057" t="s">
        <v>63</v>
      </c>
      <c r="Q2057" t="s">
        <v>28</v>
      </c>
      <c r="R2057" t="str" cm="1">
        <f t="array" ref="R2057">_xlfn.IFS(B2057&lt;31,"Young-Adult",B2057&lt;41,"Adult",B2057&lt;61,"Middle-aged",B2057&gt;=61,"Senior")</f>
        <v>Young-Adult</v>
      </c>
      <c r="S2057" cm="1">
        <f t="array" ref="S2057">_xlfn.IFS(Q2057 ="Fortnightly",14,Q2057="Weekly",7,Q2057="Monthly",30,Q2057="Quarterly",90,Q2057="Bi-Weekly",14,Q2057="Annually",365,Q2057="Every 3 Months",90,TRUE,"NOT FOUND")</f>
        <v>7</v>
      </c>
    </row>
    <row r="2058" spans="1:19" x14ac:dyDescent="0.35">
      <c r="A2058">
        <v>2057</v>
      </c>
      <c r="B2058">
        <v>55</v>
      </c>
      <c r="C2058" t="s">
        <v>7</v>
      </c>
      <c r="D2058" t="s">
        <v>120</v>
      </c>
      <c r="E2058" t="s">
        <v>55</v>
      </c>
      <c r="F2058">
        <v>46</v>
      </c>
      <c r="G2058" t="s">
        <v>136</v>
      </c>
      <c r="H2058" t="s">
        <v>11</v>
      </c>
      <c r="I2058" t="s">
        <v>132</v>
      </c>
      <c r="J2058" t="s">
        <v>25</v>
      </c>
      <c r="K2058">
        <v>4.4000000000000004</v>
      </c>
      <c r="L2058" t="s">
        <v>140</v>
      </c>
      <c r="M2058" t="s">
        <v>58</v>
      </c>
      <c r="N2058" t="s">
        <v>140</v>
      </c>
      <c r="O2058">
        <v>29</v>
      </c>
      <c r="P2058" t="s">
        <v>34</v>
      </c>
      <c r="Q2058" t="s">
        <v>76</v>
      </c>
      <c r="R2058" t="str" cm="1">
        <f t="array" ref="R2058">_xlfn.IFS(B2058&lt;31,"Young-Adult",B2058&lt;41,"Adult",B2058&lt;61,"Middle-aged",B2058&gt;=61,"Senior")</f>
        <v>Middle-aged</v>
      </c>
      <c r="S2058" cm="1">
        <f t="array" ref="S2058">_xlfn.IFS(Q2058 ="Fortnightly",14,Q2058="Weekly",7,Q2058="Monthly",30,Q2058="Quarterly",90,Q2058="Bi-Weekly",14,Q2058="Annually",365,Q2058="Every 3 Months",90,TRUE,"NOT FOUND")</f>
        <v>30</v>
      </c>
    </row>
    <row r="2059" spans="1:19" x14ac:dyDescent="0.35">
      <c r="A2059">
        <v>2058</v>
      </c>
      <c r="B2059">
        <v>66</v>
      </c>
      <c r="C2059" t="s">
        <v>7</v>
      </c>
      <c r="D2059" t="s">
        <v>113</v>
      </c>
      <c r="E2059" t="s">
        <v>9</v>
      </c>
      <c r="F2059">
        <v>37</v>
      </c>
      <c r="G2059" t="s">
        <v>135</v>
      </c>
      <c r="H2059" t="s">
        <v>11</v>
      </c>
      <c r="I2059" t="s">
        <v>122</v>
      </c>
      <c r="J2059" t="s">
        <v>25</v>
      </c>
      <c r="K2059">
        <v>4.2</v>
      </c>
      <c r="L2059" t="s">
        <v>140</v>
      </c>
      <c r="M2059" t="s">
        <v>42</v>
      </c>
      <c r="N2059" t="s">
        <v>140</v>
      </c>
      <c r="O2059">
        <v>5</v>
      </c>
      <c r="P2059" t="s">
        <v>34</v>
      </c>
      <c r="Q2059" t="s">
        <v>85</v>
      </c>
      <c r="R2059" t="str" cm="1">
        <f t="array" ref="R2059">_xlfn.IFS(B2059&lt;31,"Young-Adult",B2059&lt;41,"Adult",B2059&lt;61,"Middle-aged",B2059&gt;=61,"Senior")</f>
        <v>Senior</v>
      </c>
      <c r="S2059" cm="1">
        <f t="array" ref="S2059">_xlfn.IFS(Q2059 ="Fortnightly",14,Q2059="Weekly",7,Q2059="Monthly",30,Q2059="Quarterly",90,Q2059="Bi-Weekly",14,Q2059="Annually",365,Q2059="Every 3 Months",90,TRUE,"NOT FOUND")</f>
        <v>90</v>
      </c>
    </row>
    <row r="2060" spans="1:19" x14ac:dyDescent="0.35">
      <c r="A2060">
        <v>2059</v>
      </c>
      <c r="B2060">
        <v>29</v>
      </c>
      <c r="C2060" t="s">
        <v>7</v>
      </c>
      <c r="D2060" t="s">
        <v>43</v>
      </c>
      <c r="E2060" t="s">
        <v>9</v>
      </c>
      <c r="F2060">
        <v>98</v>
      </c>
      <c r="G2060" t="s">
        <v>137</v>
      </c>
      <c r="H2060" t="s">
        <v>32</v>
      </c>
      <c r="I2060" t="s">
        <v>98</v>
      </c>
      <c r="J2060" t="s">
        <v>13</v>
      </c>
      <c r="K2060">
        <v>3.3</v>
      </c>
      <c r="L2060" t="s">
        <v>140</v>
      </c>
      <c r="M2060" t="s">
        <v>62</v>
      </c>
      <c r="N2060" t="s">
        <v>140</v>
      </c>
      <c r="O2060">
        <v>17</v>
      </c>
      <c r="P2060" t="s">
        <v>63</v>
      </c>
      <c r="Q2060" t="s">
        <v>46</v>
      </c>
      <c r="R2060" t="str" cm="1">
        <f t="array" ref="R2060">_xlfn.IFS(B2060&lt;31,"Young-Adult",B2060&lt;41,"Adult",B2060&lt;61,"Middle-aged",B2060&gt;=61,"Senior")</f>
        <v>Young-Adult</v>
      </c>
      <c r="S2060" cm="1">
        <f t="array" ref="S2060">_xlfn.IFS(Q2060 ="Fortnightly",14,Q2060="Weekly",7,Q2060="Monthly",30,Q2060="Quarterly",90,Q2060="Bi-Weekly",14,Q2060="Annually",365,Q2060="Every 3 Months",90,TRUE,"NOT FOUND")</f>
        <v>90</v>
      </c>
    </row>
    <row r="2061" spans="1:19" x14ac:dyDescent="0.35">
      <c r="A2061">
        <v>2060</v>
      </c>
      <c r="B2061">
        <v>56</v>
      </c>
      <c r="C2061" t="s">
        <v>7</v>
      </c>
      <c r="D2061" t="s">
        <v>47</v>
      </c>
      <c r="E2061" t="s">
        <v>9</v>
      </c>
      <c r="F2061">
        <v>50</v>
      </c>
      <c r="G2061" t="s">
        <v>87</v>
      </c>
      <c r="H2061" t="s">
        <v>80</v>
      </c>
      <c r="I2061" t="s">
        <v>106</v>
      </c>
      <c r="J2061" t="s">
        <v>25</v>
      </c>
      <c r="K2061">
        <v>3.7</v>
      </c>
      <c r="L2061" t="s">
        <v>140</v>
      </c>
      <c r="M2061" t="s">
        <v>15</v>
      </c>
      <c r="N2061" t="s">
        <v>140</v>
      </c>
      <c r="O2061">
        <v>50</v>
      </c>
      <c r="P2061" t="s">
        <v>34</v>
      </c>
      <c r="Q2061" t="s">
        <v>28</v>
      </c>
      <c r="R2061" t="str" cm="1">
        <f t="array" ref="R2061">_xlfn.IFS(B2061&lt;31,"Young-Adult",B2061&lt;41,"Adult",B2061&lt;61,"Middle-aged",B2061&gt;=61,"Senior")</f>
        <v>Middle-aged</v>
      </c>
      <c r="S2061" cm="1">
        <f t="array" ref="S2061">_xlfn.IFS(Q2061 ="Fortnightly",14,Q2061="Weekly",7,Q2061="Monthly",30,Q2061="Quarterly",90,Q2061="Bi-Weekly",14,Q2061="Annually",365,Q2061="Every 3 Months",90,TRUE,"NOT FOUND")</f>
        <v>7</v>
      </c>
    </row>
    <row r="2062" spans="1:19" x14ac:dyDescent="0.35">
      <c r="A2062">
        <v>2061</v>
      </c>
      <c r="B2062">
        <v>21</v>
      </c>
      <c r="C2062" t="s">
        <v>7</v>
      </c>
      <c r="D2062" t="s">
        <v>121</v>
      </c>
      <c r="E2062" t="s">
        <v>55</v>
      </c>
      <c r="F2062">
        <v>63</v>
      </c>
      <c r="G2062" t="s">
        <v>138</v>
      </c>
      <c r="H2062" t="s">
        <v>32</v>
      </c>
      <c r="I2062" t="s">
        <v>132</v>
      </c>
      <c r="J2062" t="s">
        <v>45</v>
      </c>
      <c r="K2062">
        <v>3.2</v>
      </c>
      <c r="L2062" t="s">
        <v>140</v>
      </c>
      <c r="M2062" t="s">
        <v>33</v>
      </c>
      <c r="N2062" t="s">
        <v>140</v>
      </c>
      <c r="O2062">
        <v>23</v>
      </c>
      <c r="P2062" t="s">
        <v>63</v>
      </c>
      <c r="Q2062" t="s">
        <v>46</v>
      </c>
      <c r="R2062" t="str" cm="1">
        <f t="array" ref="R2062">_xlfn.IFS(B2062&lt;31,"Young-Adult",B2062&lt;41,"Adult",B2062&lt;61,"Middle-aged",B2062&gt;=61,"Senior")</f>
        <v>Young-Adult</v>
      </c>
      <c r="S2062" cm="1">
        <f t="array" ref="S2062">_xlfn.IFS(Q2062 ="Fortnightly",14,Q2062="Weekly",7,Q2062="Monthly",30,Q2062="Quarterly",90,Q2062="Bi-Weekly",14,Q2062="Annually",365,Q2062="Every 3 Months",90,TRUE,"NOT FOUND")</f>
        <v>90</v>
      </c>
    </row>
    <row r="2063" spans="1:19" x14ac:dyDescent="0.35">
      <c r="A2063">
        <v>2062</v>
      </c>
      <c r="B2063">
        <v>32</v>
      </c>
      <c r="C2063" t="s">
        <v>7</v>
      </c>
      <c r="D2063" t="s">
        <v>18</v>
      </c>
      <c r="E2063" t="s">
        <v>9</v>
      </c>
      <c r="F2063">
        <v>70</v>
      </c>
      <c r="G2063" t="s">
        <v>139</v>
      </c>
      <c r="H2063" t="s">
        <v>24</v>
      </c>
      <c r="I2063" t="s">
        <v>124</v>
      </c>
      <c r="J2063" t="s">
        <v>41</v>
      </c>
      <c r="K2063">
        <v>2.6</v>
      </c>
      <c r="L2063" t="s">
        <v>140</v>
      </c>
      <c r="M2063" t="s">
        <v>62</v>
      </c>
      <c r="N2063" t="s">
        <v>140</v>
      </c>
      <c r="O2063">
        <v>22</v>
      </c>
      <c r="P2063" t="s">
        <v>74</v>
      </c>
      <c r="Q2063" t="s">
        <v>37</v>
      </c>
      <c r="R2063" t="str" cm="1">
        <f t="array" ref="R2063">_xlfn.IFS(B2063&lt;31,"Young-Adult",B2063&lt;41,"Adult",B2063&lt;61,"Middle-aged",B2063&gt;=61,"Senior")</f>
        <v>Adult</v>
      </c>
      <c r="S2063" cm="1">
        <f t="array" ref="S2063">_xlfn.IFS(Q2063 ="Fortnightly",14,Q2063="Weekly",7,Q2063="Monthly",30,Q2063="Quarterly",90,Q2063="Bi-Weekly",14,Q2063="Annually",365,Q2063="Every 3 Months",90,TRUE,"NOT FOUND")</f>
        <v>365</v>
      </c>
    </row>
    <row r="2064" spans="1:19" x14ac:dyDescent="0.35">
      <c r="A2064">
        <v>2063</v>
      </c>
      <c r="B2064">
        <v>54</v>
      </c>
      <c r="C2064" t="s">
        <v>7</v>
      </c>
      <c r="D2064" t="s">
        <v>50</v>
      </c>
      <c r="E2064" t="s">
        <v>51</v>
      </c>
      <c r="F2064">
        <v>63</v>
      </c>
      <c r="G2064" t="s">
        <v>119</v>
      </c>
      <c r="H2064" t="s">
        <v>11</v>
      </c>
      <c r="I2064" t="s">
        <v>53</v>
      </c>
      <c r="J2064" t="s">
        <v>45</v>
      </c>
      <c r="K2064">
        <v>2.8</v>
      </c>
      <c r="L2064" t="s">
        <v>140</v>
      </c>
      <c r="M2064" t="s">
        <v>42</v>
      </c>
      <c r="N2064" t="s">
        <v>140</v>
      </c>
      <c r="O2064">
        <v>15</v>
      </c>
      <c r="P2064" t="s">
        <v>21</v>
      </c>
      <c r="Q2064" t="s">
        <v>46</v>
      </c>
      <c r="R2064" t="str" cm="1">
        <f t="array" ref="R2064">_xlfn.IFS(B2064&lt;31,"Young-Adult",B2064&lt;41,"Adult",B2064&lt;61,"Middle-aged",B2064&gt;=61,"Senior")</f>
        <v>Middle-aged</v>
      </c>
      <c r="S2064" cm="1">
        <f t="array" ref="S2064">_xlfn.IFS(Q2064 ="Fortnightly",14,Q2064="Weekly",7,Q2064="Monthly",30,Q2064="Quarterly",90,Q2064="Bi-Weekly",14,Q2064="Annually",365,Q2064="Every 3 Months",90,TRUE,"NOT FOUND")</f>
        <v>90</v>
      </c>
    </row>
    <row r="2065" spans="1:19" x14ac:dyDescent="0.35">
      <c r="A2065">
        <v>2064</v>
      </c>
      <c r="B2065">
        <v>61</v>
      </c>
      <c r="C2065" t="s">
        <v>7</v>
      </c>
      <c r="D2065" t="s">
        <v>47</v>
      </c>
      <c r="E2065" t="s">
        <v>9</v>
      </c>
      <c r="F2065">
        <v>86</v>
      </c>
      <c r="G2065" t="s">
        <v>104</v>
      </c>
      <c r="H2065" t="s">
        <v>32</v>
      </c>
      <c r="I2065" t="s">
        <v>97</v>
      </c>
      <c r="J2065" t="s">
        <v>45</v>
      </c>
      <c r="K2065">
        <v>2.9</v>
      </c>
      <c r="L2065" t="s">
        <v>140</v>
      </c>
      <c r="M2065" t="s">
        <v>42</v>
      </c>
      <c r="N2065" t="s">
        <v>140</v>
      </c>
      <c r="O2065">
        <v>32</v>
      </c>
      <c r="P2065" t="s">
        <v>21</v>
      </c>
      <c r="Q2065" t="s">
        <v>76</v>
      </c>
      <c r="R2065" t="str" cm="1">
        <f t="array" ref="R2065">_xlfn.IFS(B2065&lt;31,"Young-Adult",B2065&lt;41,"Adult",B2065&lt;61,"Middle-aged",B2065&gt;=61,"Senior")</f>
        <v>Senior</v>
      </c>
      <c r="S2065" cm="1">
        <f t="array" ref="S2065">_xlfn.IFS(Q2065 ="Fortnightly",14,Q2065="Weekly",7,Q2065="Monthly",30,Q2065="Quarterly",90,Q2065="Bi-Weekly",14,Q2065="Annually",365,Q2065="Every 3 Months",90,TRUE,"NOT FOUND")</f>
        <v>30</v>
      </c>
    </row>
    <row r="2066" spans="1:19" x14ac:dyDescent="0.35">
      <c r="A2066">
        <v>2065</v>
      </c>
      <c r="B2066">
        <v>31</v>
      </c>
      <c r="C2066" t="s">
        <v>7</v>
      </c>
      <c r="D2066" t="s">
        <v>59</v>
      </c>
      <c r="E2066" t="s">
        <v>30</v>
      </c>
      <c r="F2066">
        <v>99</v>
      </c>
      <c r="G2066" t="s">
        <v>60</v>
      </c>
      <c r="H2066" t="s">
        <v>32</v>
      </c>
      <c r="I2066" t="s">
        <v>84</v>
      </c>
      <c r="J2066" t="s">
        <v>41</v>
      </c>
      <c r="K2066">
        <v>4</v>
      </c>
      <c r="L2066" t="s">
        <v>140</v>
      </c>
      <c r="M2066" t="s">
        <v>58</v>
      </c>
      <c r="N2066" t="s">
        <v>140</v>
      </c>
      <c r="O2066">
        <v>5</v>
      </c>
      <c r="P2066" t="s">
        <v>63</v>
      </c>
      <c r="Q2066" t="s">
        <v>76</v>
      </c>
      <c r="R2066" t="str" cm="1">
        <f t="array" ref="R2066">_xlfn.IFS(B2066&lt;31,"Young-Adult",B2066&lt;41,"Adult",B2066&lt;61,"Middle-aged",B2066&gt;=61,"Senior")</f>
        <v>Adult</v>
      </c>
      <c r="S2066" cm="1">
        <f t="array" ref="S2066">_xlfn.IFS(Q2066 ="Fortnightly",14,Q2066="Weekly",7,Q2066="Monthly",30,Q2066="Quarterly",90,Q2066="Bi-Weekly",14,Q2066="Annually",365,Q2066="Every 3 Months",90,TRUE,"NOT FOUND")</f>
        <v>30</v>
      </c>
    </row>
    <row r="2067" spans="1:19" x14ac:dyDescent="0.35">
      <c r="A2067">
        <v>2066</v>
      </c>
      <c r="B2067">
        <v>27</v>
      </c>
      <c r="C2067" t="s">
        <v>7</v>
      </c>
      <c r="D2067" t="s">
        <v>38</v>
      </c>
      <c r="E2067" t="s">
        <v>30</v>
      </c>
      <c r="F2067">
        <v>40</v>
      </c>
      <c r="G2067" t="s">
        <v>35</v>
      </c>
      <c r="H2067" t="s">
        <v>32</v>
      </c>
      <c r="I2067" t="s">
        <v>132</v>
      </c>
      <c r="J2067" t="s">
        <v>25</v>
      </c>
      <c r="K2067">
        <v>2.9</v>
      </c>
      <c r="L2067" t="s">
        <v>140</v>
      </c>
      <c r="M2067" t="s">
        <v>26</v>
      </c>
      <c r="N2067" t="s">
        <v>140</v>
      </c>
      <c r="O2067">
        <v>6</v>
      </c>
      <c r="P2067" t="s">
        <v>63</v>
      </c>
      <c r="Q2067" t="s">
        <v>64</v>
      </c>
      <c r="R2067" t="str" cm="1">
        <f t="array" ref="R2067">_xlfn.IFS(B2067&lt;31,"Young-Adult",B2067&lt;41,"Adult",B2067&lt;61,"Middle-aged",B2067&gt;=61,"Senior")</f>
        <v>Young-Adult</v>
      </c>
      <c r="S2067" cm="1">
        <f t="array" ref="S2067">_xlfn.IFS(Q2067 ="Fortnightly",14,Q2067="Weekly",7,Q2067="Monthly",30,Q2067="Quarterly",90,Q2067="Bi-Weekly",14,Q2067="Annually",365,Q2067="Every 3 Months",90,TRUE,"NOT FOUND")</f>
        <v>14</v>
      </c>
    </row>
    <row r="2068" spans="1:19" x14ac:dyDescent="0.35">
      <c r="A2068">
        <v>2067</v>
      </c>
      <c r="B2068">
        <v>64</v>
      </c>
      <c r="C2068" t="s">
        <v>7</v>
      </c>
      <c r="D2068" t="s">
        <v>38</v>
      </c>
      <c r="E2068" t="s">
        <v>30</v>
      </c>
      <c r="F2068">
        <v>92</v>
      </c>
      <c r="G2068" t="s">
        <v>103</v>
      </c>
      <c r="H2068" t="s">
        <v>32</v>
      </c>
      <c r="I2068" t="s">
        <v>66</v>
      </c>
      <c r="J2068" t="s">
        <v>45</v>
      </c>
      <c r="K2068">
        <v>4.7</v>
      </c>
      <c r="L2068" t="s">
        <v>140</v>
      </c>
      <c r="M2068" t="s">
        <v>62</v>
      </c>
      <c r="N2068" t="s">
        <v>140</v>
      </c>
      <c r="O2068">
        <v>44</v>
      </c>
      <c r="P2068" t="s">
        <v>74</v>
      </c>
      <c r="Q2068" t="s">
        <v>17</v>
      </c>
      <c r="R2068" t="str" cm="1">
        <f t="array" ref="R2068">_xlfn.IFS(B2068&lt;31,"Young-Adult",B2068&lt;41,"Adult",B2068&lt;61,"Middle-aged",B2068&gt;=61,"Senior")</f>
        <v>Senior</v>
      </c>
      <c r="S2068" cm="1">
        <f t="array" ref="S2068">_xlfn.IFS(Q2068 ="Fortnightly",14,Q2068="Weekly",7,Q2068="Monthly",30,Q2068="Quarterly",90,Q2068="Bi-Weekly",14,Q2068="Annually",365,Q2068="Every 3 Months",90,TRUE,"NOT FOUND")</f>
        <v>14</v>
      </c>
    </row>
    <row r="2069" spans="1:19" x14ac:dyDescent="0.35">
      <c r="A2069">
        <v>2068</v>
      </c>
      <c r="B2069">
        <v>60</v>
      </c>
      <c r="C2069" t="s">
        <v>7</v>
      </c>
      <c r="D2069" t="s">
        <v>83</v>
      </c>
      <c r="E2069" t="s">
        <v>9</v>
      </c>
      <c r="F2069">
        <v>21</v>
      </c>
      <c r="G2069" t="s">
        <v>116</v>
      </c>
      <c r="H2069" t="s">
        <v>80</v>
      </c>
      <c r="I2069" t="s">
        <v>106</v>
      </c>
      <c r="J2069" t="s">
        <v>45</v>
      </c>
      <c r="K2069">
        <v>3.1</v>
      </c>
      <c r="L2069" t="s">
        <v>140</v>
      </c>
      <c r="M2069" t="s">
        <v>58</v>
      </c>
      <c r="N2069" t="s">
        <v>140</v>
      </c>
      <c r="O2069">
        <v>23</v>
      </c>
      <c r="P2069" t="s">
        <v>21</v>
      </c>
      <c r="Q2069" t="s">
        <v>17</v>
      </c>
      <c r="R2069" t="str" cm="1">
        <f t="array" ref="R2069">_xlfn.IFS(B2069&lt;31,"Young-Adult",B2069&lt;41,"Adult",B2069&lt;61,"Middle-aged",B2069&gt;=61,"Senior")</f>
        <v>Middle-aged</v>
      </c>
      <c r="S2069" cm="1">
        <f t="array" ref="S2069">_xlfn.IFS(Q2069 ="Fortnightly",14,Q2069="Weekly",7,Q2069="Monthly",30,Q2069="Quarterly",90,Q2069="Bi-Weekly",14,Q2069="Annually",365,Q2069="Every 3 Months",90,TRUE,"NOT FOUND")</f>
        <v>14</v>
      </c>
    </row>
    <row r="2070" spans="1:19" x14ac:dyDescent="0.35">
      <c r="A2070">
        <v>2069</v>
      </c>
      <c r="B2070">
        <v>70</v>
      </c>
      <c r="C2070" t="s">
        <v>7</v>
      </c>
      <c r="D2070" t="s">
        <v>94</v>
      </c>
      <c r="E2070" t="s">
        <v>55</v>
      </c>
      <c r="F2070">
        <v>81</v>
      </c>
      <c r="G2070" t="s">
        <v>117</v>
      </c>
      <c r="H2070" t="s">
        <v>80</v>
      </c>
      <c r="I2070" t="s">
        <v>82</v>
      </c>
      <c r="J2070" t="s">
        <v>41</v>
      </c>
      <c r="K2070">
        <v>3.9</v>
      </c>
      <c r="L2070" t="s">
        <v>140</v>
      </c>
      <c r="M2070" t="s">
        <v>62</v>
      </c>
      <c r="N2070" t="s">
        <v>140</v>
      </c>
      <c r="O2070">
        <v>44</v>
      </c>
      <c r="P2070" t="s">
        <v>16</v>
      </c>
      <c r="Q2070" t="s">
        <v>76</v>
      </c>
      <c r="R2070" t="str" cm="1">
        <f t="array" ref="R2070">_xlfn.IFS(B2070&lt;31,"Young-Adult",B2070&lt;41,"Adult",B2070&lt;61,"Middle-aged",B2070&gt;=61,"Senior")</f>
        <v>Senior</v>
      </c>
      <c r="S2070" cm="1">
        <f t="array" ref="S2070">_xlfn.IFS(Q2070 ="Fortnightly",14,Q2070="Weekly",7,Q2070="Monthly",30,Q2070="Quarterly",90,Q2070="Bi-Weekly",14,Q2070="Annually",365,Q2070="Every 3 Months",90,TRUE,"NOT FOUND")</f>
        <v>30</v>
      </c>
    </row>
    <row r="2071" spans="1:19" x14ac:dyDescent="0.35">
      <c r="A2071">
        <v>2070</v>
      </c>
      <c r="B2071">
        <v>36</v>
      </c>
      <c r="C2071" t="s">
        <v>7</v>
      </c>
      <c r="D2071" t="s">
        <v>101</v>
      </c>
      <c r="E2071" t="s">
        <v>9</v>
      </c>
      <c r="F2071">
        <v>82</v>
      </c>
      <c r="G2071" t="s">
        <v>93</v>
      </c>
      <c r="H2071" t="s">
        <v>32</v>
      </c>
      <c r="I2071" t="s">
        <v>114</v>
      </c>
      <c r="J2071" t="s">
        <v>45</v>
      </c>
      <c r="K2071">
        <v>3.4</v>
      </c>
      <c r="L2071" t="s">
        <v>140</v>
      </c>
      <c r="M2071" t="s">
        <v>26</v>
      </c>
      <c r="N2071" t="s">
        <v>140</v>
      </c>
      <c r="O2071">
        <v>3</v>
      </c>
      <c r="P2071" t="s">
        <v>74</v>
      </c>
      <c r="Q2071" t="s">
        <v>46</v>
      </c>
      <c r="R2071" t="str" cm="1">
        <f t="array" ref="R2071">_xlfn.IFS(B2071&lt;31,"Young-Adult",B2071&lt;41,"Adult",B2071&lt;61,"Middle-aged",B2071&gt;=61,"Senior")</f>
        <v>Adult</v>
      </c>
      <c r="S2071" cm="1">
        <f t="array" ref="S2071">_xlfn.IFS(Q2071 ="Fortnightly",14,Q2071="Weekly",7,Q2071="Monthly",30,Q2071="Quarterly",90,Q2071="Bi-Weekly",14,Q2071="Annually",365,Q2071="Every 3 Months",90,TRUE,"NOT FOUND")</f>
        <v>90</v>
      </c>
    </row>
    <row r="2072" spans="1:19" x14ac:dyDescent="0.35">
      <c r="A2072">
        <v>2071</v>
      </c>
      <c r="B2072">
        <v>56</v>
      </c>
      <c r="C2072" t="s">
        <v>7</v>
      </c>
      <c r="D2072" t="s">
        <v>94</v>
      </c>
      <c r="E2072" t="s">
        <v>55</v>
      </c>
      <c r="F2072">
        <v>88</v>
      </c>
      <c r="G2072" t="s">
        <v>133</v>
      </c>
      <c r="H2072" t="s">
        <v>80</v>
      </c>
      <c r="I2072" t="s">
        <v>96</v>
      </c>
      <c r="J2072" t="s">
        <v>25</v>
      </c>
      <c r="K2072">
        <v>3.1</v>
      </c>
      <c r="L2072" t="s">
        <v>140</v>
      </c>
      <c r="M2072" t="s">
        <v>15</v>
      </c>
      <c r="N2072" t="s">
        <v>140</v>
      </c>
      <c r="O2072">
        <v>14</v>
      </c>
      <c r="P2072" t="s">
        <v>21</v>
      </c>
      <c r="Q2072" t="s">
        <v>76</v>
      </c>
      <c r="R2072" t="str" cm="1">
        <f t="array" ref="R2072">_xlfn.IFS(B2072&lt;31,"Young-Adult",B2072&lt;41,"Adult",B2072&lt;61,"Middle-aged",B2072&gt;=61,"Senior")</f>
        <v>Middle-aged</v>
      </c>
      <c r="S2072" cm="1">
        <f t="array" ref="S2072">_xlfn.IFS(Q2072 ="Fortnightly",14,Q2072="Weekly",7,Q2072="Monthly",30,Q2072="Quarterly",90,Q2072="Bi-Weekly",14,Q2072="Annually",365,Q2072="Every 3 Months",90,TRUE,"NOT FOUND")</f>
        <v>30</v>
      </c>
    </row>
    <row r="2073" spans="1:19" x14ac:dyDescent="0.35">
      <c r="A2073">
        <v>2072</v>
      </c>
      <c r="B2073">
        <v>69</v>
      </c>
      <c r="C2073" t="s">
        <v>7</v>
      </c>
      <c r="D2073" t="s">
        <v>90</v>
      </c>
      <c r="E2073" t="s">
        <v>51</v>
      </c>
      <c r="F2073">
        <v>100</v>
      </c>
      <c r="G2073" t="s">
        <v>119</v>
      </c>
      <c r="H2073" t="s">
        <v>24</v>
      </c>
      <c r="I2073" t="s">
        <v>122</v>
      </c>
      <c r="J2073" t="s">
        <v>45</v>
      </c>
      <c r="K2073">
        <v>4.8</v>
      </c>
      <c r="L2073" t="s">
        <v>140</v>
      </c>
      <c r="M2073" t="s">
        <v>62</v>
      </c>
      <c r="N2073" t="s">
        <v>140</v>
      </c>
      <c r="O2073">
        <v>37</v>
      </c>
      <c r="P2073" t="s">
        <v>34</v>
      </c>
      <c r="Q2073" t="s">
        <v>46</v>
      </c>
      <c r="R2073" t="str" cm="1">
        <f t="array" ref="R2073">_xlfn.IFS(B2073&lt;31,"Young-Adult",B2073&lt;41,"Adult",B2073&lt;61,"Middle-aged",B2073&gt;=61,"Senior")</f>
        <v>Senior</v>
      </c>
      <c r="S2073" cm="1">
        <f t="array" ref="S2073">_xlfn.IFS(Q2073 ="Fortnightly",14,Q2073="Weekly",7,Q2073="Monthly",30,Q2073="Quarterly",90,Q2073="Bi-Weekly",14,Q2073="Annually",365,Q2073="Every 3 Months",90,TRUE,"NOT FOUND")</f>
        <v>90</v>
      </c>
    </row>
    <row r="2074" spans="1:19" x14ac:dyDescent="0.35">
      <c r="A2074">
        <v>2073</v>
      </c>
      <c r="B2074">
        <v>39</v>
      </c>
      <c r="C2074" t="s">
        <v>7</v>
      </c>
      <c r="D2074" t="s">
        <v>120</v>
      </c>
      <c r="E2074" t="s">
        <v>55</v>
      </c>
      <c r="F2074">
        <v>66</v>
      </c>
      <c r="G2074" t="s">
        <v>23</v>
      </c>
      <c r="H2074" t="s">
        <v>32</v>
      </c>
      <c r="I2074" t="s">
        <v>106</v>
      </c>
      <c r="J2074" t="s">
        <v>13</v>
      </c>
      <c r="K2074">
        <v>3.9</v>
      </c>
      <c r="L2074" t="s">
        <v>140</v>
      </c>
      <c r="M2074" t="s">
        <v>33</v>
      </c>
      <c r="N2074" t="s">
        <v>140</v>
      </c>
      <c r="O2074">
        <v>22</v>
      </c>
      <c r="P2074" t="s">
        <v>63</v>
      </c>
      <c r="Q2074" t="s">
        <v>28</v>
      </c>
      <c r="R2074" t="str" cm="1">
        <f t="array" ref="R2074">_xlfn.IFS(B2074&lt;31,"Young-Adult",B2074&lt;41,"Adult",B2074&lt;61,"Middle-aged",B2074&gt;=61,"Senior")</f>
        <v>Adult</v>
      </c>
      <c r="S2074" cm="1">
        <f t="array" ref="S2074">_xlfn.IFS(Q2074 ="Fortnightly",14,Q2074="Weekly",7,Q2074="Monthly",30,Q2074="Quarterly",90,Q2074="Bi-Weekly",14,Q2074="Annually",365,Q2074="Every 3 Months",90,TRUE,"NOT FOUND")</f>
        <v>7</v>
      </c>
    </row>
    <row r="2075" spans="1:19" x14ac:dyDescent="0.35">
      <c r="A2075">
        <v>2074</v>
      </c>
      <c r="B2075">
        <v>38</v>
      </c>
      <c r="C2075" t="s">
        <v>7</v>
      </c>
      <c r="D2075" t="s">
        <v>121</v>
      </c>
      <c r="E2075" t="s">
        <v>55</v>
      </c>
      <c r="F2075">
        <v>25</v>
      </c>
      <c r="G2075" t="s">
        <v>93</v>
      </c>
      <c r="H2075" t="s">
        <v>24</v>
      </c>
      <c r="I2075" t="s">
        <v>84</v>
      </c>
      <c r="J2075" t="s">
        <v>13</v>
      </c>
      <c r="K2075">
        <v>3.5</v>
      </c>
      <c r="L2075" t="s">
        <v>140</v>
      </c>
      <c r="M2075" t="s">
        <v>33</v>
      </c>
      <c r="N2075" t="s">
        <v>140</v>
      </c>
      <c r="O2075">
        <v>2</v>
      </c>
      <c r="P2075" t="s">
        <v>34</v>
      </c>
      <c r="Q2075" t="s">
        <v>85</v>
      </c>
      <c r="R2075" t="str" cm="1">
        <f t="array" ref="R2075">_xlfn.IFS(B2075&lt;31,"Young-Adult",B2075&lt;41,"Adult",B2075&lt;61,"Middle-aged",B2075&gt;=61,"Senior")</f>
        <v>Adult</v>
      </c>
      <c r="S2075" cm="1">
        <f t="array" ref="S2075">_xlfn.IFS(Q2075 ="Fortnightly",14,Q2075="Weekly",7,Q2075="Monthly",30,Q2075="Quarterly",90,Q2075="Bi-Weekly",14,Q2075="Annually",365,Q2075="Every 3 Months",90,TRUE,"NOT FOUND")</f>
        <v>90</v>
      </c>
    </row>
    <row r="2076" spans="1:19" x14ac:dyDescent="0.35">
      <c r="A2076">
        <v>2075</v>
      </c>
      <c r="B2076">
        <v>36</v>
      </c>
      <c r="C2076" t="s">
        <v>7</v>
      </c>
      <c r="D2076" t="s">
        <v>107</v>
      </c>
      <c r="E2076" t="s">
        <v>55</v>
      </c>
      <c r="F2076">
        <v>53</v>
      </c>
      <c r="G2076" t="s">
        <v>91</v>
      </c>
      <c r="H2076" t="s">
        <v>32</v>
      </c>
      <c r="I2076" t="s">
        <v>40</v>
      </c>
      <c r="J2076" t="s">
        <v>41</v>
      </c>
      <c r="K2076">
        <v>3.1</v>
      </c>
      <c r="L2076" t="s">
        <v>140</v>
      </c>
      <c r="M2076" t="s">
        <v>26</v>
      </c>
      <c r="N2076" t="s">
        <v>140</v>
      </c>
      <c r="O2076">
        <v>44</v>
      </c>
      <c r="P2076" t="s">
        <v>74</v>
      </c>
      <c r="Q2076" t="s">
        <v>17</v>
      </c>
      <c r="R2076" t="str" cm="1">
        <f t="array" ref="R2076">_xlfn.IFS(B2076&lt;31,"Young-Adult",B2076&lt;41,"Adult",B2076&lt;61,"Middle-aged",B2076&gt;=61,"Senior")</f>
        <v>Adult</v>
      </c>
      <c r="S2076" cm="1">
        <f t="array" ref="S2076">_xlfn.IFS(Q2076 ="Fortnightly",14,Q2076="Weekly",7,Q2076="Monthly",30,Q2076="Quarterly",90,Q2076="Bi-Weekly",14,Q2076="Annually",365,Q2076="Every 3 Months",90,TRUE,"NOT FOUND")</f>
        <v>14</v>
      </c>
    </row>
    <row r="2077" spans="1:19" x14ac:dyDescent="0.35">
      <c r="A2077">
        <v>2076</v>
      </c>
      <c r="B2077">
        <v>46</v>
      </c>
      <c r="C2077" t="s">
        <v>7</v>
      </c>
      <c r="D2077" t="s">
        <v>18</v>
      </c>
      <c r="E2077" t="s">
        <v>9</v>
      </c>
      <c r="F2077">
        <v>28</v>
      </c>
      <c r="G2077" t="s">
        <v>119</v>
      </c>
      <c r="H2077" t="s">
        <v>24</v>
      </c>
      <c r="I2077" t="s">
        <v>36</v>
      </c>
      <c r="J2077" t="s">
        <v>45</v>
      </c>
      <c r="K2077">
        <v>4.7</v>
      </c>
      <c r="L2077" t="s">
        <v>140</v>
      </c>
      <c r="M2077" t="s">
        <v>15</v>
      </c>
      <c r="N2077" t="s">
        <v>140</v>
      </c>
      <c r="O2077">
        <v>49</v>
      </c>
      <c r="P2077" t="s">
        <v>74</v>
      </c>
      <c r="Q2077" t="s">
        <v>76</v>
      </c>
      <c r="R2077" t="str" cm="1">
        <f t="array" ref="R2077">_xlfn.IFS(B2077&lt;31,"Young-Adult",B2077&lt;41,"Adult",B2077&lt;61,"Middle-aged",B2077&gt;=61,"Senior")</f>
        <v>Middle-aged</v>
      </c>
      <c r="S2077" cm="1">
        <f t="array" ref="S2077">_xlfn.IFS(Q2077 ="Fortnightly",14,Q2077="Weekly",7,Q2077="Monthly",30,Q2077="Quarterly",90,Q2077="Bi-Weekly",14,Q2077="Annually",365,Q2077="Every 3 Months",90,TRUE,"NOT FOUND")</f>
        <v>30</v>
      </c>
    </row>
    <row r="2078" spans="1:19" x14ac:dyDescent="0.35">
      <c r="A2078">
        <v>2077</v>
      </c>
      <c r="B2078">
        <v>59</v>
      </c>
      <c r="C2078" t="s">
        <v>7</v>
      </c>
      <c r="D2078" t="s">
        <v>131</v>
      </c>
      <c r="E2078" t="s">
        <v>55</v>
      </c>
      <c r="F2078">
        <v>23</v>
      </c>
      <c r="G2078" t="s">
        <v>91</v>
      </c>
      <c r="H2078" t="s">
        <v>24</v>
      </c>
      <c r="I2078" t="s">
        <v>114</v>
      </c>
      <c r="J2078" t="s">
        <v>45</v>
      </c>
      <c r="K2078">
        <v>4.5999999999999996</v>
      </c>
      <c r="L2078" t="s">
        <v>140</v>
      </c>
      <c r="M2078" t="s">
        <v>26</v>
      </c>
      <c r="N2078" t="s">
        <v>140</v>
      </c>
      <c r="O2078">
        <v>22</v>
      </c>
      <c r="P2078" t="s">
        <v>74</v>
      </c>
      <c r="Q2078" t="s">
        <v>64</v>
      </c>
      <c r="R2078" t="str" cm="1">
        <f t="array" ref="R2078">_xlfn.IFS(B2078&lt;31,"Young-Adult",B2078&lt;41,"Adult",B2078&lt;61,"Middle-aged",B2078&gt;=61,"Senior")</f>
        <v>Middle-aged</v>
      </c>
      <c r="S2078" cm="1">
        <f t="array" ref="S2078">_xlfn.IFS(Q2078 ="Fortnightly",14,Q2078="Weekly",7,Q2078="Monthly",30,Q2078="Quarterly",90,Q2078="Bi-Weekly",14,Q2078="Annually",365,Q2078="Every 3 Months",90,TRUE,"NOT FOUND")</f>
        <v>14</v>
      </c>
    </row>
    <row r="2079" spans="1:19" x14ac:dyDescent="0.35">
      <c r="A2079">
        <v>2078</v>
      </c>
      <c r="B2079">
        <v>64</v>
      </c>
      <c r="C2079" t="s">
        <v>7</v>
      </c>
      <c r="D2079" t="s">
        <v>107</v>
      </c>
      <c r="E2079" t="s">
        <v>55</v>
      </c>
      <c r="F2079">
        <v>34</v>
      </c>
      <c r="G2079" t="s">
        <v>133</v>
      </c>
      <c r="H2079" t="s">
        <v>11</v>
      </c>
      <c r="I2079" t="s">
        <v>109</v>
      </c>
      <c r="J2079" t="s">
        <v>45</v>
      </c>
      <c r="K2079">
        <v>3.3</v>
      </c>
      <c r="L2079" t="s">
        <v>140</v>
      </c>
      <c r="M2079" t="s">
        <v>26</v>
      </c>
      <c r="N2079" t="s">
        <v>140</v>
      </c>
      <c r="O2079">
        <v>26</v>
      </c>
      <c r="P2079" t="s">
        <v>63</v>
      </c>
      <c r="Q2079" t="s">
        <v>37</v>
      </c>
      <c r="R2079" t="str" cm="1">
        <f t="array" ref="R2079">_xlfn.IFS(B2079&lt;31,"Young-Adult",B2079&lt;41,"Adult",B2079&lt;61,"Middle-aged",B2079&gt;=61,"Senior")</f>
        <v>Senior</v>
      </c>
      <c r="S2079" cm="1">
        <f t="array" ref="S2079">_xlfn.IFS(Q2079 ="Fortnightly",14,Q2079="Weekly",7,Q2079="Monthly",30,Q2079="Quarterly",90,Q2079="Bi-Weekly",14,Q2079="Annually",365,Q2079="Every 3 Months",90,TRUE,"NOT FOUND")</f>
        <v>365</v>
      </c>
    </row>
    <row r="2080" spans="1:19" x14ac:dyDescent="0.35">
      <c r="A2080">
        <v>2079</v>
      </c>
      <c r="B2080">
        <v>49</v>
      </c>
      <c r="C2080" t="s">
        <v>7</v>
      </c>
      <c r="D2080" t="s">
        <v>69</v>
      </c>
      <c r="E2080" t="s">
        <v>9</v>
      </c>
      <c r="F2080">
        <v>42</v>
      </c>
      <c r="G2080" t="s">
        <v>65</v>
      </c>
      <c r="H2080" t="s">
        <v>32</v>
      </c>
      <c r="I2080" t="s">
        <v>132</v>
      </c>
      <c r="J2080" t="s">
        <v>25</v>
      </c>
      <c r="K2080">
        <v>3.2</v>
      </c>
      <c r="L2080" t="s">
        <v>140</v>
      </c>
      <c r="M2080" t="s">
        <v>33</v>
      </c>
      <c r="N2080" t="s">
        <v>140</v>
      </c>
      <c r="O2080">
        <v>40</v>
      </c>
      <c r="P2080" t="s">
        <v>74</v>
      </c>
      <c r="Q2080" t="s">
        <v>28</v>
      </c>
      <c r="R2080" t="str" cm="1">
        <f t="array" ref="R2080">_xlfn.IFS(B2080&lt;31,"Young-Adult",B2080&lt;41,"Adult",B2080&lt;61,"Middle-aged",B2080&gt;=61,"Senior")</f>
        <v>Middle-aged</v>
      </c>
      <c r="S2080" cm="1">
        <f t="array" ref="S2080">_xlfn.IFS(Q2080 ="Fortnightly",14,Q2080="Weekly",7,Q2080="Monthly",30,Q2080="Quarterly",90,Q2080="Bi-Weekly",14,Q2080="Annually",365,Q2080="Every 3 Months",90,TRUE,"NOT FOUND")</f>
        <v>7</v>
      </c>
    </row>
    <row r="2081" spans="1:19" x14ac:dyDescent="0.35">
      <c r="A2081">
        <v>2080</v>
      </c>
      <c r="B2081">
        <v>32</v>
      </c>
      <c r="C2081" t="s">
        <v>7</v>
      </c>
      <c r="D2081" t="s">
        <v>22</v>
      </c>
      <c r="E2081" t="s">
        <v>9</v>
      </c>
      <c r="F2081">
        <v>24</v>
      </c>
      <c r="G2081" t="s">
        <v>44</v>
      </c>
      <c r="H2081" t="s">
        <v>11</v>
      </c>
      <c r="I2081" t="s">
        <v>71</v>
      </c>
      <c r="J2081" t="s">
        <v>41</v>
      </c>
      <c r="K2081">
        <v>3.1</v>
      </c>
      <c r="L2081" t="s">
        <v>140</v>
      </c>
      <c r="M2081" t="s">
        <v>33</v>
      </c>
      <c r="N2081" t="s">
        <v>140</v>
      </c>
      <c r="O2081">
        <v>16</v>
      </c>
      <c r="P2081" t="s">
        <v>34</v>
      </c>
      <c r="Q2081" t="s">
        <v>46</v>
      </c>
      <c r="R2081" t="str" cm="1">
        <f t="array" ref="R2081">_xlfn.IFS(B2081&lt;31,"Young-Adult",B2081&lt;41,"Adult",B2081&lt;61,"Middle-aged",B2081&gt;=61,"Senior")</f>
        <v>Adult</v>
      </c>
      <c r="S2081" cm="1">
        <f t="array" ref="S2081">_xlfn.IFS(Q2081 ="Fortnightly",14,Q2081="Weekly",7,Q2081="Monthly",30,Q2081="Quarterly",90,Q2081="Bi-Weekly",14,Q2081="Annually",365,Q2081="Every 3 Months",90,TRUE,"NOT FOUND")</f>
        <v>90</v>
      </c>
    </row>
    <row r="2082" spans="1:19" x14ac:dyDescent="0.35">
      <c r="A2082">
        <v>2081</v>
      </c>
      <c r="B2082">
        <v>29</v>
      </c>
      <c r="C2082" t="s">
        <v>7</v>
      </c>
      <c r="D2082" t="s">
        <v>77</v>
      </c>
      <c r="E2082" t="s">
        <v>55</v>
      </c>
      <c r="F2082">
        <v>47</v>
      </c>
      <c r="G2082" t="s">
        <v>135</v>
      </c>
      <c r="H2082" t="s">
        <v>24</v>
      </c>
      <c r="I2082" t="s">
        <v>12</v>
      </c>
      <c r="J2082" t="s">
        <v>45</v>
      </c>
      <c r="K2082">
        <v>3.5</v>
      </c>
      <c r="L2082" t="s">
        <v>140</v>
      </c>
      <c r="M2082" t="s">
        <v>26</v>
      </c>
      <c r="N2082" t="s">
        <v>140</v>
      </c>
      <c r="O2082">
        <v>17</v>
      </c>
      <c r="P2082" t="s">
        <v>74</v>
      </c>
      <c r="Q2082" t="s">
        <v>64</v>
      </c>
      <c r="R2082" t="str" cm="1">
        <f t="array" ref="R2082">_xlfn.IFS(B2082&lt;31,"Young-Adult",B2082&lt;41,"Adult",B2082&lt;61,"Middle-aged",B2082&gt;=61,"Senior")</f>
        <v>Young-Adult</v>
      </c>
      <c r="S2082" cm="1">
        <f t="array" ref="S2082">_xlfn.IFS(Q2082 ="Fortnightly",14,Q2082="Weekly",7,Q2082="Monthly",30,Q2082="Quarterly",90,Q2082="Bi-Weekly",14,Q2082="Annually",365,Q2082="Every 3 Months",90,TRUE,"NOT FOUND")</f>
        <v>14</v>
      </c>
    </row>
    <row r="2083" spans="1:19" x14ac:dyDescent="0.35">
      <c r="A2083">
        <v>2082</v>
      </c>
      <c r="B2083">
        <v>24</v>
      </c>
      <c r="C2083" t="s">
        <v>7</v>
      </c>
      <c r="D2083" t="s">
        <v>50</v>
      </c>
      <c r="E2083" t="s">
        <v>51</v>
      </c>
      <c r="F2083">
        <v>78</v>
      </c>
      <c r="G2083" t="s">
        <v>78</v>
      </c>
      <c r="H2083" t="s">
        <v>24</v>
      </c>
      <c r="I2083" t="s">
        <v>97</v>
      </c>
      <c r="J2083" t="s">
        <v>25</v>
      </c>
      <c r="K2083">
        <v>4.3</v>
      </c>
      <c r="L2083" t="s">
        <v>140</v>
      </c>
      <c r="M2083" t="s">
        <v>42</v>
      </c>
      <c r="N2083" t="s">
        <v>140</v>
      </c>
      <c r="O2083">
        <v>48</v>
      </c>
      <c r="P2083" t="s">
        <v>63</v>
      </c>
      <c r="Q2083" t="s">
        <v>64</v>
      </c>
      <c r="R2083" t="str" cm="1">
        <f t="array" ref="R2083">_xlfn.IFS(B2083&lt;31,"Young-Adult",B2083&lt;41,"Adult",B2083&lt;61,"Middle-aged",B2083&gt;=61,"Senior")</f>
        <v>Young-Adult</v>
      </c>
      <c r="S2083" cm="1">
        <f t="array" ref="S2083">_xlfn.IFS(Q2083 ="Fortnightly",14,Q2083="Weekly",7,Q2083="Monthly",30,Q2083="Quarterly",90,Q2083="Bi-Weekly",14,Q2083="Annually",365,Q2083="Every 3 Months",90,TRUE,"NOT FOUND")</f>
        <v>14</v>
      </c>
    </row>
    <row r="2084" spans="1:19" x14ac:dyDescent="0.35">
      <c r="A2084">
        <v>2083</v>
      </c>
      <c r="B2084">
        <v>41</v>
      </c>
      <c r="C2084" t="s">
        <v>7</v>
      </c>
      <c r="D2084" t="s">
        <v>22</v>
      </c>
      <c r="E2084" t="s">
        <v>9</v>
      </c>
      <c r="F2084">
        <v>89</v>
      </c>
      <c r="G2084" t="s">
        <v>60</v>
      </c>
      <c r="H2084" t="s">
        <v>32</v>
      </c>
      <c r="I2084" t="s">
        <v>122</v>
      </c>
      <c r="J2084" t="s">
        <v>41</v>
      </c>
      <c r="K2084">
        <v>2.9</v>
      </c>
      <c r="L2084" t="s">
        <v>140</v>
      </c>
      <c r="M2084" t="s">
        <v>26</v>
      </c>
      <c r="N2084" t="s">
        <v>140</v>
      </c>
      <c r="O2084">
        <v>28</v>
      </c>
      <c r="P2084" t="s">
        <v>16</v>
      </c>
      <c r="Q2084" t="s">
        <v>85</v>
      </c>
      <c r="R2084" t="str" cm="1">
        <f t="array" ref="R2084">_xlfn.IFS(B2084&lt;31,"Young-Adult",B2084&lt;41,"Adult",B2084&lt;61,"Middle-aged",B2084&gt;=61,"Senior")</f>
        <v>Middle-aged</v>
      </c>
      <c r="S2084" cm="1">
        <f t="array" ref="S2084">_xlfn.IFS(Q2084 ="Fortnightly",14,Q2084="Weekly",7,Q2084="Monthly",30,Q2084="Quarterly",90,Q2084="Bi-Weekly",14,Q2084="Annually",365,Q2084="Every 3 Months",90,TRUE,"NOT FOUND")</f>
        <v>90</v>
      </c>
    </row>
    <row r="2085" spans="1:19" x14ac:dyDescent="0.35">
      <c r="A2085">
        <v>2084</v>
      </c>
      <c r="B2085">
        <v>41</v>
      </c>
      <c r="C2085" t="s">
        <v>7</v>
      </c>
      <c r="D2085" t="s">
        <v>107</v>
      </c>
      <c r="E2085" t="s">
        <v>55</v>
      </c>
      <c r="F2085">
        <v>59</v>
      </c>
      <c r="G2085" t="s">
        <v>79</v>
      </c>
      <c r="H2085" t="s">
        <v>11</v>
      </c>
      <c r="I2085" t="s">
        <v>109</v>
      </c>
      <c r="J2085" t="s">
        <v>45</v>
      </c>
      <c r="K2085">
        <v>2.7</v>
      </c>
      <c r="L2085" t="s">
        <v>140</v>
      </c>
      <c r="M2085" t="s">
        <v>62</v>
      </c>
      <c r="N2085" t="s">
        <v>140</v>
      </c>
      <c r="O2085">
        <v>26</v>
      </c>
      <c r="P2085" t="s">
        <v>27</v>
      </c>
      <c r="Q2085" t="s">
        <v>17</v>
      </c>
      <c r="R2085" t="str" cm="1">
        <f t="array" ref="R2085">_xlfn.IFS(B2085&lt;31,"Young-Adult",B2085&lt;41,"Adult",B2085&lt;61,"Middle-aged",B2085&gt;=61,"Senior")</f>
        <v>Middle-aged</v>
      </c>
      <c r="S2085" cm="1">
        <f t="array" ref="S2085">_xlfn.IFS(Q2085 ="Fortnightly",14,Q2085="Weekly",7,Q2085="Monthly",30,Q2085="Quarterly",90,Q2085="Bi-Weekly",14,Q2085="Annually",365,Q2085="Every 3 Months",90,TRUE,"NOT FOUND")</f>
        <v>14</v>
      </c>
    </row>
    <row r="2086" spans="1:19" x14ac:dyDescent="0.35">
      <c r="A2086">
        <v>2085</v>
      </c>
      <c r="B2086">
        <v>32</v>
      </c>
      <c r="C2086" t="s">
        <v>7</v>
      </c>
      <c r="D2086" t="s">
        <v>8</v>
      </c>
      <c r="E2086" t="s">
        <v>9</v>
      </c>
      <c r="F2086">
        <v>94</v>
      </c>
      <c r="G2086" t="s">
        <v>117</v>
      </c>
      <c r="H2086" t="s">
        <v>24</v>
      </c>
      <c r="I2086" t="s">
        <v>98</v>
      </c>
      <c r="J2086" t="s">
        <v>41</v>
      </c>
      <c r="K2086">
        <v>4</v>
      </c>
      <c r="L2086" t="s">
        <v>140</v>
      </c>
      <c r="M2086" t="s">
        <v>42</v>
      </c>
      <c r="N2086" t="s">
        <v>140</v>
      </c>
      <c r="O2086">
        <v>43</v>
      </c>
      <c r="P2086" t="s">
        <v>63</v>
      </c>
      <c r="Q2086" t="s">
        <v>46</v>
      </c>
      <c r="R2086" t="str" cm="1">
        <f t="array" ref="R2086">_xlfn.IFS(B2086&lt;31,"Young-Adult",B2086&lt;41,"Adult",B2086&lt;61,"Middle-aged",B2086&gt;=61,"Senior")</f>
        <v>Adult</v>
      </c>
      <c r="S2086" cm="1">
        <f t="array" ref="S2086">_xlfn.IFS(Q2086 ="Fortnightly",14,Q2086="Weekly",7,Q2086="Monthly",30,Q2086="Quarterly",90,Q2086="Bi-Weekly",14,Q2086="Annually",365,Q2086="Every 3 Months",90,TRUE,"NOT FOUND")</f>
        <v>90</v>
      </c>
    </row>
    <row r="2087" spans="1:19" x14ac:dyDescent="0.35">
      <c r="A2087">
        <v>2086</v>
      </c>
      <c r="B2087">
        <v>69</v>
      </c>
      <c r="C2087" t="s">
        <v>7</v>
      </c>
      <c r="D2087" t="s">
        <v>22</v>
      </c>
      <c r="E2087" t="s">
        <v>9</v>
      </c>
      <c r="F2087">
        <v>49</v>
      </c>
      <c r="G2087" t="s">
        <v>72</v>
      </c>
      <c r="H2087" t="s">
        <v>32</v>
      </c>
      <c r="I2087" t="s">
        <v>73</v>
      </c>
      <c r="J2087" t="s">
        <v>45</v>
      </c>
      <c r="K2087">
        <v>4.5999999999999996</v>
      </c>
      <c r="L2087" t="s">
        <v>140</v>
      </c>
      <c r="M2087" t="s">
        <v>26</v>
      </c>
      <c r="N2087" t="s">
        <v>140</v>
      </c>
      <c r="O2087">
        <v>38</v>
      </c>
      <c r="P2087" t="s">
        <v>74</v>
      </c>
      <c r="Q2087" t="s">
        <v>28</v>
      </c>
      <c r="R2087" t="str" cm="1">
        <f t="array" ref="R2087">_xlfn.IFS(B2087&lt;31,"Young-Adult",B2087&lt;41,"Adult",B2087&lt;61,"Middle-aged",B2087&gt;=61,"Senior")</f>
        <v>Senior</v>
      </c>
      <c r="S2087" cm="1">
        <f t="array" ref="S2087">_xlfn.IFS(Q2087 ="Fortnightly",14,Q2087="Weekly",7,Q2087="Monthly",30,Q2087="Quarterly",90,Q2087="Bi-Weekly",14,Q2087="Annually",365,Q2087="Every 3 Months",90,TRUE,"NOT FOUND")</f>
        <v>7</v>
      </c>
    </row>
    <row r="2088" spans="1:19" x14ac:dyDescent="0.35">
      <c r="A2088">
        <v>2087</v>
      </c>
      <c r="B2088">
        <v>65</v>
      </c>
      <c r="C2088" t="s">
        <v>7</v>
      </c>
      <c r="D2088" t="s">
        <v>69</v>
      </c>
      <c r="E2088" t="s">
        <v>9</v>
      </c>
      <c r="F2088">
        <v>89</v>
      </c>
      <c r="G2088" t="s">
        <v>102</v>
      </c>
      <c r="H2088" t="s">
        <v>11</v>
      </c>
      <c r="I2088" t="s">
        <v>106</v>
      </c>
      <c r="J2088" t="s">
        <v>41</v>
      </c>
      <c r="K2088">
        <v>4.7</v>
      </c>
      <c r="L2088" t="s">
        <v>140</v>
      </c>
      <c r="M2088" t="s">
        <v>58</v>
      </c>
      <c r="N2088" t="s">
        <v>140</v>
      </c>
      <c r="O2088">
        <v>36</v>
      </c>
      <c r="P2088" t="s">
        <v>21</v>
      </c>
      <c r="Q2088" t="s">
        <v>85</v>
      </c>
      <c r="R2088" t="str" cm="1">
        <f t="array" ref="R2088">_xlfn.IFS(B2088&lt;31,"Young-Adult",B2088&lt;41,"Adult",B2088&lt;61,"Middle-aged",B2088&gt;=61,"Senior")</f>
        <v>Senior</v>
      </c>
      <c r="S2088" cm="1">
        <f t="array" ref="S2088">_xlfn.IFS(Q2088 ="Fortnightly",14,Q2088="Weekly",7,Q2088="Monthly",30,Q2088="Quarterly",90,Q2088="Bi-Weekly",14,Q2088="Annually",365,Q2088="Every 3 Months",90,TRUE,"NOT FOUND")</f>
        <v>90</v>
      </c>
    </row>
    <row r="2089" spans="1:19" x14ac:dyDescent="0.35">
      <c r="A2089">
        <v>2088</v>
      </c>
      <c r="B2089">
        <v>54</v>
      </c>
      <c r="C2089" t="s">
        <v>7</v>
      </c>
      <c r="D2089" t="s">
        <v>112</v>
      </c>
      <c r="E2089" t="s">
        <v>55</v>
      </c>
      <c r="F2089">
        <v>91</v>
      </c>
      <c r="G2089" t="s">
        <v>138</v>
      </c>
      <c r="H2089" t="s">
        <v>32</v>
      </c>
      <c r="I2089" t="s">
        <v>132</v>
      </c>
      <c r="J2089" t="s">
        <v>41</v>
      </c>
      <c r="K2089">
        <v>4.7</v>
      </c>
      <c r="L2089" t="s">
        <v>140</v>
      </c>
      <c r="M2089" t="s">
        <v>42</v>
      </c>
      <c r="N2089" t="s">
        <v>140</v>
      </c>
      <c r="O2089">
        <v>1</v>
      </c>
      <c r="P2089" t="s">
        <v>27</v>
      </c>
      <c r="Q2089" t="s">
        <v>28</v>
      </c>
      <c r="R2089" t="str" cm="1">
        <f t="array" ref="R2089">_xlfn.IFS(B2089&lt;31,"Young-Adult",B2089&lt;41,"Adult",B2089&lt;61,"Middle-aged",B2089&gt;=61,"Senior")</f>
        <v>Middle-aged</v>
      </c>
      <c r="S2089" cm="1">
        <f t="array" ref="S2089">_xlfn.IFS(Q2089 ="Fortnightly",14,Q2089="Weekly",7,Q2089="Monthly",30,Q2089="Quarterly",90,Q2089="Bi-Weekly",14,Q2089="Annually",365,Q2089="Every 3 Months",90,TRUE,"NOT FOUND")</f>
        <v>7</v>
      </c>
    </row>
    <row r="2090" spans="1:19" x14ac:dyDescent="0.35">
      <c r="A2090">
        <v>2089</v>
      </c>
      <c r="B2090">
        <v>39</v>
      </c>
      <c r="C2090" t="s">
        <v>7</v>
      </c>
      <c r="D2090" t="s">
        <v>29</v>
      </c>
      <c r="E2090" t="s">
        <v>30</v>
      </c>
      <c r="F2090">
        <v>89</v>
      </c>
      <c r="G2090" t="s">
        <v>87</v>
      </c>
      <c r="H2090" t="s">
        <v>11</v>
      </c>
      <c r="I2090" t="s">
        <v>109</v>
      </c>
      <c r="J2090" t="s">
        <v>25</v>
      </c>
      <c r="K2090">
        <v>4</v>
      </c>
      <c r="L2090" t="s">
        <v>140</v>
      </c>
      <c r="M2090" t="s">
        <v>42</v>
      </c>
      <c r="N2090" t="s">
        <v>140</v>
      </c>
      <c r="O2090">
        <v>49</v>
      </c>
      <c r="P2090" t="s">
        <v>74</v>
      </c>
      <c r="Q2090" t="s">
        <v>37</v>
      </c>
      <c r="R2090" t="str" cm="1">
        <f t="array" ref="R2090">_xlfn.IFS(B2090&lt;31,"Young-Adult",B2090&lt;41,"Adult",B2090&lt;61,"Middle-aged",B2090&gt;=61,"Senior")</f>
        <v>Adult</v>
      </c>
      <c r="S2090" cm="1">
        <f t="array" ref="S2090">_xlfn.IFS(Q2090 ="Fortnightly",14,Q2090="Weekly",7,Q2090="Monthly",30,Q2090="Quarterly",90,Q2090="Bi-Weekly",14,Q2090="Annually",365,Q2090="Every 3 Months",90,TRUE,"NOT FOUND")</f>
        <v>365</v>
      </c>
    </row>
    <row r="2091" spans="1:19" x14ac:dyDescent="0.35">
      <c r="A2091">
        <v>2090</v>
      </c>
      <c r="B2091">
        <v>37</v>
      </c>
      <c r="C2091" t="s">
        <v>7</v>
      </c>
      <c r="D2091" t="s">
        <v>90</v>
      </c>
      <c r="E2091" t="s">
        <v>51</v>
      </c>
      <c r="F2091">
        <v>57</v>
      </c>
      <c r="G2091" t="s">
        <v>116</v>
      </c>
      <c r="H2091" t="s">
        <v>11</v>
      </c>
      <c r="I2091" t="s">
        <v>68</v>
      </c>
      <c r="J2091" t="s">
        <v>25</v>
      </c>
      <c r="K2091">
        <v>3.6</v>
      </c>
      <c r="L2091" t="s">
        <v>140</v>
      </c>
      <c r="M2091" t="s">
        <v>26</v>
      </c>
      <c r="N2091" t="s">
        <v>140</v>
      </c>
      <c r="O2091">
        <v>41</v>
      </c>
      <c r="P2091" t="s">
        <v>27</v>
      </c>
      <c r="Q2091" t="s">
        <v>85</v>
      </c>
      <c r="R2091" t="str" cm="1">
        <f t="array" ref="R2091">_xlfn.IFS(B2091&lt;31,"Young-Adult",B2091&lt;41,"Adult",B2091&lt;61,"Middle-aged",B2091&gt;=61,"Senior")</f>
        <v>Adult</v>
      </c>
      <c r="S2091" cm="1">
        <f t="array" ref="S2091">_xlfn.IFS(Q2091 ="Fortnightly",14,Q2091="Weekly",7,Q2091="Monthly",30,Q2091="Quarterly",90,Q2091="Bi-Weekly",14,Q2091="Annually",365,Q2091="Every 3 Months",90,TRUE,"NOT FOUND")</f>
        <v>90</v>
      </c>
    </row>
    <row r="2092" spans="1:19" x14ac:dyDescent="0.35">
      <c r="A2092">
        <v>2091</v>
      </c>
      <c r="B2092">
        <v>51</v>
      </c>
      <c r="C2092" t="s">
        <v>7</v>
      </c>
      <c r="D2092" t="s">
        <v>113</v>
      </c>
      <c r="E2092" t="s">
        <v>9</v>
      </c>
      <c r="F2092">
        <v>71</v>
      </c>
      <c r="G2092" t="s">
        <v>23</v>
      </c>
      <c r="H2092" t="s">
        <v>24</v>
      </c>
      <c r="I2092" t="s">
        <v>73</v>
      </c>
      <c r="J2092" t="s">
        <v>13</v>
      </c>
      <c r="K2092">
        <v>3.4</v>
      </c>
      <c r="L2092" t="s">
        <v>140</v>
      </c>
      <c r="M2092" t="s">
        <v>26</v>
      </c>
      <c r="N2092" t="s">
        <v>140</v>
      </c>
      <c r="O2092">
        <v>21</v>
      </c>
      <c r="P2092" t="s">
        <v>74</v>
      </c>
      <c r="Q2092" t="s">
        <v>76</v>
      </c>
      <c r="R2092" t="str" cm="1">
        <f t="array" ref="R2092">_xlfn.IFS(B2092&lt;31,"Young-Adult",B2092&lt;41,"Adult",B2092&lt;61,"Middle-aged",B2092&gt;=61,"Senior")</f>
        <v>Middle-aged</v>
      </c>
      <c r="S2092" cm="1">
        <f t="array" ref="S2092">_xlfn.IFS(Q2092 ="Fortnightly",14,Q2092="Weekly",7,Q2092="Monthly",30,Q2092="Quarterly",90,Q2092="Bi-Weekly",14,Q2092="Annually",365,Q2092="Every 3 Months",90,TRUE,"NOT FOUND")</f>
        <v>30</v>
      </c>
    </row>
    <row r="2093" spans="1:19" x14ac:dyDescent="0.35">
      <c r="A2093">
        <v>2092</v>
      </c>
      <c r="B2093">
        <v>26</v>
      </c>
      <c r="C2093" t="s">
        <v>7</v>
      </c>
      <c r="D2093" t="s">
        <v>22</v>
      </c>
      <c r="E2093" t="s">
        <v>9</v>
      </c>
      <c r="F2093">
        <v>97</v>
      </c>
      <c r="G2093" t="s">
        <v>137</v>
      </c>
      <c r="H2093" t="s">
        <v>80</v>
      </c>
      <c r="I2093" t="s">
        <v>106</v>
      </c>
      <c r="J2093" t="s">
        <v>45</v>
      </c>
      <c r="K2093">
        <v>3</v>
      </c>
      <c r="L2093" t="s">
        <v>140</v>
      </c>
      <c r="M2093" t="s">
        <v>33</v>
      </c>
      <c r="N2093" t="s">
        <v>140</v>
      </c>
      <c r="O2093">
        <v>24</v>
      </c>
      <c r="P2093" t="s">
        <v>63</v>
      </c>
      <c r="Q2093" t="s">
        <v>46</v>
      </c>
      <c r="R2093" t="str" cm="1">
        <f t="array" ref="R2093">_xlfn.IFS(B2093&lt;31,"Young-Adult",B2093&lt;41,"Adult",B2093&lt;61,"Middle-aged",B2093&gt;=61,"Senior")</f>
        <v>Young-Adult</v>
      </c>
      <c r="S2093" cm="1">
        <f t="array" ref="S2093">_xlfn.IFS(Q2093 ="Fortnightly",14,Q2093="Weekly",7,Q2093="Monthly",30,Q2093="Quarterly",90,Q2093="Bi-Weekly",14,Q2093="Annually",365,Q2093="Every 3 Months",90,TRUE,"NOT FOUND")</f>
        <v>90</v>
      </c>
    </row>
    <row r="2094" spans="1:19" x14ac:dyDescent="0.35">
      <c r="A2094">
        <v>2093</v>
      </c>
      <c r="B2094">
        <v>42</v>
      </c>
      <c r="C2094" t="s">
        <v>7</v>
      </c>
      <c r="D2094" t="s">
        <v>29</v>
      </c>
      <c r="E2094" t="s">
        <v>30</v>
      </c>
      <c r="F2094">
        <v>45</v>
      </c>
      <c r="G2094" t="s">
        <v>136</v>
      </c>
      <c r="H2094" t="s">
        <v>32</v>
      </c>
      <c r="I2094" t="s">
        <v>53</v>
      </c>
      <c r="J2094" t="s">
        <v>45</v>
      </c>
      <c r="K2094">
        <v>2.6</v>
      </c>
      <c r="L2094" t="s">
        <v>140</v>
      </c>
      <c r="M2094" t="s">
        <v>33</v>
      </c>
      <c r="N2094" t="s">
        <v>140</v>
      </c>
      <c r="O2094">
        <v>27</v>
      </c>
      <c r="P2094" t="s">
        <v>63</v>
      </c>
      <c r="Q2094" t="s">
        <v>28</v>
      </c>
      <c r="R2094" t="str" cm="1">
        <f t="array" ref="R2094">_xlfn.IFS(B2094&lt;31,"Young-Adult",B2094&lt;41,"Adult",B2094&lt;61,"Middle-aged",B2094&gt;=61,"Senior")</f>
        <v>Middle-aged</v>
      </c>
      <c r="S2094" cm="1">
        <f t="array" ref="S2094">_xlfn.IFS(Q2094 ="Fortnightly",14,Q2094="Weekly",7,Q2094="Monthly",30,Q2094="Quarterly",90,Q2094="Bi-Weekly",14,Q2094="Annually",365,Q2094="Every 3 Months",90,TRUE,"NOT FOUND")</f>
        <v>7</v>
      </c>
    </row>
    <row r="2095" spans="1:19" x14ac:dyDescent="0.35">
      <c r="A2095">
        <v>2094</v>
      </c>
      <c r="B2095">
        <v>21</v>
      </c>
      <c r="C2095" t="s">
        <v>7</v>
      </c>
      <c r="D2095" t="s">
        <v>69</v>
      </c>
      <c r="E2095" t="s">
        <v>9</v>
      </c>
      <c r="F2095">
        <v>91</v>
      </c>
      <c r="G2095" t="s">
        <v>137</v>
      </c>
      <c r="H2095" t="s">
        <v>32</v>
      </c>
      <c r="I2095" t="s">
        <v>20</v>
      </c>
      <c r="J2095" t="s">
        <v>25</v>
      </c>
      <c r="K2095">
        <v>4.2</v>
      </c>
      <c r="L2095" t="s">
        <v>140</v>
      </c>
      <c r="M2095" t="s">
        <v>62</v>
      </c>
      <c r="N2095" t="s">
        <v>140</v>
      </c>
      <c r="O2095">
        <v>4</v>
      </c>
      <c r="P2095" t="s">
        <v>74</v>
      </c>
      <c r="Q2095" t="s">
        <v>37</v>
      </c>
      <c r="R2095" t="str" cm="1">
        <f t="array" ref="R2095">_xlfn.IFS(B2095&lt;31,"Young-Adult",B2095&lt;41,"Adult",B2095&lt;61,"Middle-aged",B2095&gt;=61,"Senior")</f>
        <v>Young-Adult</v>
      </c>
      <c r="S2095" cm="1">
        <f t="array" ref="S2095">_xlfn.IFS(Q2095 ="Fortnightly",14,Q2095="Weekly",7,Q2095="Monthly",30,Q2095="Quarterly",90,Q2095="Bi-Weekly",14,Q2095="Annually",365,Q2095="Every 3 Months",90,TRUE,"NOT FOUND")</f>
        <v>365</v>
      </c>
    </row>
    <row r="2096" spans="1:19" x14ac:dyDescent="0.35">
      <c r="A2096">
        <v>2095</v>
      </c>
      <c r="B2096">
        <v>53</v>
      </c>
      <c r="C2096" t="s">
        <v>7</v>
      </c>
      <c r="D2096" t="s">
        <v>113</v>
      </c>
      <c r="E2096" t="s">
        <v>9</v>
      </c>
      <c r="F2096">
        <v>25</v>
      </c>
      <c r="G2096" t="s">
        <v>119</v>
      </c>
      <c r="H2096" t="s">
        <v>32</v>
      </c>
      <c r="I2096" t="s">
        <v>114</v>
      </c>
      <c r="J2096" t="s">
        <v>25</v>
      </c>
      <c r="K2096">
        <v>3.4</v>
      </c>
      <c r="L2096" t="s">
        <v>140</v>
      </c>
      <c r="M2096" t="s">
        <v>42</v>
      </c>
      <c r="N2096" t="s">
        <v>140</v>
      </c>
      <c r="O2096">
        <v>19</v>
      </c>
      <c r="P2096" t="s">
        <v>16</v>
      </c>
      <c r="Q2096" t="s">
        <v>37</v>
      </c>
      <c r="R2096" t="str" cm="1">
        <f t="array" ref="R2096">_xlfn.IFS(B2096&lt;31,"Young-Adult",B2096&lt;41,"Adult",B2096&lt;61,"Middle-aged",B2096&gt;=61,"Senior")</f>
        <v>Middle-aged</v>
      </c>
      <c r="S2096" cm="1">
        <f t="array" ref="S2096">_xlfn.IFS(Q2096 ="Fortnightly",14,Q2096="Weekly",7,Q2096="Monthly",30,Q2096="Quarterly",90,Q2096="Bi-Weekly",14,Q2096="Annually",365,Q2096="Every 3 Months",90,TRUE,"NOT FOUND")</f>
        <v>365</v>
      </c>
    </row>
    <row r="2097" spans="1:19" x14ac:dyDescent="0.35">
      <c r="A2097">
        <v>2096</v>
      </c>
      <c r="B2097">
        <v>36</v>
      </c>
      <c r="C2097" t="s">
        <v>7</v>
      </c>
      <c r="D2097" t="s">
        <v>92</v>
      </c>
      <c r="E2097" t="s">
        <v>9</v>
      </c>
      <c r="F2097">
        <v>63</v>
      </c>
      <c r="G2097" t="s">
        <v>118</v>
      </c>
      <c r="H2097" t="s">
        <v>32</v>
      </c>
      <c r="I2097" t="s">
        <v>12</v>
      </c>
      <c r="J2097" t="s">
        <v>45</v>
      </c>
      <c r="K2097">
        <v>4</v>
      </c>
      <c r="L2097" t="s">
        <v>140</v>
      </c>
      <c r="M2097" t="s">
        <v>62</v>
      </c>
      <c r="N2097" t="s">
        <v>140</v>
      </c>
      <c r="O2097">
        <v>1</v>
      </c>
      <c r="P2097" t="s">
        <v>63</v>
      </c>
      <c r="Q2097" t="s">
        <v>17</v>
      </c>
      <c r="R2097" t="str" cm="1">
        <f t="array" ref="R2097">_xlfn.IFS(B2097&lt;31,"Young-Adult",B2097&lt;41,"Adult",B2097&lt;61,"Middle-aged",B2097&gt;=61,"Senior")</f>
        <v>Adult</v>
      </c>
      <c r="S2097" cm="1">
        <f t="array" ref="S2097">_xlfn.IFS(Q2097 ="Fortnightly",14,Q2097="Weekly",7,Q2097="Monthly",30,Q2097="Quarterly",90,Q2097="Bi-Weekly",14,Q2097="Annually",365,Q2097="Every 3 Months",90,TRUE,"NOT FOUND")</f>
        <v>14</v>
      </c>
    </row>
    <row r="2098" spans="1:19" x14ac:dyDescent="0.35">
      <c r="A2098">
        <v>2097</v>
      </c>
      <c r="B2098">
        <v>21</v>
      </c>
      <c r="C2098" t="s">
        <v>7</v>
      </c>
      <c r="D2098" t="s">
        <v>69</v>
      </c>
      <c r="E2098" t="s">
        <v>9</v>
      </c>
      <c r="F2098">
        <v>52</v>
      </c>
      <c r="G2098" t="s">
        <v>86</v>
      </c>
      <c r="H2098" t="s">
        <v>11</v>
      </c>
      <c r="I2098" t="s">
        <v>132</v>
      </c>
      <c r="J2098" t="s">
        <v>41</v>
      </c>
      <c r="K2098">
        <v>4.7</v>
      </c>
      <c r="L2098" t="s">
        <v>140</v>
      </c>
      <c r="M2098" t="s">
        <v>26</v>
      </c>
      <c r="N2098" t="s">
        <v>140</v>
      </c>
      <c r="O2098">
        <v>27</v>
      </c>
      <c r="P2098" t="s">
        <v>74</v>
      </c>
      <c r="Q2098" t="s">
        <v>37</v>
      </c>
      <c r="R2098" t="str" cm="1">
        <f t="array" ref="R2098">_xlfn.IFS(B2098&lt;31,"Young-Adult",B2098&lt;41,"Adult",B2098&lt;61,"Middle-aged",B2098&gt;=61,"Senior")</f>
        <v>Young-Adult</v>
      </c>
      <c r="S2098" cm="1">
        <f t="array" ref="S2098">_xlfn.IFS(Q2098 ="Fortnightly",14,Q2098="Weekly",7,Q2098="Monthly",30,Q2098="Quarterly",90,Q2098="Bi-Weekly",14,Q2098="Annually",365,Q2098="Every 3 Months",90,TRUE,"NOT FOUND")</f>
        <v>365</v>
      </c>
    </row>
    <row r="2099" spans="1:19" x14ac:dyDescent="0.35">
      <c r="A2099">
        <v>2098</v>
      </c>
      <c r="B2099">
        <v>33</v>
      </c>
      <c r="C2099" t="s">
        <v>7</v>
      </c>
      <c r="D2099" t="s">
        <v>38</v>
      </c>
      <c r="E2099" t="s">
        <v>30</v>
      </c>
      <c r="F2099">
        <v>43</v>
      </c>
      <c r="G2099" t="s">
        <v>134</v>
      </c>
      <c r="H2099" t="s">
        <v>24</v>
      </c>
      <c r="I2099" t="s">
        <v>97</v>
      </c>
      <c r="J2099" t="s">
        <v>13</v>
      </c>
      <c r="K2099">
        <v>3.9</v>
      </c>
      <c r="L2099" t="s">
        <v>140</v>
      </c>
      <c r="M2099" t="s">
        <v>33</v>
      </c>
      <c r="N2099" t="s">
        <v>140</v>
      </c>
      <c r="O2099">
        <v>5</v>
      </c>
      <c r="P2099" t="s">
        <v>27</v>
      </c>
      <c r="Q2099" t="s">
        <v>28</v>
      </c>
      <c r="R2099" t="str" cm="1">
        <f t="array" ref="R2099">_xlfn.IFS(B2099&lt;31,"Young-Adult",B2099&lt;41,"Adult",B2099&lt;61,"Middle-aged",B2099&gt;=61,"Senior")</f>
        <v>Adult</v>
      </c>
      <c r="S2099" cm="1">
        <f t="array" ref="S2099">_xlfn.IFS(Q2099 ="Fortnightly",14,Q2099="Weekly",7,Q2099="Monthly",30,Q2099="Quarterly",90,Q2099="Bi-Weekly",14,Q2099="Annually",365,Q2099="Every 3 Months",90,TRUE,"NOT FOUND")</f>
        <v>7</v>
      </c>
    </row>
    <row r="2100" spans="1:19" x14ac:dyDescent="0.35">
      <c r="A2100">
        <v>2099</v>
      </c>
      <c r="B2100">
        <v>49</v>
      </c>
      <c r="C2100" t="s">
        <v>7</v>
      </c>
      <c r="D2100" t="s">
        <v>101</v>
      </c>
      <c r="E2100" t="s">
        <v>9</v>
      </c>
      <c r="F2100">
        <v>28</v>
      </c>
      <c r="G2100" t="s">
        <v>48</v>
      </c>
      <c r="H2100" t="s">
        <v>32</v>
      </c>
      <c r="I2100" t="s">
        <v>40</v>
      </c>
      <c r="J2100" t="s">
        <v>41</v>
      </c>
      <c r="K2100">
        <v>3.3</v>
      </c>
      <c r="L2100" t="s">
        <v>140</v>
      </c>
      <c r="M2100" t="s">
        <v>58</v>
      </c>
      <c r="N2100" t="s">
        <v>140</v>
      </c>
      <c r="O2100">
        <v>20</v>
      </c>
      <c r="P2100" t="s">
        <v>16</v>
      </c>
      <c r="Q2100" t="s">
        <v>46</v>
      </c>
      <c r="R2100" t="str" cm="1">
        <f t="array" ref="R2100">_xlfn.IFS(B2100&lt;31,"Young-Adult",B2100&lt;41,"Adult",B2100&lt;61,"Middle-aged",B2100&gt;=61,"Senior")</f>
        <v>Middle-aged</v>
      </c>
      <c r="S2100" cm="1">
        <f t="array" ref="S2100">_xlfn.IFS(Q2100 ="Fortnightly",14,Q2100="Weekly",7,Q2100="Monthly",30,Q2100="Quarterly",90,Q2100="Bi-Weekly",14,Q2100="Annually",365,Q2100="Every 3 Months",90,TRUE,"NOT FOUND")</f>
        <v>90</v>
      </c>
    </row>
    <row r="2101" spans="1:19" x14ac:dyDescent="0.35">
      <c r="A2101">
        <v>2100</v>
      </c>
      <c r="B2101">
        <v>31</v>
      </c>
      <c r="C2101" t="s">
        <v>7</v>
      </c>
      <c r="D2101" t="s">
        <v>101</v>
      </c>
      <c r="E2101" t="s">
        <v>9</v>
      </c>
      <c r="F2101">
        <v>78</v>
      </c>
      <c r="G2101" t="s">
        <v>89</v>
      </c>
      <c r="H2101" t="s">
        <v>11</v>
      </c>
      <c r="I2101" t="s">
        <v>84</v>
      </c>
      <c r="J2101" t="s">
        <v>41</v>
      </c>
      <c r="K2101">
        <v>2.9</v>
      </c>
      <c r="L2101" t="s">
        <v>140</v>
      </c>
      <c r="M2101" t="s">
        <v>15</v>
      </c>
      <c r="N2101" t="s">
        <v>140</v>
      </c>
      <c r="O2101">
        <v>50</v>
      </c>
      <c r="P2101" t="s">
        <v>34</v>
      </c>
      <c r="Q2101" t="s">
        <v>37</v>
      </c>
      <c r="R2101" t="str" cm="1">
        <f t="array" ref="R2101">_xlfn.IFS(B2101&lt;31,"Young-Adult",B2101&lt;41,"Adult",B2101&lt;61,"Middle-aged",B2101&gt;=61,"Senior")</f>
        <v>Adult</v>
      </c>
      <c r="S2101" cm="1">
        <f t="array" ref="S2101">_xlfn.IFS(Q2101 ="Fortnightly",14,Q2101="Weekly",7,Q2101="Monthly",30,Q2101="Quarterly",90,Q2101="Bi-Weekly",14,Q2101="Annually",365,Q2101="Every 3 Months",90,TRUE,"NOT FOUND")</f>
        <v>365</v>
      </c>
    </row>
    <row r="2102" spans="1:19" x14ac:dyDescent="0.35">
      <c r="A2102">
        <v>2101</v>
      </c>
      <c r="B2102">
        <v>68</v>
      </c>
      <c r="C2102" t="s">
        <v>7</v>
      </c>
      <c r="D2102" t="s">
        <v>18</v>
      </c>
      <c r="E2102" t="s">
        <v>9</v>
      </c>
      <c r="F2102">
        <v>31</v>
      </c>
      <c r="G2102" t="s">
        <v>139</v>
      </c>
      <c r="H2102" t="s">
        <v>32</v>
      </c>
      <c r="I2102" t="s">
        <v>53</v>
      </c>
      <c r="J2102" t="s">
        <v>25</v>
      </c>
      <c r="K2102">
        <v>4.4000000000000004</v>
      </c>
      <c r="L2102" t="s">
        <v>140</v>
      </c>
      <c r="M2102" t="s">
        <v>26</v>
      </c>
      <c r="N2102" t="s">
        <v>140</v>
      </c>
      <c r="O2102">
        <v>36</v>
      </c>
      <c r="P2102" t="s">
        <v>21</v>
      </c>
      <c r="Q2102" t="s">
        <v>17</v>
      </c>
      <c r="R2102" t="str" cm="1">
        <f t="array" ref="R2102">_xlfn.IFS(B2102&lt;31,"Young-Adult",B2102&lt;41,"Adult",B2102&lt;61,"Middle-aged",B2102&gt;=61,"Senior")</f>
        <v>Senior</v>
      </c>
      <c r="S2102" cm="1">
        <f t="array" ref="S2102">_xlfn.IFS(Q2102 ="Fortnightly",14,Q2102="Weekly",7,Q2102="Monthly",30,Q2102="Quarterly",90,Q2102="Bi-Weekly",14,Q2102="Annually",365,Q2102="Every 3 Months",90,TRUE,"NOT FOUND")</f>
        <v>14</v>
      </c>
    </row>
    <row r="2103" spans="1:19" x14ac:dyDescent="0.35">
      <c r="A2103">
        <v>2102</v>
      </c>
      <c r="B2103">
        <v>49</v>
      </c>
      <c r="C2103" t="s">
        <v>7</v>
      </c>
      <c r="D2103" t="s">
        <v>43</v>
      </c>
      <c r="E2103" t="s">
        <v>9</v>
      </c>
      <c r="F2103">
        <v>23</v>
      </c>
      <c r="G2103" t="s">
        <v>35</v>
      </c>
      <c r="H2103" t="s">
        <v>32</v>
      </c>
      <c r="I2103" t="s">
        <v>132</v>
      </c>
      <c r="J2103" t="s">
        <v>13</v>
      </c>
      <c r="K2103">
        <v>3.6</v>
      </c>
      <c r="L2103" t="s">
        <v>140</v>
      </c>
      <c r="M2103" t="s">
        <v>33</v>
      </c>
      <c r="N2103" t="s">
        <v>140</v>
      </c>
      <c r="O2103">
        <v>12</v>
      </c>
      <c r="P2103" t="s">
        <v>63</v>
      </c>
      <c r="Q2103" t="s">
        <v>64</v>
      </c>
      <c r="R2103" t="str" cm="1">
        <f t="array" ref="R2103">_xlfn.IFS(B2103&lt;31,"Young-Adult",B2103&lt;41,"Adult",B2103&lt;61,"Middle-aged",B2103&gt;=61,"Senior")</f>
        <v>Middle-aged</v>
      </c>
      <c r="S2103" cm="1">
        <f t="array" ref="S2103">_xlfn.IFS(Q2103 ="Fortnightly",14,Q2103="Weekly",7,Q2103="Monthly",30,Q2103="Quarterly",90,Q2103="Bi-Weekly",14,Q2103="Annually",365,Q2103="Every 3 Months",90,TRUE,"NOT FOUND")</f>
        <v>14</v>
      </c>
    </row>
    <row r="2104" spans="1:19" x14ac:dyDescent="0.35">
      <c r="A2104">
        <v>2103</v>
      </c>
      <c r="B2104">
        <v>23</v>
      </c>
      <c r="C2104" t="s">
        <v>7</v>
      </c>
      <c r="D2104" t="s">
        <v>112</v>
      </c>
      <c r="E2104" t="s">
        <v>55</v>
      </c>
      <c r="F2104">
        <v>25</v>
      </c>
      <c r="G2104" t="s">
        <v>123</v>
      </c>
      <c r="H2104" t="s">
        <v>32</v>
      </c>
      <c r="I2104" t="s">
        <v>98</v>
      </c>
      <c r="J2104" t="s">
        <v>25</v>
      </c>
      <c r="K2104">
        <v>4.5</v>
      </c>
      <c r="L2104" t="s">
        <v>140</v>
      </c>
      <c r="M2104" t="s">
        <v>62</v>
      </c>
      <c r="N2104" t="s">
        <v>140</v>
      </c>
      <c r="O2104">
        <v>23</v>
      </c>
      <c r="P2104" t="s">
        <v>21</v>
      </c>
      <c r="Q2104" t="s">
        <v>76</v>
      </c>
      <c r="R2104" t="str" cm="1">
        <f t="array" ref="R2104">_xlfn.IFS(B2104&lt;31,"Young-Adult",B2104&lt;41,"Adult",B2104&lt;61,"Middle-aged",B2104&gt;=61,"Senior")</f>
        <v>Young-Adult</v>
      </c>
      <c r="S2104" cm="1">
        <f t="array" ref="S2104">_xlfn.IFS(Q2104 ="Fortnightly",14,Q2104="Weekly",7,Q2104="Monthly",30,Q2104="Quarterly",90,Q2104="Bi-Weekly",14,Q2104="Annually",365,Q2104="Every 3 Months",90,TRUE,"NOT FOUND")</f>
        <v>30</v>
      </c>
    </row>
    <row r="2105" spans="1:19" x14ac:dyDescent="0.35">
      <c r="A2105">
        <v>2104</v>
      </c>
      <c r="B2105">
        <v>30</v>
      </c>
      <c r="C2105" t="s">
        <v>7</v>
      </c>
      <c r="D2105" t="s">
        <v>83</v>
      </c>
      <c r="E2105" t="s">
        <v>9</v>
      </c>
      <c r="F2105">
        <v>86</v>
      </c>
      <c r="G2105" t="s">
        <v>104</v>
      </c>
      <c r="H2105" t="s">
        <v>24</v>
      </c>
      <c r="I2105" t="s">
        <v>96</v>
      </c>
      <c r="J2105" t="s">
        <v>41</v>
      </c>
      <c r="K2105">
        <v>3.7</v>
      </c>
      <c r="L2105" t="s">
        <v>140</v>
      </c>
      <c r="M2105" t="s">
        <v>62</v>
      </c>
      <c r="N2105" t="s">
        <v>140</v>
      </c>
      <c r="O2105">
        <v>21</v>
      </c>
      <c r="P2105" t="s">
        <v>16</v>
      </c>
      <c r="Q2105" t="s">
        <v>28</v>
      </c>
      <c r="R2105" t="str" cm="1">
        <f t="array" ref="R2105">_xlfn.IFS(B2105&lt;31,"Young-Adult",B2105&lt;41,"Adult",B2105&lt;61,"Middle-aged",B2105&gt;=61,"Senior")</f>
        <v>Young-Adult</v>
      </c>
      <c r="S2105" cm="1">
        <f t="array" ref="S2105">_xlfn.IFS(Q2105 ="Fortnightly",14,Q2105="Weekly",7,Q2105="Monthly",30,Q2105="Quarterly",90,Q2105="Bi-Weekly",14,Q2105="Annually",365,Q2105="Every 3 Months",90,TRUE,"NOT FOUND")</f>
        <v>7</v>
      </c>
    </row>
    <row r="2106" spans="1:19" x14ac:dyDescent="0.35">
      <c r="A2106">
        <v>2105</v>
      </c>
      <c r="B2106">
        <v>53</v>
      </c>
      <c r="C2106" t="s">
        <v>7</v>
      </c>
      <c r="D2106" t="s">
        <v>59</v>
      </c>
      <c r="E2106" t="s">
        <v>30</v>
      </c>
      <c r="F2106">
        <v>88</v>
      </c>
      <c r="G2106" t="s">
        <v>118</v>
      </c>
      <c r="H2106" t="s">
        <v>32</v>
      </c>
      <c r="I2106" t="s">
        <v>68</v>
      </c>
      <c r="J2106" t="s">
        <v>25</v>
      </c>
      <c r="K2106">
        <v>2.8</v>
      </c>
      <c r="L2106" t="s">
        <v>140</v>
      </c>
      <c r="M2106" t="s">
        <v>26</v>
      </c>
      <c r="N2106" t="s">
        <v>140</v>
      </c>
      <c r="O2106">
        <v>47</v>
      </c>
      <c r="P2106" t="s">
        <v>16</v>
      </c>
      <c r="Q2106" t="s">
        <v>28</v>
      </c>
      <c r="R2106" t="str" cm="1">
        <f t="array" ref="R2106">_xlfn.IFS(B2106&lt;31,"Young-Adult",B2106&lt;41,"Adult",B2106&lt;61,"Middle-aged",B2106&gt;=61,"Senior")</f>
        <v>Middle-aged</v>
      </c>
      <c r="S2106" cm="1">
        <f t="array" ref="S2106">_xlfn.IFS(Q2106 ="Fortnightly",14,Q2106="Weekly",7,Q2106="Monthly",30,Q2106="Quarterly",90,Q2106="Bi-Weekly",14,Q2106="Annually",365,Q2106="Every 3 Months",90,TRUE,"NOT FOUND")</f>
        <v>7</v>
      </c>
    </row>
    <row r="2107" spans="1:19" x14ac:dyDescent="0.35">
      <c r="A2107">
        <v>2106</v>
      </c>
      <c r="B2107">
        <v>65</v>
      </c>
      <c r="C2107" t="s">
        <v>7</v>
      </c>
      <c r="D2107" t="s">
        <v>131</v>
      </c>
      <c r="E2107" t="s">
        <v>55</v>
      </c>
      <c r="F2107">
        <v>35</v>
      </c>
      <c r="G2107" t="s">
        <v>119</v>
      </c>
      <c r="H2107" t="s">
        <v>32</v>
      </c>
      <c r="I2107" t="s">
        <v>53</v>
      </c>
      <c r="J2107" t="s">
        <v>25</v>
      </c>
      <c r="K2107">
        <v>4.5</v>
      </c>
      <c r="L2107" t="s">
        <v>140</v>
      </c>
      <c r="M2107" t="s">
        <v>26</v>
      </c>
      <c r="N2107" t="s">
        <v>140</v>
      </c>
      <c r="O2107">
        <v>38</v>
      </c>
      <c r="P2107" t="s">
        <v>16</v>
      </c>
      <c r="Q2107" t="s">
        <v>64</v>
      </c>
      <c r="R2107" t="str" cm="1">
        <f t="array" ref="R2107">_xlfn.IFS(B2107&lt;31,"Young-Adult",B2107&lt;41,"Adult",B2107&lt;61,"Middle-aged",B2107&gt;=61,"Senior")</f>
        <v>Senior</v>
      </c>
      <c r="S2107" cm="1">
        <f t="array" ref="S2107">_xlfn.IFS(Q2107 ="Fortnightly",14,Q2107="Weekly",7,Q2107="Monthly",30,Q2107="Quarterly",90,Q2107="Bi-Weekly",14,Q2107="Annually",365,Q2107="Every 3 Months",90,TRUE,"NOT FOUND")</f>
        <v>14</v>
      </c>
    </row>
    <row r="2108" spans="1:19" x14ac:dyDescent="0.35">
      <c r="A2108">
        <v>2107</v>
      </c>
      <c r="B2108">
        <v>60</v>
      </c>
      <c r="C2108" t="s">
        <v>7</v>
      </c>
      <c r="D2108" t="s">
        <v>94</v>
      </c>
      <c r="E2108" t="s">
        <v>55</v>
      </c>
      <c r="F2108">
        <v>34</v>
      </c>
      <c r="G2108" t="s">
        <v>117</v>
      </c>
      <c r="H2108" t="s">
        <v>32</v>
      </c>
      <c r="I2108" t="s">
        <v>12</v>
      </c>
      <c r="J2108" t="s">
        <v>45</v>
      </c>
      <c r="K2108">
        <v>4.4000000000000004</v>
      </c>
      <c r="L2108" t="s">
        <v>140</v>
      </c>
      <c r="M2108" t="s">
        <v>42</v>
      </c>
      <c r="N2108" t="s">
        <v>140</v>
      </c>
      <c r="O2108">
        <v>40</v>
      </c>
      <c r="P2108" t="s">
        <v>27</v>
      </c>
      <c r="Q2108" t="s">
        <v>85</v>
      </c>
      <c r="R2108" t="str" cm="1">
        <f t="array" ref="R2108">_xlfn.IFS(B2108&lt;31,"Young-Adult",B2108&lt;41,"Adult",B2108&lt;61,"Middle-aged",B2108&gt;=61,"Senior")</f>
        <v>Middle-aged</v>
      </c>
      <c r="S2108" cm="1">
        <f t="array" ref="S2108">_xlfn.IFS(Q2108 ="Fortnightly",14,Q2108="Weekly",7,Q2108="Monthly",30,Q2108="Quarterly",90,Q2108="Bi-Weekly",14,Q2108="Annually",365,Q2108="Every 3 Months",90,TRUE,"NOT FOUND")</f>
        <v>90</v>
      </c>
    </row>
    <row r="2109" spans="1:19" x14ac:dyDescent="0.35">
      <c r="A2109">
        <v>2108</v>
      </c>
      <c r="B2109">
        <v>46</v>
      </c>
      <c r="C2109" t="s">
        <v>7</v>
      </c>
      <c r="D2109" t="s">
        <v>83</v>
      </c>
      <c r="E2109" t="s">
        <v>9</v>
      </c>
      <c r="F2109">
        <v>75</v>
      </c>
      <c r="G2109" t="s">
        <v>67</v>
      </c>
      <c r="H2109" t="s">
        <v>32</v>
      </c>
      <c r="I2109" t="s">
        <v>82</v>
      </c>
      <c r="J2109" t="s">
        <v>13</v>
      </c>
      <c r="K2109">
        <v>3.3</v>
      </c>
      <c r="L2109" t="s">
        <v>140</v>
      </c>
      <c r="M2109" t="s">
        <v>42</v>
      </c>
      <c r="N2109" t="s">
        <v>140</v>
      </c>
      <c r="O2109">
        <v>35</v>
      </c>
      <c r="P2109" t="s">
        <v>34</v>
      </c>
      <c r="Q2109" t="s">
        <v>46</v>
      </c>
      <c r="R2109" t="str" cm="1">
        <f t="array" ref="R2109">_xlfn.IFS(B2109&lt;31,"Young-Adult",B2109&lt;41,"Adult",B2109&lt;61,"Middle-aged",B2109&gt;=61,"Senior")</f>
        <v>Middle-aged</v>
      </c>
      <c r="S2109" cm="1">
        <f t="array" ref="S2109">_xlfn.IFS(Q2109 ="Fortnightly",14,Q2109="Weekly",7,Q2109="Monthly",30,Q2109="Quarterly",90,Q2109="Bi-Weekly",14,Q2109="Annually",365,Q2109="Every 3 Months",90,TRUE,"NOT FOUND")</f>
        <v>90</v>
      </c>
    </row>
    <row r="2110" spans="1:19" x14ac:dyDescent="0.35">
      <c r="A2110">
        <v>2109</v>
      </c>
      <c r="B2110">
        <v>54</v>
      </c>
      <c r="C2110" t="s">
        <v>7</v>
      </c>
      <c r="D2110" t="s">
        <v>92</v>
      </c>
      <c r="E2110" t="s">
        <v>9</v>
      </c>
      <c r="F2110">
        <v>46</v>
      </c>
      <c r="G2110" t="s">
        <v>102</v>
      </c>
      <c r="H2110" t="s">
        <v>80</v>
      </c>
      <c r="I2110" t="s">
        <v>106</v>
      </c>
      <c r="J2110" t="s">
        <v>13</v>
      </c>
      <c r="K2110">
        <v>4.2</v>
      </c>
      <c r="L2110" t="s">
        <v>140</v>
      </c>
      <c r="M2110" t="s">
        <v>15</v>
      </c>
      <c r="N2110" t="s">
        <v>140</v>
      </c>
      <c r="O2110">
        <v>4</v>
      </c>
      <c r="P2110" t="s">
        <v>27</v>
      </c>
      <c r="Q2110" t="s">
        <v>46</v>
      </c>
      <c r="R2110" t="str" cm="1">
        <f t="array" ref="R2110">_xlfn.IFS(B2110&lt;31,"Young-Adult",B2110&lt;41,"Adult",B2110&lt;61,"Middle-aged",B2110&gt;=61,"Senior")</f>
        <v>Middle-aged</v>
      </c>
      <c r="S2110" cm="1">
        <f t="array" ref="S2110">_xlfn.IFS(Q2110 ="Fortnightly",14,Q2110="Weekly",7,Q2110="Monthly",30,Q2110="Quarterly",90,Q2110="Bi-Weekly",14,Q2110="Annually",365,Q2110="Every 3 Months",90,TRUE,"NOT FOUND")</f>
        <v>90</v>
      </c>
    </row>
    <row r="2111" spans="1:19" x14ac:dyDescent="0.35">
      <c r="A2111">
        <v>2110</v>
      </c>
      <c r="B2111">
        <v>59</v>
      </c>
      <c r="C2111" t="s">
        <v>7</v>
      </c>
      <c r="D2111" t="s">
        <v>94</v>
      </c>
      <c r="E2111" t="s">
        <v>55</v>
      </c>
      <c r="F2111">
        <v>31</v>
      </c>
      <c r="G2111" t="s">
        <v>87</v>
      </c>
      <c r="H2111" t="s">
        <v>11</v>
      </c>
      <c r="I2111" t="s">
        <v>88</v>
      </c>
      <c r="J2111" t="s">
        <v>45</v>
      </c>
      <c r="K2111">
        <v>2.7</v>
      </c>
      <c r="L2111" t="s">
        <v>140</v>
      </c>
      <c r="M2111" t="s">
        <v>26</v>
      </c>
      <c r="N2111" t="s">
        <v>140</v>
      </c>
      <c r="O2111">
        <v>28</v>
      </c>
      <c r="P2111" t="s">
        <v>16</v>
      </c>
      <c r="Q2111" t="s">
        <v>85</v>
      </c>
      <c r="R2111" t="str" cm="1">
        <f t="array" ref="R2111">_xlfn.IFS(B2111&lt;31,"Young-Adult",B2111&lt;41,"Adult",B2111&lt;61,"Middle-aged",B2111&gt;=61,"Senior")</f>
        <v>Middle-aged</v>
      </c>
      <c r="S2111" cm="1">
        <f t="array" ref="S2111">_xlfn.IFS(Q2111 ="Fortnightly",14,Q2111="Weekly",7,Q2111="Monthly",30,Q2111="Quarterly",90,Q2111="Bi-Weekly",14,Q2111="Annually",365,Q2111="Every 3 Months",90,TRUE,"NOT FOUND")</f>
        <v>90</v>
      </c>
    </row>
    <row r="2112" spans="1:19" x14ac:dyDescent="0.35">
      <c r="A2112">
        <v>2111</v>
      </c>
      <c r="B2112">
        <v>52</v>
      </c>
      <c r="C2112" t="s">
        <v>7</v>
      </c>
      <c r="D2112" t="s">
        <v>113</v>
      </c>
      <c r="E2112" t="s">
        <v>9</v>
      </c>
      <c r="F2112">
        <v>93</v>
      </c>
      <c r="G2112" t="s">
        <v>44</v>
      </c>
      <c r="H2112" t="s">
        <v>11</v>
      </c>
      <c r="I2112" t="s">
        <v>97</v>
      </c>
      <c r="J2112" t="s">
        <v>25</v>
      </c>
      <c r="K2112">
        <v>3.9</v>
      </c>
      <c r="L2112" t="s">
        <v>140</v>
      </c>
      <c r="M2112" t="s">
        <v>62</v>
      </c>
      <c r="N2112" t="s">
        <v>140</v>
      </c>
      <c r="O2112">
        <v>36</v>
      </c>
      <c r="P2112" t="s">
        <v>74</v>
      </c>
      <c r="Q2112" t="s">
        <v>85</v>
      </c>
      <c r="R2112" t="str" cm="1">
        <f t="array" ref="R2112">_xlfn.IFS(B2112&lt;31,"Young-Adult",B2112&lt;41,"Adult",B2112&lt;61,"Middle-aged",B2112&gt;=61,"Senior")</f>
        <v>Middle-aged</v>
      </c>
      <c r="S2112" cm="1">
        <f t="array" ref="S2112">_xlfn.IFS(Q2112 ="Fortnightly",14,Q2112="Weekly",7,Q2112="Monthly",30,Q2112="Quarterly",90,Q2112="Bi-Weekly",14,Q2112="Annually",365,Q2112="Every 3 Months",90,TRUE,"NOT FOUND")</f>
        <v>90</v>
      </c>
    </row>
    <row r="2113" spans="1:19" x14ac:dyDescent="0.35">
      <c r="A2113">
        <v>2112</v>
      </c>
      <c r="B2113">
        <v>41</v>
      </c>
      <c r="C2113" t="s">
        <v>7</v>
      </c>
      <c r="D2113" t="s">
        <v>77</v>
      </c>
      <c r="E2113" t="s">
        <v>55</v>
      </c>
      <c r="F2113">
        <v>85</v>
      </c>
      <c r="G2113" t="s">
        <v>56</v>
      </c>
      <c r="H2113" t="s">
        <v>80</v>
      </c>
      <c r="I2113" t="s">
        <v>57</v>
      </c>
      <c r="J2113" t="s">
        <v>25</v>
      </c>
      <c r="K2113">
        <v>2.6</v>
      </c>
      <c r="L2113" t="s">
        <v>140</v>
      </c>
      <c r="M2113" t="s">
        <v>26</v>
      </c>
      <c r="N2113" t="s">
        <v>140</v>
      </c>
      <c r="O2113">
        <v>15</v>
      </c>
      <c r="P2113" t="s">
        <v>63</v>
      </c>
      <c r="Q2113" t="s">
        <v>37</v>
      </c>
      <c r="R2113" t="str" cm="1">
        <f t="array" ref="R2113">_xlfn.IFS(B2113&lt;31,"Young-Adult",B2113&lt;41,"Adult",B2113&lt;61,"Middle-aged",B2113&gt;=61,"Senior")</f>
        <v>Middle-aged</v>
      </c>
      <c r="S2113" cm="1">
        <f t="array" ref="S2113">_xlfn.IFS(Q2113 ="Fortnightly",14,Q2113="Weekly",7,Q2113="Monthly",30,Q2113="Quarterly",90,Q2113="Bi-Weekly",14,Q2113="Annually",365,Q2113="Every 3 Months",90,TRUE,"NOT FOUND")</f>
        <v>365</v>
      </c>
    </row>
    <row r="2114" spans="1:19" x14ac:dyDescent="0.35">
      <c r="A2114">
        <v>2113</v>
      </c>
      <c r="B2114">
        <v>43</v>
      </c>
      <c r="C2114" t="s">
        <v>7</v>
      </c>
      <c r="D2114" t="s">
        <v>121</v>
      </c>
      <c r="E2114" t="s">
        <v>55</v>
      </c>
      <c r="F2114">
        <v>68</v>
      </c>
      <c r="G2114" t="s">
        <v>110</v>
      </c>
      <c r="H2114" t="s">
        <v>32</v>
      </c>
      <c r="I2114" t="s">
        <v>81</v>
      </c>
      <c r="J2114" t="s">
        <v>45</v>
      </c>
      <c r="K2114">
        <v>4.5</v>
      </c>
      <c r="L2114" t="s">
        <v>140</v>
      </c>
      <c r="M2114" t="s">
        <v>58</v>
      </c>
      <c r="N2114" t="s">
        <v>140</v>
      </c>
      <c r="O2114">
        <v>7</v>
      </c>
      <c r="P2114" t="s">
        <v>21</v>
      </c>
      <c r="Q2114" t="s">
        <v>17</v>
      </c>
      <c r="R2114" t="str" cm="1">
        <f t="array" ref="R2114">_xlfn.IFS(B2114&lt;31,"Young-Adult",B2114&lt;41,"Adult",B2114&lt;61,"Middle-aged",B2114&gt;=61,"Senior")</f>
        <v>Middle-aged</v>
      </c>
      <c r="S2114" cm="1">
        <f t="array" ref="S2114">_xlfn.IFS(Q2114 ="Fortnightly",14,Q2114="Weekly",7,Q2114="Monthly",30,Q2114="Quarterly",90,Q2114="Bi-Weekly",14,Q2114="Annually",365,Q2114="Every 3 Months",90,TRUE,"NOT FOUND")</f>
        <v>14</v>
      </c>
    </row>
    <row r="2115" spans="1:19" x14ac:dyDescent="0.35">
      <c r="A2115">
        <v>2114</v>
      </c>
      <c r="B2115">
        <v>63</v>
      </c>
      <c r="C2115" t="s">
        <v>7</v>
      </c>
      <c r="D2115" t="s">
        <v>69</v>
      </c>
      <c r="E2115" t="s">
        <v>9</v>
      </c>
      <c r="F2115">
        <v>40</v>
      </c>
      <c r="G2115" t="s">
        <v>129</v>
      </c>
      <c r="H2115" t="s">
        <v>32</v>
      </c>
      <c r="I2115" t="s">
        <v>98</v>
      </c>
      <c r="J2115" t="s">
        <v>25</v>
      </c>
      <c r="K2115">
        <v>2.7</v>
      </c>
      <c r="L2115" t="s">
        <v>140</v>
      </c>
      <c r="M2115" t="s">
        <v>62</v>
      </c>
      <c r="N2115" t="s">
        <v>140</v>
      </c>
      <c r="O2115">
        <v>29</v>
      </c>
      <c r="P2115" t="s">
        <v>34</v>
      </c>
      <c r="Q2115" t="s">
        <v>85</v>
      </c>
      <c r="R2115" t="str" cm="1">
        <f t="array" ref="R2115">_xlfn.IFS(B2115&lt;31,"Young-Adult",B2115&lt;41,"Adult",B2115&lt;61,"Middle-aged",B2115&gt;=61,"Senior")</f>
        <v>Senior</v>
      </c>
      <c r="S2115" cm="1">
        <f t="array" ref="S2115">_xlfn.IFS(Q2115 ="Fortnightly",14,Q2115="Weekly",7,Q2115="Monthly",30,Q2115="Quarterly",90,Q2115="Bi-Weekly",14,Q2115="Annually",365,Q2115="Every 3 Months",90,TRUE,"NOT FOUND")</f>
        <v>90</v>
      </c>
    </row>
    <row r="2116" spans="1:19" x14ac:dyDescent="0.35">
      <c r="A2116">
        <v>2115</v>
      </c>
      <c r="B2116">
        <v>37</v>
      </c>
      <c r="C2116" t="s">
        <v>7</v>
      </c>
      <c r="D2116" t="s">
        <v>43</v>
      </c>
      <c r="E2116" t="s">
        <v>9</v>
      </c>
      <c r="F2116">
        <v>51</v>
      </c>
      <c r="G2116" t="s">
        <v>117</v>
      </c>
      <c r="H2116" t="s">
        <v>32</v>
      </c>
      <c r="I2116" t="s">
        <v>124</v>
      </c>
      <c r="J2116" t="s">
        <v>13</v>
      </c>
      <c r="K2116">
        <v>2.9</v>
      </c>
      <c r="L2116" t="s">
        <v>140</v>
      </c>
      <c r="M2116" t="s">
        <v>42</v>
      </c>
      <c r="N2116" t="s">
        <v>140</v>
      </c>
      <c r="O2116">
        <v>12</v>
      </c>
      <c r="P2116" t="s">
        <v>74</v>
      </c>
      <c r="Q2116" t="s">
        <v>37</v>
      </c>
      <c r="R2116" t="str" cm="1">
        <f t="array" ref="R2116">_xlfn.IFS(B2116&lt;31,"Young-Adult",B2116&lt;41,"Adult",B2116&lt;61,"Middle-aged",B2116&gt;=61,"Senior")</f>
        <v>Adult</v>
      </c>
      <c r="S2116" cm="1">
        <f t="array" ref="S2116">_xlfn.IFS(Q2116 ="Fortnightly",14,Q2116="Weekly",7,Q2116="Monthly",30,Q2116="Quarterly",90,Q2116="Bi-Weekly",14,Q2116="Annually",365,Q2116="Every 3 Months",90,TRUE,"NOT FOUND")</f>
        <v>365</v>
      </c>
    </row>
    <row r="2117" spans="1:19" x14ac:dyDescent="0.35">
      <c r="A2117">
        <v>2116</v>
      </c>
      <c r="B2117">
        <v>44</v>
      </c>
      <c r="C2117" t="s">
        <v>7</v>
      </c>
      <c r="D2117" t="s">
        <v>107</v>
      </c>
      <c r="E2117" t="s">
        <v>55</v>
      </c>
      <c r="F2117">
        <v>85</v>
      </c>
      <c r="G2117" t="s">
        <v>31</v>
      </c>
      <c r="H2117" t="s">
        <v>32</v>
      </c>
      <c r="I2117" t="s">
        <v>71</v>
      </c>
      <c r="J2117" t="s">
        <v>13</v>
      </c>
      <c r="K2117">
        <v>3.4</v>
      </c>
      <c r="L2117" t="s">
        <v>140</v>
      </c>
      <c r="M2117" t="s">
        <v>62</v>
      </c>
      <c r="N2117" t="s">
        <v>140</v>
      </c>
      <c r="O2117">
        <v>16</v>
      </c>
      <c r="P2117" t="s">
        <v>63</v>
      </c>
      <c r="Q2117" t="s">
        <v>64</v>
      </c>
      <c r="R2117" t="str" cm="1">
        <f t="array" ref="R2117">_xlfn.IFS(B2117&lt;31,"Young-Adult",B2117&lt;41,"Adult",B2117&lt;61,"Middle-aged",B2117&gt;=61,"Senior")</f>
        <v>Middle-aged</v>
      </c>
      <c r="S2117" cm="1">
        <f t="array" ref="S2117">_xlfn.IFS(Q2117 ="Fortnightly",14,Q2117="Weekly",7,Q2117="Monthly",30,Q2117="Quarterly",90,Q2117="Bi-Weekly",14,Q2117="Annually",365,Q2117="Every 3 Months",90,TRUE,"NOT FOUND")</f>
        <v>14</v>
      </c>
    </row>
    <row r="2118" spans="1:19" x14ac:dyDescent="0.35">
      <c r="A2118">
        <v>2117</v>
      </c>
      <c r="B2118">
        <v>67</v>
      </c>
      <c r="C2118" t="s">
        <v>7</v>
      </c>
      <c r="D2118" t="s">
        <v>90</v>
      </c>
      <c r="E2118" t="s">
        <v>51</v>
      </c>
      <c r="F2118">
        <v>23</v>
      </c>
      <c r="G2118" t="s">
        <v>99</v>
      </c>
      <c r="H2118" t="s">
        <v>32</v>
      </c>
      <c r="I2118" t="s">
        <v>73</v>
      </c>
      <c r="J2118" t="s">
        <v>41</v>
      </c>
      <c r="K2118">
        <v>2.9</v>
      </c>
      <c r="L2118" t="s">
        <v>140</v>
      </c>
      <c r="M2118" t="s">
        <v>15</v>
      </c>
      <c r="N2118" t="s">
        <v>140</v>
      </c>
      <c r="O2118">
        <v>50</v>
      </c>
      <c r="P2118" t="s">
        <v>74</v>
      </c>
      <c r="Q2118" t="s">
        <v>64</v>
      </c>
      <c r="R2118" t="str" cm="1">
        <f t="array" ref="R2118">_xlfn.IFS(B2118&lt;31,"Young-Adult",B2118&lt;41,"Adult",B2118&lt;61,"Middle-aged",B2118&gt;=61,"Senior")</f>
        <v>Senior</v>
      </c>
      <c r="S2118" cm="1">
        <f t="array" ref="S2118">_xlfn.IFS(Q2118 ="Fortnightly",14,Q2118="Weekly",7,Q2118="Monthly",30,Q2118="Quarterly",90,Q2118="Bi-Weekly",14,Q2118="Annually",365,Q2118="Every 3 Months",90,TRUE,"NOT FOUND")</f>
        <v>14</v>
      </c>
    </row>
    <row r="2119" spans="1:19" x14ac:dyDescent="0.35">
      <c r="A2119">
        <v>2118</v>
      </c>
      <c r="B2119">
        <v>27</v>
      </c>
      <c r="C2119" t="s">
        <v>7</v>
      </c>
      <c r="D2119" t="s">
        <v>69</v>
      </c>
      <c r="E2119" t="s">
        <v>9</v>
      </c>
      <c r="F2119">
        <v>28</v>
      </c>
      <c r="G2119" t="s">
        <v>100</v>
      </c>
      <c r="H2119" t="s">
        <v>11</v>
      </c>
      <c r="I2119" t="s">
        <v>98</v>
      </c>
      <c r="J2119" t="s">
        <v>41</v>
      </c>
      <c r="K2119">
        <v>3.8</v>
      </c>
      <c r="L2119" t="s">
        <v>140</v>
      </c>
      <c r="M2119" t="s">
        <v>26</v>
      </c>
      <c r="N2119" t="s">
        <v>140</v>
      </c>
      <c r="O2119">
        <v>11</v>
      </c>
      <c r="P2119" t="s">
        <v>74</v>
      </c>
      <c r="Q2119" t="s">
        <v>37</v>
      </c>
      <c r="R2119" t="str" cm="1">
        <f t="array" ref="R2119">_xlfn.IFS(B2119&lt;31,"Young-Adult",B2119&lt;41,"Adult",B2119&lt;61,"Middle-aged",B2119&gt;=61,"Senior")</f>
        <v>Young-Adult</v>
      </c>
      <c r="S2119" cm="1">
        <f t="array" ref="S2119">_xlfn.IFS(Q2119 ="Fortnightly",14,Q2119="Weekly",7,Q2119="Monthly",30,Q2119="Quarterly",90,Q2119="Bi-Weekly",14,Q2119="Annually",365,Q2119="Every 3 Months",90,TRUE,"NOT FOUND")</f>
        <v>365</v>
      </c>
    </row>
    <row r="2120" spans="1:19" x14ac:dyDescent="0.35">
      <c r="A2120">
        <v>2119</v>
      </c>
      <c r="B2120">
        <v>60</v>
      </c>
      <c r="C2120" t="s">
        <v>7</v>
      </c>
      <c r="D2120" t="s">
        <v>113</v>
      </c>
      <c r="E2120" t="s">
        <v>9</v>
      </c>
      <c r="F2120">
        <v>44</v>
      </c>
      <c r="G2120" t="s">
        <v>130</v>
      </c>
      <c r="H2120" t="s">
        <v>32</v>
      </c>
      <c r="I2120" t="s">
        <v>66</v>
      </c>
      <c r="J2120" t="s">
        <v>45</v>
      </c>
      <c r="K2120">
        <v>4.2</v>
      </c>
      <c r="L2120" t="s">
        <v>140</v>
      </c>
      <c r="M2120" t="s">
        <v>58</v>
      </c>
      <c r="N2120" t="s">
        <v>140</v>
      </c>
      <c r="O2120">
        <v>28</v>
      </c>
      <c r="P2120" t="s">
        <v>74</v>
      </c>
      <c r="Q2120" t="s">
        <v>46</v>
      </c>
      <c r="R2120" t="str" cm="1">
        <f t="array" ref="R2120">_xlfn.IFS(B2120&lt;31,"Young-Adult",B2120&lt;41,"Adult",B2120&lt;61,"Middle-aged",B2120&gt;=61,"Senior")</f>
        <v>Middle-aged</v>
      </c>
      <c r="S2120" cm="1">
        <f t="array" ref="S2120">_xlfn.IFS(Q2120 ="Fortnightly",14,Q2120="Weekly",7,Q2120="Monthly",30,Q2120="Quarterly",90,Q2120="Bi-Weekly",14,Q2120="Annually",365,Q2120="Every 3 Months",90,TRUE,"NOT FOUND")</f>
        <v>90</v>
      </c>
    </row>
    <row r="2121" spans="1:19" x14ac:dyDescent="0.35">
      <c r="A2121">
        <v>2120</v>
      </c>
      <c r="B2121">
        <v>58</v>
      </c>
      <c r="C2121" t="s">
        <v>7</v>
      </c>
      <c r="D2121" t="s">
        <v>94</v>
      </c>
      <c r="E2121" t="s">
        <v>55</v>
      </c>
      <c r="F2121">
        <v>57</v>
      </c>
      <c r="G2121" t="s">
        <v>133</v>
      </c>
      <c r="H2121" t="s">
        <v>32</v>
      </c>
      <c r="I2121" t="s">
        <v>114</v>
      </c>
      <c r="J2121" t="s">
        <v>25</v>
      </c>
      <c r="K2121">
        <v>3.5</v>
      </c>
      <c r="L2121" t="s">
        <v>140</v>
      </c>
      <c r="M2121" t="s">
        <v>62</v>
      </c>
      <c r="N2121" t="s">
        <v>140</v>
      </c>
      <c r="O2121">
        <v>36</v>
      </c>
      <c r="P2121" t="s">
        <v>16</v>
      </c>
      <c r="Q2121" t="s">
        <v>64</v>
      </c>
      <c r="R2121" t="str" cm="1">
        <f t="array" ref="R2121">_xlfn.IFS(B2121&lt;31,"Young-Adult",B2121&lt;41,"Adult",B2121&lt;61,"Middle-aged",B2121&gt;=61,"Senior")</f>
        <v>Middle-aged</v>
      </c>
      <c r="S2121" cm="1">
        <f t="array" ref="S2121">_xlfn.IFS(Q2121 ="Fortnightly",14,Q2121="Weekly",7,Q2121="Monthly",30,Q2121="Quarterly",90,Q2121="Bi-Weekly",14,Q2121="Annually",365,Q2121="Every 3 Months",90,TRUE,"NOT FOUND")</f>
        <v>14</v>
      </c>
    </row>
    <row r="2122" spans="1:19" x14ac:dyDescent="0.35">
      <c r="A2122">
        <v>2121</v>
      </c>
      <c r="B2122">
        <v>53</v>
      </c>
      <c r="C2122" t="s">
        <v>7</v>
      </c>
      <c r="D2122" t="s">
        <v>107</v>
      </c>
      <c r="E2122" t="s">
        <v>55</v>
      </c>
      <c r="F2122">
        <v>98</v>
      </c>
      <c r="G2122" t="s">
        <v>56</v>
      </c>
      <c r="H2122" t="s">
        <v>24</v>
      </c>
      <c r="I2122" t="s">
        <v>96</v>
      </c>
      <c r="J2122" t="s">
        <v>45</v>
      </c>
      <c r="K2122">
        <v>3.1</v>
      </c>
      <c r="L2122" t="s">
        <v>140</v>
      </c>
      <c r="M2122" t="s">
        <v>33</v>
      </c>
      <c r="N2122" t="s">
        <v>140</v>
      </c>
      <c r="O2122">
        <v>38</v>
      </c>
      <c r="P2122" t="s">
        <v>34</v>
      </c>
      <c r="Q2122" t="s">
        <v>46</v>
      </c>
      <c r="R2122" t="str" cm="1">
        <f t="array" ref="R2122">_xlfn.IFS(B2122&lt;31,"Young-Adult",B2122&lt;41,"Adult",B2122&lt;61,"Middle-aged",B2122&gt;=61,"Senior")</f>
        <v>Middle-aged</v>
      </c>
      <c r="S2122" cm="1">
        <f t="array" ref="S2122">_xlfn.IFS(Q2122 ="Fortnightly",14,Q2122="Weekly",7,Q2122="Monthly",30,Q2122="Quarterly",90,Q2122="Bi-Weekly",14,Q2122="Annually",365,Q2122="Every 3 Months",90,TRUE,"NOT FOUND")</f>
        <v>90</v>
      </c>
    </row>
    <row r="2123" spans="1:19" x14ac:dyDescent="0.35">
      <c r="A2123">
        <v>2122</v>
      </c>
      <c r="B2123">
        <v>43</v>
      </c>
      <c r="C2123" t="s">
        <v>7</v>
      </c>
      <c r="D2123" t="s">
        <v>120</v>
      </c>
      <c r="E2123" t="s">
        <v>55</v>
      </c>
      <c r="F2123">
        <v>68</v>
      </c>
      <c r="G2123" t="s">
        <v>108</v>
      </c>
      <c r="H2123" t="s">
        <v>32</v>
      </c>
      <c r="I2123" t="s">
        <v>66</v>
      </c>
      <c r="J2123" t="s">
        <v>13</v>
      </c>
      <c r="K2123">
        <v>3.5</v>
      </c>
      <c r="L2123" t="s">
        <v>140</v>
      </c>
      <c r="M2123" t="s">
        <v>58</v>
      </c>
      <c r="N2123" t="s">
        <v>140</v>
      </c>
      <c r="O2123">
        <v>32</v>
      </c>
      <c r="P2123" t="s">
        <v>63</v>
      </c>
      <c r="Q2123" t="s">
        <v>76</v>
      </c>
      <c r="R2123" t="str" cm="1">
        <f t="array" ref="R2123">_xlfn.IFS(B2123&lt;31,"Young-Adult",B2123&lt;41,"Adult",B2123&lt;61,"Middle-aged",B2123&gt;=61,"Senior")</f>
        <v>Middle-aged</v>
      </c>
      <c r="S2123" cm="1">
        <f t="array" ref="S2123">_xlfn.IFS(Q2123 ="Fortnightly",14,Q2123="Weekly",7,Q2123="Monthly",30,Q2123="Quarterly",90,Q2123="Bi-Weekly",14,Q2123="Annually",365,Q2123="Every 3 Months",90,TRUE,"NOT FOUND")</f>
        <v>30</v>
      </c>
    </row>
    <row r="2124" spans="1:19" x14ac:dyDescent="0.35">
      <c r="A2124">
        <v>2123</v>
      </c>
      <c r="B2124">
        <v>32</v>
      </c>
      <c r="C2124" t="s">
        <v>7</v>
      </c>
      <c r="D2124" t="s">
        <v>90</v>
      </c>
      <c r="E2124" t="s">
        <v>51</v>
      </c>
      <c r="F2124">
        <v>36</v>
      </c>
      <c r="G2124" t="s">
        <v>129</v>
      </c>
      <c r="H2124" t="s">
        <v>11</v>
      </c>
      <c r="I2124" t="s">
        <v>73</v>
      </c>
      <c r="J2124" t="s">
        <v>45</v>
      </c>
      <c r="K2124">
        <v>4</v>
      </c>
      <c r="L2124" t="s">
        <v>140</v>
      </c>
      <c r="M2124" t="s">
        <v>15</v>
      </c>
      <c r="N2124" t="s">
        <v>140</v>
      </c>
      <c r="O2124">
        <v>42</v>
      </c>
      <c r="P2124" t="s">
        <v>74</v>
      </c>
      <c r="Q2124" t="s">
        <v>28</v>
      </c>
      <c r="R2124" t="str" cm="1">
        <f t="array" ref="R2124">_xlfn.IFS(B2124&lt;31,"Young-Adult",B2124&lt;41,"Adult",B2124&lt;61,"Middle-aged",B2124&gt;=61,"Senior")</f>
        <v>Adult</v>
      </c>
      <c r="S2124" cm="1">
        <f t="array" ref="S2124">_xlfn.IFS(Q2124 ="Fortnightly",14,Q2124="Weekly",7,Q2124="Monthly",30,Q2124="Quarterly",90,Q2124="Bi-Weekly",14,Q2124="Annually",365,Q2124="Every 3 Months",90,TRUE,"NOT FOUND")</f>
        <v>7</v>
      </c>
    </row>
    <row r="2125" spans="1:19" x14ac:dyDescent="0.35">
      <c r="A2125">
        <v>2124</v>
      </c>
      <c r="B2125">
        <v>54</v>
      </c>
      <c r="C2125" t="s">
        <v>7</v>
      </c>
      <c r="D2125" t="s">
        <v>50</v>
      </c>
      <c r="E2125" t="s">
        <v>51</v>
      </c>
      <c r="F2125">
        <v>71</v>
      </c>
      <c r="G2125" t="s">
        <v>133</v>
      </c>
      <c r="H2125" t="s">
        <v>11</v>
      </c>
      <c r="I2125" t="s">
        <v>97</v>
      </c>
      <c r="J2125" t="s">
        <v>25</v>
      </c>
      <c r="K2125">
        <v>3.7</v>
      </c>
      <c r="L2125" t="s">
        <v>140</v>
      </c>
      <c r="M2125" t="s">
        <v>15</v>
      </c>
      <c r="N2125" t="s">
        <v>140</v>
      </c>
      <c r="O2125">
        <v>22</v>
      </c>
      <c r="P2125" t="s">
        <v>74</v>
      </c>
      <c r="Q2125" t="s">
        <v>64</v>
      </c>
      <c r="R2125" t="str" cm="1">
        <f t="array" ref="R2125">_xlfn.IFS(B2125&lt;31,"Young-Adult",B2125&lt;41,"Adult",B2125&lt;61,"Middle-aged",B2125&gt;=61,"Senior")</f>
        <v>Middle-aged</v>
      </c>
      <c r="S2125" cm="1">
        <f t="array" ref="S2125">_xlfn.IFS(Q2125 ="Fortnightly",14,Q2125="Weekly",7,Q2125="Monthly",30,Q2125="Quarterly",90,Q2125="Bi-Weekly",14,Q2125="Annually",365,Q2125="Every 3 Months",90,TRUE,"NOT FOUND")</f>
        <v>14</v>
      </c>
    </row>
    <row r="2126" spans="1:19" x14ac:dyDescent="0.35">
      <c r="A2126">
        <v>2125</v>
      </c>
      <c r="B2126">
        <v>47</v>
      </c>
      <c r="C2126" t="s">
        <v>7</v>
      </c>
      <c r="D2126" t="s">
        <v>75</v>
      </c>
      <c r="E2126" t="s">
        <v>9</v>
      </c>
      <c r="F2126">
        <v>60</v>
      </c>
      <c r="G2126" t="s">
        <v>31</v>
      </c>
      <c r="H2126" t="s">
        <v>32</v>
      </c>
      <c r="I2126" t="s">
        <v>73</v>
      </c>
      <c r="J2126" t="s">
        <v>45</v>
      </c>
      <c r="K2126">
        <v>4.2</v>
      </c>
      <c r="L2126" t="s">
        <v>140</v>
      </c>
      <c r="M2126" t="s">
        <v>33</v>
      </c>
      <c r="N2126" t="s">
        <v>140</v>
      </c>
      <c r="O2126">
        <v>22</v>
      </c>
      <c r="P2126" t="s">
        <v>16</v>
      </c>
      <c r="Q2126" t="s">
        <v>46</v>
      </c>
      <c r="R2126" t="str" cm="1">
        <f t="array" ref="R2126">_xlfn.IFS(B2126&lt;31,"Young-Adult",B2126&lt;41,"Adult",B2126&lt;61,"Middle-aged",B2126&gt;=61,"Senior")</f>
        <v>Middle-aged</v>
      </c>
      <c r="S2126" cm="1">
        <f t="array" ref="S2126">_xlfn.IFS(Q2126 ="Fortnightly",14,Q2126="Weekly",7,Q2126="Monthly",30,Q2126="Quarterly",90,Q2126="Bi-Weekly",14,Q2126="Annually",365,Q2126="Every 3 Months",90,TRUE,"NOT FOUND")</f>
        <v>90</v>
      </c>
    </row>
    <row r="2127" spans="1:19" x14ac:dyDescent="0.35">
      <c r="A2127">
        <v>2126</v>
      </c>
      <c r="B2127">
        <v>57</v>
      </c>
      <c r="C2127" t="s">
        <v>7</v>
      </c>
      <c r="D2127" t="s">
        <v>50</v>
      </c>
      <c r="E2127" t="s">
        <v>51</v>
      </c>
      <c r="F2127">
        <v>87</v>
      </c>
      <c r="G2127" t="s">
        <v>70</v>
      </c>
      <c r="H2127" t="s">
        <v>32</v>
      </c>
      <c r="I2127" t="s">
        <v>106</v>
      </c>
      <c r="J2127" t="s">
        <v>45</v>
      </c>
      <c r="K2127">
        <v>4.8</v>
      </c>
      <c r="L2127" t="s">
        <v>140</v>
      </c>
      <c r="M2127" t="s">
        <v>62</v>
      </c>
      <c r="N2127" t="s">
        <v>140</v>
      </c>
      <c r="O2127">
        <v>31</v>
      </c>
      <c r="P2127" t="s">
        <v>34</v>
      </c>
      <c r="Q2127" t="s">
        <v>46</v>
      </c>
      <c r="R2127" t="str" cm="1">
        <f t="array" ref="R2127">_xlfn.IFS(B2127&lt;31,"Young-Adult",B2127&lt;41,"Adult",B2127&lt;61,"Middle-aged",B2127&gt;=61,"Senior")</f>
        <v>Middle-aged</v>
      </c>
      <c r="S2127" cm="1">
        <f t="array" ref="S2127">_xlfn.IFS(Q2127 ="Fortnightly",14,Q2127="Weekly",7,Q2127="Monthly",30,Q2127="Quarterly",90,Q2127="Bi-Weekly",14,Q2127="Annually",365,Q2127="Every 3 Months",90,TRUE,"NOT FOUND")</f>
        <v>90</v>
      </c>
    </row>
    <row r="2128" spans="1:19" x14ac:dyDescent="0.35">
      <c r="A2128">
        <v>2127</v>
      </c>
      <c r="B2128">
        <v>63</v>
      </c>
      <c r="C2128" t="s">
        <v>7</v>
      </c>
      <c r="D2128" t="s">
        <v>59</v>
      </c>
      <c r="E2128" t="s">
        <v>30</v>
      </c>
      <c r="F2128">
        <v>38</v>
      </c>
      <c r="G2128" t="s">
        <v>78</v>
      </c>
      <c r="H2128" t="s">
        <v>80</v>
      </c>
      <c r="I2128" t="s">
        <v>124</v>
      </c>
      <c r="J2128" t="s">
        <v>13</v>
      </c>
      <c r="K2128">
        <v>4.0999999999999996</v>
      </c>
      <c r="L2128" t="s">
        <v>140</v>
      </c>
      <c r="M2128" t="s">
        <v>15</v>
      </c>
      <c r="N2128" t="s">
        <v>140</v>
      </c>
      <c r="O2128">
        <v>28</v>
      </c>
      <c r="P2128" t="s">
        <v>27</v>
      </c>
      <c r="Q2128" t="s">
        <v>76</v>
      </c>
      <c r="R2128" t="str" cm="1">
        <f t="array" ref="R2128">_xlfn.IFS(B2128&lt;31,"Young-Adult",B2128&lt;41,"Adult",B2128&lt;61,"Middle-aged",B2128&gt;=61,"Senior")</f>
        <v>Senior</v>
      </c>
      <c r="S2128" cm="1">
        <f t="array" ref="S2128">_xlfn.IFS(Q2128 ="Fortnightly",14,Q2128="Weekly",7,Q2128="Monthly",30,Q2128="Quarterly",90,Q2128="Bi-Weekly",14,Q2128="Annually",365,Q2128="Every 3 Months",90,TRUE,"NOT FOUND")</f>
        <v>30</v>
      </c>
    </row>
    <row r="2129" spans="1:19" x14ac:dyDescent="0.35">
      <c r="A2129">
        <v>2128</v>
      </c>
      <c r="B2129">
        <v>70</v>
      </c>
      <c r="C2129" t="s">
        <v>7</v>
      </c>
      <c r="D2129" t="s">
        <v>125</v>
      </c>
      <c r="E2129" t="s">
        <v>30</v>
      </c>
      <c r="F2129">
        <v>45</v>
      </c>
      <c r="G2129" t="s">
        <v>86</v>
      </c>
      <c r="H2129" t="s">
        <v>32</v>
      </c>
      <c r="I2129" t="s">
        <v>114</v>
      </c>
      <c r="J2129" t="s">
        <v>25</v>
      </c>
      <c r="K2129">
        <v>4.5</v>
      </c>
      <c r="L2129" t="s">
        <v>140</v>
      </c>
      <c r="M2129" t="s">
        <v>58</v>
      </c>
      <c r="N2129" t="s">
        <v>140</v>
      </c>
      <c r="O2129">
        <v>40</v>
      </c>
      <c r="P2129" t="s">
        <v>74</v>
      </c>
      <c r="Q2129" t="s">
        <v>28</v>
      </c>
      <c r="R2129" t="str" cm="1">
        <f t="array" ref="R2129">_xlfn.IFS(B2129&lt;31,"Young-Adult",B2129&lt;41,"Adult",B2129&lt;61,"Middle-aged",B2129&gt;=61,"Senior")</f>
        <v>Senior</v>
      </c>
      <c r="S2129" cm="1">
        <f t="array" ref="S2129">_xlfn.IFS(Q2129 ="Fortnightly",14,Q2129="Weekly",7,Q2129="Monthly",30,Q2129="Quarterly",90,Q2129="Bi-Weekly",14,Q2129="Annually",365,Q2129="Every 3 Months",90,TRUE,"NOT FOUND")</f>
        <v>7</v>
      </c>
    </row>
    <row r="2130" spans="1:19" x14ac:dyDescent="0.35">
      <c r="A2130">
        <v>2129</v>
      </c>
      <c r="B2130">
        <v>62</v>
      </c>
      <c r="C2130" t="s">
        <v>7</v>
      </c>
      <c r="D2130" t="s">
        <v>50</v>
      </c>
      <c r="E2130" t="s">
        <v>51</v>
      </c>
      <c r="F2130">
        <v>47</v>
      </c>
      <c r="G2130" t="s">
        <v>118</v>
      </c>
      <c r="H2130" t="s">
        <v>11</v>
      </c>
      <c r="I2130" t="s">
        <v>97</v>
      </c>
      <c r="J2130" t="s">
        <v>45</v>
      </c>
      <c r="K2130">
        <v>2.7</v>
      </c>
      <c r="L2130" t="s">
        <v>140</v>
      </c>
      <c r="M2130" t="s">
        <v>58</v>
      </c>
      <c r="N2130" t="s">
        <v>140</v>
      </c>
      <c r="O2130">
        <v>21</v>
      </c>
      <c r="P2130" t="s">
        <v>34</v>
      </c>
      <c r="Q2130" t="s">
        <v>28</v>
      </c>
      <c r="R2130" t="str" cm="1">
        <f t="array" ref="R2130">_xlfn.IFS(B2130&lt;31,"Young-Adult",B2130&lt;41,"Adult",B2130&lt;61,"Middle-aged",B2130&gt;=61,"Senior")</f>
        <v>Senior</v>
      </c>
      <c r="S2130" cm="1">
        <f t="array" ref="S2130">_xlfn.IFS(Q2130 ="Fortnightly",14,Q2130="Weekly",7,Q2130="Monthly",30,Q2130="Quarterly",90,Q2130="Bi-Weekly",14,Q2130="Annually",365,Q2130="Every 3 Months",90,TRUE,"NOT FOUND")</f>
        <v>7</v>
      </c>
    </row>
    <row r="2131" spans="1:19" x14ac:dyDescent="0.35">
      <c r="A2131">
        <v>2130</v>
      </c>
      <c r="B2131">
        <v>40</v>
      </c>
      <c r="C2131" t="s">
        <v>7</v>
      </c>
      <c r="D2131" t="s">
        <v>75</v>
      </c>
      <c r="E2131" t="s">
        <v>9</v>
      </c>
      <c r="F2131">
        <v>57</v>
      </c>
      <c r="G2131" t="s">
        <v>136</v>
      </c>
      <c r="H2131" t="s">
        <v>11</v>
      </c>
      <c r="I2131" t="s">
        <v>109</v>
      </c>
      <c r="J2131" t="s">
        <v>45</v>
      </c>
      <c r="K2131">
        <v>2.8</v>
      </c>
      <c r="L2131" t="s">
        <v>140</v>
      </c>
      <c r="M2131" t="s">
        <v>62</v>
      </c>
      <c r="N2131" t="s">
        <v>140</v>
      </c>
      <c r="O2131">
        <v>12</v>
      </c>
      <c r="P2131" t="s">
        <v>34</v>
      </c>
      <c r="Q2131" t="s">
        <v>85</v>
      </c>
      <c r="R2131" t="str" cm="1">
        <f t="array" ref="R2131">_xlfn.IFS(B2131&lt;31,"Young-Adult",B2131&lt;41,"Adult",B2131&lt;61,"Middle-aged",B2131&gt;=61,"Senior")</f>
        <v>Adult</v>
      </c>
      <c r="S2131" cm="1">
        <f t="array" ref="S2131">_xlfn.IFS(Q2131 ="Fortnightly",14,Q2131="Weekly",7,Q2131="Monthly",30,Q2131="Quarterly",90,Q2131="Bi-Weekly",14,Q2131="Annually",365,Q2131="Every 3 Months",90,TRUE,"NOT FOUND")</f>
        <v>90</v>
      </c>
    </row>
    <row r="2132" spans="1:19" x14ac:dyDescent="0.35">
      <c r="A2132">
        <v>2131</v>
      </c>
      <c r="B2132">
        <v>25</v>
      </c>
      <c r="C2132" t="s">
        <v>7</v>
      </c>
      <c r="D2132" t="s">
        <v>120</v>
      </c>
      <c r="E2132" t="s">
        <v>55</v>
      </c>
      <c r="F2132">
        <v>68</v>
      </c>
      <c r="G2132" t="s">
        <v>105</v>
      </c>
      <c r="H2132" t="s">
        <v>11</v>
      </c>
      <c r="I2132" t="s">
        <v>71</v>
      </c>
      <c r="J2132" t="s">
        <v>41</v>
      </c>
      <c r="K2132">
        <v>3.7</v>
      </c>
      <c r="L2132" t="s">
        <v>140</v>
      </c>
      <c r="M2132" t="s">
        <v>26</v>
      </c>
      <c r="N2132" t="s">
        <v>140</v>
      </c>
      <c r="O2132">
        <v>33</v>
      </c>
      <c r="P2132" t="s">
        <v>27</v>
      </c>
      <c r="Q2132" t="s">
        <v>37</v>
      </c>
      <c r="R2132" t="str" cm="1">
        <f t="array" ref="R2132">_xlfn.IFS(B2132&lt;31,"Young-Adult",B2132&lt;41,"Adult",B2132&lt;61,"Middle-aged",B2132&gt;=61,"Senior")</f>
        <v>Young-Adult</v>
      </c>
      <c r="S2132" cm="1">
        <f t="array" ref="S2132">_xlfn.IFS(Q2132 ="Fortnightly",14,Q2132="Weekly",7,Q2132="Monthly",30,Q2132="Quarterly",90,Q2132="Bi-Weekly",14,Q2132="Annually",365,Q2132="Every 3 Months",90,TRUE,"NOT FOUND")</f>
        <v>365</v>
      </c>
    </row>
    <row r="2133" spans="1:19" x14ac:dyDescent="0.35">
      <c r="A2133">
        <v>2132</v>
      </c>
      <c r="B2133">
        <v>19</v>
      </c>
      <c r="C2133" t="s">
        <v>7</v>
      </c>
      <c r="D2133" t="s">
        <v>47</v>
      </c>
      <c r="E2133" t="s">
        <v>9</v>
      </c>
      <c r="F2133">
        <v>52</v>
      </c>
      <c r="G2133" t="s">
        <v>44</v>
      </c>
      <c r="H2133" t="s">
        <v>32</v>
      </c>
      <c r="I2133" t="s">
        <v>96</v>
      </c>
      <c r="J2133" t="s">
        <v>45</v>
      </c>
      <c r="K2133">
        <v>3.6</v>
      </c>
      <c r="L2133" t="s">
        <v>140</v>
      </c>
      <c r="M2133" t="s">
        <v>15</v>
      </c>
      <c r="N2133" t="s">
        <v>140</v>
      </c>
      <c r="O2133">
        <v>9</v>
      </c>
      <c r="P2133" t="s">
        <v>63</v>
      </c>
      <c r="Q2133" t="s">
        <v>17</v>
      </c>
      <c r="R2133" t="str" cm="1">
        <f t="array" ref="R2133">_xlfn.IFS(B2133&lt;31,"Young-Adult",B2133&lt;41,"Adult",B2133&lt;61,"Middle-aged",B2133&gt;=61,"Senior")</f>
        <v>Young-Adult</v>
      </c>
      <c r="S2133" cm="1">
        <f t="array" ref="S2133">_xlfn.IFS(Q2133 ="Fortnightly",14,Q2133="Weekly",7,Q2133="Monthly",30,Q2133="Quarterly",90,Q2133="Bi-Weekly",14,Q2133="Annually",365,Q2133="Every 3 Months",90,TRUE,"NOT FOUND")</f>
        <v>14</v>
      </c>
    </row>
    <row r="2134" spans="1:19" x14ac:dyDescent="0.35">
      <c r="A2134">
        <v>2133</v>
      </c>
      <c r="B2134">
        <v>25</v>
      </c>
      <c r="C2134" t="s">
        <v>7</v>
      </c>
      <c r="D2134" t="s">
        <v>75</v>
      </c>
      <c r="E2134" t="s">
        <v>9</v>
      </c>
      <c r="F2134">
        <v>87</v>
      </c>
      <c r="G2134" t="s">
        <v>117</v>
      </c>
      <c r="H2134" t="s">
        <v>32</v>
      </c>
      <c r="I2134" t="s">
        <v>124</v>
      </c>
      <c r="J2134" t="s">
        <v>45</v>
      </c>
      <c r="K2134">
        <v>4.7</v>
      </c>
      <c r="L2134" t="s">
        <v>140</v>
      </c>
      <c r="M2134" t="s">
        <v>58</v>
      </c>
      <c r="N2134" t="s">
        <v>140</v>
      </c>
      <c r="O2134">
        <v>15</v>
      </c>
      <c r="P2134" t="s">
        <v>74</v>
      </c>
      <c r="Q2134" t="s">
        <v>28</v>
      </c>
      <c r="R2134" t="str" cm="1">
        <f t="array" ref="R2134">_xlfn.IFS(B2134&lt;31,"Young-Adult",B2134&lt;41,"Adult",B2134&lt;61,"Middle-aged",B2134&gt;=61,"Senior")</f>
        <v>Young-Adult</v>
      </c>
      <c r="S2134" cm="1">
        <f t="array" ref="S2134">_xlfn.IFS(Q2134 ="Fortnightly",14,Q2134="Weekly",7,Q2134="Monthly",30,Q2134="Quarterly",90,Q2134="Bi-Weekly",14,Q2134="Annually",365,Q2134="Every 3 Months",90,TRUE,"NOT FOUND")</f>
        <v>7</v>
      </c>
    </row>
    <row r="2135" spans="1:19" x14ac:dyDescent="0.35">
      <c r="A2135">
        <v>2134</v>
      </c>
      <c r="B2135">
        <v>21</v>
      </c>
      <c r="C2135" t="s">
        <v>7</v>
      </c>
      <c r="D2135" t="s">
        <v>112</v>
      </c>
      <c r="E2135" t="s">
        <v>55</v>
      </c>
      <c r="F2135">
        <v>34</v>
      </c>
      <c r="G2135" t="s">
        <v>19</v>
      </c>
      <c r="H2135" t="s">
        <v>32</v>
      </c>
      <c r="I2135" t="s">
        <v>66</v>
      </c>
      <c r="J2135" t="s">
        <v>41</v>
      </c>
      <c r="K2135">
        <v>3.8</v>
      </c>
      <c r="L2135" t="s">
        <v>140</v>
      </c>
      <c r="M2135" t="s">
        <v>42</v>
      </c>
      <c r="N2135" t="s">
        <v>140</v>
      </c>
      <c r="O2135">
        <v>13</v>
      </c>
      <c r="P2135" t="s">
        <v>63</v>
      </c>
      <c r="Q2135" t="s">
        <v>37</v>
      </c>
      <c r="R2135" t="str" cm="1">
        <f t="array" ref="R2135">_xlfn.IFS(B2135&lt;31,"Young-Adult",B2135&lt;41,"Adult",B2135&lt;61,"Middle-aged",B2135&gt;=61,"Senior")</f>
        <v>Young-Adult</v>
      </c>
      <c r="S2135" cm="1">
        <f t="array" ref="S2135">_xlfn.IFS(Q2135 ="Fortnightly",14,Q2135="Weekly",7,Q2135="Monthly",30,Q2135="Quarterly",90,Q2135="Bi-Weekly",14,Q2135="Annually",365,Q2135="Every 3 Months",90,TRUE,"NOT FOUND")</f>
        <v>365</v>
      </c>
    </row>
    <row r="2136" spans="1:19" x14ac:dyDescent="0.35">
      <c r="A2136">
        <v>2135</v>
      </c>
      <c r="B2136">
        <v>55</v>
      </c>
      <c r="C2136" t="s">
        <v>7</v>
      </c>
      <c r="D2136" t="s">
        <v>29</v>
      </c>
      <c r="E2136" t="s">
        <v>30</v>
      </c>
      <c r="F2136">
        <v>41</v>
      </c>
      <c r="G2136" t="s">
        <v>129</v>
      </c>
      <c r="H2136" t="s">
        <v>80</v>
      </c>
      <c r="I2136" t="s">
        <v>20</v>
      </c>
      <c r="J2136" t="s">
        <v>13</v>
      </c>
      <c r="K2136">
        <v>2.9</v>
      </c>
      <c r="L2136" t="s">
        <v>140</v>
      </c>
      <c r="M2136" t="s">
        <v>42</v>
      </c>
      <c r="N2136" t="s">
        <v>140</v>
      </c>
      <c r="O2136">
        <v>35</v>
      </c>
      <c r="P2136" t="s">
        <v>27</v>
      </c>
      <c r="Q2136" t="s">
        <v>17</v>
      </c>
      <c r="R2136" t="str" cm="1">
        <f t="array" ref="R2136">_xlfn.IFS(B2136&lt;31,"Young-Adult",B2136&lt;41,"Adult",B2136&lt;61,"Middle-aged",B2136&gt;=61,"Senior")</f>
        <v>Middle-aged</v>
      </c>
      <c r="S2136" cm="1">
        <f t="array" ref="S2136">_xlfn.IFS(Q2136 ="Fortnightly",14,Q2136="Weekly",7,Q2136="Monthly",30,Q2136="Quarterly",90,Q2136="Bi-Weekly",14,Q2136="Annually",365,Q2136="Every 3 Months",90,TRUE,"NOT FOUND")</f>
        <v>14</v>
      </c>
    </row>
    <row r="2137" spans="1:19" x14ac:dyDescent="0.35">
      <c r="A2137">
        <v>2136</v>
      </c>
      <c r="B2137">
        <v>34</v>
      </c>
      <c r="C2137" t="s">
        <v>7</v>
      </c>
      <c r="D2137" t="s">
        <v>77</v>
      </c>
      <c r="E2137" t="s">
        <v>55</v>
      </c>
      <c r="F2137">
        <v>94</v>
      </c>
      <c r="G2137" t="s">
        <v>87</v>
      </c>
      <c r="H2137" t="s">
        <v>24</v>
      </c>
      <c r="I2137" t="s">
        <v>122</v>
      </c>
      <c r="J2137" t="s">
        <v>13</v>
      </c>
      <c r="K2137">
        <v>4.5999999999999996</v>
      </c>
      <c r="L2137" t="s">
        <v>140</v>
      </c>
      <c r="M2137" t="s">
        <v>33</v>
      </c>
      <c r="N2137" t="s">
        <v>140</v>
      </c>
      <c r="O2137">
        <v>1</v>
      </c>
      <c r="P2137" t="s">
        <v>74</v>
      </c>
      <c r="Q2137" t="s">
        <v>85</v>
      </c>
      <c r="R2137" t="str" cm="1">
        <f t="array" ref="R2137">_xlfn.IFS(B2137&lt;31,"Young-Adult",B2137&lt;41,"Adult",B2137&lt;61,"Middle-aged",B2137&gt;=61,"Senior")</f>
        <v>Adult</v>
      </c>
      <c r="S2137" cm="1">
        <f t="array" ref="S2137">_xlfn.IFS(Q2137 ="Fortnightly",14,Q2137="Weekly",7,Q2137="Monthly",30,Q2137="Quarterly",90,Q2137="Bi-Weekly",14,Q2137="Annually",365,Q2137="Every 3 Months",90,TRUE,"NOT FOUND")</f>
        <v>90</v>
      </c>
    </row>
    <row r="2138" spans="1:19" x14ac:dyDescent="0.35">
      <c r="A2138">
        <v>2137</v>
      </c>
      <c r="B2138">
        <v>47</v>
      </c>
      <c r="C2138" t="s">
        <v>7</v>
      </c>
      <c r="D2138" t="s">
        <v>77</v>
      </c>
      <c r="E2138" t="s">
        <v>55</v>
      </c>
      <c r="F2138">
        <v>93</v>
      </c>
      <c r="G2138" t="s">
        <v>72</v>
      </c>
      <c r="H2138" t="s">
        <v>32</v>
      </c>
      <c r="I2138" t="s">
        <v>96</v>
      </c>
      <c r="J2138" t="s">
        <v>41</v>
      </c>
      <c r="K2138">
        <v>2.8</v>
      </c>
      <c r="L2138" t="s">
        <v>140</v>
      </c>
      <c r="M2138" t="s">
        <v>42</v>
      </c>
      <c r="N2138" t="s">
        <v>140</v>
      </c>
      <c r="O2138">
        <v>25</v>
      </c>
      <c r="P2138" t="s">
        <v>63</v>
      </c>
      <c r="Q2138" t="s">
        <v>17</v>
      </c>
      <c r="R2138" t="str" cm="1">
        <f t="array" ref="R2138">_xlfn.IFS(B2138&lt;31,"Young-Adult",B2138&lt;41,"Adult",B2138&lt;61,"Middle-aged",B2138&gt;=61,"Senior")</f>
        <v>Middle-aged</v>
      </c>
      <c r="S2138" cm="1">
        <f t="array" ref="S2138">_xlfn.IFS(Q2138 ="Fortnightly",14,Q2138="Weekly",7,Q2138="Monthly",30,Q2138="Quarterly",90,Q2138="Bi-Weekly",14,Q2138="Annually",365,Q2138="Every 3 Months",90,TRUE,"NOT FOUND")</f>
        <v>14</v>
      </c>
    </row>
    <row r="2139" spans="1:19" x14ac:dyDescent="0.35">
      <c r="A2139">
        <v>2138</v>
      </c>
      <c r="B2139">
        <v>27</v>
      </c>
      <c r="C2139" t="s">
        <v>7</v>
      </c>
      <c r="D2139" t="s">
        <v>113</v>
      </c>
      <c r="E2139" t="s">
        <v>9</v>
      </c>
      <c r="F2139">
        <v>51</v>
      </c>
      <c r="G2139" t="s">
        <v>104</v>
      </c>
      <c r="H2139" t="s">
        <v>80</v>
      </c>
      <c r="I2139" t="s">
        <v>61</v>
      </c>
      <c r="J2139" t="s">
        <v>13</v>
      </c>
      <c r="K2139">
        <v>4.5999999999999996</v>
      </c>
      <c r="L2139" t="s">
        <v>140</v>
      </c>
      <c r="M2139" t="s">
        <v>58</v>
      </c>
      <c r="N2139" t="s">
        <v>140</v>
      </c>
      <c r="O2139">
        <v>20</v>
      </c>
      <c r="P2139" t="s">
        <v>27</v>
      </c>
      <c r="Q2139" t="s">
        <v>85</v>
      </c>
      <c r="R2139" t="str" cm="1">
        <f t="array" ref="R2139">_xlfn.IFS(B2139&lt;31,"Young-Adult",B2139&lt;41,"Adult",B2139&lt;61,"Middle-aged",B2139&gt;=61,"Senior")</f>
        <v>Young-Adult</v>
      </c>
      <c r="S2139" cm="1">
        <f t="array" ref="S2139">_xlfn.IFS(Q2139 ="Fortnightly",14,Q2139="Weekly",7,Q2139="Monthly",30,Q2139="Quarterly",90,Q2139="Bi-Weekly",14,Q2139="Annually",365,Q2139="Every 3 Months",90,TRUE,"NOT FOUND")</f>
        <v>90</v>
      </c>
    </row>
    <row r="2140" spans="1:19" x14ac:dyDescent="0.35">
      <c r="A2140">
        <v>2139</v>
      </c>
      <c r="B2140">
        <v>67</v>
      </c>
      <c r="C2140" t="s">
        <v>7</v>
      </c>
      <c r="D2140" t="s">
        <v>18</v>
      </c>
      <c r="E2140" t="s">
        <v>9</v>
      </c>
      <c r="F2140">
        <v>42</v>
      </c>
      <c r="G2140" t="s">
        <v>79</v>
      </c>
      <c r="H2140" t="s">
        <v>32</v>
      </c>
      <c r="I2140" t="s">
        <v>73</v>
      </c>
      <c r="J2140" t="s">
        <v>45</v>
      </c>
      <c r="K2140">
        <v>2.8</v>
      </c>
      <c r="L2140" t="s">
        <v>140</v>
      </c>
      <c r="M2140" t="s">
        <v>33</v>
      </c>
      <c r="N2140" t="s">
        <v>140</v>
      </c>
      <c r="O2140">
        <v>36</v>
      </c>
      <c r="P2140" t="s">
        <v>16</v>
      </c>
      <c r="Q2140" t="s">
        <v>46</v>
      </c>
      <c r="R2140" t="str" cm="1">
        <f t="array" ref="R2140">_xlfn.IFS(B2140&lt;31,"Young-Adult",B2140&lt;41,"Adult",B2140&lt;61,"Middle-aged",B2140&gt;=61,"Senior")</f>
        <v>Senior</v>
      </c>
      <c r="S2140" cm="1">
        <f t="array" ref="S2140">_xlfn.IFS(Q2140 ="Fortnightly",14,Q2140="Weekly",7,Q2140="Monthly",30,Q2140="Quarterly",90,Q2140="Bi-Weekly",14,Q2140="Annually",365,Q2140="Every 3 Months",90,TRUE,"NOT FOUND")</f>
        <v>90</v>
      </c>
    </row>
    <row r="2141" spans="1:19" x14ac:dyDescent="0.35">
      <c r="A2141">
        <v>2140</v>
      </c>
      <c r="B2141">
        <v>40</v>
      </c>
      <c r="C2141" t="s">
        <v>7</v>
      </c>
      <c r="D2141" t="s">
        <v>125</v>
      </c>
      <c r="E2141" t="s">
        <v>30</v>
      </c>
      <c r="F2141">
        <v>95</v>
      </c>
      <c r="G2141" t="s">
        <v>72</v>
      </c>
      <c r="H2141" t="s">
        <v>32</v>
      </c>
      <c r="I2141" t="s">
        <v>96</v>
      </c>
      <c r="J2141" t="s">
        <v>13</v>
      </c>
      <c r="K2141">
        <v>3</v>
      </c>
      <c r="L2141" t="s">
        <v>140</v>
      </c>
      <c r="M2141" t="s">
        <v>26</v>
      </c>
      <c r="N2141" t="s">
        <v>140</v>
      </c>
      <c r="O2141">
        <v>33</v>
      </c>
      <c r="P2141" t="s">
        <v>21</v>
      </c>
      <c r="Q2141" t="s">
        <v>28</v>
      </c>
      <c r="R2141" t="str" cm="1">
        <f t="array" ref="R2141">_xlfn.IFS(B2141&lt;31,"Young-Adult",B2141&lt;41,"Adult",B2141&lt;61,"Middle-aged",B2141&gt;=61,"Senior")</f>
        <v>Adult</v>
      </c>
      <c r="S2141" cm="1">
        <f t="array" ref="S2141">_xlfn.IFS(Q2141 ="Fortnightly",14,Q2141="Weekly",7,Q2141="Monthly",30,Q2141="Quarterly",90,Q2141="Bi-Weekly",14,Q2141="Annually",365,Q2141="Every 3 Months",90,TRUE,"NOT FOUND")</f>
        <v>7</v>
      </c>
    </row>
    <row r="2142" spans="1:19" x14ac:dyDescent="0.35">
      <c r="A2142">
        <v>2141</v>
      </c>
      <c r="B2142">
        <v>53</v>
      </c>
      <c r="C2142" t="s">
        <v>7</v>
      </c>
      <c r="D2142" t="s">
        <v>54</v>
      </c>
      <c r="E2142" t="s">
        <v>55</v>
      </c>
      <c r="F2142">
        <v>90</v>
      </c>
      <c r="G2142" t="s">
        <v>118</v>
      </c>
      <c r="H2142" t="s">
        <v>32</v>
      </c>
      <c r="I2142" t="s">
        <v>98</v>
      </c>
      <c r="J2142" t="s">
        <v>45</v>
      </c>
      <c r="K2142">
        <v>3.7</v>
      </c>
      <c r="L2142" t="s">
        <v>140</v>
      </c>
      <c r="M2142" t="s">
        <v>42</v>
      </c>
      <c r="N2142" t="s">
        <v>140</v>
      </c>
      <c r="O2142">
        <v>36</v>
      </c>
      <c r="P2142" t="s">
        <v>21</v>
      </c>
      <c r="Q2142" t="s">
        <v>17</v>
      </c>
      <c r="R2142" t="str" cm="1">
        <f t="array" ref="R2142">_xlfn.IFS(B2142&lt;31,"Young-Adult",B2142&lt;41,"Adult",B2142&lt;61,"Middle-aged",B2142&gt;=61,"Senior")</f>
        <v>Middle-aged</v>
      </c>
      <c r="S2142" cm="1">
        <f t="array" ref="S2142">_xlfn.IFS(Q2142 ="Fortnightly",14,Q2142="Weekly",7,Q2142="Monthly",30,Q2142="Quarterly",90,Q2142="Bi-Weekly",14,Q2142="Annually",365,Q2142="Every 3 Months",90,TRUE,"NOT FOUND")</f>
        <v>14</v>
      </c>
    </row>
    <row r="2143" spans="1:19" x14ac:dyDescent="0.35">
      <c r="A2143">
        <v>2142</v>
      </c>
      <c r="B2143">
        <v>24</v>
      </c>
      <c r="C2143" t="s">
        <v>7</v>
      </c>
      <c r="D2143" t="s">
        <v>69</v>
      </c>
      <c r="E2143" t="s">
        <v>9</v>
      </c>
      <c r="F2143">
        <v>98</v>
      </c>
      <c r="G2143" t="s">
        <v>10</v>
      </c>
      <c r="H2143" t="s">
        <v>32</v>
      </c>
      <c r="I2143" t="s">
        <v>88</v>
      </c>
      <c r="J2143" t="s">
        <v>13</v>
      </c>
      <c r="K2143">
        <v>4.0999999999999996</v>
      </c>
      <c r="L2143" t="s">
        <v>140</v>
      </c>
      <c r="M2143" t="s">
        <v>58</v>
      </c>
      <c r="N2143" t="s">
        <v>140</v>
      </c>
      <c r="O2143">
        <v>32</v>
      </c>
      <c r="P2143" t="s">
        <v>34</v>
      </c>
      <c r="Q2143" t="s">
        <v>37</v>
      </c>
      <c r="R2143" t="str" cm="1">
        <f t="array" ref="R2143">_xlfn.IFS(B2143&lt;31,"Young-Adult",B2143&lt;41,"Adult",B2143&lt;61,"Middle-aged",B2143&gt;=61,"Senior")</f>
        <v>Young-Adult</v>
      </c>
      <c r="S2143" cm="1">
        <f t="array" ref="S2143">_xlfn.IFS(Q2143 ="Fortnightly",14,Q2143="Weekly",7,Q2143="Monthly",30,Q2143="Quarterly",90,Q2143="Bi-Weekly",14,Q2143="Annually",365,Q2143="Every 3 Months",90,TRUE,"NOT FOUND")</f>
        <v>365</v>
      </c>
    </row>
    <row r="2144" spans="1:19" x14ac:dyDescent="0.35">
      <c r="A2144">
        <v>2143</v>
      </c>
      <c r="B2144">
        <v>47</v>
      </c>
      <c r="C2144" t="s">
        <v>7</v>
      </c>
      <c r="D2144" t="s">
        <v>112</v>
      </c>
      <c r="E2144" t="s">
        <v>55</v>
      </c>
      <c r="F2144">
        <v>39</v>
      </c>
      <c r="G2144" t="s">
        <v>102</v>
      </c>
      <c r="H2144" t="s">
        <v>32</v>
      </c>
      <c r="I2144" t="s">
        <v>20</v>
      </c>
      <c r="J2144" t="s">
        <v>13</v>
      </c>
      <c r="K2144">
        <v>4.3</v>
      </c>
      <c r="L2144" t="s">
        <v>140</v>
      </c>
      <c r="M2144" t="s">
        <v>33</v>
      </c>
      <c r="N2144" t="s">
        <v>140</v>
      </c>
      <c r="O2144">
        <v>21</v>
      </c>
      <c r="P2144" t="s">
        <v>16</v>
      </c>
      <c r="Q2144" t="s">
        <v>46</v>
      </c>
      <c r="R2144" t="str" cm="1">
        <f t="array" ref="R2144">_xlfn.IFS(B2144&lt;31,"Young-Adult",B2144&lt;41,"Adult",B2144&lt;61,"Middle-aged",B2144&gt;=61,"Senior")</f>
        <v>Middle-aged</v>
      </c>
      <c r="S2144" cm="1">
        <f t="array" ref="S2144">_xlfn.IFS(Q2144 ="Fortnightly",14,Q2144="Weekly",7,Q2144="Monthly",30,Q2144="Quarterly",90,Q2144="Bi-Weekly",14,Q2144="Annually",365,Q2144="Every 3 Months",90,TRUE,"NOT FOUND")</f>
        <v>90</v>
      </c>
    </row>
    <row r="2145" spans="1:19" x14ac:dyDescent="0.35">
      <c r="A2145">
        <v>2144</v>
      </c>
      <c r="B2145">
        <v>53</v>
      </c>
      <c r="C2145" t="s">
        <v>7</v>
      </c>
      <c r="D2145" t="s">
        <v>29</v>
      </c>
      <c r="E2145" t="s">
        <v>30</v>
      </c>
      <c r="F2145">
        <v>66</v>
      </c>
      <c r="G2145" t="s">
        <v>60</v>
      </c>
      <c r="H2145" t="s">
        <v>11</v>
      </c>
      <c r="I2145" t="s">
        <v>96</v>
      </c>
      <c r="J2145" t="s">
        <v>45</v>
      </c>
      <c r="K2145">
        <v>3.8</v>
      </c>
      <c r="L2145" t="s">
        <v>140</v>
      </c>
      <c r="M2145" t="s">
        <v>33</v>
      </c>
      <c r="N2145" t="s">
        <v>140</v>
      </c>
      <c r="O2145">
        <v>48</v>
      </c>
      <c r="P2145" t="s">
        <v>16</v>
      </c>
      <c r="Q2145" t="s">
        <v>64</v>
      </c>
      <c r="R2145" t="str" cm="1">
        <f t="array" ref="R2145">_xlfn.IFS(B2145&lt;31,"Young-Adult",B2145&lt;41,"Adult",B2145&lt;61,"Middle-aged",B2145&gt;=61,"Senior")</f>
        <v>Middle-aged</v>
      </c>
      <c r="S2145" cm="1">
        <f t="array" ref="S2145">_xlfn.IFS(Q2145 ="Fortnightly",14,Q2145="Weekly",7,Q2145="Monthly",30,Q2145="Quarterly",90,Q2145="Bi-Weekly",14,Q2145="Annually",365,Q2145="Every 3 Months",90,TRUE,"NOT FOUND")</f>
        <v>14</v>
      </c>
    </row>
    <row r="2146" spans="1:19" x14ac:dyDescent="0.35">
      <c r="A2146">
        <v>2145</v>
      </c>
      <c r="B2146">
        <v>47</v>
      </c>
      <c r="C2146" t="s">
        <v>7</v>
      </c>
      <c r="D2146" t="s">
        <v>59</v>
      </c>
      <c r="E2146" t="s">
        <v>30</v>
      </c>
      <c r="F2146">
        <v>23</v>
      </c>
      <c r="G2146" t="s">
        <v>116</v>
      </c>
      <c r="H2146" t="s">
        <v>11</v>
      </c>
      <c r="I2146" t="s">
        <v>109</v>
      </c>
      <c r="J2146" t="s">
        <v>13</v>
      </c>
      <c r="K2146">
        <v>3.7</v>
      </c>
      <c r="L2146" t="s">
        <v>140</v>
      </c>
      <c r="M2146" t="s">
        <v>26</v>
      </c>
      <c r="N2146" t="s">
        <v>140</v>
      </c>
      <c r="O2146">
        <v>25</v>
      </c>
      <c r="P2146" t="s">
        <v>34</v>
      </c>
      <c r="Q2146" t="s">
        <v>46</v>
      </c>
      <c r="R2146" t="str" cm="1">
        <f t="array" ref="R2146">_xlfn.IFS(B2146&lt;31,"Young-Adult",B2146&lt;41,"Adult",B2146&lt;61,"Middle-aged",B2146&gt;=61,"Senior")</f>
        <v>Middle-aged</v>
      </c>
      <c r="S2146" cm="1">
        <f t="array" ref="S2146">_xlfn.IFS(Q2146 ="Fortnightly",14,Q2146="Weekly",7,Q2146="Monthly",30,Q2146="Quarterly",90,Q2146="Bi-Weekly",14,Q2146="Annually",365,Q2146="Every 3 Months",90,TRUE,"NOT FOUND")</f>
        <v>90</v>
      </c>
    </row>
    <row r="2147" spans="1:19" x14ac:dyDescent="0.35">
      <c r="A2147">
        <v>2146</v>
      </c>
      <c r="B2147">
        <v>38</v>
      </c>
      <c r="C2147" t="s">
        <v>7</v>
      </c>
      <c r="D2147" t="s">
        <v>75</v>
      </c>
      <c r="E2147" t="s">
        <v>9</v>
      </c>
      <c r="F2147">
        <v>73</v>
      </c>
      <c r="G2147" t="s">
        <v>127</v>
      </c>
      <c r="H2147" t="s">
        <v>24</v>
      </c>
      <c r="I2147" t="s">
        <v>40</v>
      </c>
      <c r="J2147" t="s">
        <v>13</v>
      </c>
      <c r="K2147">
        <v>4.8</v>
      </c>
      <c r="L2147" t="s">
        <v>140</v>
      </c>
      <c r="M2147" t="s">
        <v>42</v>
      </c>
      <c r="N2147" t="s">
        <v>140</v>
      </c>
      <c r="O2147">
        <v>32</v>
      </c>
      <c r="P2147" t="s">
        <v>34</v>
      </c>
      <c r="Q2147" t="s">
        <v>37</v>
      </c>
      <c r="R2147" t="str" cm="1">
        <f t="array" ref="R2147">_xlfn.IFS(B2147&lt;31,"Young-Adult",B2147&lt;41,"Adult",B2147&lt;61,"Middle-aged",B2147&gt;=61,"Senior")</f>
        <v>Adult</v>
      </c>
      <c r="S2147" cm="1">
        <f t="array" ref="S2147">_xlfn.IFS(Q2147 ="Fortnightly",14,Q2147="Weekly",7,Q2147="Monthly",30,Q2147="Quarterly",90,Q2147="Bi-Weekly",14,Q2147="Annually",365,Q2147="Every 3 Months",90,TRUE,"NOT FOUND")</f>
        <v>365</v>
      </c>
    </row>
    <row r="2148" spans="1:19" x14ac:dyDescent="0.35">
      <c r="A2148">
        <v>2147</v>
      </c>
      <c r="B2148">
        <v>48</v>
      </c>
      <c r="C2148" t="s">
        <v>7</v>
      </c>
      <c r="D2148" t="s">
        <v>77</v>
      </c>
      <c r="E2148" t="s">
        <v>55</v>
      </c>
      <c r="F2148">
        <v>23</v>
      </c>
      <c r="G2148" t="s">
        <v>128</v>
      </c>
      <c r="H2148" t="s">
        <v>80</v>
      </c>
      <c r="I2148" t="s">
        <v>40</v>
      </c>
      <c r="J2148" t="s">
        <v>41</v>
      </c>
      <c r="K2148">
        <v>4.5999999999999996</v>
      </c>
      <c r="L2148" t="s">
        <v>140</v>
      </c>
      <c r="M2148" t="s">
        <v>42</v>
      </c>
      <c r="N2148" t="s">
        <v>140</v>
      </c>
      <c r="O2148">
        <v>45</v>
      </c>
      <c r="P2148" t="s">
        <v>34</v>
      </c>
      <c r="Q2148" t="s">
        <v>85</v>
      </c>
      <c r="R2148" t="str" cm="1">
        <f t="array" ref="R2148">_xlfn.IFS(B2148&lt;31,"Young-Adult",B2148&lt;41,"Adult",B2148&lt;61,"Middle-aged",B2148&gt;=61,"Senior")</f>
        <v>Middle-aged</v>
      </c>
      <c r="S2148" cm="1">
        <f t="array" ref="S2148">_xlfn.IFS(Q2148 ="Fortnightly",14,Q2148="Weekly",7,Q2148="Monthly",30,Q2148="Quarterly",90,Q2148="Bi-Weekly",14,Q2148="Annually",365,Q2148="Every 3 Months",90,TRUE,"NOT FOUND")</f>
        <v>90</v>
      </c>
    </row>
    <row r="2149" spans="1:19" x14ac:dyDescent="0.35">
      <c r="A2149">
        <v>2148</v>
      </c>
      <c r="B2149">
        <v>47</v>
      </c>
      <c r="C2149" t="s">
        <v>7</v>
      </c>
      <c r="D2149" t="s">
        <v>75</v>
      </c>
      <c r="E2149" t="s">
        <v>9</v>
      </c>
      <c r="F2149">
        <v>43</v>
      </c>
      <c r="G2149" t="s">
        <v>56</v>
      </c>
      <c r="H2149" t="s">
        <v>24</v>
      </c>
      <c r="I2149" t="s">
        <v>49</v>
      </c>
      <c r="J2149" t="s">
        <v>45</v>
      </c>
      <c r="K2149">
        <v>4.8</v>
      </c>
      <c r="L2149" t="s">
        <v>140</v>
      </c>
      <c r="M2149" t="s">
        <v>42</v>
      </c>
      <c r="N2149" t="s">
        <v>140</v>
      </c>
      <c r="O2149">
        <v>4</v>
      </c>
      <c r="P2149" t="s">
        <v>21</v>
      </c>
      <c r="Q2149" t="s">
        <v>17</v>
      </c>
      <c r="R2149" t="str" cm="1">
        <f t="array" ref="R2149">_xlfn.IFS(B2149&lt;31,"Young-Adult",B2149&lt;41,"Adult",B2149&lt;61,"Middle-aged",B2149&gt;=61,"Senior")</f>
        <v>Middle-aged</v>
      </c>
      <c r="S2149" cm="1">
        <f t="array" ref="S2149">_xlfn.IFS(Q2149 ="Fortnightly",14,Q2149="Weekly",7,Q2149="Monthly",30,Q2149="Quarterly",90,Q2149="Bi-Weekly",14,Q2149="Annually",365,Q2149="Every 3 Months",90,TRUE,"NOT FOUND")</f>
        <v>14</v>
      </c>
    </row>
    <row r="2150" spans="1:19" x14ac:dyDescent="0.35">
      <c r="A2150">
        <v>2149</v>
      </c>
      <c r="B2150">
        <v>19</v>
      </c>
      <c r="C2150" t="s">
        <v>7</v>
      </c>
      <c r="D2150" t="s">
        <v>101</v>
      </c>
      <c r="E2150" t="s">
        <v>9</v>
      </c>
      <c r="F2150">
        <v>45</v>
      </c>
      <c r="G2150" t="s">
        <v>133</v>
      </c>
      <c r="H2150" t="s">
        <v>80</v>
      </c>
      <c r="I2150" t="s">
        <v>36</v>
      </c>
      <c r="J2150" t="s">
        <v>13</v>
      </c>
      <c r="K2150">
        <v>4.5999999999999996</v>
      </c>
      <c r="L2150" t="s">
        <v>140</v>
      </c>
      <c r="M2150" t="s">
        <v>58</v>
      </c>
      <c r="N2150" t="s">
        <v>140</v>
      </c>
      <c r="O2150">
        <v>19</v>
      </c>
      <c r="P2150" t="s">
        <v>34</v>
      </c>
      <c r="Q2150" t="s">
        <v>64</v>
      </c>
      <c r="R2150" t="str" cm="1">
        <f t="array" ref="R2150">_xlfn.IFS(B2150&lt;31,"Young-Adult",B2150&lt;41,"Adult",B2150&lt;61,"Middle-aged",B2150&gt;=61,"Senior")</f>
        <v>Young-Adult</v>
      </c>
      <c r="S2150" cm="1">
        <f t="array" ref="S2150">_xlfn.IFS(Q2150 ="Fortnightly",14,Q2150="Weekly",7,Q2150="Monthly",30,Q2150="Quarterly",90,Q2150="Bi-Weekly",14,Q2150="Annually",365,Q2150="Every 3 Months",90,TRUE,"NOT FOUND")</f>
        <v>14</v>
      </c>
    </row>
    <row r="2151" spans="1:19" x14ac:dyDescent="0.35">
      <c r="A2151">
        <v>2150</v>
      </c>
      <c r="B2151">
        <v>38</v>
      </c>
      <c r="C2151" t="s">
        <v>7</v>
      </c>
      <c r="D2151" t="s">
        <v>29</v>
      </c>
      <c r="E2151" t="s">
        <v>30</v>
      </c>
      <c r="F2151">
        <v>21</v>
      </c>
      <c r="G2151" t="s">
        <v>65</v>
      </c>
      <c r="H2151" t="s">
        <v>11</v>
      </c>
      <c r="I2151" t="s">
        <v>109</v>
      </c>
      <c r="J2151" t="s">
        <v>13</v>
      </c>
      <c r="K2151">
        <v>4</v>
      </c>
      <c r="L2151" t="s">
        <v>140</v>
      </c>
      <c r="M2151" t="s">
        <v>42</v>
      </c>
      <c r="N2151" t="s">
        <v>140</v>
      </c>
      <c r="O2151">
        <v>1</v>
      </c>
      <c r="P2151" t="s">
        <v>63</v>
      </c>
      <c r="Q2151" t="s">
        <v>28</v>
      </c>
      <c r="R2151" t="str" cm="1">
        <f t="array" ref="R2151">_xlfn.IFS(B2151&lt;31,"Young-Adult",B2151&lt;41,"Adult",B2151&lt;61,"Middle-aged",B2151&gt;=61,"Senior")</f>
        <v>Adult</v>
      </c>
      <c r="S2151" cm="1">
        <f t="array" ref="S2151">_xlfn.IFS(Q2151 ="Fortnightly",14,Q2151="Weekly",7,Q2151="Monthly",30,Q2151="Quarterly",90,Q2151="Bi-Weekly",14,Q2151="Annually",365,Q2151="Every 3 Months",90,TRUE,"NOT FOUND")</f>
        <v>7</v>
      </c>
    </row>
    <row r="2152" spans="1:19" x14ac:dyDescent="0.35">
      <c r="A2152">
        <v>2151</v>
      </c>
      <c r="B2152">
        <v>57</v>
      </c>
      <c r="C2152" t="s">
        <v>7</v>
      </c>
      <c r="D2152" t="s">
        <v>43</v>
      </c>
      <c r="E2152" t="s">
        <v>9</v>
      </c>
      <c r="F2152">
        <v>40</v>
      </c>
      <c r="G2152" t="s">
        <v>103</v>
      </c>
      <c r="H2152" t="s">
        <v>32</v>
      </c>
      <c r="I2152" t="s">
        <v>109</v>
      </c>
      <c r="J2152" t="s">
        <v>25</v>
      </c>
      <c r="K2152">
        <v>2.6</v>
      </c>
      <c r="L2152" t="s">
        <v>140</v>
      </c>
      <c r="M2152" t="s">
        <v>58</v>
      </c>
      <c r="N2152" t="s">
        <v>140</v>
      </c>
      <c r="O2152">
        <v>12</v>
      </c>
      <c r="P2152" t="s">
        <v>21</v>
      </c>
      <c r="Q2152" t="s">
        <v>28</v>
      </c>
      <c r="R2152" t="str" cm="1">
        <f t="array" ref="R2152">_xlfn.IFS(B2152&lt;31,"Young-Adult",B2152&lt;41,"Adult",B2152&lt;61,"Middle-aged",B2152&gt;=61,"Senior")</f>
        <v>Middle-aged</v>
      </c>
      <c r="S2152" cm="1">
        <f t="array" ref="S2152">_xlfn.IFS(Q2152 ="Fortnightly",14,Q2152="Weekly",7,Q2152="Monthly",30,Q2152="Quarterly",90,Q2152="Bi-Weekly",14,Q2152="Annually",365,Q2152="Every 3 Months",90,TRUE,"NOT FOUND")</f>
        <v>7</v>
      </c>
    </row>
    <row r="2153" spans="1:19" x14ac:dyDescent="0.35">
      <c r="A2153">
        <v>2152</v>
      </c>
      <c r="B2153">
        <v>70</v>
      </c>
      <c r="C2153" t="s">
        <v>7</v>
      </c>
      <c r="D2153" t="s">
        <v>22</v>
      </c>
      <c r="E2153" t="s">
        <v>9</v>
      </c>
      <c r="F2153">
        <v>58</v>
      </c>
      <c r="G2153" t="s">
        <v>117</v>
      </c>
      <c r="H2153" t="s">
        <v>11</v>
      </c>
      <c r="I2153" t="s">
        <v>98</v>
      </c>
      <c r="J2153" t="s">
        <v>45</v>
      </c>
      <c r="K2153">
        <v>2.6</v>
      </c>
      <c r="L2153" t="s">
        <v>140</v>
      </c>
      <c r="M2153" t="s">
        <v>58</v>
      </c>
      <c r="N2153" t="s">
        <v>140</v>
      </c>
      <c r="O2153">
        <v>18</v>
      </c>
      <c r="P2153" t="s">
        <v>16</v>
      </c>
      <c r="Q2153" t="s">
        <v>76</v>
      </c>
      <c r="R2153" t="str" cm="1">
        <f t="array" ref="R2153">_xlfn.IFS(B2153&lt;31,"Young-Adult",B2153&lt;41,"Adult",B2153&lt;61,"Middle-aged",B2153&gt;=61,"Senior")</f>
        <v>Senior</v>
      </c>
      <c r="S2153" cm="1">
        <f t="array" ref="S2153">_xlfn.IFS(Q2153 ="Fortnightly",14,Q2153="Weekly",7,Q2153="Monthly",30,Q2153="Quarterly",90,Q2153="Bi-Weekly",14,Q2153="Annually",365,Q2153="Every 3 Months",90,TRUE,"NOT FOUND")</f>
        <v>30</v>
      </c>
    </row>
    <row r="2154" spans="1:19" x14ac:dyDescent="0.35">
      <c r="A2154">
        <v>2153</v>
      </c>
      <c r="B2154">
        <v>38</v>
      </c>
      <c r="C2154" t="s">
        <v>7</v>
      </c>
      <c r="D2154" t="s">
        <v>47</v>
      </c>
      <c r="E2154" t="s">
        <v>9</v>
      </c>
      <c r="F2154">
        <v>48</v>
      </c>
      <c r="G2154" t="s">
        <v>115</v>
      </c>
      <c r="H2154" t="s">
        <v>11</v>
      </c>
      <c r="I2154" t="s">
        <v>124</v>
      </c>
      <c r="J2154" t="s">
        <v>41</v>
      </c>
      <c r="K2154">
        <v>4.5</v>
      </c>
      <c r="L2154" t="s">
        <v>140</v>
      </c>
      <c r="M2154" t="s">
        <v>33</v>
      </c>
      <c r="N2154" t="s">
        <v>140</v>
      </c>
      <c r="O2154">
        <v>43</v>
      </c>
      <c r="P2154" t="s">
        <v>63</v>
      </c>
      <c r="Q2154" t="s">
        <v>64</v>
      </c>
      <c r="R2154" t="str" cm="1">
        <f t="array" ref="R2154">_xlfn.IFS(B2154&lt;31,"Young-Adult",B2154&lt;41,"Adult",B2154&lt;61,"Middle-aged",B2154&gt;=61,"Senior")</f>
        <v>Adult</v>
      </c>
      <c r="S2154" cm="1">
        <f t="array" ref="S2154">_xlfn.IFS(Q2154 ="Fortnightly",14,Q2154="Weekly",7,Q2154="Monthly",30,Q2154="Quarterly",90,Q2154="Bi-Weekly",14,Q2154="Annually",365,Q2154="Every 3 Months",90,TRUE,"NOT FOUND")</f>
        <v>14</v>
      </c>
    </row>
    <row r="2155" spans="1:19" x14ac:dyDescent="0.35">
      <c r="A2155">
        <v>2154</v>
      </c>
      <c r="B2155">
        <v>35</v>
      </c>
      <c r="C2155" t="s">
        <v>7</v>
      </c>
      <c r="D2155" t="s">
        <v>43</v>
      </c>
      <c r="E2155" t="s">
        <v>9</v>
      </c>
      <c r="F2155">
        <v>94</v>
      </c>
      <c r="G2155" t="s">
        <v>10</v>
      </c>
      <c r="H2155" t="s">
        <v>32</v>
      </c>
      <c r="I2155" t="s">
        <v>71</v>
      </c>
      <c r="J2155" t="s">
        <v>45</v>
      </c>
      <c r="K2155">
        <v>4.2</v>
      </c>
      <c r="L2155" t="s">
        <v>140</v>
      </c>
      <c r="M2155" t="s">
        <v>26</v>
      </c>
      <c r="N2155" t="s">
        <v>140</v>
      </c>
      <c r="O2155">
        <v>31</v>
      </c>
      <c r="P2155" t="s">
        <v>34</v>
      </c>
      <c r="Q2155" t="s">
        <v>37</v>
      </c>
      <c r="R2155" t="str" cm="1">
        <f t="array" ref="R2155">_xlfn.IFS(B2155&lt;31,"Young-Adult",B2155&lt;41,"Adult",B2155&lt;61,"Middle-aged",B2155&gt;=61,"Senior")</f>
        <v>Adult</v>
      </c>
      <c r="S2155" cm="1">
        <f t="array" ref="S2155">_xlfn.IFS(Q2155 ="Fortnightly",14,Q2155="Weekly",7,Q2155="Monthly",30,Q2155="Quarterly",90,Q2155="Bi-Weekly",14,Q2155="Annually",365,Q2155="Every 3 Months",90,TRUE,"NOT FOUND")</f>
        <v>365</v>
      </c>
    </row>
    <row r="2156" spans="1:19" x14ac:dyDescent="0.35">
      <c r="A2156">
        <v>2155</v>
      </c>
      <c r="B2156">
        <v>46</v>
      </c>
      <c r="C2156" t="s">
        <v>7</v>
      </c>
      <c r="D2156" t="s">
        <v>107</v>
      </c>
      <c r="E2156" t="s">
        <v>55</v>
      </c>
      <c r="F2156">
        <v>74</v>
      </c>
      <c r="G2156" t="s">
        <v>39</v>
      </c>
      <c r="H2156" t="s">
        <v>32</v>
      </c>
      <c r="I2156" t="s">
        <v>71</v>
      </c>
      <c r="J2156" t="s">
        <v>25</v>
      </c>
      <c r="K2156">
        <v>3.4</v>
      </c>
      <c r="L2156" t="s">
        <v>140</v>
      </c>
      <c r="M2156" t="s">
        <v>62</v>
      </c>
      <c r="N2156" t="s">
        <v>140</v>
      </c>
      <c r="O2156">
        <v>33</v>
      </c>
      <c r="P2156" t="s">
        <v>21</v>
      </c>
      <c r="Q2156" t="s">
        <v>85</v>
      </c>
      <c r="R2156" t="str" cm="1">
        <f t="array" ref="R2156">_xlfn.IFS(B2156&lt;31,"Young-Adult",B2156&lt;41,"Adult",B2156&lt;61,"Middle-aged",B2156&gt;=61,"Senior")</f>
        <v>Middle-aged</v>
      </c>
      <c r="S2156" cm="1">
        <f t="array" ref="S2156">_xlfn.IFS(Q2156 ="Fortnightly",14,Q2156="Weekly",7,Q2156="Monthly",30,Q2156="Quarterly",90,Q2156="Bi-Weekly",14,Q2156="Annually",365,Q2156="Every 3 Months",90,TRUE,"NOT FOUND")</f>
        <v>90</v>
      </c>
    </row>
    <row r="2157" spans="1:19" x14ac:dyDescent="0.35">
      <c r="A2157">
        <v>2156</v>
      </c>
      <c r="B2157">
        <v>32</v>
      </c>
      <c r="C2157" t="s">
        <v>7</v>
      </c>
      <c r="D2157" t="s">
        <v>54</v>
      </c>
      <c r="E2157" t="s">
        <v>55</v>
      </c>
      <c r="F2157">
        <v>51</v>
      </c>
      <c r="G2157" t="s">
        <v>65</v>
      </c>
      <c r="H2157" t="s">
        <v>11</v>
      </c>
      <c r="I2157" t="s">
        <v>122</v>
      </c>
      <c r="J2157" t="s">
        <v>45</v>
      </c>
      <c r="K2157">
        <v>3.7</v>
      </c>
      <c r="L2157" t="s">
        <v>140</v>
      </c>
      <c r="M2157" t="s">
        <v>62</v>
      </c>
      <c r="N2157" t="s">
        <v>140</v>
      </c>
      <c r="O2157">
        <v>46</v>
      </c>
      <c r="P2157" t="s">
        <v>34</v>
      </c>
      <c r="Q2157" t="s">
        <v>76</v>
      </c>
      <c r="R2157" t="str" cm="1">
        <f t="array" ref="R2157">_xlfn.IFS(B2157&lt;31,"Young-Adult",B2157&lt;41,"Adult",B2157&lt;61,"Middle-aged",B2157&gt;=61,"Senior")</f>
        <v>Adult</v>
      </c>
      <c r="S2157" cm="1">
        <f t="array" ref="S2157">_xlfn.IFS(Q2157 ="Fortnightly",14,Q2157="Weekly",7,Q2157="Monthly",30,Q2157="Quarterly",90,Q2157="Bi-Weekly",14,Q2157="Annually",365,Q2157="Every 3 Months",90,TRUE,"NOT FOUND")</f>
        <v>30</v>
      </c>
    </row>
    <row r="2158" spans="1:19" x14ac:dyDescent="0.35">
      <c r="A2158">
        <v>2157</v>
      </c>
      <c r="B2158">
        <v>38</v>
      </c>
      <c r="C2158" t="s">
        <v>7</v>
      </c>
      <c r="D2158" t="s">
        <v>75</v>
      </c>
      <c r="E2158" t="s">
        <v>9</v>
      </c>
      <c r="F2158">
        <v>83</v>
      </c>
      <c r="G2158" t="s">
        <v>56</v>
      </c>
      <c r="H2158" t="s">
        <v>32</v>
      </c>
      <c r="I2158" t="s">
        <v>20</v>
      </c>
      <c r="J2158" t="s">
        <v>13</v>
      </c>
      <c r="K2158">
        <v>3.6</v>
      </c>
      <c r="L2158" t="s">
        <v>140</v>
      </c>
      <c r="M2158" t="s">
        <v>33</v>
      </c>
      <c r="N2158" t="s">
        <v>140</v>
      </c>
      <c r="O2158">
        <v>41</v>
      </c>
      <c r="P2158" t="s">
        <v>74</v>
      </c>
      <c r="Q2158" t="s">
        <v>64</v>
      </c>
      <c r="R2158" t="str" cm="1">
        <f t="array" ref="R2158">_xlfn.IFS(B2158&lt;31,"Young-Adult",B2158&lt;41,"Adult",B2158&lt;61,"Middle-aged",B2158&gt;=61,"Senior")</f>
        <v>Adult</v>
      </c>
      <c r="S2158" cm="1">
        <f t="array" ref="S2158">_xlfn.IFS(Q2158 ="Fortnightly",14,Q2158="Weekly",7,Q2158="Monthly",30,Q2158="Quarterly",90,Q2158="Bi-Weekly",14,Q2158="Annually",365,Q2158="Every 3 Months",90,TRUE,"NOT FOUND")</f>
        <v>14</v>
      </c>
    </row>
    <row r="2159" spans="1:19" x14ac:dyDescent="0.35">
      <c r="A2159">
        <v>2158</v>
      </c>
      <c r="B2159">
        <v>41</v>
      </c>
      <c r="C2159" t="s">
        <v>7</v>
      </c>
      <c r="D2159" t="s">
        <v>54</v>
      </c>
      <c r="E2159" t="s">
        <v>55</v>
      </c>
      <c r="F2159">
        <v>68</v>
      </c>
      <c r="G2159" t="s">
        <v>79</v>
      </c>
      <c r="H2159" t="s">
        <v>11</v>
      </c>
      <c r="I2159" t="s">
        <v>36</v>
      </c>
      <c r="J2159" t="s">
        <v>13</v>
      </c>
      <c r="K2159">
        <v>4</v>
      </c>
      <c r="L2159" t="s">
        <v>140</v>
      </c>
      <c r="M2159" t="s">
        <v>33</v>
      </c>
      <c r="N2159" t="s">
        <v>140</v>
      </c>
      <c r="O2159">
        <v>41</v>
      </c>
      <c r="P2159" t="s">
        <v>16</v>
      </c>
      <c r="Q2159" t="s">
        <v>17</v>
      </c>
      <c r="R2159" t="str" cm="1">
        <f t="array" ref="R2159">_xlfn.IFS(B2159&lt;31,"Young-Adult",B2159&lt;41,"Adult",B2159&lt;61,"Middle-aged",B2159&gt;=61,"Senior")</f>
        <v>Middle-aged</v>
      </c>
      <c r="S2159" cm="1">
        <f t="array" ref="S2159">_xlfn.IFS(Q2159 ="Fortnightly",14,Q2159="Weekly",7,Q2159="Monthly",30,Q2159="Quarterly",90,Q2159="Bi-Weekly",14,Q2159="Annually",365,Q2159="Every 3 Months",90,TRUE,"NOT FOUND")</f>
        <v>14</v>
      </c>
    </row>
    <row r="2160" spans="1:19" x14ac:dyDescent="0.35">
      <c r="A2160">
        <v>2159</v>
      </c>
      <c r="B2160">
        <v>19</v>
      </c>
      <c r="C2160" t="s">
        <v>7</v>
      </c>
      <c r="D2160" t="s">
        <v>131</v>
      </c>
      <c r="E2160" t="s">
        <v>55</v>
      </c>
      <c r="F2160">
        <v>84</v>
      </c>
      <c r="G2160" t="s">
        <v>23</v>
      </c>
      <c r="H2160" t="s">
        <v>80</v>
      </c>
      <c r="I2160" t="s">
        <v>66</v>
      </c>
      <c r="J2160" t="s">
        <v>25</v>
      </c>
      <c r="K2160">
        <v>4.5999999999999996</v>
      </c>
      <c r="L2160" t="s">
        <v>140</v>
      </c>
      <c r="M2160" t="s">
        <v>42</v>
      </c>
      <c r="N2160" t="s">
        <v>140</v>
      </c>
      <c r="O2160">
        <v>9</v>
      </c>
      <c r="P2160" t="s">
        <v>63</v>
      </c>
      <c r="Q2160" t="s">
        <v>17</v>
      </c>
      <c r="R2160" t="str" cm="1">
        <f t="array" ref="R2160">_xlfn.IFS(B2160&lt;31,"Young-Adult",B2160&lt;41,"Adult",B2160&lt;61,"Middle-aged",B2160&gt;=61,"Senior")</f>
        <v>Young-Adult</v>
      </c>
      <c r="S2160" cm="1">
        <f t="array" ref="S2160">_xlfn.IFS(Q2160 ="Fortnightly",14,Q2160="Weekly",7,Q2160="Monthly",30,Q2160="Quarterly",90,Q2160="Bi-Weekly",14,Q2160="Annually",365,Q2160="Every 3 Months",90,TRUE,"NOT FOUND")</f>
        <v>14</v>
      </c>
    </row>
    <row r="2161" spans="1:19" x14ac:dyDescent="0.35">
      <c r="A2161">
        <v>2160</v>
      </c>
      <c r="B2161">
        <v>18</v>
      </c>
      <c r="C2161" t="s">
        <v>7</v>
      </c>
      <c r="D2161" t="s">
        <v>43</v>
      </c>
      <c r="E2161" t="s">
        <v>9</v>
      </c>
      <c r="F2161">
        <v>58</v>
      </c>
      <c r="G2161" t="s">
        <v>48</v>
      </c>
      <c r="H2161" t="s">
        <v>32</v>
      </c>
      <c r="I2161" t="s">
        <v>88</v>
      </c>
      <c r="J2161" t="s">
        <v>45</v>
      </c>
      <c r="K2161">
        <v>3</v>
      </c>
      <c r="L2161" t="s">
        <v>140</v>
      </c>
      <c r="M2161" t="s">
        <v>26</v>
      </c>
      <c r="N2161" t="s">
        <v>140</v>
      </c>
      <c r="O2161">
        <v>34</v>
      </c>
      <c r="P2161" t="s">
        <v>21</v>
      </c>
      <c r="Q2161" t="s">
        <v>37</v>
      </c>
      <c r="R2161" t="str" cm="1">
        <f t="array" ref="R2161">_xlfn.IFS(B2161&lt;31,"Young-Adult",B2161&lt;41,"Adult",B2161&lt;61,"Middle-aged",B2161&gt;=61,"Senior")</f>
        <v>Young-Adult</v>
      </c>
      <c r="S2161" cm="1">
        <f t="array" ref="S2161">_xlfn.IFS(Q2161 ="Fortnightly",14,Q2161="Weekly",7,Q2161="Monthly",30,Q2161="Quarterly",90,Q2161="Bi-Weekly",14,Q2161="Annually",365,Q2161="Every 3 Months",90,TRUE,"NOT FOUND")</f>
        <v>365</v>
      </c>
    </row>
    <row r="2162" spans="1:19" x14ac:dyDescent="0.35">
      <c r="A2162">
        <v>2161</v>
      </c>
      <c r="B2162">
        <v>45</v>
      </c>
      <c r="C2162" t="s">
        <v>7</v>
      </c>
      <c r="D2162" t="s">
        <v>8</v>
      </c>
      <c r="E2162" t="s">
        <v>9</v>
      </c>
      <c r="F2162">
        <v>92</v>
      </c>
      <c r="G2162" t="s">
        <v>52</v>
      </c>
      <c r="H2162" t="s">
        <v>11</v>
      </c>
      <c r="I2162" t="s">
        <v>49</v>
      </c>
      <c r="J2162" t="s">
        <v>13</v>
      </c>
      <c r="K2162">
        <v>3.3</v>
      </c>
      <c r="L2162" t="s">
        <v>140</v>
      </c>
      <c r="M2162" t="s">
        <v>15</v>
      </c>
      <c r="N2162" t="s">
        <v>140</v>
      </c>
      <c r="O2162">
        <v>21</v>
      </c>
      <c r="P2162" t="s">
        <v>34</v>
      </c>
      <c r="Q2162" t="s">
        <v>37</v>
      </c>
      <c r="R2162" t="str" cm="1">
        <f t="array" ref="R2162">_xlfn.IFS(B2162&lt;31,"Young-Adult",B2162&lt;41,"Adult",B2162&lt;61,"Middle-aged",B2162&gt;=61,"Senior")</f>
        <v>Middle-aged</v>
      </c>
      <c r="S2162" cm="1">
        <f t="array" ref="S2162">_xlfn.IFS(Q2162 ="Fortnightly",14,Q2162="Weekly",7,Q2162="Monthly",30,Q2162="Quarterly",90,Q2162="Bi-Weekly",14,Q2162="Annually",365,Q2162="Every 3 Months",90,TRUE,"NOT FOUND")</f>
        <v>365</v>
      </c>
    </row>
    <row r="2163" spans="1:19" x14ac:dyDescent="0.35">
      <c r="A2163">
        <v>2162</v>
      </c>
      <c r="B2163">
        <v>23</v>
      </c>
      <c r="C2163" t="s">
        <v>7</v>
      </c>
      <c r="D2163" t="s">
        <v>69</v>
      </c>
      <c r="E2163" t="s">
        <v>9</v>
      </c>
      <c r="F2163">
        <v>69</v>
      </c>
      <c r="G2163" t="s">
        <v>137</v>
      </c>
      <c r="H2163" t="s">
        <v>24</v>
      </c>
      <c r="I2163" t="s">
        <v>88</v>
      </c>
      <c r="J2163" t="s">
        <v>41</v>
      </c>
      <c r="K2163">
        <v>3.8</v>
      </c>
      <c r="L2163" t="s">
        <v>140</v>
      </c>
      <c r="M2163" t="s">
        <v>15</v>
      </c>
      <c r="N2163" t="s">
        <v>140</v>
      </c>
      <c r="O2163">
        <v>5</v>
      </c>
      <c r="P2163" t="s">
        <v>74</v>
      </c>
      <c r="Q2163" t="s">
        <v>17</v>
      </c>
      <c r="R2163" t="str" cm="1">
        <f t="array" ref="R2163">_xlfn.IFS(B2163&lt;31,"Young-Adult",B2163&lt;41,"Adult",B2163&lt;61,"Middle-aged",B2163&gt;=61,"Senior")</f>
        <v>Young-Adult</v>
      </c>
      <c r="S2163" cm="1">
        <f t="array" ref="S2163">_xlfn.IFS(Q2163 ="Fortnightly",14,Q2163="Weekly",7,Q2163="Monthly",30,Q2163="Quarterly",90,Q2163="Bi-Weekly",14,Q2163="Annually",365,Q2163="Every 3 Months",90,TRUE,"NOT FOUND")</f>
        <v>14</v>
      </c>
    </row>
    <row r="2164" spans="1:19" x14ac:dyDescent="0.35">
      <c r="A2164">
        <v>2163</v>
      </c>
      <c r="B2164">
        <v>60</v>
      </c>
      <c r="C2164" t="s">
        <v>7</v>
      </c>
      <c r="D2164" t="s">
        <v>47</v>
      </c>
      <c r="E2164" t="s">
        <v>9</v>
      </c>
      <c r="F2164">
        <v>48</v>
      </c>
      <c r="G2164" t="s">
        <v>35</v>
      </c>
      <c r="H2164" t="s">
        <v>24</v>
      </c>
      <c r="I2164" t="s">
        <v>82</v>
      </c>
      <c r="J2164" t="s">
        <v>41</v>
      </c>
      <c r="K2164">
        <v>2.7</v>
      </c>
      <c r="L2164" t="s">
        <v>140</v>
      </c>
      <c r="M2164" t="s">
        <v>26</v>
      </c>
      <c r="N2164" t="s">
        <v>140</v>
      </c>
      <c r="O2164">
        <v>32</v>
      </c>
      <c r="P2164" t="s">
        <v>34</v>
      </c>
      <c r="Q2164" t="s">
        <v>28</v>
      </c>
      <c r="R2164" t="str" cm="1">
        <f t="array" ref="R2164">_xlfn.IFS(B2164&lt;31,"Young-Adult",B2164&lt;41,"Adult",B2164&lt;61,"Middle-aged",B2164&gt;=61,"Senior")</f>
        <v>Middle-aged</v>
      </c>
      <c r="S2164" cm="1">
        <f t="array" ref="S2164">_xlfn.IFS(Q2164 ="Fortnightly",14,Q2164="Weekly",7,Q2164="Monthly",30,Q2164="Quarterly",90,Q2164="Bi-Weekly",14,Q2164="Annually",365,Q2164="Every 3 Months",90,TRUE,"NOT FOUND")</f>
        <v>7</v>
      </c>
    </row>
    <row r="2165" spans="1:19" x14ac:dyDescent="0.35">
      <c r="A2165">
        <v>2164</v>
      </c>
      <c r="B2165">
        <v>52</v>
      </c>
      <c r="C2165" t="s">
        <v>7</v>
      </c>
      <c r="D2165" t="s">
        <v>59</v>
      </c>
      <c r="E2165" t="s">
        <v>30</v>
      </c>
      <c r="F2165">
        <v>60</v>
      </c>
      <c r="G2165" t="s">
        <v>72</v>
      </c>
      <c r="H2165" t="s">
        <v>11</v>
      </c>
      <c r="I2165" t="s">
        <v>12</v>
      </c>
      <c r="J2165" t="s">
        <v>25</v>
      </c>
      <c r="K2165">
        <v>4.5</v>
      </c>
      <c r="L2165" t="s">
        <v>140</v>
      </c>
      <c r="M2165" t="s">
        <v>15</v>
      </c>
      <c r="N2165" t="s">
        <v>140</v>
      </c>
      <c r="O2165">
        <v>44</v>
      </c>
      <c r="P2165" t="s">
        <v>63</v>
      </c>
      <c r="Q2165" t="s">
        <v>76</v>
      </c>
      <c r="R2165" t="str" cm="1">
        <f t="array" ref="R2165">_xlfn.IFS(B2165&lt;31,"Young-Adult",B2165&lt;41,"Adult",B2165&lt;61,"Middle-aged",B2165&gt;=61,"Senior")</f>
        <v>Middle-aged</v>
      </c>
      <c r="S2165" cm="1">
        <f t="array" ref="S2165">_xlfn.IFS(Q2165 ="Fortnightly",14,Q2165="Weekly",7,Q2165="Monthly",30,Q2165="Quarterly",90,Q2165="Bi-Weekly",14,Q2165="Annually",365,Q2165="Every 3 Months",90,TRUE,"NOT FOUND")</f>
        <v>30</v>
      </c>
    </row>
    <row r="2166" spans="1:19" x14ac:dyDescent="0.35">
      <c r="A2166">
        <v>2165</v>
      </c>
      <c r="B2166">
        <v>42</v>
      </c>
      <c r="C2166" t="s">
        <v>7</v>
      </c>
      <c r="D2166" t="s">
        <v>29</v>
      </c>
      <c r="E2166" t="s">
        <v>30</v>
      </c>
      <c r="F2166">
        <v>20</v>
      </c>
      <c r="G2166" t="s">
        <v>134</v>
      </c>
      <c r="H2166" t="s">
        <v>24</v>
      </c>
      <c r="I2166" t="s">
        <v>66</v>
      </c>
      <c r="J2166" t="s">
        <v>13</v>
      </c>
      <c r="K2166">
        <v>4.8</v>
      </c>
      <c r="L2166" t="s">
        <v>140</v>
      </c>
      <c r="M2166" t="s">
        <v>33</v>
      </c>
      <c r="N2166" t="s">
        <v>140</v>
      </c>
      <c r="O2166">
        <v>46</v>
      </c>
      <c r="P2166" t="s">
        <v>34</v>
      </c>
      <c r="Q2166" t="s">
        <v>64</v>
      </c>
      <c r="R2166" t="str" cm="1">
        <f t="array" ref="R2166">_xlfn.IFS(B2166&lt;31,"Young-Adult",B2166&lt;41,"Adult",B2166&lt;61,"Middle-aged",B2166&gt;=61,"Senior")</f>
        <v>Middle-aged</v>
      </c>
      <c r="S2166" cm="1">
        <f t="array" ref="S2166">_xlfn.IFS(Q2166 ="Fortnightly",14,Q2166="Weekly",7,Q2166="Monthly",30,Q2166="Quarterly",90,Q2166="Bi-Weekly",14,Q2166="Annually",365,Q2166="Every 3 Months",90,TRUE,"NOT FOUND")</f>
        <v>14</v>
      </c>
    </row>
    <row r="2167" spans="1:19" x14ac:dyDescent="0.35">
      <c r="A2167">
        <v>2166</v>
      </c>
      <c r="B2167">
        <v>29</v>
      </c>
      <c r="C2167" t="s">
        <v>7</v>
      </c>
      <c r="D2167" t="s">
        <v>83</v>
      </c>
      <c r="E2167" t="s">
        <v>9</v>
      </c>
      <c r="F2167">
        <v>55</v>
      </c>
      <c r="G2167" t="s">
        <v>123</v>
      </c>
      <c r="H2167" t="s">
        <v>32</v>
      </c>
      <c r="I2167" t="s">
        <v>36</v>
      </c>
      <c r="J2167" t="s">
        <v>41</v>
      </c>
      <c r="K2167">
        <v>4.2</v>
      </c>
      <c r="L2167" t="s">
        <v>140</v>
      </c>
      <c r="M2167" t="s">
        <v>15</v>
      </c>
      <c r="N2167" t="s">
        <v>140</v>
      </c>
      <c r="O2167">
        <v>42</v>
      </c>
      <c r="P2167" t="s">
        <v>27</v>
      </c>
      <c r="Q2167" t="s">
        <v>85</v>
      </c>
      <c r="R2167" t="str" cm="1">
        <f t="array" ref="R2167">_xlfn.IFS(B2167&lt;31,"Young-Adult",B2167&lt;41,"Adult",B2167&lt;61,"Middle-aged",B2167&gt;=61,"Senior")</f>
        <v>Young-Adult</v>
      </c>
      <c r="S2167" cm="1">
        <f t="array" ref="S2167">_xlfn.IFS(Q2167 ="Fortnightly",14,Q2167="Weekly",7,Q2167="Monthly",30,Q2167="Quarterly",90,Q2167="Bi-Weekly",14,Q2167="Annually",365,Q2167="Every 3 Months",90,TRUE,"NOT FOUND")</f>
        <v>90</v>
      </c>
    </row>
    <row r="2168" spans="1:19" x14ac:dyDescent="0.35">
      <c r="A2168">
        <v>2167</v>
      </c>
      <c r="B2168">
        <v>31</v>
      </c>
      <c r="C2168" t="s">
        <v>7</v>
      </c>
      <c r="D2168" t="s">
        <v>90</v>
      </c>
      <c r="E2168" t="s">
        <v>51</v>
      </c>
      <c r="F2168">
        <v>88</v>
      </c>
      <c r="G2168" t="s">
        <v>115</v>
      </c>
      <c r="H2168" t="s">
        <v>24</v>
      </c>
      <c r="I2168" t="s">
        <v>61</v>
      </c>
      <c r="J2168" t="s">
        <v>25</v>
      </c>
      <c r="K2168">
        <v>3.5</v>
      </c>
      <c r="L2168" t="s">
        <v>140</v>
      </c>
      <c r="M2168" t="s">
        <v>15</v>
      </c>
      <c r="N2168" t="s">
        <v>140</v>
      </c>
      <c r="O2168">
        <v>50</v>
      </c>
      <c r="P2168" t="s">
        <v>27</v>
      </c>
      <c r="Q2168" t="s">
        <v>64</v>
      </c>
      <c r="R2168" t="str" cm="1">
        <f t="array" ref="R2168">_xlfn.IFS(B2168&lt;31,"Young-Adult",B2168&lt;41,"Adult",B2168&lt;61,"Middle-aged",B2168&gt;=61,"Senior")</f>
        <v>Adult</v>
      </c>
      <c r="S2168" cm="1">
        <f t="array" ref="S2168">_xlfn.IFS(Q2168 ="Fortnightly",14,Q2168="Weekly",7,Q2168="Monthly",30,Q2168="Quarterly",90,Q2168="Bi-Weekly",14,Q2168="Annually",365,Q2168="Every 3 Months",90,TRUE,"NOT FOUND")</f>
        <v>14</v>
      </c>
    </row>
    <row r="2169" spans="1:19" x14ac:dyDescent="0.35">
      <c r="A2169">
        <v>2168</v>
      </c>
      <c r="B2169">
        <v>30</v>
      </c>
      <c r="C2169" t="s">
        <v>7</v>
      </c>
      <c r="D2169" t="s">
        <v>75</v>
      </c>
      <c r="E2169" t="s">
        <v>9</v>
      </c>
      <c r="F2169">
        <v>48</v>
      </c>
      <c r="G2169" t="s">
        <v>111</v>
      </c>
      <c r="H2169" t="s">
        <v>11</v>
      </c>
      <c r="I2169" t="s">
        <v>84</v>
      </c>
      <c r="J2169" t="s">
        <v>13</v>
      </c>
      <c r="K2169">
        <v>4.9000000000000004</v>
      </c>
      <c r="L2169" t="s">
        <v>140</v>
      </c>
      <c r="M2169" t="s">
        <v>42</v>
      </c>
      <c r="N2169" t="s">
        <v>140</v>
      </c>
      <c r="O2169">
        <v>33</v>
      </c>
      <c r="P2169" t="s">
        <v>16</v>
      </c>
      <c r="Q2169" t="s">
        <v>17</v>
      </c>
      <c r="R2169" t="str" cm="1">
        <f t="array" ref="R2169">_xlfn.IFS(B2169&lt;31,"Young-Adult",B2169&lt;41,"Adult",B2169&lt;61,"Middle-aged",B2169&gt;=61,"Senior")</f>
        <v>Young-Adult</v>
      </c>
      <c r="S2169" cm="1">
        <f t="array" ref="S2169">_xlfn.IFS(Q2169 ="Fortnightly",14,Q2169="Weekly",7,Q2169="Monthly",30,Q2169="Quarterly",90,Q2169="Bi-Weekly",14,Q2169="Annually",365,Q2169="Every 3 Months",90,TRUE,"NOT FOUND")</f>
        <v>14</v>
      </c>
    </row>
    <row r="2170" spans="1:19" x14ac:dyDescent="0.35">
      <c r="A2170">
        <v>2169</v>
      </c>
      <c r="B2170">
        <v>23</v>
      </c>
      <c r="C2170" t="s">
        <v>7</v>
      </c>
      <c r="D2170" t="s">
        <v>54</v>
      </c>
      <c r="E2170" t="s">
        <v>55</v>
      </c>
      <c r="F2170">
        <v>74</v>
      </c>
      <c r="G2170" t="s">
        <v>127</v>
      </c>
      <c r="H2170" t="s">
        <v>32</v>
      </c>
      <c r="I2170" t="s">
        <v>106</v>
      </c>
      <c r="J2170" t="s">
        <v>25</v>
      </c>
      <c r="K2170">
        <v>4.0999999999999996</v>
      </c>
      <c r="L2170" t="s">
        <v>140</v>
      </c>
      <c r="M2170" t="s">
        <v>33</v>
      </c>
      <c r="N2170" t="s">
        <v>140</v>
      </c>
      <c r="O2170">
        <v>32</v>
      </c>
      <c r="P2170" t="s">
        <v>21</v>
      </c>
      <c r="Q2170" t="s">
        <v>46</v>
      </c>
      <c r="R2170" t="str" cm="1">
        <f t="array" ref="R2170">_xlfn.IFS(B2170&lt;31,"Young-Adult",B2170&lt;41,"Adult",B2170&lt;61,"Middle-aged",B2170&gt;=61,"Senior")</f>
        <v>Young-Adult</v>
      </c>
      <c r="S2170" cm="1">
        <f t="array" ref="S2170">_xlfn.IFS(Q2170 ="Fortnightly",14,Q2170="Weekly",7,Q2170="Monthly",30,Q2170="Quarterly",90,Q2170="Bi-Weekly",14,Q2170="Annually",365,Q2170="Every 3 Months",90,TRUE,"NOT FOUND")</f>
        <v>90</v>
      </c>
    </row>
    <row r="2171" spans="1:19" x14ac:dyDescent="0.35">
      <c r="A2171">
        <v>2170</v>
      </c>
      <c r="B2171">
        <v>31</v>
      </c>
      <c r="C2171" t="s">
        <v>7</v>
      </c>
      <c r="D2171" t="s">
        <v>50</v>
      </c>
      <c r="E2171" t="s">
        <v>51</v>
      </c>
      <c r="F2171">
        <v>42</v>
      </c>
      <c r="G2171" t="s">
        <v>91</v>
      </c>
      <c r="H2171" t="s">
        <v>32</v>
      </c>
      <c r="I2171" t="s">
        <v>98</v>
      </c>
      <c r="J2171" t="s">
        <v>45</v>
      </c>
      <c r="K2171">
        <v>2.9</v>
      </c>
      <c r="L2171" t="s">
        <v>140</v>
      </c>
      <c r="M2171" t="s">
        <v>33</v>
      </c>
      <c r="N2171" t="s">
        <v>140</v>
      </c>
      <c r="O2171">
        <v>32</v>
      </c>
      <c r="P2171" t="s">
        <v>63</v>
      </c>
      <c r="Q2171" t="s">
        <v>64</v>
      </c>
      <c r="R2171" t="str" cm="1">
        <f t="array" ref="R2171">_xlfn.IFS(B2171&lt;31,"Young-Adult",B2171&lt;41,"Adult",B2171&lt;61,"Middle-aged",B2171&gt;=61,"Senior")</f>
        <v>Adult</v>
      </c>
      <c r="S2171" cm="1">
        <f t="array" ref="S2171">_xlfn.IFS(Q2171 ="Fortnightly",14,Q2171="Weekly",7,Q2171="Monthly",30,Q2171="Quarterly",90,Q2171="Bi-Weekly",14,Q2171="Annually",365,Q2171="Every 3 Months",90,TRUE,"NOT FOUND")</f>
        <v>14</v>
      </c>
    </row>
    <row r="2172" spans="1:19" x14ac:dyDescent="0.35">
      <c r="A2172">
        <v>2171</v>
      </c>
      <c r="B2172">
        <v>40</v>
      </c>
      <c r="C2172" t="s">
        <v>7</v>
      </c>
      <c r="D2172" t="s">
        <v>18</v>
      </c>
      <c r="E2172" t="s">
        <v>9</v>
      </c>
      <c r="F2172">
        <v>32</v>
      </c>
      <c r="G2172" t="s">
        <v>119</v>
      </c>
      <c r="H2172" t="s">
        <v>32</v>
      </c>
      <c r="I2172" t="s">
        <v>36</v>
      </c>
      <c r="J2172" t="s">
        <v>45</v>
      </c>
      <c r="K2172">
        <v>4</v>
      </c>
      <c r="L2172" t="s">
        <v>140</v>
      </c>
      <c r="M2172" t="s">
        <v>33</v>
      </c>
      <c r="N2172" t="s">
        <v>140</v>
      </c>
      <c r="O2172">
        <v>37</v>
      </c>
      <c r="P2172" t="s">
        <v>16</v>
      </c>
      <c r="Q2172" t="s">
        <v>85</v>
      </c>
      <c r="R2172" t="str" cm="1">
        <f t="array" ref="R2172">_xlfn.IFS(B2172&lt;31,"Young-Adult",B2172&lt;41,"Adult",B2172&lt;61,"Middle-aged",B2172&gt;=61,"Senior")</f>
        <v>Adult</v>
      </c>
      <c r="S2172" cm="1">
        <f t="array" ref="S2172">_xlfn.IFS(Q2172 ="Fortnightly",14,Q2172="Weekly",7,Q2172="Monthly",30,Q2172="Quarterly",90,Q2172="Bi-Weekly",14,Q2172="Annually",365,Q2172="Every 3 Months",90,TRUE,"NOT FOUND")</f>
        <v>90</v>
      </c>
    </row>
    <row r="2173" spans="1:19" x14ac:dyDescent="0.35">
      <c r="A2173">
        <v>2172</v>
      </c>
      <c r="B2173">
        <v>39</v>
      </c>
      <c r="C2173" t="s">
        <v>7</v>
      </c>
      <c r="D2173" t="s">
        <v>47</v>
      </c>
      <c r="E2173" t="s">
        <v>9</v>
      </c>
      <c r="F2173">
        <v>98</v>
      </c>
      <c r="G2173" t="s">
        <v>56</v>
      </c>
      <c r="H2173" t="s">
        <v>32</v>
      </c>
      <c r="I2173" t="s">
        <v>122</v>
      </c>
      <c r="J2173" t="s">
        <v>41</v>
      </c>
      <c r="K2173">
        <v>4.5999999999999996</v>
      </c>
      <c r="L2173" t="s">
        <v>140</v>
      </c>
      <c r="M2173" t="s">
        <v>62</v>
      </c>
      <c r="N2173" t="s">
        <v>140</v>
      </c>
      <c r="O2173">
        <v>9</v>
      </c>
      <c r="P2173" t="s">
        <v>21</v>
      </c>
      <c r="Q2173" t="s">
        <v>17</v>
      </c>
      <c r="R2173" t="str" cm="1">
        <f t="array" ref="R2173">_xlfn.IFS(B2173&lt;31,"Young-Adult",B2173&lt;41,"Adult",B2173&lt;61,"Middle-aged",B2173&gt;=61,"Senior")</f>
        <v>Adult</v>
      </c>
      <c r="S2173" cm="1">
        <f t="array" ref="S2173">_xlfn.IFS(Q2173 ="Fortnightly",14,Q2173="Weekly",7,Q2173="Monthly",30,Q2173="Quarterly",90,Q2173="Bi-Weekly",14,Q2173="Annually",365,Q2173="Every 3 Months",90,TRUE,"NOT FOUND")</f>
        <v>14</v>
      </c>
    </row>
    <row r="2174" spans="1:19" x14ac:dyDescent="0.35">
      <c r="A2174">
        <v>2173</v>
      </c>
      <c r="B2174">
        <v>28</v>
      </c>
      <c r="C2174" t="s">
        <v>7</v>
      </c>
      <c r="D2174" t="s">
        <v>75</v>
      </c>
      <c r="E2174" t="s">
        <v>9</v>
      </c>
      <c r="F2174">
        <v>89</v>
      </c>
      <c r="G2174" t="s">
        <v>31</v>
      </c>
      <c r="H2174" t="s">
        <v>24</v>
      </c>
      <c r="I2174" t="s">
        <v>81</v>
      </c>
      <c r="J2174" t="s">
        <v>45</v>
      </c>
      <c r="K2174">
        <v>2.8</v>
      </c>
      <c r="L2174" t="s">
        <v>140</v>
      </c>
      <c r="M2174" t="s">
        <v>62</v>
      </c>
      <c r="N2174" t="s">
        <v>140</v>
      </c>
      <c r="O2174">
        <v>6</v>
      </c>
      <c r="P2174" t="s">
        <v>34</v>
      </c>
      <c r="Q2174" t="s">
        <v>17</v>
      </c>
      <c r="R2174" t="str" cm="1">
        <f t="array" ref="R2174">_xlfn.IFS(B2174&lt;31,"Young-Adult",B2174&lt;41,"Adult",B2174&lt;61,"Middle-aged",B2174&gt;=61,"Senior")</f>
        <v>Young-Adult</v>
      </c>
      <c r="S2174" cm="1">
        <f t="array" ref="S2174">_xlfn.IFS(Q2174 ="Fortnightly",14,Q2174="Weekly",7,Q2174="Monthly",30,Q2174="Quarterly",90,Q2174="Bi-Weekly",14,Q2174="Annually",365,Q2174="Every 3 Months",90,TRUE,"NOT FOUND")</f>
        <v>14</v>
      </c>
    </row>
    <row r="2175" spans="1:19" x14ac:dyDescent="0.35">
      <c r="A2175">
        <v>2174</v>
      </c>
      <c r="B2175">
        <v>23</v>
      </c>
      <c r="C2175" t="s">
        <v>7</v>
      </c>
      <c r="D2175" t="s">
        <v>131</v>
      </c>
      <c r="E2175" t="s">
        <v>55</v>
      </c>
      <c r="F2175">
        <v>97</v>
      </c>
      <c r="G2175" t="s">
        <v>67</v>
      </c>
      <c r="H2175" t="s">
        <v>24</v>
      </c>
      <c r="I2175" t="s">
        <v>97</v>
      </c>
      <c r="J2175" t="s">
        <v>41</v>
      </c>
      <c r="K2175">
        <v>5</v>
      </c>
      <c r="L2175" t="s">
        <v>140</v>
      </c>
      <c r="M2175" t="s">
        <v>58</v>
      </c>
      <c r="N2175" t="s">
        <v>140</v>
      </c>
      <c r="O2175">
        <v>36</v>
      </c>
      <c r="P2175" t="s">
        <v>16</v>
      </c>
      <c r="Q2175" t="s">
        <v>46</v>
      </c>
      <c r="R2175" t="str" cm="1">
        <f t="array" ref="R2175">_xlfn.IFS(B2175&lt;31,"Young-Adult",B2175&lt;41,"Adult",B2175&lt;61,"Middle-aged",B2175&gt;=61,"Senior")</f>
        <v>Young-Adult</v>
      </c>
      <c r="S2175" cm="1">
        <f t="array" ref="S2175">_xlfn.IFS(Q2175 ="Fortnightly",14,Q2175="Weekly",7,Q2175="Monthly",30,Q2175="Quarterly",90,Q2175="Bi-Weekly",14,Q2175="Annually",365,Q2175="Every 3 Months",90,TRUE,"NOT FOUND")</f>
        <v>90</v>
      </c>
    </row>
    <row r="2176" spans="1:19" x14ac:dyDescent="0.35">
      <c r="A2176">
        <v>2175</v>
      </c>
      <c r="B2176">
        <v>42</v>
      </c>
      <c r="C2176" t="s">
        <v>7</v>
      </c>
      <c r="D2176" t="s">
        <v>120</v>
      </c>
      <c r="E2176" t="s">
        <v>55</v>
      </c>
      <c r="F2176">
        <v>49</v>
      </c>
      <c r="G2176" t="s">
        <v>100</v>
      </c>
      <c r="H2176" t="s">
        <v>24</v>
      </c>
      <c r="I2176" t="s">
        <v>66</v>
      </c>
      <c r="J2176" t="s">
        <v>25</v>
      </c>
      <c r="K2176">
        <v>2.9</v>
      </c>
      <c r="L2176" t="s">
        <v>140</v>
      </c>
      <c r="M2176" t="s">
        <v>62</v>
      </c>
      <c r="N2176" t="s">
        <v>140</v>
      </c>
      <c r="O2176">
        <v>1</v>
      </c>
      <c r="P2176" t="s">
        <v>21</v>
      </c>
      <c r="Q2176" t="s">
        <v>37</v>
      </c>
      <c r="R2176" t="str" cm="1">
        <f t="array" ref="R2176">_xlfn.IFS(B2176&lt;31,"Young-Adult",B2176&lt;41,"Adult",B2176&lt;61,"Middle-aged",B2176&gt;=61,"Senior")</f>
        <v>Middle-aged</v>
      </c>
      <c r="S2176" cm="1">
        <f t="array" ref="S2176">_xlfn.IFS(Q2176 ="Fortnightly",14,Q2176="Weekly",7,Q2176="Monthly",30,Q2176="Quarterly",90,Q2176="Bi-Weekly",14,Q2176="Annually",365,Q2176="Every 3 Months",90,TRUE,"NOT FOUND")</f>
        <v>365</v>
      </c>
    </row>
    <row r="2177" spans="1:19" x14ac:dyDescent="0.35">
      <c r="A2177">
        <v>2176</v>
      </c>
      <c r="B2177">
        <v>68</v>
      </c>
      <c r="C2177" t="s">
        <v>7</v>
      </c>
      <c r="D2177" t="s">
        <v>69</v>
      </c>
      <c r="E2177" t="s">
        <v>9</v>
      </c>
      <c r="F2177">
        <v>50</v>
      </c>
      <c r="G2177" t="s">
        <v>133</v>
      </c>
      <c r="H2177" t="s">
        <v>32</v>
      </c>
      <c r="I2177" t="s">
        <v>53</v>
      </c>
      <c r="J2177" t="s">
        <v>25</v>
      </c>
      <c r="K2177">
        <v>3.3</v>
      </c>
      <c r="L2177" t="s">
        <v>140</v>
      </c>
      <c r="M2177" t="s">
        <v>26</v>
      </c>
      <c r="N2177" t="s">
        <v>140</v>
      </c>
      <c r="O2177">
        <v>48</v>
      </c>
      <c r="P2177" t="s">
        <v>27</v>
      </c>
      <c r="Q2177" t="s">
        <v>17</v>
      </c>
      <c r="R2177" t="str" cm="1">
        <f t="array" ref="R2177">_xlfn.IFS(B2177&lt;31,"Young-Adult",B2177&lt;41,"Adult",B2177&lt;61,"Middle-aged",B2177&gt;=61,"Senior")</f>
        <v>Senior</v>
      </c>
      <c r="S2177" cm="1">
        <f t="array" ref="S2177">_xlfn.IFS(Q2177 ="Fortnightly",14,Q2177="Weekly",7,Q2177="Monthly",30,Q2177="Quarterly",90,Q2177="Bi-Weekly",14,Q2177="Annually",365,Q2177="Every 3 Months",90,TRUE,"NOT FOUND")</f>
        <v>14</v>
      </c>
    </row>
    <row r="2178" spans="1:19" x14ac:dyDescent="0.35">
      <c r="A2178">
        <v>2177</v>
      </c>
      <c r="B2178">
        <v>24</v>
      </c>
      <c r="C2178" t="s">
        <v>7</v>
      </c>
      <c r="D2178" t="s">
        <v>121</v>
      </c>
      <c r="E2178" t="s">
        <v>55</v>
      </c>
      <c r="F2178">
        <v>91</v>
      </c>
      <c r="G2178" t="s">
        <v>117</v>
      </c>
      <c r="H2178" t="s">
        <v>24</v>
      </c>
      <c r="I2178" t="s">
        <v>96</v>
      </c>
      <c r="J2178" t="s">
        <v>13</v>
      </c>
      <c r="K2178">
        <v>3.4</v>
      </c>
      <c r="L2178" t="s">
        <v>140</v>
      </c>
      <c r="M2178" t="s">
        <v>58</v>
      </c>
      <c r="N2178" t="s">
        <v>140</v>
      </c>
      <c r="O2178">
        <v>44</v>
      </c>
      <c r="P2178" t="s">
        <v>74</v>
      </c>
      <c r="Q2178" t="s">
        <v>46</v>
      </c>
      <c r="R2178" t="str" cm="1">
        <f t="array" ref="R2178">_xlfn.IFS(B2178&lt;31,"Young-Adult",B2178&lt;41,"Adult",B2178&lt;61,"Middle-aged",B2178&gt;=61,"Senior")</f>
        <v>Young-Adult</v>
      </c>
      <c r="S2178" cm="1">
        <f t="array" ref="S2178">_xlfn.IFS(Q2178 ="Fortnightly",14,Q2178="Weekly",7,Q2178="Monthly",30,Q2178="Quarterly",90,Q2178="Bi-Weekly",14,Q2178="Annually",365,Q2178="Every 3 Months",90,TRUE,"NOT FOUND")</f>
        <v>90</v>
      </c>
    </row>
    <row r="2179" spans="1:19" x14ac:dyDescent="0.35">
      <c r="A2179">
        <v>2178</v>
      </c>
      <c r="B2179">
        <v>24</v>
      </c>
      <c r="C2179" t="s">
        <v>7</v>
      </c>
      <c r="D2179" t="s">
        <v>131</v>
      </c>
      <c r="E2179" t="s">
        <v>55</v>
      </c>
      <c r="F2179">
        <v>93</v>
      </c>
      <c r="G2179" t="s">
        <v>44</v>
      </c>
      <c r="H2179" t="s">
        <v>80</v>
      </c>
      <c r="I2179" t="s">
        <v>84</v>
      </c>
      <c r="J2179" t="s">
        <v>13</v>
      </c>
      <c r="K2179">
        <v>3</v>
      </c>
      <c r="L2179" t="s">
        <v>140</v>
      </c>
      <c r="M2179" t="s">
        <v>15</v>
      </c>
      <c r="N2179" t="s">
        <v>140</v>
      </c>
      <c r="O2179">
        <v>9</v>
      </c>
      <c r="P2179" t="s">
        <v>34</v>
      </c>
      <c r="Q2179" t="s">
        <v>64</v>
      </c>
      <c r="R2179" t="str" cm="1">
        <f t="array" ref="R2179">_xlfn.IFS(B2179&lt;31,"Young-Adult",B2179&lt;41,"Adult",B2179&lt;61,"Middle-aged",B2179&gt;=61,"Senior")</f>
        <v>Young-Adult</v>
      </c>
      <c r="S2179" cm="1">
        <f t="array" ref="S2179">_xlfn.IFS(Q2179 ="Fortnightly",14,Q2179="Weekly",7,Q2179="Monthly",30,Q2179="Quarterly",90,Q2179="Bi-Weekly",14,Q2179="Annually",365,Q2179="Every 3 Months",90,TRUE,"NOT FOUND")</f>
        <v>14</v>
      </c>
    </row>
    <row r="2180" spans="1:19" x14ac:dyDescent="0.35">
      <c r="A2180">
        <v>2179</v>
      </c>
      <c r="B2180">
        <v>21</v>
      </c>
      <c r="C2180" t="s">
        <v>7</v>
      </c>
      <c r="D2180" t="s">
        <v>94</v>
      </c>
      <c r="E2180" t="s">
        <v>55</v>
      </c>
      <c r="F2180">
        <v>98</v>
      </c>
      <c r="G2180" t="s">
        <v>91</v>
      </c>
      <c r="H2180" t="s">
        <v>32</v>
      </c>
      <c r="I2180" t="s">
        <v>68</v>
      </c>
      <c r="J2180" t="s">
        <v>41</v>
      </c>
      <c r="K2180">
        <v>4.7</v>
      </c>
      <c r="L2180" t="s">
        <v>140</v>
      </c>
      <c r="M2180" t="s">
        <v>42</v>
      </c>
      <c r="N2180" t="s">
        <v>140</v>
      </c>
      <c r="O2180">
        <v>32</v>
      </c>
      <c r="P2180" t="s">
        <v>16</v>
      </c>
      <c r="Q2180" t="s">
        <v>37</v>
      </c>
      <c r="R2180" t="str" cm="1">
        <f t="array" ref="R2180">_xlfn.IFS(B2180&lt;31,"Young-Adult",B2180&lt;41,"Adult",B2180&lt;61,"Middle-aged",B2180&gt;=61,"Senior")</f>
        <v>Young-Adult</v>
      </c>
      <c r="S2180" cm="1">
        <f t="array" ref="S2180">_xlfn.IFS(Q2180 ="Fortnightly",14,Q2180="Weekly",7,Q2180="Monthly",30,Q2180="Quarterly",90,Q2180="Bi-Weekly",14,Q2180="Annually",365,Q2180="Every 3 Months",90,TRUE,"NOT FOUND")</f>
        <v>365</v>
      </c>
    </row>
    <row r="2181" spans="1:19" x14ac:dyDescent="0.35">
      <c r="A2181">
        <v>2180</v>
      </c>
      <c r="B2181">
        <v>49</v>
      </c>
      <c r="C2181" t="s">
        <v>7</v>
      </c>
      <c r="D2181" t="s">
        <v>113</v>
      </c>
      <c r="E2181" t="s">
        <v>9</v>
      </c>
      <c r="F2181">
        <v>82</v>
      </c>
      <c r="G2181" t="s">
        <v>67</v>
      </c>
      <c r="H2181" t="s">
        <v>11</v>
      </c>
      <c r="I2181" t="s">
        <v>81</v>
      </c>
      <c r="J2181" t="s">
        <v>45</v>
      </c>
      <c r="K2181">
        <v>2.9</v>
      </c>
      <c r="L2181" t="s">
        <v>140</v>
      </c>
      <c r="M2181" t="s">
        <v>33</v>
      </c>
      <c r="N2181" t="s">
        <v>140</v>
      </c>
      <c r="O2181">
        <v>14</v>
      </c>
      <c r="P2181" t="s">
        <v>34</v>
      </c>
      <c r="Q2181" t="s">
        <v>76</v>
      </c>
      <c r="R2181" t="str" cm="1">
        <f t="array" ref="R2181">_xlfn.IFS(B2181&lt;31,"Young-Adult",B2181&lt;41,"Adult",B2181&lt;61,"Middle-aged",B2181&gt;=61,"Senior")</f>
        <v>Middle-aged</v>
      </c>
      <c r="S2181" cm="1">
        <f t="array" ref="S2181">_xlfn.IFS(Q2181 ="Fortnightly",14,Q2181="Weekly",7,Q2181="Monthly",30,Q2181="Quarterly",90,Q2181="Bi-Weekly",14,Q2181="Annually",365,Q2181="Every 3 Months",90,TRUE,"NOT FOUND")</f>
        <v>30</v>
      </c>
    </row>
    <row r="2182" spans="1:19" x14ac:dyDescent="0.35">
      <c r="A2182">
        <v>2181</v>
      </c>
      <c r="B2182">
        <v>41</v>
      </c>
      <c r="C2182" t="s">
        <v>7</v>
      </c>
      <c r="D2182" t="s">
        <v>50</v>
      </c>
      <c r="E2182" t="s">
        <v>51</v>
      </c>
      <c r="F2182">
        <v>37</v>
      </c>
      <c r="G2182" t="s">
        <v>127</v>
      </c>
      <c r="H2182" t="s">
        <v>32</v>
      </c>
      <c r="I2182" t="s">
        <v>122</v>
      </c>
      <c r="J2182" t="s">
        <v>41</v>
      </c>
      <c r="K2182">
        <v>4.0999999999999996</v>
      </c>
      <c r="L2182" t="s">
        <v>140</v>
      </c>
      <c r="M2182" t="s">
        <v>62</v>
      </c>
      <c r="N2182" t="s">
        <v>140</v>
      </c>
      <c r="O2182">
        <v>43</v>
      </c>
      <c r="P2182" t="s">
        <v>21</v>
      </c>
      <c r="Q2182" t="s">
        <v>46</v>
      </c>
      <c r="R2182" t="str" cm="1">
        <f t="array" ref="R2182">_xlfn.IFS(B2182&lt;31,"Young-Adult",B2182&lt;41,"Adult",B2182&lt;61,"Middle-aged",B2182&gt;=61,"Senior")</f>
        <v>Middle-aged</v>
      </c>
      <c r="S2182" cm="1">
        <f t="array" ref="S2182">_xlfn.IFS(Q2182 ="Fortnightly",14,Q2182="Weekly",7,Q2182="Monthly",30,Q2182="Quarterly",90,Q2182="Bi-Weekly",14,Q2182="Annually",365,Q2182="Every 3 Months",90,TRUE,"NOT FOUND")</f>
        <v>90</v>
      </c>
    </row>
    <row r="2183" spans="1:19" x14ac:dyDescent="0.35">
      <c r="A2183">
        <v>2182</v>
      </c>
      <c r="B2183">
        <v>22</v>
      </c>
      <c r="C2183" t="s">
        <v>7</v>
      </c>
      <c r="D2183" t="s">
        <v>54</v>
      </c>
      <c r="E2183" t="s">
        <v>55</v>
      </c>
      <c r="F2183">
        <v>63</v>
      </c>
      <c r="G2183" t="s">
        <v>65</v>
      </c>
      <c r="H2183" t="s">
        <v>32</v>
      </c>
      <c r="I2183" t="s">
        <v>82</v>
      </c>
      <c r="J2183" t="s">
        <v>45</v>
      </c>
      <c r="K2183">
        <v>3.2</v>
      </c>
      <c r="L2183" t="s">
        <v>140</v>
      </c>
      <c r="M2183" t="s">
        <v>26</v>
      </c>
      <c r="N2183" t="s">
        <v>140</v>
      </c>
      <c r="O2183">
        <v>32</v>
      </c>
      <c r="P2183" t="s">
        <v>63</v>
      </c>
      <c r="Q2183" t="s">
        <v>64</v>
      </c>
      <c r="R2183" t="str" cm="1">
        <f t="array" ref="R2183">_xlfn.IFS(B2183&lt;31,"Young-Adult",B2183&lt;41,"Adult",B2183&lt;61,"Middle-aged",B2183&gt;=61,"Senior")</f>
        <v>Young-Adult</v>
      </c>
      <c r="S2183" cm="1">
        <f t="array" ref="S2183">_xlfn.IFS(Q2183 ="Fortnightly",14,Q2183="Weekly",7,Q2183="Monthly",30,Q2183="Quarterly",90,Q2183="Bi-Weekly",14,Q2183="Annually",365,Q2183="Every 3 Months",90,TRUE,"NOT FOUND")</f>
        <v>14</v>
      </c>
    </row>
    <row r="2184" spans="1:19" x14ac:dyDescent="0.35">
      <c r="A2184">
        <v>2183</v>
      </c>
      <c r="B2184">
        <v>42</v>
      </c>
      <c r="C2184" t="s">
        <v>7</v>
      </c>
      <c r="D2184" t="s">
        <v>8</v>
      </c>
      <c r="E2184" t="s">
        <v>9</v>
      </c>
      <c r="F2184">
        <v>99</v>
      </c>
      <c r="G2184" t="s">
        <v>118</v>
      </c>
      <c r="H2184" t="s">
        <v>32</v>
      </c>
      <c r="I2184" t="s">
        <v>20</v>
      </c>
      <c r="J2184" t="s">
        <v>13</v>
      </c>
      <c r="K2184">
        <v>2.7</v>
      </c>
      <c r="L2184" t="s">
        <v>140</v>
      </c>
      <c r="M2184" t="s">
        <v>62</v>
      </c>
      <c r="N2184" t="s">
        <v>140</v>
      </c>
      <c r="O2184">
        <v>26</v>
      </c>
      <c r="P2184" t="s">
        <v>16</v>
      </c>
      <c r="Q2184" t="s">
        <v>64</v>
      </c>
      <c r="R2184" t="str" cm="1">
        <f t="array" ref="R2184">_xlfn.IFS(B2184&lt;31,"Young-Adult",B2184&lt;41,"Adult",B2184&lt;61,"Middle-aged",B2184&gt;=61,"Senior")</f>
        <v>Middle-aged</v>
      </c>
      <c r="S2184" cm="1">
        <f t="array" ref="S2184">_xlfn.IFS(Q2184 ="Fortnightly",14,Q2184="Weekly",7,Q2184="Monthly",30,Q2184="Quarterly",90,Q2184="Bi-Weekly",14,Q2184="Annually",365,Q2184="Every 3 Months",90,TRUE,"NOT FOUND")</f>
        <v>14</v>
      </c>
    </row>
    <row r="2185" spans="1:19" x14ac:dyDescent="0.35">
      <c r="A2185">
        <v>2184</v>
      </c>
      <c r="B2185">
        <v>30</v>
      </c>
      <c r="C2185" t="s">
        <v>7</v>
      </c>
      <c r="D2185" t="s">
        <v>47</v>
      </c>
      <c r="E2185" t="s">
        <v>9</v>
      </c>
      <c r="F2185">
        <v>37</v>
      </c>
      <c r="G2185" t="s">
        <v>99</v>
      </c>
      <c r="H2185" t="s">
        <v>32</v>
      </c>
      <c r="I2185" t="s">
        <v>20</v>
      </c>
      <c r="J2185" t="s">
        <v>25</v>
      </c>
      <c r="K2185">
        <v>4.7</v>
      </c>
      <c r="L2185" t="s">
        <v>140</v>
      </c>
      <c r="M2185" t="s">
        <v>62</v>
      </c>
      <c r="N2185" t="s">
        <v>140</v>
      </c>
      <c r="O2185">
        <v>2</v>
      </c>
      <c r="P2185" t="s">
        <v>21</v>
      </c>
      <c r="Q2185" t="s">
        <v>76</v>
      </c>
      <c r="R2185" t="str" cm="1">
        <f t="array" ref="R2185">_xlfn.IFS(B2185&lt;31,"Young-Adult",B2185&lt;41,"Adult",B2185&lt;61,"Middle-aged",B2185&gt;=61,"Senior")</f>
        <v>Young-Adult</v>
      </c>
      <c r="S2185" cm="1">
        <f t="array" ref="S2185">_xlfn.IFS(Q2185 ="Fortnightly",14,Q2185="Weekly",7,Q2185="Monthly",30,Q2185="Quarterly",90,Q2185="Bi-Weekly",14,Q2185="Annually",365,Q2185="Every 3 Months",90,TRUE,"NOT FOUND")</f>
        <v>30</v>
      </c>
    </row>
    <row r="2186" spans="1:19" x14ac:dyDescent="0.35">
      <c r="A2186">
        <v>2185</v>
      </c>
      <c r="B2186">
        <v>38</v>
      </c>
      <c r="C2186" t="s">
        <v>7</v>
      </c>
      <c r="D2186" t="s">
        <v>59</v>
      </c>
      <c r="E2186" t="s">
        <v>30</v>
      </c>
      <c r="F2186">
        <v>34</v>
      </c>
      <c r="G2186" t="s">
        <v>95</v>
      </c>
      <c r="H2186" t="s">
        <v>24</v>
      </c>
      <c r="I2186" t="s">
        <v>68</v>
      </c>
      <c r="J2186" t="s">
        <v>25</v>
      </c>
      <c r="K2186">
        <v>3.2</v>
      </c>
      <c r="L2186" t="s">
        <v>140</v>
      </c>
      <c r="M2186" t="s">
        <v>26</v>
      </c>
      <c r="N2186" t="s">
        <v>140</v>
      </c>
      <c r="O2186">
        <v>16</v>
      </c>
      <c r="P2186" t="s">
        <v>34</v>
      </c>
      <c r="Q2186" t="s">
        <v>85</v>
      </c>
      <c r="R2186" t="str" cm="1">
        <f t="array" ref="R2186">_xlfn.IFS(B2186&lt;31,"Young-Adult",B2186&lt;41,"Adult",B2186&lt;61,"Middle-aged",B2186&gt;=61,"Senior")</f>
        <v>Adult</v>
      </c>
      <c r="S2186" cm="1">
        <f t="array" ref="S2186">_xlfn.IFS(Q2186 ="Fortnightly",14,Q2186="Weekly",7,Q2186="Monthly",30,Q2186="Quarterly",90,Q2186="Bi-Weekly",14,Q2186="Annually",365,Q2186="Every 3 Months",90,TRUE,"NOT FOUND")</f>
        <v>90</v>
      </c>
    </row>
    <row r="2187" spans="1:19" x14ac:dyDescent="0.35">
      <c r="A2187">
        <v>2186</v>
      </c>
      <c r="B2187">
        <v>40</v>
      </c>
      <c r="C2187" t="s">
        <v>7</v>
      </c>
      <c r="D2187" t="s">
        <v>47</v>
      </c>
      <c r="E2187" t="s">
        <v>9</v>
      </c>
      <c r="F2187">
        <v>32</v>
      </c>
      <c r="G2187" t="s">
        <v>86</v>
      </c>
      <c r="H2187" t="s">
        <v>32</v>
      </c>
      <c r="I2187" t="s">
        <v>71</v>
      </c>
      <c r="J2187" t="s">
        <v>13</v>
      </c>
      <c r="K2187">
        <v>2.5</v>
      </c>
      <c r="L2187" t="s">
        <v>140</v>
      </c>
      <c r="M2187" t="s">
        <v>15</v>
      </c>
      <c r="N2187" t="s">
        <v>140</v>
      </c>
      <c r="O2187">
        <v>50</v>
      </c>
      <c r="P2187" t="s">
        <v>74</v>
      </c>
      <c r="Q2187" t="s">
        <v>85</v>
      </c>
      <c r="R2187" t="str" cm="1">
        <f t="array" ref="R2187">_xlfn.IFS(B2187&lt;31,"Young-Adult",B2187&lt;41,"Adult",B2187&lt;61,"Middle-aged",B2187&gt;=61,"Senior")</f>
        <v>Adult</v>
      </c>
      <c r="S2187" cm="1">
        <f t="array" ref="S2187">_xlfn.IFS(Q2187 ="Fortnightly",14,Q2187="Weekly",7,Q2187="Monthly",30,Q2187="Quarterly",90,Q2187="Bi-Weekly",14,Q2187="Annually",365,Q2187="Every 3 Months",90,TRUE,"NOT FOUND")</f>
        <v>90</v>
      </c>
    </row>
    <row r="2188" spans="1:19" x14ac:dyDescent="0.35">
      <c r="A2188">
        <v>2187</v>
      </c>
      <c r="B2188">
        <v>55</v>
      </c>
      <c r="C2188" t="s">
        <v>7</v>
      </c>
      <c r="D2188" t="s">
        <v>29</v>
      </c>
      <c r="E2188" t="s">
        <v>30</v>
      </c>
      <c r="F2188">
        <v>23</v>
      </c>
      <c r="G2188" t="s">
        <v>118</v>
      </c>
      <c r="H2188" t="s">
        <v>80</v>
      </c>
      <c r="I2188" t="s">
        <v>73</v>
      </c>
      <c r="J2188" t="s">
        <v>13</v>
      </c>
      <c r="K2188">
        <v>4.3</v>
      </c>
      <c r="L2188" t="s">
        <v>140</v>
      </c>
      <c r="M2188" t="s">
        <v>33</v>
      </c>
      <c r="N2188" t="s">
        <v>140</v>
      </c>
      <c r="O2188">
        <v>6</v>
      </c>
      <c r="P2188" t="s">
        <v>34</v>
      </c>
      <c r="Q2188" t="s">
        <v>85</v>
      </c>
      <c r="R2188" t="str" cm="1">
        <f t="array" ref="R2188">_xlfn.IFS(B2188&lt;31,"Young-Adult",B2188&lt;41,"Adult",B2188&lt;61,"Middle-aged",B2188&gt;=61,"Senior")</f>
        <v>Middle-aged</v>
      </c>
      <c r="S2188" cm="1">
        <f t="array" ref="S2188">_xlfn.IFS(Q2188 ="Fortnightly",14,Q2188="Weekly",7,Q2188="Monthly",30,Q2188="Quarterly",90,Q2188="Bi-Weekly",14,Q2188="Annually",365,Q2188="Every 3 Months",90,TRUE,"NOT FOUND")</f>
        <v>90</v>
      </c>
    </row>
    <row r="2189" spans="1:19" x14ac:dyDescent="0.35">
      <c r="A2189">
        <v>2188</v>
      </c>
      <c r="B2189">
        <v>37</v>
      </c>
      <c r="C2189" t="s">
        <v>7</v>
      </c>
      <c r="D2189" t="s">
        <v>8</v>
      </c>
      <c r="E2189" t="s">
        <v>9</v>
      </c>
      <c r="F2189">
        <v>78</v>
      </c>
      <c r="G2189" t="s">
        <v>123</v>
      </c>
      <c r="H2189" t="s">
        <v>32</v>
      </c>
      <c r="I2189" t="s">
        <v>71</v>
      </c>
      <c r="J2189" t="s">
        <v>25</v>
      </c>
      <c r="K2189">
        <v>4.4000000000000004</v>
      </c>
      <c r="L2189" t="s">
        <v>140</v>
      </c>
      <c r="M2189" t="s">
        <v>26</v>
      </c>
      <c r="N2189" t="s">
        <v>140</v>
      </c>
      <c r="O2189">
        <v>20</v>
      </c>
      <c r="P2189" t="s">
        <v>34</v>
      </c>
      <c r="Q2189" t="s">
        <v>37</v>
      </c>
      <c r="R2189" t="str" cm="1">
        <f t="array" ref="R2189">_xlfn.IFS(B2189&lt;31,"Young-Adult",B2189&lt;41,"Adult",B2189&lt;61,"Middle-aged",B2189&gt;=61,"Senior")</f>
        <v>Adult</v>
      </c>
      <c r="S2189" cm="1">
        <f t="array" ref="S2189">_xlfn.IFS(Q2189 ="Fortnightly",14,Q2189="Weekly",7,Q2189="Monthly",30,Q2189="Quarterly",90,Q2189="Bi-Weekly",14,Q2189="Annually",365,Q2189="Every 3 Months",90,TRUE,"NOT FOUND")</f>
        <v>365</v>
      </c>
    </row>
    <row r="2190" spans="1:19" x14ac:dyDescent="0.35">
      <c r="A2190">
        <v>2189</v>
      </c>
      <c r="B2190">
        <v>41</v>
      </c>
      <c r="C2190" t="s">
        <v>7</v>
      </c>
      <c r="D2190" t="s">
        <v>50</v>
      </c>
      <c r="E2190" t="s">
        <v>51</v>
      </c>
      <c r="F2190">
        <v>54</v>
      </c>
      <c r="G2190" t="s">
        <v>87</v>
      </c>
      <c r="H2190" t="s">
        <v>32</v>
      </c>
      <c r="I2190" t="s">
        <v>98</v>
      </c>
      <c r="J2190" t="s">
        <v>13</v>
      </c>
      <c r="K2190">
        <v>4.7</v>
      </c>
      <c r="L2190" t="s">
        <v>140</v>
      </c>
      <c r="M2190" t="s">
        <v>33</v>
      </c>
      <c r="N2190" t="s">
        <v>140</v>
      </c>
      <c r="O2190">
        <v>9</v>
      </c>
      <c r="P2190" t="s">
        <v>27</v>
      </c>
      <c r="Q2190" t="s">
        <v>28</v>
      </c>
      <c r="R2190" t="str" cm="1">
        <f t="array" ref="R2190">_xlfn.IFS(B2190&lt;31,"Young-Adult",B2190&lt;41,"Adult",B2190&lt;61,"Middle-aged",B2190&gt;=61,"Senior")</f>
        <v>Middle-aged</v>
      </c>
      <c r="S2190" cm="1">
        <f t="array" ref="S2190">_xlfn.IFS(Q2190 ="Fortnightly",14,Q2190="Weekly",7,Q2190="Monthly",30,Q2190="Quarterly",90,Q2190="Bi-Weekly",14,Q2190="Annually",365,Q2190="Every 3 Months",90,TRUE,"NOT FOUND")</f>
        <v>7</v>
      </c>
    </row>
    <row r="2191" spans="1:19" x14ac:dyDescent="0.35">
      <c r="A2191">
        <v>2190</v>
      </c>
      <c r="B2191">
        <v>38</v>
      </c>
      <c r="C2191" t="s">
        <v>7</v>
      </c>
      <c r="D2191" t="s">
        <v>8</v>
      </c>
      <c r="E2191" t="s">
        <v>9</v>
      </c>
      <c r="F2191">
        <v>94</v>
      </c>
      <c r="G2191" t="s">
        <v>138</v>
      </c>
      <c r="H2191" t="s">
        <v>80</v>
      </c>
      <c r="I2191" t="s">
        <v>98</v>
      </c>
      <c r="J2191" t="s">
        <v>45</v>
      </c>
      <c r="K2191">
        <v>4</v>
      </c>
      <c r="L2191" t="s">
        <v>140</v>
      </c>
      <c r="M2191" t="s">
        <v>15</v>
      </c>
      <c r="N2191" t="s">
        <v>140</v>
      </c>
      <c r="O2191">
        <v>47</v>
      </c>
      <c r="P2191" t="s">
        <v>27</v>
      </c>
      <c r="Q2191" t="s">
        <v>64</v>
      </c>
      <c r="R2191" t="str" cm="1">
        <f t="array" ref="R2191">_xlfn.IFS(B2191&lt;31,"Young-Adult",B2191&lt;41,"Adult",B2191&lt;61,"Middle-aged",B2191&gt;=61,"Senior")</f>
        <v>Adult</v>
      </c>
      <c r="S2191" cm="1">
        <f t="array" ref="S2191">_xlfn.IFS(Q2191 ="Fortnightly",14,Q2191="Weekly",7,Q2191="Monthly",30,Q2191="Quarterly",90,Q2191="Bi-Weekly",14,Q2191="Annually",365,Q2191="Every 3 Months",90,TRUE,"NOT FOUND")</f>
        <v>14</v>
      </c>
    </row>
    <row r="2192" spans="1:19" x14ac:dyDescent="0.35">
      <c r="A2192">
        <v>2191</v>
      </c>
      <c r="B2192">
        <v>42</v>
      </c>
      <c r="C2192" t="s">
        <v>7</v>
      </c>
      <c r="D2192" t="s">
        <v>121</v>
      </c>
      <c r="E2192" t="s">
        <v>55</v>
      </c>
      <c r="F2192">
        <v>75</v>
      </c>
      <c r="G2192" t="s">
        <v>108</v>
      </c>
      <c r="H2192" t="s">
        <v>24</v>
      </c>
      <c r="I2192" t="s">
        <v>20</v>
      </c>
      <c r="J2192" t="s">
        <v>25</v>
      </c>
      <c r="K2192">
        <v>4.5999999999999996</v>
      </c>
      <c r="L2192" t="s">
        <v>140</v>
      </c>
      <c r="M2192" t="s">
        <v>15</v>
      </c>
      <c r="N2192" t="s">
        <v>140</v>
      </c>
      <c r="O2192">
        <v>33</v>
      </c>
      <c r="P2192" t="s">
        <v>27</v>
      </c>
      <c r="Q2192" t="s">
        <v>37</v>
      </c>
      <c r="R2192" t="str" cm="1">
        <f t="array" ref="R2192">_xlfn.IFS(B2192&lt;31,"Young-Adult",B2192&lt;41,"Adult",B2192&lt;61,"Middle-aged",B2192&gt;=61,"Senior")</f>
        <v>Middle-aged</v>
      </c>
      <c r="S2192" cm="1">
        <f t="array" ref="S2192">_xlfn.IFS(Q2192 ="Fortnightly",14,Q2192="Weekly",7,Q2192="Monthly",30,Q2192="Quarterly",90,Q2192="Bi-Weekly",14,Q2192="Annually",365,Q2192="Every 3 Months",90,TRUE,"NOT FOUND")</f>
        <v>365</v>
      </c>
    </row>
    <row r="2193" spans="1:19" x14ac:dyDescent="0.35">
      <c r="A2193">
        <v>2192</v>
      </c>
      <c r="B2193">
        <v>26</v>
      </c>
      <c r="C2193" t="s">
        <v>7</v>
      </c>
      <c r="D2193" t="s">
        <v>8</v>
      </c>
      <c r="E2193" t="s">
        <v>9</v>
      </c>
      <c r="F2193">
        <v>69</v>
      </c>
      <c r="G2193" t="s">
        <v>126</v>
      </c>
      <c r="H2193" t="s">
        <v>24</v>
      </c>
      <c r="I2193" t="s">
        <v>20</v>
      </c>
      <c r="J2193" t="s">
        <v>41</v>
      </c>
      <c r="K2193">
        <v>3.8</v>
      </c>
      <c r="L2193" t="s">
        <v>140</v>
      </c>
      <c r="M2193" t="s">
        <v>33</v>
      </c>
      <c r="N2193" t="s">
        <v>140</v>
      </c>
      <c r="O2193">
        <v>46</v>
      </c>
      <c r="P2193" t="s">
        <v>21</v>
      </c>
      <c r="Q2193" t="s">
        <v>64</v>
      </c>
      <c r="R2193" t="str" cm="1">
        <f t="array" ref="R2193">_xlfn.IFS(B2193&lt;31,"Young-Adult",B2193&lt;41,"Adult",B2193&lt;61,"Middle-aged",B2193&gt;=61,"Senior")</f>
        <v>Young-Adult</v>
      </c>
      <c r="S2193" cm="1">
        <f t="array" ref="S2193">_xlfn.IFS(Q2193 ="Fortnightly",14,Q2193="Weekly",7,Q2193="Monthly",30,Q2193="Quarterly",90,Q2193="Bi-Weekly",14,Q2193="Annually",365,Q2193="Every 3 Months",90,TRUE,"NOT FOUND")</f>
        <v>14</v>
      </c>
    </row>
    <row r="2194" spans="1:19" x14ac:dyDescent="0.35">
      <c r="A2194">
        <v>2193</v>
      </c>
      <c r="B2194">
        <v>41</v>
      </c>
      <c r="C2194" t="s">
        <v>7</v>
      </c>
      <c r="D2194" t="s">
        <v>107</v>
      </c>
      <c r="E2194" t="s">
        <v>55</v>
      </c>
      <c r="F2194">
        <v>35</v>
      </c>
      <c r="G2194" t="s">
        <v>129</v>
      </c>
      <c r="H2194" t="s">
        <v>11</v>
      </c>
      <c r="I2194" t="s">
        <v>122</v>
      </c>
      <c r="J2194" t="s">
        <v>13</v>
      </c>
      <c r="K2194">
        <v>3.2</v>
      </c>
      <c r="L2194" t="s">
        <v>140</v>
      </c>
      <c r="M2194" t="s">
        <v>33</v>
      </c>
      <c r="N2194" t="s">
        <v>140</v>
      </c>
      <c r="O2194">
        <v>9</v>
      </c>
      <c r="P2194" t="s">
        <v>27</v>
      </c>
      <c r="Q2194" t="s">
        <v>76</v>
      </c>
      <c r="R2194" t="str" cm="1">
        <f t="array" ref="R2194">_xlfn.IFS(B2194&lt;31,"Young-Adult",B2194&lt;41,"Adult",B2194&lt;61,"Middle-aged",B2194&gt;=61,"Senior")</f>
        <v>Middle-aged</v>
      </c>
      <c r="S2194" cm="1">
        <f t="array" ref="S2194">_xlfn.IFS(Q2194 ="Fortnightly",14,Q2194="Weekly",7,Q2194="Monthly",30,Q2194="Quarterly",90,Q2194="Bi-Weekly",14,Q2194="Annually",365,Q2194="Every 3 Months",90,TRUE,"NOT FOUND")</f>
        <v>30</v>
      </c>
    </row>
    <row r="2195" spans="1:19" x14ac:dyDescent="0.35">
      <c r="A2195">
        <v>2194</v>
      </c>
      <c r="B2195">
        <v>27</v>
      </c>
      <c r="C2195" t="s">
        <v>7</v>
      </c>
      <c r="D2195" t="s">
        <v>43</v>
      </c>
      <c r="E2195" t="s">
        <v>9</v>
      </c>
      <c r="F2195">
        <v>78</v>
      </c>
      <c r="G2195" t="s">
        <v>87</v>
      </c>
      <c r="H2195" t="s">
        <v>11</v>
      </c>
      <c r="I2195" t="s">
        <v>36</v>
      </c>
      <c r="J2195" t="s">
        <v>25</v>
      </c>
      <c r="K2195">
        <v>5</v>
      </c>
      <c r="L2195" t="s">
        <v>140</v>
      </c>
      <c r="M2195" t="s">
        <v>15</v>
      </c>
      <c r="N2195" t="s">
        <v>140</v>
      </c>
      <c r="O2195">
        <v>8</v>
      </c>
      <c r="P2195" t="s">
        <v>34</v>
      </c>
      <c r="Q2195" t="s">
        <v>76</v>
      </c>
      <c r="R2195" t="str" cm="1">
        <f t="array" ref="R2195">_xlfn.IFS(B2195&lt;31,"Young-Adult",B2195&lt;41,"Adult",B2195&lt;61,"Middle-aged",B2195&gt;=61,"Senior")</f>
        <v>Young-Adult</v>
      </c>
      <c r="S2195" cm="1">
        <f t="array" ref="S2195">_xlfn.IFS(Q2195 ="Fortnightly",14,Q2195="Weekly",7,Q2195="Monthly",30,Q2195="Quarterly",90,Q2195="Bi-Weekly",14,Q2195="Annually",365,Q2195="Every 3 Months",90,TRUE,"NOT FOUND")</f>
        <v>30</v>
      </c>
    </row>
    <row r="2196" spans="1:19" x14ac:dyDescent="0.35">
      <c r="A2196">
        <v>2195</v>
      </c>
      <c r="B2196">
        <v>61</v>
      </c>
      <c r="C2196" t="s">
        <v>7</v>
      </c>
      <c r="D2196" t="s">
        <v>113</v>
      </c>
      <c r="E2196" t="s">
        <v>9</v>
      </c>
      <c r="F2196">
        <v>29</v>
      </c>
      <c r="G2196" t="s">
        <v>10</v>
      </c>
      <c r="H2196" t="s">
        <v>32</v>
      </c>
      <c r="I2196" t="s">
        <v>53</v>
      </c>
      <c r="J2196" t="s">
        <v>41</v>
      </c>
      <c r="K2196">
        <v>3.5</v>
      </c>
      <c r="L2196" t="s">
        <v>140</v>
      </c>
      <c r="M2196" t="s">
        <v>42</v>
      </c>
      <c r="N2196" t="s">
        <v>140</v>
      </c>
      <c r="O2196">
        <v>48</v>
      </c>
      <c r="P2196" t="s">
        <v>63</v>
      </c>
      <c r="Q2196" t="s">
        <v>46</v>
      </c>
      <c r="R2196" t="str" cm="1">
        <f t="array" ref="R2196">_xlfn.IFS(B2196&lt;31,"Young-Adult",B2196&lt;41,"Adult",B2196&lt;61,"Middle-aged",B2196&gt;=61,"Senior")</f>
        <v>Senior</v>
      </c>
      <c r="S2196" cm="1">
        <f t="array" ref="S2196">_xlfn.IFS(Q2196 ="Fortnightly",14,Q2196="Weekly",7,Q2196="Monthly",30,Q2196="Quarterly",90,Q2196="Bi-Weekly",14,Q2196="Annually",365,Q2196="Every 3 Months",90,TRUE,"NOT FOUND")</f>
        <v>90</v>
      </c>
    </row>
    <row r="2197" spans="1:19" x14ac:dyDescent="0.35">
      <c r="A2197">
        <v>2196</v>
      </c>
      <c r="B2197">
        <v>58</v>
      </c>
      <c r="C2197" t="s">
        <v>7</v>
      </c>
      <c r="D2197" t="s">
        <v>22</v>
      </c>
      <c r="E2197" t="s">
        <v>9</v>
      </c>
      <c r="F2197">
        <v>62</v>
      </c>
      <c r="G2197" t="s">
        <v>72</v>
      </c>
      <c r="H2197" t="s">
        <v>32</v>
      </c>
      <c r="I2197" t="s">
        <v>98</v>
      </c>
      <c r="J2197" t="s">
        <v>45</v>
      </c>
      <c r="K2197">
        <v>3.7</v>
      </c>
      <c r="L2197" t="s">
        <v>140</v>
      </c>
      <c r="M2197" t="s">
        <v>33</v>
      </c>
      <c r="N2197" t="s">
        <v>140</v>
      </c>
      <c r="O2197">
        <v>2</v>
      </c>
      <c r="P2197" t="s">
        <v>21</v>
      </c>
      <c r="Q2197" t="s">
        <v>76</v>
      </c>
      <c r="R2197" t="str" cm="1">
        <f t="array" ref="R2197">_xlfn.IFS(B2197&lt;31,"Young-Adult",B2197&lt;41,"Adult",B2197&lt;61,"Middle-aged",B2197&gt;=61,"Senior")</f>
        <v>Middle-aged</v>
      </c>
      <c r="S2197" cm="1">
        <f t="array" ref="S2197">_xlfn.IFS(Q2197 ="Fortnightly",14,Q2197="Weekly",7,Q2197="Monthly",30,Q2197="Quarterly",90,Q2197="Bi-Weekly",14,Q2197="Annually",365,Q2197="Every 3 Months",90,TRUE,"NOT FOUND")</f>
        <v>30</v>
      </c>
    </row>
    <row r="2198" spans="1:19" x14ac:dyDescent="0.35">
      <c r="A2198">
        <v>2197</v>
      </c>
      <c r="B2198">
        <v>25</v>
      </c>
      <c r="C2198" t="s">
        <v>7</v>
      </c>
      <c r="D2198" t="s">
        <v>69</v>
      </c>
      <c r="E2198" t="s">
        <v>9</v>
      </c>
      <c r="F2198">
        <v>58</v>
      </c>
      <c r="G2198" t="s">
        <v>117</v>
      </c>
      <c r="H2198" t="s">
        <v>32</v>
      </c>
      <c r="I2198" t="s">
        <v>12</v>
      </c>
      <c r="J2198" t="s">
        <v>25</v>
      </c>
      <c r="K2198">
        <v>4.8</v>
      </c>
      <c r="L2198" t="s">
        <v>140</v>
      </c>
      <c r="M2198" t="s">
        <v>33</v>
      </c>
      <c r="N2198" t="s">
        <v>140</v>
      </c>
      <c r="O2198">
        <v>31</v>
      </c>
      <c r="P2198" t="s">
        <v>34</v>
      </c>
      <c r="Q2198" t="s">
        <v>28</v>
      </c>
      <c r="R2198" t="str" cm="1">
        <f t="array" ref="R2198">_xlfn.IFS(B2198&lt;31,"Young-Adult",B2198&lt;41,"Adult",B2198&lt;61,"Middle-aged",B2198&gt;=61,"Senior")</f>
        <v>Young-Adult</v>
      </c>
      <c r="S2198" cm="1">
        <f t="array" ref="S2198">_xlfn.IFS(Q2198 ="Fortnightly",14,Q2198="Weekly",7,Q2198="Monthly",30,Q2198="Quarterly",90,Q2198="Bi-Weekly",14,Q2198="Annually",365,Q2198="Every 3 Months",90,TRUE,"NOT FOUND")</f>
        <v>7</v>
      </c>
    </row>
    <row r="2199" spans="1:19" x14ac:dyDescent="0.35">
      <c r="A2199">
        <v>2198</v>
      </c>
      <c r="B2199">
        <v>33</v>
      </c>
      <c r="C2199" t="s">
        <v>7</v>
      </c>
      <c r="D2199" t="s">
        <v>125</v>
      </c>
      <c r="E2199" t="s">
        <v>30</v>
      </c>
      <c r="F2199">
        <v>88</v>
      </c>
      <c r="G2199" t="s">
        <v>126</v>
      </c>
      <c r="H2199" t="s">
        <v>32</v>
      </c>
      <c r="I2199" t="s">
        <v>114</v>
      </c>
      <c r="J2199" t="s">
        <v>41</v>
      </c>
      <c r="K2199">
        <v>3.7</v>
      </c>
      <c r="L2199" t="s">
        <v>140</v>
      </c>
      <c r="M2199" t="s">
        <v>58</v>
      </c>
      <c r="N2199" t="s">
        <v>140</v>
      </c>
      <c r="O2199">
        <v>40</v>
      </c>
      <c r="P2199" t="s">
        <v>16</v>
      </c>
      <c r="Q2199" t="s">
        <v>76</v>
      </c>
      <c r="R2199" t="str" cm="1">
        <f t="array" ref="R2199">_xlfn.IFS(B2199&lt;31,"Young-Adult",B2199&lt;41,"Adult",B2199&lt;61,"Middle-aged",B2199&gt;=61,"Senior")</f>
        <v>Adult</v>
      </c>
      <c r="S2199" cm="1">
        <f t="array" ref="S2199">_xlfn.IFS(Q2199 ="Fortnightly",14,Q2199="Weekly",7,Q2199="Monthly",30,Q2199="Quarterly",90,Q2199="Bi-Weekly",14,Q2199="Annually",365,Q2199="Every 3 Months",90,TRUE,"NOT FOUND")</f>
        <v>30</v>
      </c>
    </row>
    <row r="2200" spans="1:19" x14ac:dyDescent="0.35">
      <c r="A2200">
        <v>2199</v>
      </c>
      <c r="B2200">
        <v>57</v>
      </c>
      <c r="C2200" t="s">
        <v>7</v>
      </c>
      <c r="D2200" t="s">
        <v>107</v>
      </c>
      <c r="E2200" t="s">
        <v>55</v>
      </c>
      <c r="F2200">
        <v>80</v>
      </c>
      <c r="G2200" t="s">
        <v>72</v>
      </c>
      <c r="H2200" t="s">
        <v>11</v>
      </c>
      <c r="I2200" t="s">
        <v>36</v>
      </c>
      <c r="J2200" t="s">
        <v>41</v>
      </c>
      <c r="K2200">
        <v>3.5</v>
      </c>
      <c r="L2200" t="s">
        <v>140</v>
      </c>
      <c r="M2200" t="s">
        <v>26</v>
      </c>
      <c r="N2200" t="s">
        <v>140</v>
      </c>
      <c r="O2200">
        <v>35</v>
      </c>
      <c r="P2200" t="s">
        <v>16</v>
      </c>
      <c r="Q2200" t="s">
        <v>76</v>
      </c>
      <c r="R2200" t="str" cm="1">
        <f t="array" ref="R2200">_xlfn.IFS(B2200&lt;31,"Young-Adult",B2200&lt;41,"Adult",B2200&lt;61,"Middle-aged",B2200&gt;=61,"Senior")</f>
        <v>Middle-aged</v>
      </c>
      <c r="S2200" cm="1">
        <f t="array" ref="S2200">_xlfn.IFS(Q2200 ="Fortnightly",14,Q2200="Weekly",7,Q2200="Monthly",30,Q2200="Quarterly",90,Q2200="Bi-Weekly",14,Q2200="Annually",365,Q2200="Every 3 Months",90,TRUE,"NOT FOUND")</f>
        <v>30</v>
      </c>
    </row>
    <row r="2201" spans="1:19" x14ac:dyDescent="0.35">
      <c r="A2201">
        <v>2200</v>
      </c>
      <c r="B2201">
        <v>39</v>
      </c>
      <c r="C2201" t="s">
        <v>7</v>
      </c>
      <c r="D2201" t="s">
        <v>107</v>
      </c>
      <c r="E2201" t="s">
        <v>55</v>
      </c>
      <c r="F2201">
        <v>47</v>
      </c>
      <c r="G2201" t="s">
        <v>86</v>
      </c>
      <c r="H2201" t="s">
        <v>32</v>
      </c>
      <c r="I2201" t="s">
        <v>20</v>
      </c>
      <c r="J2201" t="s">
        <v>41</v>
      </c>
      <c r="K2201">
        <v>4.9000000000000004</v>
      </c>
      <c r="L2201" t="s">
        <v>140</v>
      </c>
      <c r="M2201" t="s">
        <v>62</v>
      </c>
      <c r="N2201" t="s">
        <v>140</v>
      </c>
      <c r="O2201">
        <v>40</v>
      </c>
      <c r="P2201" t="s">
        <v>74</v>
      </c>
      <c r="Q2201" t="s">
        <v>76</v>
      </c>
      <c r="R2201" t="str" cm="1">
        <f t="array" ref="R2201">_xlfn.IFS(B2201&lt;31,"Young-Adult",B2201&lt;41,"Adult",B2201&lt;61,"Middle-aged",B2201&gt;=61,"Senior")</f>
        <v>Adult</v>
      </c>
      <c r="S2201" cm="1">
        <f t="array" ref="S2201">_xlfn.IFS(Q2201 ="Fortnightly",14,Q2201="Weekly",7,Q2201="Monthly",30,Q2201="Quarterly",90,Q2201="Bi-Weekly",14,Q2201="Annually",365,Q2201="Every 3 Months",90,TRUE,"NOT FOUND")</f>
        <v>30</v>
      </c>
    </row>
    <row r="2202" spans="1:19" x14ac:dyDescent="0.35">
      <c r="A2202">
        <v>2201</v>
      </c>
      <c r="B2202">
        <v>60</v>
      </c>
      <c r="C2202" t="s">
        <v>7</v>
      </c>
      <c r="D2202" t="s">
        <v>131</v>
      </c>
      <c r="E2202" t="s">
        <v>55</v>
      </c>
      <c r="F2202">
        <v>51</v>
      </c>
      <c r="G2202" t="s">
        <v>39</v>
      </c>
      <c r="H2202" t="s">
        <v>11</v>
      </c>
      <c r="I2202" t="s">
        <v>49</v>
      </c>
      <c r="J2202" t="s">
        <v>41</v>
      </c>
      <c r="K2202">
        <v>4.7</v>
      </c>
      <c r="L2202" t="s">
        <v>140</v>
      </c>
      <c r="M2202" t="s">
        <v>33</v>
      </c>
      <c r="N2202" t="s">
        <v>140</v>
      </c>
      <c r="O2202">
        <v>27</v>
      </c>
      <c r="P2202" t="s">
        <v>74</v>
      </c>
      <c r="Q2202" t="s">
        <v>85</v>
      </c>
      <c r="R2202" t="str" cm="1">
        <f t="array" ref="R2202">_xlfn.IFS(B2202&lt;31,"Young-Adult",B2202&lt;41,"Adult",B2202&lt;61,"Middle-aged",B2202&gt;=61,"Senior")</f>
        <v>Middle-aged</v>
      </c>
      <c r="S2202" cm="1">
        <f t="array" ref="S2202">_xlfn.IFS(Q2202 ="Fortnightly",14,Q2202="Weekly",7,Q2202="Monthly",30,Q2202="Quarterly",90,Q2202="Bi-Weekly",14,Q2202="Annually",365,Q2202="Every 3 Months",90,TRUE,"NOT FOUND")</f>
        <v>90</v>
      </c>
    </row>
    <row r="2203" spans="1:19" x14ac:dyDescent="0.35">
      <c r="A2203">
        <v>2202</v>
      </c>
      <c r="B2203">
        <v>39</v>
      </c>
      <c r="C2203" t="s">
        <v>7</v>
      </c>
      <c r="D2203" t="s">
        <v>83</v>
      </c>
      <c r="E2203" t="s">
        <v>9</v>
      </c>
      <c r="F2203">
        <v>25</v>
      </c>
      <c r="G2203" t="s">
        <v>111</v>
      </c>
      <c r="H2203" t="s">
        <v>11</v>
      </c>
      <c r="I2203" t="s">
        <v>88</v>
      </c>
      <c r="J2203" t="s">
        <v>25</v>
      </c>
      <c r="K2203">
        <v>4.9000000000000004</v>
      </c>
      <c r="L2203" t="s">
        <v>140</v>
      </c>
      <c r="M2203" t="s">
        <v>58</v>
      </c>
      <c r="N2203" t="s">
        <v>140</v>
      </c>
      <c r="O2203">
        <v>10</v>
      </c>
      <c r="P2203" t="s">
        <v>16</v>
      </c>
      <c r="Q2203" t="s">
        <v>37</v>
      </c>
      <c r="R2203" t="str" cm="1">
        <f t="array" ref="R2203">_xlfn.IFS(B2203&lt;31,"Young-Adult",B2203&lt;41,"Adult",B2203&lt;61,"Middle-aged",B2203&gt;=61,"Senior")</f>
        <v>Adult</v>
      </c>
      <c r="S2203" cm="1">
        <f t="array" ref="S2203">_xlfn.IFS(Q2203 ="Fortnightly",14,Q2203="Weekly",7,Q2203="Monthly",30,Q2203="Quarterly",90,Q2203="Bi-Weekly",14,Q2203="Annually",365,Q2203="Every 3 Months",90,TRUE,"NOT FOUND")</f>
        <v>365</v>
      </c>
    </row>
    <row r="2204" spans="1:19" x14ac:dyDescent="0.35">
      <c r="A2204">
        <v>2203</v>
      </c>
      <c r="B2204">
        <v>42</v>
      </c>
      <c r="C2204" t="s">
        <v>7</v>
      </c>
      <c r="D2204" t="s">
        <v>69</v>
      </c>
      <c r="E2204" t="s">
        <v>9</v>
      </c>
      <c r="F2204">
        <v>36</v>
      </c>
      <c r="G2204" t="s">
        <v>78</v>
      </c>
      <c r="H2204" t="s">
        <v>32</v>
      </c>
      <c r="I2204" t="s">
        <v>96</v>
      </c>
      <c r="J2204" t="s">
        <v>41</v>
      </c>
      <c r="K2204">
        <v>4.3</v>
      </c>
      <c r="L2204" t="s">
        <v>140</v>
      </c>
      <c r="M2204" t="s">
        <v>33</v>
      </c>
      <c r="N2204" t="s">
        <v>140</v>
      </c>
      <c r="O2204">
        <v>23</v>
      </c>
      <c r="P2204" t="s">
        <v>27</v>
      </c>
      <c r="Q2204" t="s">
        <v>28</v>
      </c>
      <c r="R2204" t="str" cm="1">
        <f t="array" ref="R2204">_xlfn.IFS(B2204&lt;31,"Young-Adult",B2204&lt;41,"Adult",B2204&lt;61,"Middle-aged",B2204&gt;=61,"Senior")</f>
        <v>Middle-aged</v>
      </c>
      <c r="S2204" cm="1">
        <f t="array" ref="S2204">_xlfn.IFS(Q2204 ="Fortnightly",14,Q2204="Weekly",7,Q2204="Monthly",30,Q2204="Quarterly",90,Q2204="Bi-Weekly",14,Q2204="Annually",365,Q2204="Every 3 Months",90,TRUE,"NOT FOUND")</f>
        <v>7</v>
      </c>
    </row>
    <row r="2205" spans="1:19" x14ac:dyDescent="0.35">
      <c r="A2205">
        <v>2204</v>
      </c>
      <c r="B2205">
        <v>53</v>
      </c>
      <c r="C2205" t="s">
        <v>7</v>
      </c>
      <c r="D2205" t="s">
        <v>69</v>
      </c>
      <c r="E2205" t="s">
        <v>9</v>
      </c>
      <c r="F2205">
        <v>79</v>
      </c>
      <c r="G2205" t="s">
        <v>31</v>
      </c>
      <c r="H2205" t="s">
        <v>32</v>
      </c>
      <c r="I2205" t="s">
        <v>114</v>
      </c>
      <c r="J2205" t="s">
        <v>13</v>
      </c>
      <c r="K2205">
        <v>3.1</v>
      </c>
      <c r="L2205" t="s">
        <v>140</v>
      </c>
      <c r="M2205" t="s">
        <v>26</v>
      </c>
      <c r="N2205" t="s">
        <v>140</v>
      </c>
      <c r="O2205">
        <v>32</v>
      </c>
      <c r="P2205" t="s">
        <v>21</v>
      </c>
      <c r="Q2205" t="s">
        <v>46</v>
      </c>
      <c r="R2205" t="str" cm="1">
        <f t="array" ref="R2205">_xlfn.IFS(B2205&lt;31,"Young-Adult",B2205&lt;41,"Adult",B2205&lt;61,"Middle-aged",B2205&gt;=61,"Senior")</f>
        <v>Middle-aged</v>
      </c>
      <c r="S2205" cm="1">
        <f t="array" ref="S2205">_xlfn.IFS(Q2205 ="Fortnightly",14,Q2205="Weekly",7,Q2205="Monthly",30,Q2205="Quarterly",90,Q2205="Bi-Weekly",14,Q2205="Annually",365,Q2205="Every 3 Months",90,TRUE,"NOT FOUND")</f>
        <v>90</v>
      </c>
    </row>
    <row r="2206" spans="1:19" x14ac:dyDescent="0.35">
      <c r="A2206">
        <v>2205</v>
      </c>
      <c r="B2206">
        <v>20</v>
      </c>
      <c r="C2206" t="s">
        <v>7</v>
      </c>
      <c r="D2206" t="s">
        <v>22</v>
      </c>
      <c r="E2206" t="s">
        <v>9</v>
      </c>
      <c r="F2206">
        <v>41</v>
      </c>
      <c r="G2206" t="s">
        <v>35</v>
      </c>
      <c r="H2206" t="s">
        <v>24</v>
      </c>
      <c r="I2206" t="s">
        <v>81</v>
      </c>
      <c r="J2206" t="s">
        <v>13</v>
      </c>
      <c r="K2206">
        <v>3.4</v>
      </c>
      <c r="L2206" t="s">
        <v>140</v>
      </c>
      <c r="M2206" t="s">
        <v>58</v>
      </c>
      <c r="N2206" t="s">
        <v>140</v>
      </c>
      <c r="O2206">
        <v>6</v>
      </c>
      <c r="P2206" t="s">
        <v>74</v>
      </c>
      <c r="Q2206" t="s">
        <v>76</v>
      </c>
      <c r="R2206" t="str" cm="1">
        <f t="array" ref="R2206">_xlfn.IFS(B2206&lt;31,"Young-Adult",B2206&lt;41,"Adult",B2206&lt;61,"Middle-aged",B2206&gt;=61,"Senior")</f>
        <v>Young-Adult</v>
      </c>
      <c r="S2206" cm="1">
        <f t="array" ref="S2206">_xlfn.IFS(Q2206 ="Fortnightly",14,Q2206="Weekly",7,Q2206="Monthly",30,Q2206="Quarterly",90,Q2206="Bi-Weekly",14,Q2206="Annually",365,Q2206="Every 3 Months",90,TRUE,"NOT FOUND")</f>
        <v>30</v>
      </c>
    </row>
    <row r="2207" spans="1:19" x14ac:dyDescent="0.35">
      <c r="A2207">
        <v>2206</v>
      </c>
      <c r="B2207">
        <v>46</v>
      </c>
      <c r="C2207" t="s">
        <v>7</v>
      </c>
      <c r="D2207" t="s">
        <v>18</v>
      </c>
      <c r="E2207" t="s">
        <v>9</v>
      </c>
      <c r="F2207">
        <v>68</v>
      </c>
      <c r="G2207" t="s">
        <v>102</v>
      </c>
      <c r="H2207" t="s">
        <v>80</v>
      </c>
      <c r="I2207" t="s">
        <v>96</v>
      </c>
      <c r="J2207" t="s">
        <v>45</v>
      </c>
      <c r="K2207">
        <v>2.7</v>
      </c>
      <c r="L2207" t="s">
        <v>140</v>
      </c>
      <c r="M2207" t="s">
        <v>15</v>
      </c>
      <c r="N2207" t="s">
        <v>140</v>
      </c>
      <c r="O2207">
        <v>27</v>
      </c>
      <c r="P2207" t="s">
        <v>34</v>
      </c>
      <c r="Q2207" t="s">
        <v>28</v>
      </c>
      <c r="R2207" t="str" cm="1">
        <f t="array" ref="R2207">_xlfn.IFS(B2207&lt;31,"Young-Adult",B2207&lt;41,"Adult",B2207&lt;61,"Middle-aged",B2207&gt;=61,"Senior")</f>
        <v>Middle-aged</v>
      </c>
      <c r="S2207" cm="1">
        <f t="array" ref="S2207">_xlfn.IFS(Q2207 ="Fortnightly",14,Q2207="Weekly",7,Q2207="Monthly",30,Q2207="Quarterly",90,Q2207="Bi-Weekly",14,Q2207="Annually",365,Q2207="Every 3 Months",90,TRUE,"NOT FOUND")</f>
        <v>7</v>
      </c>
    </row>
    <row r="2208" spans="1:19" x14ac:dyDescent="0.35">
      <c r="A2208">
        <v>2207</v>
      </c>
      <c r="B2208">
        <v>46</v>
      </c>
      <c r="C2208" t="s">
        <v>7</v>
      </c>
      <c r="D2208" t="s">
        <v>29</v>
      </c>
      <c r="E2208" t="s">
        <v>30</v>
      </c>
      <c r="F2208">
        <v>51</v>
      </c>
      <c r="G2208" t="s">
        <v>103</v>
      </c>
      <c r="H2208" t="s">
        <v>11</v>
      </c>
      <c r="I2208" t="s">
        <v>84</v>
      </c>
      <c r="J2208" t="s">
        <v>25</v>
      </c>
      <c r="K2208">
        <v>2.6</v>
      </c>
      <c r="L2208" t="s">
        <v>140</v>
      </c>
      <c r="M2208" t="s">
        <v>62</v>
      </c>
      <c r="N2208" t="s">
        <v>140</v>
      </c>
      <c r="O2208">
        <v>25</v>
      </c>
      <c r="P2208" t="s">
        <v>63</v>
      </c>
      <c r="Q2208" t="s">
        <v>17</v>
      </c>
      <c r="R2208" t="str" cm="1">
        <f t="array" ref="R2208">_xlfn.IFS(B2208&lt;31,"Young-Adult",B2208&lt;41,"Adult",B2208&lt;61,"Middle-aged",B2208&gt;=61,"Senior")</f>
        <v>Middle-aged</v>
      </c>
      <c r="S2208" cm="1">
        <f t="array" ref="S2208">_xlfn.IFS(Q2208 ="Fortnightly",14,Q2208="Weekly",7,Q2208="Monthly",30,Q2208="Quarterly",90,Q2208="Bi-Weekly",14,Q2208="Annually",365,Q2208="Every 3 Months",90,TRUE,"NOT FOUND")</f>
        <v>14</v>
      </c>
    </row>
    <row r="2209" spans="1:19" x14ac:dyDescent="0.35">
      <c r="A2209">
        <v>2208</v>
      </c>
      <c r="B2209">
        <v>69</v>
      </c>
      <c r="C2209" t="s">
        <v>7</v>
      </c>
      <c r="D2209" t="s">
        <v>54</v>
      </c>
      <c r="E2209" t="s">
        <v>55</v>
      </c>
      <c r="F2209">
        <v>38</v>
      </c>
      <c r="G2209" t="s">
        <v>118</v>
      </c>
      <c r="H2209" t="s">
        <v>32</v>
      </c>
      <c r="I2209" t="s">
        <v>12</v>
      </c>
      <c r="J2209" t="s">
        <v>45</v>
      </c>
      <c r="K2209">
        <v>2.9</v>
      </c>
      <c r="L2209" t="s">
        <v>140</v>
      </c>
      <c r="M2209" t="s">
        <v>33</v>
      </c>
      <c r="N2209" t="s">
        <v>140</v>
      </c>
      <c r="O2209">
        <v>11</v>
      </c>
      <c r="P2209" t="s">
        <v>27</v>
      </c>
      <c r="Q2209" t="s">
        <v>37</v>
      </c>
      <c r="R2209" t="str" cm="1">
        <f t="array" ref="R2209">_xlfn.IFS(B2209&lt;31,"Young-Adult",B2209&lt;41,"Adult",B2209&lt;61,"Middle-aged",B2209&gt;=61,"Senior")</f>
        <v>Senior</v>
      </c>
      <c r="S2209" cm="1">
        <f t="array" ref="S2209">_xlfn.IFS(Q2209 ="Fortnightly",14,Q2209="Weekly",7,Q2209="Monthly",30,Q2209="Quarterly",90,Q2209="Bi-Weekly",14,Q2209="Annually",365,Q2209="Every 3 Months",90,TRUE,"NOT FOUND")</f>
        <v>365</v>
      </c>
    </row>
    <row r="2210" spans="1:19" x14ac:dyDescent="0.35">
      <c r="A2210">
        <v>2209</v>
      </c>
      <c r="B2210">
        <v>28</v>
      </c>
      <c r="C2210" t="s">
        <v>7</v>
      </c>
      <c r="D2210" t="s">
        <v>107</v>
      </c>
      <c r="E2210" t="s">
        <v>55</v>
      </c>
      <c r="F2210">
        <v>46</v>
      </c>
      <c r="G2210" t="s">
        <v>100</v>
      </c>
      <c r="H2210" t="s">
        <v>80</v>
      </c>
      <c r="I2210" t="s">
        <v>71</v>
      </c>
      <c r="J2210" t="s">
        <v>41</v>
      </c>
      <c r="K2210">
        <v>2.7</v>
      </c>
      <c r="L2210" t="s">
        <v>140</v>
      </c>
      <c r="M2210" t="s">
        <v>58</v>
      </c>
      <c r="N2210" t="s">
        <v>140</v>
      </c>
      <c r="O2210">
        <v>23</v>
      </c>
      <c r="P2210" t="s">
        <v>34</v>
      </c>
      <c r="Q2210" t="s">
        <v>76</v>
      </c>
      <c r="R2210" t="str" cm="1">
        <f t="array" ref="R2210">_xlfn.IFS(B2210&lt;31,"Young-Adult",B2210&lt;41,"Adult",B2210&lt;61,"Middle-aged",B2210&gt;=61,"Senior")</f>
        <v>Young-Adult</v>
      </c>
      <c r="S2210" cm="1">
        <f t="array" ref="S2210">_xlfn.IFS(Q2210 ="Fortnightly",14,Q2210="Weekly",7,Q2210="Monthly",30,Q2210="Quarterly",90,Q2210="Bi-Weekly",14,Q2210="Annually",365,Q2210="Every 3 Months",90,TRUE,"NOT FOUND")</f>
        <v>30</v>
      </c>
    </row>
    <row r="2211" spans="1:19" x14ac:dyDescent="0.35">
      <c r="A2211">
        <v>2210</v>
      </c>
      <c r="B2211">
        <v>42</v>
      </c>
      <c r="C2211" t="s">
        <v>7</v>
      </c>
      <c r="D2211" t="s">
        <v>29</v>
      </c>
      <c r="E2211" t="s">
        <v>30</v>
      </c>
      <c r="F2211">
        <v>20</v>
      </c>
      <c r="G2211" t="s">
        <v>128</v>
      </c>
      <c r="H2211" t="s">
        <v>80</v>
      </c>
      <c r="I2211" t="s">
        <v>106</v>
      </c>
      <c r="J2211" t="s">
        <v>41</v>
      </c>
      <c r="K2211">
        <v>4.5</v>
      </c>
      <c r="L2211" t="s">
        <v>140</v>
      </c>
      <c r="M2211" t="s">
        <v>58</v>
      </c>
      <c r="N2211" t="s">
        <v>140</v>
      </c>
      <c r="O2211">
        <v>44</v>
      </c>
      <c r="P2211" t="s">
        <v>63</v>
      </c>
      <c r="Q2211" t="s">
        <v>46</v>
      </c>
      <c r="R2211" t="str" cm="1">
        <f t="array" ref="R2211">_xlfn.IFS(B2211&lt;31,"Young-Adult",B2211&lt;41,"Adult",B2211&lt;61,"Middle-aged",B2211&gt;=61,"Senior")</f>
        <v>Middle-aged</v>
      </c>
      <c r="S2211" cm="1">
        <f t="array" ref="S2211">_xlfn.IFS(Q2211 ="Fortnightly",14,Q2211="Weekly",7,Q2211="Monthly",30,Q2211="Quarterly",90,Q2211="Bi-Weekly",14,Q2211="Annually",365,Q2211="Every 3 Months",90,TRUE,"NOT FOUND")</f>
        <v>90</v>
      </c>
    </row>
    <row r="2212" spans="1:19" x14ac:dyDescent="0.35">
      <c r="A2212">
        <v>2211</v>
      </c>
      <c r="B2212">
        <v>30</v>
      </c>
      <c r="C2212" t="s">
        <v>7</v>
      </c>
      <c r="D2212" t="s">
        <v>77</v>
      </c>
      <c r="E2212" t="s">
        <v>55</v>
      </c>
      <c r="F2212">
        <v>25</v>
      </c>
      <c r="G2212" t="s">
        <v>129</v>
      </c>
      <c r="H2212" t="s">
        <v>32</v>
      </c>
      <c r="I2212" t="s">
        <v>109</v>
      </c>
      <c r="J2212" t="s">
        <v>41</v>
      </c>
      <c r="K2212">
        <v>3.1</v>
      </c>
      <c r="L2212" t="s">
        <v>140</v>
      </c>
      <c r="M2212" t="s">
        <v>62</v>
      </c>
      <c r="N2212" t="s">
        <v>140</v>
      </c>
      <c r="O2212">
        <v>35</v>
      </c>
      <c r="P2212" t="s">
        <v>34</v>
      </c>
      <c r="Q2212" t="s">
        <v>17</v>
      </c>
      <c r="R2212" t="str" cm="1">
        <f t="array" ref="R2212">_xlfn.IFS(B2212&lt;31,"Young-Adult",B2212&lt;41,"Adult",B2212&lt;61,"Middle-aged",B2212&gt;=61,"Senior")</f>
        <v>Young-Adult</v>
      </c>
      <c r="S2212" cm="1">
        <f t="array" ref="S2212">_xlfn.IFS(Q2212 ="Fortnightly",14,Q2212="Weekly",7,Q2212="Monthly",30,Q2212="Quarterly",90,Q2212="Bi-Weekly",14,Q2212="Annually",365,Q2212="Every 3 Months",90,TRUE,"NOT FOUND")</f>
        <v>14</v>
      </c>
    </row>
    <row r="2213" spans="1:19" x14ac:dyDescent="0.35">
      <c r="A2213">
        <v>2212</v>
      </c>
      <c r="B2213">
        <v>50</v>
      </c>
      <c r="C2213" t="s">
        <v>7</v>
      </c>
      <c r="D2213" t="s">
        <v>18</v>
      </c>
      <c r="E2213" t="s">
        <v>9</v>
      </c>
      <c r="F2213">
        <v>89</v>
      </c>
      <c r="G2213" t="s">
        <v>19</v>
      </c>
      <c r="H2213" t="s">
        <v>11</v>
      </c>
      <c r="I2213" t="s">
        <v>61</v>
      </c>
      <c r="J2213" t="s">
        <v>13</v>
      </c>
      <c r="K2213">
        <v>3.2</v>
      </c>
      <c r="L2213" t="s">
        <v>140</v>
      </c>
      <c r="M2213" t="s">
        <v>26</v>
      </c>
      <c r="N2213" t="s">
        <v>140</v>
      </c>
      <c r="O2213">
        <v>45</v>
      </c>
      <c r="P2213" t="s">
        <v>74</v>
      </c>
      <c r="Q2213" t="s">
        <v>85</v>
      </c>
      <c r="R2213" t="str" cm="1">
        <f t="array" ref="R2213">_xlfn.IFS(B2213&lt;31,"Young-Adult",B2213&lt;41,"Adult",B2213&lt;61,"Middle-aged",B2213&gt;=61,"Senior")</f>
        <v>Middle-aged</v>
      </c>
      <c r="S2213" cm="1">
        <f t="array" ref="S2213">_xlfn.IFS(Q2213 ="Fortnightly",14,Q2213="Weekly",7,Q2213="Monthly",30,Q2213="Quarterly",90,Q2213="Bi-Weekly",14,Q2213="Annually",365,Q2213="Every 3 Months",90,TRUE,"NOT FOUND")</f>
        <v>90</v>
      </c>
    </row>
    <row r="2214" spans="1:19" x14ac:dyDescent="0.35">
      <c r="A2214">
        <v>2213</v>
      </c>
      <c r="B2214">
        <v>59</v>
      </c>
      <c r="C2214" t="s">
        <v>7</v>
      </c>
      <c r="D2214" t="s">
        <v>83</v>
      </c>
      <c r="E2214" t="s">
        <v>9</v>
      </c>
      <c r="F2214">
        <v>77</v>
      </c>
      <c r="G2214" t="s">
        <v>133</v>
      </c>
      <c r="H2214" t="s">
        <v>32</v>
      </c>
      <c r="I2214" t="s">
        <v>98</v>
      </c>
      <c r="J2214" t="s">
        <v>13</v>
      </c>
      <c r="K2214">
        <v>3.3</v>
      </c>
      <c r="L2214" t="s">
        <v>140</v>
      </c>
      <c r="M2214" t="s">
        <v>33</v>
      </c>
      <c r="N2214" t="s">
        <v>140</v>
      </c>
      <c r="O2214">
        <v>22</v>
      </c>
      <c r="P2214" t="s">
        <v>63</v>
      </c>
      <c r="Q2214" t="s">
        <v>46</v>
      </c>
      <c r="R2214" t="str" cm="1">
        <f t="array" ref="R2214">_xlfn.IFS(B2214&lt;31,"Young-Adult",B2214&lt;41,"Adult",B2214&lt;61,"Middle-aged",B2214&gt;=61,"Senior")</f>
        <v>Middle-aged</v>
      </c>
      <c r="S2214" cm="1">
        <f t="array" ref="S2214">_xlfn.IFS(Q2214 ="Fortnightly",14,Q2214="Weekly",7,Q2214="Monthly",30,Q2214="Quarterly",90,Q2214="Bi-Weekly",14,Q2214="Annually",365,Q2214="Every 3 Months",90,TRUE,"NOT FOUND")</f>
        <v>90</v>
      </c>
    </row>
    <row r="2215" spans="1:19" x14ac:dyDescent="0.35">
      <c r="A2215">
        <v>2214</v>
      </c>
      <c r="B2215">
        <v>54</v>
      </c>
      <c r="C2215" t="s">
        <v>7</v>
      </c>
      <c r="D2215" t="s">
        <v>112</v>
      </c>
      <c r="E2215" t="s">
        <v>55</v>
      </c>
      <c r="F2215">
        <v>94</v>
      </c>
      <c r="G2215" t="s">
        <v>65</v>
      </c>
      <c r="H2215" t="s">
        <v>32</v>
      </c>
      <c r="I2215" t="s">
        <v>20</v>
      </c>
      <c r="J2215" t="s">
        <v>45</v>
      </c>
      <c r="K2215">
        <v>2.9</v>
      </c>
      <c r="L2215" t="s">
        <v>140</v>
      </c>
      <c r="M2215" t="s">
        <v>15</v>
      </c>
      <c r="N2215" t="s">
        <v>140</v>
      </c>
      <c r="O2215">
        <v>18</v>
      </c>
      <c r="P2215" t="s">
        <v>74</v>
      </c>
      <c r="Q2215" t="s">
        <v>46</v>
      </c>
      <c r="R2215" t="str" cm="1">
        <f t="array" ref="R2215">_xlfn.IFS(B2215&lt;31,"Young-Adult",B2215&lt;41,"Adult",B2215&lt;61,"Middle-aged",B2215&gt;=61,"Senior")</f>
        <v>Middle-aged</v>
      </c>
      <c r="S2215" cm="1">
        <f t="array" ref="S2215">_xlfn.IFS(Q2215 ="Fortnightly",14,Q2215="Weekly",7,Q2215="Monthly",30,Q2215="Quarterly",90,Q2215="Bi-Weekly",14,Q2215="Annually",365,Q2215="Every 3 Months",90,TRUE,"NOT FOUND")</f>
        <v>90</v>
      </c>
    </row>
    <row r="2216" spans="1:19" x14ac:dyDescent="0.35">
      <c r="A2216">
        <v>2215</v>
      </c>
      <c r="B2216">
        <v>50</v>
      </c>
      <c r="C2216" t="s">
        <v>7</v>
      </c>
      <c r="D2216" t="s">
        <v>121</v>
      </c>
      <c r="E2216" t="s">
        <v>55</v>
      </c>
      <c r="F2216">
        <v>100</v>
      </c>
      <c r="G2216" t="s">
        <v>123</v>
      </c>
      <c r="H2216" t="s">
        <v>11</v>
      </c>
      <c r="I2216" t="s">
        <v>68</v>
      </c>
      <c r="J2216" t="s">
        <v>45</v>
      </c>
      <c r="K2216">
        <v>4.0999999999999996</v>
      </c>
      <c r="L2216" t="s">
        <v>140</v>
      </c>
      <c r="M2216" t="s">
        <v>42</v>
      </c>
      <c r="N2216" t="s">
        <v>140</v>
      </c>
      <c r="O2216">
        <v>20</v>
      </c>
      <c r="P2216" t="s">
        <v>74</v>
      </c>
      <c r="Q2216" t="s">
        <v>28</v>
      </c>
      <c r="R2216" t="str" cm="1">
        <f t="array" ref="R2216">_xlfn.IFS(B2216&lt;31,"Young-Adult",B2216&lt;41,"Adult",B2216&lt;61,"Middle-aged",B2216&gt;=61,"Senior")</f>
        <v>Middle-aged</v>
      </c>
      <c r="S2216" cm="1">
        <f t="array" ref="S2216">_xlfn.IFS(Q2216 ="Fortnightly",14,Q2216="Weekly",7,Q2216="Monthly",30,Q2216="Quarterly",90,Q2216="Bi-Weekly",14,Q2216="Annually",365,Q2216="Every 3 Months",90,TRUE,"NOT FOUND")</f>
        <v>7</v>
      </c>
    </row>
    <row r="2217" spans="1:19" x14ac:dyDescent="0.35">
      <c r="A2217">
        <v>2216</v>
      </c>
      <c r="B2217">
        <v>25</v>
      </c>
      <c r="C2217" t="s">
        <v>7</v>
      </c>
      <c r="D2217" t="s">
        <v>29</v>
      </c>
      <c r="E2217" t="s">
        <v>30</v>
      </c>
      <c r="F2217">
        <v>96</v>
      </c>
      <c r="G2217" t="s">
        <v>52</v>
      </c>
      <c r="H2217" t="s">
        <v>32</v>
      </c>
      <c r="I2217" t="s">
        <v>114</v>
      </c>
      <c r="J2217" t="s">
        <v>13</v>
      </c>
      <c r="K2217">
        <v>2.7</v>
      </c>
      <c r="L2217" t="s">
        <v>140</v>
      </c>
      <c r="M2217" t="s">
        <v>15</v>
      </c>
      <c r="N2217" t="s">
        <v>140</v>
      </c>
      <c r="O2217">
        <v>28</v>
      </c>
      <c r="P2217" t="s">
        <v>27</v>
      </c>
      <c r="Q2217" t="s">
        <v>17</v>
      </c>
      <c r="R2217" t="str" cm="1">
        <f t="array" ref="R2217">_xlfn.IFS(B2217&lt;31,"Young-Adult",B2217&lt;41,"Adult",B2217&lt;61,"Middle-aged",B2217&gt;=61,"Senior")</f>
        <v>Young-Adult</v>
      </c>
      <c r="S2217" cm="1">
        <f t="array" ref="S2217">_xlfn.IFS(Q2217 ="Fortnightly",14,Q2217="Weekly",7,Q2217="Monthly",30,Q2217="Quarterly",90,Q2217="Bi-Weekly",14,Q2217="Annually",365,Q2217="Every 3 Months",90,TRUE,"NOT FOUND")</f>
        <v>14</v>
      </c>
    </row>
    <row r="2218" spans="1:19" x14ac:dyDescent="0.35">
      <c r="A2218">
        <v>2217</v>
      </c>
      <c r="B2218">
        <v>41</v>
      </c>
      <c r="C2218" t="s">
        <v>7</v>
      </c>
      <c r="D2218" t="s">
        <v>83</v>
      </c>
      <c r="E2218" t="s">
        <v>9</v>
      </c>
      <c r="F2218">
        <v>36</v>
      </c>
      <c r="G2218" t="s">
        <v>117</v>
      </c>
      <c r="H2218" t="s">
        <v>80</v>
      </c>
      <c r="I2218" t="s">
        <v>53</v>
      </c>
      <c r="J2218" t="s">
        <v>13</v>
      </c>
      <c r="K2218">
        <v>4</v>
      </c>
      <c r="L2218" t="s">
        <v>140</v>
      </c>
      <c r="M2218" t="s">
        <v>62</v>
      </c>
      <c r="N2218" t="s">
        <v>140</v>
      </c>
      <c r="O2218">
        <v>15</v>
      </c>
      <c r="P2218" t="s">
        <v>16</v>
      </c>
      <c r="Q2218" t="s">
        <v>64</v>
      </c>
      <c r="R2218" t="str" cm="1">
        <f t="array" ref="R2218">_xlfn.IFS(B2218&lt;31,"Young-Adult",B2218&lt;41,"Adult",B2218&lt;61,"Middle-aged",B2218&gt;=61,"Senior")</f>
        <v>Middle-aged</v>
      </c>
      <c r="S2218" cm="1">
        <f t="array" ref="S2218">_xlfn.IFS(Q2218 ="Fortnightly",14,Q2218="Weekly",7,Q2218="Monthly",30,Q2218="Quarterly",90,Q2218="Bi-Weekly",14,Q2218="Annually",365,Q2218="Every 3 Months",90,TRUE,"NOT FOUND")</f>
        <v>14</v>
      </c>
    </row>
    <row r="2219" spans="1:19" x14ac:dyDescent="0.35">
      <c r="A2219">
        <v>2218</v>
      </c>
      <c r="B2219">
        <v>35</v>
      </c>
      <c r="C2219" t="s">
        <v>7</v>
      </c>
      <c r="D2219" t="s">
        <v>94</v>
      </c>
      <c r="E2219" t="s">
        <v>55</v>
      </c>
      <c r="F2219">
        <v>27</v>
      </c>
      <c r="G2219" t="s">
        <v>104</v>
      </c>
      <c r="H2219" t="s">
        <v>80</v>
      </c>
      <c r="I2219" t="s">
        <v>96</v>
      </c>
      <c r="J2219" t="s">
        <v>45</v>
      </c>
      <c r="K2219">
        <v>2.6</v>
      </c>
      <c r="L2219" t="s">
        <v>140</v>
      </c>
      <c r="M2219" t="s">
        <v>62</v>
      </c>
      <c r="N2219" t="s">
        <v>140</v>
      </c>
      <c r="O2219">
        <v>42</v>
      </c>
      <c r="P2219" t="s">
        <v>63</v>
      </c>
      <c r="Q2219" t="s">
        <v>17</v>
      </c>
      <c r="R2219" t="str" cm="1">
        <f t="array" ref="R2219">_xlfn.IFS(B2219&lt;31,"Young-Adult",B2219&lt;41,"Adult",B2219&lt;61,"Middle-aged",B2219&gt;=61,"Senior")</f>
        <v>Adult</v>
      </c>
      <c r="S2219" cm="1">
        <f t="array" ref="S2219">_xlfn.IFS(Q2219 ="Fortnightly",14,Q2219="Weekly",7,Q2219="Monthly",30,Q2219="Quarterly",90,Q2219="Bi-Weekly",14,Q2219="Annually",365,Q2219="Every 3 Months",90,TRUE,"NOT FOUND")</f>
        <v>14</v>
      </c>
    </row>
    <row r="2220" spans="1:19" x14ac:dyDescent="0.35">
      <c r="A2220">
        <v>2219</v>
      </c>
      <c r="B2220">
        <v>67</v>
      </c>
      <c r="C2220" t="s">
        <v>7</v>
      </c>
      <c r="D2220" t="s">
        <v>77</v>
      </c>
      <c r="E2220" t="s">
        <v>55</v>
      </c>
      <c r="F2220">
        <v>67</v>
      </c>
      <c r="G2220" t="s">
        <v>123</v>
      </c>
      <c r="H2220" t="s">
        <v>32</v>
      </c>
      <c r="I2220" t="s">
        <v>124</v>
      </c>
      <c r="J2220" t="s">
        <v>13</v>
      </c>
      <c r="K2220">
        <v>3.5</v>
      </c>
      <c r="L2220" t="s">
        <v>140</v>
      </c>
      <c r="M2220" t="s">
        <v>62</v>
      </c>
      <c r="N2220" t="s">
        <v>140</v>
      </c>
      <c r="O2220">
        <v>20</v>
      </c>
      <c r="P2220" t="s">
        <v>74</v>
      </c>
      <c r="Q2220" t="s">
        <v>46</v>
      </c>
      <c r="R2220" t="str" cm="1">
        <f t="array" ref="R2220">_xlfn.IFS(B2220&lt;31,"Young-Adult",B2220&lt;41,"Adult",B2220&lt;61,"Middle-aged",B2220&gt;=61,"Senior")</f>
        <v>Senior</v>
      </c>
      <c r="S2220" cm="1">
        <f t="array" ref="S2220">_xlfn.IFS(Q2220 ="Fortnightly",14,Q2220="Weekly",7,Q2220="Monthly",30,Q2220="Quarterly",90,Q2220="Bi-Weekly",14,Q2220="Annually",365,Q2220="Every 3 Months",90,TRUE,"NOT FOUND")</f>
        <v>90</v>
      </c>
    </row>
    <row r="2221" spans="1:19" x14ac:dyDescent="0.35">
      <c r="A2221">
        <v>2220</v>
      </c>
      <c r="B2221">
        <v>33</v>
      </c>
      <c r="C2221" t="s">
        <v>7</v>
      </c>
      <c r="D2221" t="s">
        <v>8</v>
      </c>
      <c r="E2221" t="s">
        <v>9</v>
      </c>
      <c r="F2221">
        <v>91</v>
      </c>
      <c r="G2221" t="s">
        <v>136</v>
      </c>
      <c r="H2221" t="s">
        <v>24</v>
      </c>
      <c r="I2221" t="s">
        <v>61</v>
      </c>
      <c r="J2221" t="s">
        <v>45</v>
      </c>
      <c r="K2221">
        <v>2.8</v>
      </c>
      <c r="L2221" t="s">
        <v>140</v>
      </c>
      <c r="M2221" t="s">
        <v>62</v>
      </c>
      <c r="N2221" t="s">
        <v>140</v>
      </c>
      <c r="O2221">
        <v>16</v>
      </c>
      <c r="P2221" t="s">
        <v>63</v>
      </c>
      <c r="Q2221" t="s">
        <v>17</v>
      </c>
      <c r="R2221" t="str" cm="1">
        <f t="array" ref="R2221">_xlfn.IFS(B2221&lt;31,"Young-Adult",B2221&lt;41,"Adult",B2221&lt;61,"Middle-aged",B2221&gt;=61,"Senior")</f>
        <v>Adult</v>
      </c>
      <c r="S2221" cm="1">
        <f t="array" ref="S2221">_xlfn.IFS(Q2221 ="Fortnightly",14,Q2221="Weekly",7,Q2221="Monthly",30,Q2221="Quarterly",90,Q2221="Bi-Weekly",14,Q2221="Annually",365,Q2221="Every 3 Months",90,TRUE,"NOT FOUND")</f>
        <v>14</v>
      </c>
    </row>
    <row r="2222" spans="1:19" x14ac:dyDescent="0.35">
      <c r="A2222">
        <v>2221</v>
      </c>
      <c r="B2222">
        <v>19</v>
      </c>
      <c r="C2222" t="s">
        <v>7</v>
      </c>
      <c r="D2222" t="s">
        <v>121</v>
      </c>
      <c r="E2222" t="s">
        <v>55</v>
      </c>
      <c r="F2222">
        <v>62</v>
      </c>
      <c r="G2222" t="s">
        <v>39</v>
      </c>
      <c r="H2222" t="s">
        <v>80</v>
      </c>
      <c r="I2222" t="s">
        <v>106</v>
      </c>
      <c r="J2222" t="s">
        <v>45</v>
      </c>
      <c r="K2222">
        <v>4.5</v>
      </c>
      <c r="L2222" t="s">
        <v>140</v>
      </c>
      <c r="M2222" t="s">
        <v>62</v>
      </c>
      <c r="N2222" t="s">
        <v>140</v>
      </c>
      <c r="O2222">
        <v>47</v>
      </c>
      <c r="P2222" t="s">
        <v>21</v>
      </c>
      <c r="Q2222" t="s">
        <v>37</v>
      </c>
      <c r="R2222" t="str" cm="1">
        <f t="array" ref="R2222">_xlfn.IFS(B2222&lt;31,"Young-Adult",B2222&lt;41,"Adult",B2222&lt;61,"Middle-aged",B2222&gt;=61,"Senior")</f>
        <v>Young-Adult</v>
      </c>
      <c r="S2222" cm="1">
        <f t="array" ref="S2222">_xlfn.IFS(Q2222 ="Fortnightly",14,Q2222="Weekly",7,Q2222="Monthly",30,Q2222="Quarterly",90,Q2222="Bi-Weekly",14,Q2222="Annually",365,Q2222="Every 3 Months",90,TRUE,"NOT FOUND")</f>
        <v>365</v>
      </c>
    </row>
    <row r="2223" spans="1:19" x14ac:dyDescent="0.35">
      <c r="A2223">
        <v>2222</v>
      </c>
      <c r="B2223">
        <v>25</v>
      </c>
      <c r="C2223" t="s">
        <v>7</v>
      </c>
      <c r="D2223" t="s">
        <v>47</v>
      </c>
      <c r="E2223" t="s">
        <v>9</v>
      </c>
      <c r="F2223">
        <v>88</v>
      </c>
      <c r="G2223" t="s">
        <v>99</v>
      </c>
      <c r="H2223" t="s">
        <v>80</v>
      </c>
      <c r="I2223" t="s">
        <v>40</v>
      </c>
      <c r="J2223" t="s">
        <v>45</v>
      </c>
      <c r="K2223">
        <v>3</v>
      </c>
      <c r="L2223" t="s">
        <v>140</v>
      </c>
      <c r="M2223" t="s">
        <v>26</v>
      </c>
      <c r="N2223" t="s">
        <v>140</v>
      </c>
      <c r="O2223">
        <v>34</v>
      </c>
      <c r="P2223" t="s">
        <v>27</v>
      </c>
      <c r="Q2223" t="s">
        <v>37</v>
      </c>
      <c r="R2223" t="str" cm="1">
        <f t="array" ref="R2223">_xlfn.IFS(B2223&lt;31,"Young-Adult",B2223&lt;41,"Adult",B2223&lt;61,"Middle-aged",B2223&gt;=61,"Senior")</f>
        <v>Young-Adult</v>
      </c>
      <c r="S2223" cm="1">
        <f t="array" ref="S2223">_xlfn.IFS(Q2223 ="Fortnightly",14,Q2223="Weekly",7,Q2223="Monthly",30,Q2223="Quarterly",90,Q2223="Bi-Weekly",14,Q2223="Annually",365,Q2223="Every 3 Months",90,TRUE,"NOT FOUND")</f>
        <v>365</v>
      </c>
    </row>
    <row r="2224" spans="1:19" x14ac:dyDescent="0.35">
      <c r="A2224">
        <v>2223</v>
      </c>
      <c r="B2224">
        <v>32</v>
      </c>
      <c r="C2224" t="s">
        <v>7</v>
      </c>
      <c r="D2224" t="s">
        <v>83</v>
      </c>
      <c r="E2224" t="s">
        <v>9</v>
      </c>
      <c r="F2224">
        <v>66</v>
      </c>
      <c r="G2224" t="s">
        <v>130</v>
      </c>
      <c r="H2224" t="s">
        <v>32</v>
      </c>
      <c r="I2224" t="s">
        <v>73</v>
      </c>
      <c r="J2224" t="s">
        <v>41</v>
      </c>
      <c r="K2224">
        <v>4.4000000000000004</v>
      </c>
      <c r="L2224" t="s">
        <v>140</v>
      </c>
      <c r="M2224" t="s">
        <v>62</v>
      </c>
      <c r="N2224" t="s">
        <v>140</v>
      </c>
      <c r="O2224">
        <v>30</v>
      </c>
      <c r="P2224" t="s">
        <v>27</v>
      </c>
      <c r="Q2224" t="s">
        <v>28</v>
      </c>
      <c r="R2224" t="str" cm="1">
        <f t="array" ref="R2224">_xlfn.IFS(B2224&lt;31,"Young-Adult",B2224&lt;41,"Adult",B2224&lt;61,"Middle-aged",B2224&gt;=61,"Senior")</f>
        <v>Adult</v>
      </c>
      <c r="S2224" cm="1">
        <f t="array" ref="S2224">_xlfn.IFS(Q2224 ="Fortnightly",14,Q2224="Weekly",7,Q2224="Monthly",30,Q2224="Quarterly",90,Q2224="Bi-Weekly",14,Q2224="Annually",365,Q2224="Every 3 Months",90,TRUE,"NOT FOUND")</f>
        <v>7</v>
      </c>
    </row>
    <row r="2225" spans="1:19" x14ac:dyDescent="0.35">
      <c r="A2225">
        <v>2224</v>
      </c>
      <c r="B2225">
        <v>30</v>
      </c>
      <c r="C2225" t="s">
        <v>7</v>
      </c>
      <c r="D2225" t="s">
        <v>29</v>
      </c>
      <c r="E2225" t="s">
        <v>30</v>
      </c>
      <c r="F2225">
        <v>65</v>
      </c>
      <c r="G2225" t="s">
        <v>99</v>
      </c>
      <c r="H2225" t="s">
        <v>32</v>
      </c>
      <c r="I2225" t="s">
        <v>12</v>
      </c>
      <c r="J2225" t="s">
        <v>45</v>
      </c>
      <c r="K2225">
        <v>4.7</v>
      </c>
      <c r="L2225" t="s">
        <v>140</v>
      </c>
      <c r="M2225" t="s">
        <v>33</v>
      </c>
      <c r="N2225" t="s">
        <v>140</v>
      </c>
      <c r="O2225">
        <v>5</v>
      </c>
      <c r="P2225" t="s">
        <v>34</v>
      </c>
      <c r="Q2225" t="s">
        <v>46</v>
      </c>
      <c r="R2225" t="str" cm="1">
        <f t="array" ref="R2225">_xlfn.IFS(B2225&lt;31,"Young-Adult",B2225&lt;41,"Adult",B2225&lt;61,"Middle-aged",B2225&gt;=61,"Senior")</f>
        <v>Young-Adult</v>
      </c>
      <c r="S2225" cm="1">
        <f t="array" ref="S2225">_xlfn.IFS(Q2225 ="Fortnightly",14,Q2225="Weekly",7,Q2225="Monthly",30,Q2225="Quarterly",90,Q2225="Bi-Weekly",14,Q2225="Annually",365,Q2225="Every 3 Months",90,TRUE,"NOT FOUND")</f>
        <v>90</v>
      </c>
    </row>
    <row r="2226" spans="1:19" x14ac:dyDescent="0.35">
      <c r="A2226">
        <v>2225</v>
      </c>
      <c r="B2226">
        <v>18</v>
      </c>
      <c r="C2226" t="s">
        <v>7</v>
      </c>
      <c r="D2226" t="s">
        <v>131</v>
      </c>
      <c r="E2226" t="s">
        <v>55</v>
      </c>
      <c r="F2226">
        <v>25</v>
      </c>
      <c r="G2226" t="s">
        <v>133</v>
      </c>
      <c r="H2226" t="s">
        <v>11</v>
      </c>
      <c r="I2226" t="s">
        <v>49</v>
      </c>
      <c r="J2226" t="s">
        <v>13</v>
      </c>
      <c r="K2226">
        <v>4.3</v>
      </c>
      <c r="L2226" t="s">
        <v>140</v>
      </c>
      <c r="M2226" t="s">
        <v>42</v>
      </c>
      <c r="N2226" t="s">
        <v>140</v>
      </c>
      <c r="O2226">
        <v>38</v>
      </c>
      <c r="P2226" t="s">
        <v>21</v>
      </c>
      <c r="Q2226" t="s">
        <v>46</v>
      </c>
      <c r="R2226" t="str" cm="1">
        <f t="array" ref="R2226">_xlfn.IFS(B2226&lt;31,"Young-Adult",B2226&lt;41,"Adult",B2226&lt;61,"Middle-aged",B2226&gt;=61,"Senior")</f>
        <v>Young-Adult</v>
      </c>
      <c r="S2226" cm="1">
        <f t="array" ref="S2226">_xlfn.IFS(Q2226 ="Fortnightly",14,Q2226="Weekly",7,Q2226="Monthly",30,Q2226="Quarterly",90,Q2226="Bi-Weekly",14,Q2226="Annually",365,Q2226="Every 3 Months",90,TRUE,"NOT FOUND")</f>
        <v>90</v>
      </c>
    </row>
    <row r="2227" spans="1:19" x14ac:dyDescent="0.35">
      <c r="A2227">
        <v>2226</v>
      </c>
      <c r="B2227">
        <v>38</v>
      </c>
      <c r="C2227" t="s">
        <v>7</v>
      </c>
      <c r="D2227" t="s">
        <v>121</v>
      </c>
      <c r="E2227" t="s">
        <v>55</v>
      </c>
      <c r="F2227">
        <v>64</v>
      </c>
      <c r="G2227" t="s">
        <v>137</v>
      </c>
      <c r="H2227" t="s">
        <v>24</v>
      </c>
      <c r="I2227" t="s">
        <v>66</v>
      </c>
      <c r="J2227" t="s">
        <v>25</v>
      </c>
      <c r="K2227">
        <v>4.8</v>
      </c>
      <c r="L2227" t="s">
        <v>140</v>
      </c>
      <c r="M2227" t="s">
        <v>26</v>
      </c>
      <c r="N2227" t="s">
        <v>140</v>
      </c>
      <c r="O2227">
        <v>18</v>
      </c>
      <c r="P2227" t="s">
        <v>27</v>
      </c>
      <c r="Q2227" t="s">
        <v>37</v>
      </c>
      <c r="R2227" t="str" cm="1">
        <f t="array" ref="R2227">_xlfn.IFS(B2227&lt;31,"Young-Adult",B2227&lt;41,"Adult",B2227&lt;61,"Middle-aged",B2227&gt;=61,"Senior")</f>
        <v>Adult</v>
      </c>
      <c r="S2227" cm="1">
        <f t="array" ref="S2227">_xlfn.IFS(Q2227 ="Fortnightly",14,Q2227="Weekly",7,Q2227="Monthly",30,Q2227="Quarterly",90,Q2227="Bi-Weekly",14,Q2227="Annually",365,Q2227="Every 3 Months",90,TRUE,"NOT FOUND")</f>
        <v>365</v>
      </c>
    </row>
    <row r="2228" spans="1:19" x14ac:dyDescent="0.35">
      <c r="A2228">
        <v>2227</v>
      </c>
      <c r="B2228">
        <v>22</v>
      </c>
      <c r="C2228" t="s">
        <v>7</v>
      </c>
      <c r="D2228" t="s">
        <v>43</v>
      </c>
      <c r="E2228" t="s">
        <v>9</v>
      </c>
      <c r="F2228">
        <v>72</v>
      </c>
      <c r="G2228" t="s">
        <v>56</v>
      </c>
      <c r="H2228" t="s">
        <v>11</v>
      </c>
      <c r="I2228" t="s">
        <v>132</v>
      </c>
      <c r="J2228" t="s">
        <v>25</v>
      </c>
      <c r="K2228">
        <v>4.8</v>
      </c>
      <c r="L2228" t="s">
        <v>140</v>
      </c>
      <c r="M2228" t="s">
        <v>62</v>
      </c>
      <c r="N2228" t="s">
        <v>140</v>
      </c>
      <c r="O2228">
        <v>28</v>
      </c>
      <c r="P2228" t="s">
        <v>21</v>
      </c>
      <c r="Q2228" t="s">
        <v>37</v>
      </c>
      <c r="R2228" t="str" cm="1">
        <f t="array" ref="R2228">_xlfn.IFS(B2228&lt;31,"Young-Adult",B2228&lt;41,"Adult",B2228&lt;61,"Middle-aged",B2228&gt;=61,"Senior")</f>
        <v>Young-Adult</v>
      </c>
      <c r="S2228" cm="1">
        <f t="array" ref="S2228">_xlfn.IFS(Q2228 ="Fortnightly",14,Q2228="Weekly",7,Q2228="Monthly",30,Q2228="Quarterly",90,Q2228="Bi-Weekly",14,Q2228="Annually",365,Q2228="Every 3 Months",90,TRUE,"NOT FOUND")</f>
        <v>365</v>
      </c>
    </row>
    <row r="2229" spans="1:19" x14ac:dyDescent="0.35">
      <c r="A2229">
        <v>2228</v>
      </c>
      <c r="B2229">
        <v>40</v>
      </c>
      <c r="C2229" t="s">
        <v>7</v>
      </c>
      <c r="D2229" t="s">
        <v>107</v>
      </c>
      <c r="E2229" t="s">
        <v>55</v>
      </c>
      <c r="F2229">
        <v>74</v>
      </c>
      <c r="G2229" t="s">
        <v>137</v>
      </c>
      <c r="H2229" t="s">
        <v>24</v>
      </c>
      <c r="I2229" t="s">
        <v>12</v>
      </c>
      <c r="J2229" t="s">
        <v>41</v>
      </c>
      <c r="K2229">
        <v>4.4000000000000004</v>
      </c>
      <c r="L2229" t="s">
        <v>140</v>
      </c>
      <c r="M2229" t="s">
        <v>33</v>
      </c>
      <c r="N2229" t="s">
        <v>140</v>
      </c>
      <c r="O2229">
        <v>42</v>
      </c>
      <c r="P2229" t="s">
        <v>27</v>
      </c>
      <c r="Q2229" t="s">
        <v>17</v>
      </c>
      <c r="R2229" t="str" cm="1">
        <f t="array" ref="R2229">_xlfn.IFS(B2229&lt;31,"Young-Adult",B2229&lt;41,"Adult",B2229&lt;61,"Middle-aged",B2229&gt;=61,"Senior")</f>
        <v>Adult</v>
      </c>
      <c r="S2229" cm="1">
        <f t="array" ref="S2229">_xlfn.IFS(Q2229 ="Fortnightly",14,Q2229="Weekly",7,Q2229="Monthly",30,Q2229="Quarterly",90,Q2229="Bi-Weekly",14,Q2229="Annually",365,Q2229="Every 3 Months",90,TRUE,"NOT FOUND")</f>
        <v>14</v>
      </c>
    </row>
    <row r="2230" spans="1:19" x14ac:dyDescent="0.35">
      <c r="A2230">
        <v>2229</v>
      </c>
      <c r="B2230">
        <v>54</v>
      </c>
      <c r="C2230" t="s">
        <v>7</v>
      </c>
      <c r="D2230" t="s">
        <v>131</v>
      </c>
      <c r="E2230" t="s">
        <v>55</v>
      </c>
      <c r="F2230">
        <v>50</v>
      </c>
      <c r="G2230" t="s">
        <v>99</v>
      </c>
      <c r="H2230" t="s">
        <v>32</v>
      </c>
      <c r="I2230" t="s">
        <v>84</v>
      </c>
      <c r="J2230" t="s">
        <v>45</v>
      </c>
      <c r="K2230">
        <v>3.7</v>
      </c>
      <c r="L2230" t="s">
        <v>140</v>
      </c>
      <c r="M2230" t="s">
        <v>26</v>
      </c>
      <c r="N2230" t="s">
        <v>140</v>
      </c>
      <c r="O2230">
        <v>5</v>
      </c>
      <c r="P2230" t="s">
        <v>27</v>
      </c>
      <c r="Q2230" t="s">
        <v>28</v>
      </c>
      <c r="R2230" t="str" cm="1">
        <f t="array" ref="R2230">_xlfn.IFS(B2230&lt;31,"Young-Adult",B2230&lt;41,"Adult",B2230&lt;61,"Middle-aged",B2230&gt;=61,"Senior")</f>
        <v>Middle-aged</v>
      </c>
      <c r="S2230" cm="1">
        <f t="array" ref="S2230">_xlfn.IFS(Q2230 ="Fortnightly",14,Q2230="Weekly",7,Q2230="Monthly",30,Q2230="Quarterly",90,Q2230="Bi-Weekly",14,Q2230="Annually",365,Q2230="Every 3 Months",90,TRUE,"NOT FOUND")</f>
        <v>7</v>
      </c>
    </row>
    <row r="2231" spans="1:19" x14ac:dyDescent="0.35">
      <c r="A2231">
        <v>2230</v>
      </c>
      <c r="B2231">
        <v>70</v>
      </c>
      <c r="C2231" t="s">
        <v>7</v>
      </c>
      <c r="D2231" t="s">
        <v>83</v>
      </c>
      <c r="E2231" t="s">
        <v>9</v>
      </c>
      <c r="F2231">
        <v>97</v>
      </c>
      <c r="G2231" t="s">
        <v>136</v>
      </c>
      <c r="H2231" t="s">
        <v>32</v>
      </c>
      <c r="I2231" t="s">
        <v>53</v>
      </c>
      <c r="J2231" t="s">
        <v>45</v>
      </c>
      <c r="K2231">
        <v>3.9</v>
      </c>
      <c r="L2231" t="s">
        <v>140</v>
      </c>
      <c r="M2231" t="s">
        <v>15</v>
      </c>
      <c r="N2231" t="s">
        <v>140</v>
      </c>
      <c r="O2231">
        <v>50</v>
      </c>
      <c r="P2231" t="s">
        <v>16</v>
      </c>
      <c r="Q2231" t="s">
        <v>76</v>
      </c>
      <c r="R2231" t="str" cm="1">
        <f t="array" ref="R2231">_xlfn.IFS(B2231&lt;31,"Young-Adult",B2231&lt;41,"Adult",B2231&lt;61,"Middle-aged",B2231&gt;=61,"Senior")</f>
        <v>Senior</v>
      </c>
      <c r="S2231" cm="1">
        <f t="array" ref="S2231">_xlfn.IFS(Q2231 ="Fortnightly",14,Q2231="Weekly",7,Q2231="Monthly",30,Q2231="Quarterly",90,Q2231="Bi-Weekly",14,Q2231="Annually",365,Q2231="Every 3 Months",90,TRUE,"NOT FOUND")</f>
        <v>30</v>
      </c>
    </row>
    <row r="2232" spans="1:19" x14ac:dyDescent="0.35">
      <c r="A2232">
        <v>2231</v>
      </c>
      <c r="B2232">
        <v>52</v>
      </c>
      <c r="C2232" t="s">
        <v>7</v>
      </c>
      <c r="D2232" t="s">
        <v>38</v>
      </c>
      <c r="E2232" t="s">
        <v>30</v>
      </c>
      <c r="F2232">
        <v>36</v>
      </c>
      <c r="G2232" t="s">
        <v>100</v>
      </c>
      <c r="H2232" t="s">
        <v>24</v>
      </c>
      <c r="I2232" t="s">
        <v>73</v>
      </c>
      <c r="J2232" t="s">
        <v>25</v>
      </c>
      <c r="K2232">
        <v>3.8</v>
      </c>
      <c r="L2232" t="s">
        <v>140</v>
      </c>
      <c r="M2232" t="s">
        <v>15</v>
      </c>
      <c r="N2232" t="s">
        <v>140</v>
      </c>
      <c r="O2232">
        <v>33</v>
      </c>
      <c r="P2232" t="s">
        <v>16</v>
      </c>
      <c r="Q2232" t="s">
        <v>17</v>
      </c>
      <c r="R2232" t="str" cm="1">
        <f t="array" ref="R2232">_xlfn.IFS(B2232&lt;31,"Young-Adult",B2232&lt;41,"Adult",B2232&lt;61,"Middle-aged",B2232&gt;=61,"Senior")</f>
        <v>Middle-aged</v>
      </c>
      <c r="S2232" cm="1">
        <f t="array" ref="S2232">_xlfn.IFS(Q2232 ="Fortnightly",14,Q2232="Weekly",7,Q2232="Monthly",30,Q2232="Quarterly",90,Q2232="Bi-Weekly",14,Q2232="Annually",365,Q2232="Every 3 Months",90,TRUE,"NOT FOUND")</f>
        <v>14</v>
      </c>
    </row>
    <row r="2233" spans="1:19" x14ac:dyDescent="0.35">
      <c r="A2233">
        <v>2232</v>
      </c>
      <c r="B2233">
        <v>34</v>
      </c>
      <c r="C2233" t="s">
        <v>7</v>
      </c>
      <c r="D2233" t="s">
        <v>90</v>
      </c>
      <c r="E2233" t="s">
        <v>51</v>
      </c>
      <c r="F2233">
        <v>49</v>
      </c>
      <c r="G2233" t="s">
        <v>128</v>
      </c>
      <c r="H2233" t="s">
        <v>32</v>
      </c>
      <c r="I2233" t="s">
        <v>106</v>
      </c>
      <c r="J2233" t="s">
        <v>45</v>
      </c>
      <c r="K2233">
        <v>4.0999999999999996</v>
      </c>
      <c r="L2233" t="s">
        <v>140</v>
      </c>
      <c r="M2233" t="s">
        <v>62</v>
      </c>
      <c r="N2233" t="s">
        <v>140</v>
      </c>
      <c r="O2233">
        <v>1</v>
      </c>
      <c r="P2233" t="s">
        <v>27</v>
      </c>
      <c r="Q2233" t="s">
        <v>28</v>
      </c>
      <c r="R2233" t="str" cm="1">
        <f t="array" ref="R2233">_xlfn.IFS(B2233&lt;31,"Young-Adult",B2233&lt;41,"Adult",B2233&lt;61,"Middle-aged",B2233&gt;=61,"Senior")</f>
        <v>Adult</v>
      </c>
      <c r="S2233" cm="1">
        <f t="array" ref="S2233">_xlfn.IFS(Q2233 ="Fortnightly",14,Q2233="Weekly",7,Q2233="Monthly",30,Q2233="Quarterly",90,Q2233="Bi-Weekly",14,Q2233="Annually",365,Q2233="Every 3 Months",90,TRUE,"NOT FOUND")</f>
        <v>7</v>
      </c>
    </row>
    <row r="2234" spans="1:19" x14ac:dyDescent="0.35">
      <c r="A2234">
        <v>2233</v>
      </c>
      <c r="B2234">
        <v>65</v>
      </c>
      <c r="C2234" t="s">
        <v>7</v>
      </c>
      <c r="D2234" t="s">
        <v>59</v>
      </c>
      <c r="E2234" t="s">
        <v>30</v>
      </c>
      <c r="F2234">
        <v>64</v>
      </c>
      <c r="G2234" t="s">
        <v>86</v>
      </c>
      <c r="H2234" t="s">
        <v>11</v>
      </c>
      <c r="I2234" t="s">
        <v>81</v>
      </c>
      <c r="J2234" t="s">
        <v>25</v>
      </c>
      <c r="K2234">
        <v>4</v>
      </c>
      <c r="L2234" t="s">
        <v>140</v>
      </c>
      <c r="M2234" t="s">
        <v>62</v>
      </c>
      <c r="N2234" t="s">
        <v>140</v>
      </c>
      <c r="O2234">
        <v>14</v>
      </c>
      <c r="P2234" t="s">
        <v>21</v>
      </c>
      <c r="Q2234" t="s">
        <v>17</v>
      </c>
      <c r="R2234" t="str" cm="1">
        <f t="array" ref="R2234">_xlfn.IFS(B2234&lt;31,"Young-Adult",B2234&lt;41,"Adult",B2234&lt;61,"Middle-aged",B2234&gt;=61,"Senior")</f>
        <v>Senior</v>
      </c>
      <c r="S2234" cm="1">
        <f t="array" ref="S2234">_xlfn.IFS(Q2234 ="Fortnightly",14,Q2234="Weekly",7,Q2234="Monthly",30,Q2234="Quarterly",90,Q2234="Bi-Weekly",14,Q2234="Annually",365,Q2234="Every 3 Months",90,TRUE,"NOT FOUND")</f>
        <v>14</v>
      </c>
    </row>
    <row r="2235" spans="1:19" x14ac:dyDescent="0.35">
      <c r="A2235">
        <v>2234</v>
      </c>
      <c r="B2235">
        <v>38</v>
      </c>
      <c r="C2235" t="s">
        <v>7</v>
      </c>
      <c r="D2235" t="s">
        <v>8</v>
      </c>
      <c r="E2235" t="s">
        <v>9</v>
      </c>
      <c r="F2235">
        <v>31</v>
      </c>
      <c r="G2235" t="s">
        <v>91</v>
      </c>
      <c r="H2235" t="s">
        <v>80</v>
      </c>
      <c r="I2235" t="s">
        <v>12</v>
      </c>
      <c r="J2235" t="s">
        <v>41</v>
      </c>
      <c r="K2235">
        <v>4.5</v>
      </c>
      <c r="L2235" t="s">
        <v>140</v>
      </c>
      <c r="M2235" t="s">
        <v>15</v>
      </c>
      <c r="N2235" t="s">
        <v>140</v>
      </c>
      <c r="O2235">
        <v>48</v>
      </c>
      <c r="P2235" t="s">
        <v>27</v>
      </c>
      <c r="Q2235" t="s">
        <v>76</v>
      </c>
      <c r="R2235" t="str" cm="1">
        <f t="array" ref="R2235">_xlfn.IFS(B2235&lt;31,"Young-Adult",B2235&lt;41,"Adult",B2235&lt;61,"Middle-aged",B2235&gt;=61,"Senior")</f>
        <v>Adult</v>
      </c>
      <c r="S2235" cm="1">
        <f t="array" ref="S2235">_xlfn.IFS(Q2235 ="Fortnightly",14,Q2235="Weekly",7,Q2235="Monthly",30,Q2235="Quarterly",90,Q2235="Bi-Weekly",14,Q2235="Annually",365,Q2235="Every 3 Months",90,TRUE,"NOT FOUND")</f>
        <v>30</v>
      </c>
    </row>
    <row r="2236" spans="1:19" x14ac:dyDescent="0.35">
      <c r="A2236">
        <v>2235</v>
      </c>
      <c r="B2236">
        <v>35</v>
      </c>
      <c r="C2236" t="s">
        <v>7</v>
      </c>
      <c r="D2236" t="s">
        <v>125</v>
      </c>
      <c r="E2236" t="s">
        <v>30</v>
      </c>
      <c r="F2236">
        <v>66</v>
      </c>
      <c r="G2236" t="s">
        <v>70</v>
      </c>
      <c r="H2236" t="s">
        <v>24</v>
      </c>
      <c r="I2236" t="s">
        <v>122</v>
      </c>
      <c r="J2236" t="s">
        <v>13</v>
      </c>
      <c r="K2236">
        <v>4</v>
      </c>
      <c r="L2236" t="s">
        <v>140</v>
      </c>
      <c r="M2236" t="s">
        <v>15</v>
      </c>
      <c r="N2236" t="s">
        <v>140</v>
      </c>
      <c r="O2236">
        <v>26</v>
      </c>
      <c r="P2236" t="s">
        <v>21</v>
      </c>
      <c r="Q2236" t="s">
        <v>28</v>
      </c>
      <c r="R2236" t="str" cm="1">
        <f t="array" ref="R2236">_xlfn.IFS(B2236&lt;31,"Young-Adult",B2236&lt;41,"Adult",B2236&lt;61,"Middle-aged",B2236&gt;=61,"Senior")</f>
        <v>Adult</v>
      </c>
      <c r="S2236" cm="1">
        <f t="array" ref="S2236">_xlfn.IFS(Q2236 ="Fortnightly",14,Q2236="Weekly",7,Q2236="Monthly",30,Q2236="Quarterly",90,Q2236="Bi-Weekly",14,Q2236="Annually",365,Q2236="Every 3 Months",90,TRUE,"NOT FOUND")</f>
        <v>7</v>
      </c>
    </row>
    <row r="2237" spans="1:19" x14ac:dyDescent="0.35">
      <c r="A2237">
        <v>2236</v>
      </c>
      <c r="B2237">
        <v>40</v>
      </c>
      <c r="C2237" t="s">
        <v>7</v>
      </c>
      <c r="D2237" t="s">
        <v>113</v>
      </c>
      <c r="E2237" t="s">
        <v>9</v>
      </c>
      <c r="F2237">
        <v>82</v>
      </c>
      <c r="G2237" t="s">
        <v>103</v>
      </c>
      <c r="H2237" t="s">
        <v>32</v>
      </c>
      <c r="I2237" t="s">
        <v>12</v>
      </c>
      <c r="J2237" t="s">
        <v>25</v>
      </c>
      <c r="K2237">
        <v>4.5</v>
      </c>
      <c r="L2237" t="s">
        <v>140</v>
      </c>
      <c r="M2237" t="s">
        <v>58</v>
      </c>
      <c r="N2237" t="s">
        <v>140</v>
      </c>
      <c r="O2237">
        <v>44</v>
      </c>
      <c r="P2237" t="s">
        <v>27</v>
      </c>
      <c r="Q2237" t="s">
        <v>37</v>
      </c>
      <c r="R2237" t="str" cm="1">
        <f t="array" ref="R2237">_xlfn.IFS(B2237&lt;31,"Young-Adult",B2237&lt;41,"Adult",B2237&lt;61,"Middle-aged",B2237&gt;=61,"Senior")</f>
        <v>Adult</v>
      </c>
      <c r="S2237" cm="1">
        <f t="array" ref="S2237">_xlfn.IFS(Q2237 ="Fortnightly",14,Q2237="Weekly",7,Q2237="Monthly",30,Q2237="Quarterly",90,Q2237="Bi-Weekly",14,Q2237="Annually",365,Q2237="Every 3 Months",90,TRUE,"NOT FOUND")</f>
        <v>365</v>
      </c>
    </row>
    <row r="2238" spans="1:19" x14ac:dyDescent="0.35">
      <c r="A2238">
        <v>2237</v>
      </c>
      <c r="B2238">
        <v>23</v>
      </c>
      <c r="C2238" t="s">
        <v>7</v>
      </c>
      <c r="D2238" t="s">
        <v>101</v>
      </c>
      <c r="E2238" t="s">
        <v>9</v>
      </c>
      <c r="F2238">
        <v>88</v>
      </c>
      <c r="G2238" t="s">
        <v>48</v>
      </c>
      <c r="H2238" t="s">
        <v>32</v>
      </c>
      <c r="I2238" t="s">
        <v>122</v>
      </c>
      <c r="J2238" t="s">
        <v>13</v>
      </c>
      <c r="K2238">
        <v>2.7</v>
      </c>
      <c r="L2238" t="s">
        <v>140</v>
      </c>
      <c r="M2238" t="s">
        <v>42</v>
      </c>
      <c r="N2238" t="s">
        <v>140</v>
      </c>
      <c r="O2238">
        <v>18</v>
      </c>
      <c r="P2238" t="s">
        <v>74</v>
      </c>
      <c r="Q2238" t="s">
        <v>17</v>
      </c>
      <c r="R2238" t="str" cm="1">
        <f t="array" ref="R2238">_xlfn.IFS(B2238&lt;31,"Young-Adult",B2238&lt;41,"Adult",B2238&lt;61,"Middle-aged",B2238&gt;=61,"Senior")</f>
        <v>Young-Adult</v>
      </c>
      <c r="S2238" cm="1">
        <f t="array" ref="S2238">_xlfn.IFS(Q2238 ="Fortnightly",14,Q2238="Weekly",7,Q2238="Monthly",30,Q2238="Quarterly",90,Q2238="Bi-Weekly",14,Q2238="Annually",365,Q2238="Every 3 Months",90,TRUE,"NOT FOUND")</f>
        <v>14</v>
      </c>
    </row>
    <row r="2239" spans="1:19" x14ac:dyDescent="0.35">
      <c r="A2239">
        <v>2238</v>
      </c>
      <c r="B2239">
        <v>45</v>
      </c>
      <c r="C2239" t="s">
        <v>7</v>
      </c>
      <c r="D2239" t="s">
        <v>29</v>
      </c>
      <c r="E2239" t="s">
        <v>30</v>
      </c>
      <c r="F2239">
        <v>34</v>
      </c>
      <c r="G2239" t="s">
        <v>78</v>
      </c>
      <c r="H2239" t="s">
        <v>24</v>
      </c>
      <c r="I2239" t="s">
        <v>82</v>
      </c>
      <c r="J2239" t="s">
        <v>41</v>
      </c>
      <c r="K2239">
        <v>3.8</v>
      </c>
      <c r="L2239" t="s">
        <v>140</v>
      </c>
      <c r="M2239" t="s">
        <v>33</v>
      </c>
      <c r="N2239" t="s">
        <v>140</v>
      </c>
      <c r="O2239">
        <v>31</v>
      </c>
      <c r="P2239" t="s">
        <v>16</v>
      </c>
      <c r="Q2239" t="s">
        <v>85</v>
      </c>
      <c r="R2239" t="str" cm="1">
        <f t="array" ref="R2239">_xlfn.IFS(B2239&lt;31,"Young-Adult",B2239&lt;41,"Adult",B2239&lt;61,"Middle-aged",B2239&gt;=61,"Senior")</f>
        <v>Middle-aged</v>
      </c>
      <c r="S2239" cm="1">
        <f t="array" ref="S2239">_xlfn.IFS(Q2239 ="Fortnightly",14,Q2239="Weekly",7,Q2239="Monthly",30,Q2239="Quarterly",90,Q2239="Bi-Weekly",14,Q2239="Annually",365,Q2239="Every 3 Months",90,TRUE,"NOT FOUND")</f>
        <v>90</v>
      </c>
    </row>
    <row r="2240" spans="1:19" x14ac:dyDescent="0.35">
      <c r="A2240">
        <v>2239</v>
      </c>
      <c r="B2240">
        <v>40</v>
      </c>
      <c r="C2240" t="s">
        <v>7</v>
      </c>
      <c r="D2240" t="s">
        <v>38</v>
      </c>
      <c r="E2240" t="s">
        <v>30</v>
      </c>
      <c r="F2240">
        <v>84</v>
      </c>
      <c r="G2240" t="s">
        <v>91</v>
      </c>
      <c r="H2240" t="s">
        <v>11</v>
      </c>
      <c r="I2240" t="s">
        <v>106</v>
      </c>
      <c r="J2240" t="s">
        <v>13</v>
      </c>
      <c r="K2240">
        <v>3.8</v>
      </c>
      <c r="L2240" t="s">
        <v>140</v>
      </c>
      <c r="M2240" t="s">
        <v>42</v>
      </c>
      <c r="N2240" t="s">
        <v>140</v>
      </c>
      <c r="O2240">
        <v>18</v>
      </c>
      <c r="P2240" t="s">
        <v>74</v>
      </c>
      <c r="Q2240" t="s">
        <v>28</v>
      </c>
      <c r="R2240" t="str" cm="1">
        <f t="array" ref="R2240">_xlfn.IFS(B2240&lt;31,"Young-Adult",B2240&lt;41,"Adult",B2240&lt;61,"Middle-aged",B2240&gt;=61,"Senior")</f>
        <v>Adult</v>
      </c>
      <c r="S2240" cm="1">
        <f t="array" ref="S2240">_xlfn.IFS(Q2240 ="Fortnightly",14,Q2240="Weekly",7,Q2240="Monthly",30,Q2240="Quarterly",90,Q2240="Bi-Weekly",14,Q2240="Annually",365,Q2240="Every 3 Months",90,TRUE,"NOT FOUND")</f>
        <v>7</v>
      </c>
    </row>
    <row r="2241" spans="1:19" x14ac:dyDescent="0.35">
      <c r="A2241">
        <v>2240</v>
      </c>
      <c r="B2241">
        <v>42</v>
      </c>
      <c r="C2241" t="s">
        <v>7</v>
      </c>
      <c r="D2241" t="s">
        <v>94</v>
      </c>
      <c r="E2241" t="s">
        <v>55</v>
      </c>
      <c r="F2241">
        <v>96</v>
      </c>
      <c r="G2241" t="s">
        <v>78</v>
      </c>
      <c r="H2241" t="s">
        <v>11</v>
      </c>
      <c r="I2241" t="s">
        <v>114</v>
      </c>
      <c r="J2241" t="s">
        <v>41</v>
      </c>
      <c r="K2241">
        <v>3.8</v>
      </c>
      <c r="L2241" t="s">
        <v>140</v>
      </c>
      <c r="M2241" t="s">
        <v>58</v>
      </c>
      <c r="N2241" t="s">
        <v>140</v>
      </c>
      <c r="O2241">
        <v>41</v>
      </c>
      <c r="P2241" t="s">
        <v>27</v>
      </c>
      <c r="Q2241" t="s">
        <v>85</v>
      </c>
      <c r="R2241" t="str" cm="1">
        <f t="array" ref="R2241">_xlfn.IFS(B2241&lt;31,"Young-Adult",B2241&lt;41,"Adult",B2241&lt;61,"Middle-aged",B2241&gt;=61,"Senior")</f>
        <v>Middle-aged</v>
      </c>
      <c r="S2241" cm="1">
        <f t="array" ref="S2241">_xlfn.IFS(Q2241 ="Fortnightly",14,Q2241="Weekly",7,Q2241="Monthly",30,Q2241="Quarterly",90,Q2241="Bi-Weekly",14,Q2241="Annually",365,Q2241="Every 3 Months",90,TRUE,"NOT FOUND")</f>
        <v>90</v>
      </c>
    </row>
    <row r="2242" spans="1:19" x14ac:dyDescent="0.35">
      <c r="A2242">
        <v>2241</v>
      </c>
      <c r="B2242">
        <v>57</v>
      </c>
      <c r="C2242" t="s">
        <v>7</v>
      </c>
      <c r="D2242" t="s">
        <v>29</v>
      </c>
      <c r="E2242" t="s">
        <v>30</v>
      </c>
      <c r="F2242">
        <v>71</v>
      </c>
      <c r="G2242" t="s">
        <v>87</v>
      </c>
      <c r="H2242" t="s">
        <v>11</v>
      </c>
      <c r="I2242" t="s">
        <v>84</v>
      </c>
      <c r="J2242" t="s">
        <v>13</v>
      </c>
      <c r="K2242">
        <v>4.3</v>
      </c>
      <c r="L2242" t="s">
        <v>140</v>
      </c>
      <c r="M2242" t="s">
        <v>33</v>
      </c>
      <c r="N2242" t="s">
        <v>140</v>
      </c>
      <c r="O2242">
        <v>18</v>
      </c>
      <c r="P2242" t="s">
        <v>74</v>
      </c>
      <c r="Q2242" t="s">
        <v>85</v>
      </c>
      <c r="R2242" t="str" cm="1">
        <f t="array" ref="R2242">_xlfn.IFS(B2242&lt;31,"Young-Adult",B2242&lt;41,"Adult",B2242&lt;61,"Middle-aged",B2242&gt;=61,"Senior")</f>
        <v>Middle-aged</v>
      </c>
      <c r="S2242" cm="1">
        <f t="array" ref="S2242">_xlfn.IFS(Q2242 ="Fortnightly",14,Q2242="Weekly",7,Q2242="Monthly",30,Q2242="Quarterly",90,Q2242="Bi-Weekly",14,Q2242="Annually",365,Q2242="Every 3 Months",90,TRUE,"NOT FOUND")</f>
        <v>90</v>
      </c>
    </row>
    <row r="2243" spans="1:19" x14ac:dyDescent="0.35">
      <c r="A2243">
        <v>2242</v>
      </c>
      <c r="B2243">
        <v>18</v>
      </c>
      <c r="C2243" t="s">
        <v>7</v>
      </c>
      <c r="D2243" t="s">
        <v>90</v>
      </c>
      <c r="E2243" t="s">
        <v>51</v>
      </c>
      <c r="F2243">
        <v>77</v>
      </c>
      <c r="G2243" t="s">
        <v>116</v>
      </c>
      <c r="H2243" t="s">
        <v>32</v>
      </c>
      <c r="I2243" t="s">
        <v>61</v>
      </c>
      <c r="J2243" t="s">
        <v>41</v>
      </c>
      <c r="K2243">
        <v>3.5</v>
      </c>
      <c r="L2243" t="s">
        <v>140</v>
      </c>
      <c r="M2243" t="s">
        <v>26</v>
      </c>
      <c r="N2243" t="s">
        <v>140</v>
      </c>
      <c r="O2243">
        <v>3</v>
      </c>
      <c r="P2243" t="s">
        <v>63</v>
      </c>
      <c r="Q2243" t="s">
        <v>64</v>
      </c>
      <c r="R2243" t="str" cm="1">
        <f t="array" ref="R2243">_xlfn.IFS(B2243&lt;31,"Young-Adult",B2243&lt;41,"Adult",B2243&lt;61,"Middle-aged",B2243&gt;=61,"Senior")</f>
        <v>Young-Adult</v>
      </c>
      <c r="S2243" cm="1">
        <f t="array" ref="S2243">_xlfn.IFS(Q2243 ="Fortnightly",14,Q2243="Weekly",7,Q2243="Monthly",30,Q2243="Quarterly",90,Q2243="Bi-Weekly",14,Q2243="Annually",365,Q2243="Every 3 Months",90,TRUE,"NOT FOUND")</f>
        <v>14</v>
      </c>
    </row>
    <row r="2244" spans="1:19" x14ac:dyDescent="0.35">
      <c r="A2244">
        <v>2243</v>
      </c>
      <c r="B2244">
        <v>18</v>
      </c>
      <c r="C2244" t="s">
        <v>7</v>
      </c>
      <c r="D2244" t="s">
        <v>75</v>
      </c>
      <c r="E2244" t="s">
        <v>9</v>
      </c>
      <c r="F2244">
        <v>66</v>
      </c>
      <c r="G2244" t="s">
        <v>95</v>
      </c>
      <c r="H2244" t="s">
        <v>32</v>
      </c>
      <c r="I2244" t="s">
        <v>109</v>
      </c>
      <c r="J2244" t="s">
        <v>25</v>
      </c>
      <c r="K2244">
        <v>3.8</v>
      </c>
      <c r="L2244" t="s">
        <v>140</v>
      </c>
      <c r="M2244" t="s">
        <v>33</v>
      </c>
      <c r="N2244" t="s">
        <v>140</v>
      </c>
      <c r="O2244">
        <v>5</v>
      </c>
      <c r="P2244" t="s">
        <v>27</v>
      </c>
      <c r="Q2244" t="s">
        <v>64</v>
      </c>
      <c r="R2244" t="str" cm="1">
        <f t="array" ref="R2244">_xlfn.IFS(B2244&lt;31,"Young-Adult",B2244&lt;41,"Adult",B2244&lt;61,"Middle-aged",B2244&gt;=61,"Senior")</f>
        <v>Young-Adult</v>
      </c>
      <c r="S2244" cm="1">
        <f t="array" ref="S2244">_xlfn.IFS(Q2244 ="Fortnightly",14,Q2244="Weekly",7,Q2244="Monthly",30,Q2244="Quarterly",90,Q2244="Bi-Weekly",14,Q2244="Annually",365,Q2244="Every 3 Months",90,TRUE,"NOT FOUND")</f>
        <v>14</v>
      </c>
    </row>
    <row r="2245" spans="1:19" x14ac:dyDescent="0.35">
      <c r="A2245">
        <v>2244</v>
      </c>
      <c r="B2245">
        <v>56</v>
      </c>
      <c r="C2245" t="s">
        <v>7</v>
      </c>
      <c r="D2245" t="s">
        <v>43</v>
      </c>
      <c r="E2245" t="s">
        <v>9</v>
      </c>
      <c r="F2245">
        <v>21</v>
      </c>
      <c r="G2245" t="s">
        <v>23</v>
      </c>
      <c r="H2245" t="s">
        <v>32</v>
      </c>
      <c r="I2245" t="s">
        <v>73</v>
      </c>
      <c r="J2245" t="s">
        <v>13</v>
      </c>
      <c r="K2245">
        <v>3.7</v>
      </c>
      <c r="L2245" t="s">
        <v>140</v>
      </c>
      <c r="M2245" t="s">
        <v>58</v>
      </c>
      <c r="N2245" t="s">
        <v>140</v>
      </c>
      <c r="O2245">
        <v>13</v>
      </c>
      <c r="P2245" t="s">
        <v>74</v>
      </c>
      <c r="Q2245" t="s">
        <v>37</v>
      </c>
      <c r="R2245" t="str" cm="1">
        <f t="array" ref="R2245">_xlfn.IFS(B2245&lt;31,"Young-Adult",B2245&lt;41,"Adult",B2245&lt;61,"Middle-aged",B2245&gt;=61,"Senior")</f>
        <v>Middle-aged</v>
      </c>
      <c r="S2245" cm="1">
        <f t="array" ref="S2245">_xlfn.IFS(Q2245 ="Fortnightly",14,Q2245="Weekly",7,Q2245="Monthly",30,Q2245="Quarterly",90,Q2245="Bi-Weekly",14,Q2245="Annually",365,Q2245="Every 3 Months",90,TRUE,"NOT FOUND")</f>
        <v>365</v>
      </c>
    </row>
    <row r="2246" spans="1:19" x14ac:dyDescent="0.35">
      <c r="A2246">
        <v>2245</v>
      </c>
      <c r="B2246">
        <v>35</v>
      </c>
      <c r="C2246" t="s">
        <v>7</v>
      </c>
      <c r="D2246" t="s">
        <v>47</v>
      </c>
      <c r="E2246" t="s">
        <v>9</v>
      </c>
      <c r="F2246">
        <v>37</v>
      </c>
      <c r="G2246" t="s">
        <v>119</v>
      </c>
      <c r="H2246" t="s">
        <v>32</v>
      </c>
      <c r="I2246" t="s">
        <v>68</v>
      </c>
      <c r="J2246" t="s">
        <v>41</v>
      </c>
      <c r="K2246">
        <v>4.8</v>
      </c>
      <c r="L2246" t="s">
        <v>140</v>
      </c>
      <c r="M2246" t="s">
        <v>58</v>
      </c>
      <c r="N2246" t="s">
        <v>140</v>
      </c>
      <c r="O2246">
        <v>22</v>
      </c>
      <c r="P2246" t="s">
        <v>34</v>
      </c>
      <c r="Q2246" t="s">
        <v>37</v>
      </c>
      <c r="R2246" t="str" cm="1">
        <f t="array" ref="R2246">_xlfn.IFS(B2246&lt;31,"Young-Adult",B2246&lt;41,"Adult",B2246&lt;61,"Middle-aged",B2246&gt;=61,"Senior")</f>
        <v>Adult</v>
      </c>
      <c r="S2246" cm="1">
        <f t="array" ref="S2246">_xlfn.IFS(Q2246 ="Fortnightly",14,Q2246="Weekly",7,Q2246="Monthly",30,Q2246="Quarterly",90,Q2246="Bi-Weekly",14,Q2246="Annually",365,Q2246="Every 3 Months",90,TRUE,"NOT FOUND")</f>
        <v>365</v>
      </c>
    </row>
    <row r="2247" spans="1:19" x14ac:dyDescent="0.35">
      <c r="A2247">
        <v>2246</v>
      </c>
      <c r="B2247">
        <v>49</v>
      </c>
      <c r="C2247" t="s">
        <v>7</v>
      </c>
      <c r="D2247" t="s">
        <v>113</v>
      </c>
      <c r="E2247" t="s">
        <v>9</v>
      </c>
      <c r="F2247">
        <v>90</v>
      </c>
      <c r="G2247" t="s">
        <v>67</v>
      </c>
      <c r="H2247" t="s">
        <v>11</v>
      </c>
      <c r="I2247" t="s">
        <v>12</v>
      </c>
      <c r="J2247" t="s">
        <v>45</v>
      </c>
      <c r="K2247">
        <v>4.9000000000000004</v>
      </c>
      <c r="L2247" t="s">
        <v>140</v>
      </c>
      <c r="M2247" t="s">
        <v>26</v>
      </c>
      <c r="N2247" t="s">
        <v>140</v>
      </c>
      <c r="O2247">
        <v>45</v>
      </c>
      <c r="P2247" t="s">
        <v>34</v>
      </c>
      <c r="Q2247" t="s">
        <v>17</v>
      </c>
      <c r="R2247" t="str" cm="1">
        <f t="array" ref="R2247">_xlfn.IFS(B2247&lt;31,"Young-Adult",B2247&lt;41,"Adult",B2247&lt;61,"Middle-aged",B2247&gt;=61,"Senior")</f>
        <v>Middle-aged</v>
      </c>
      <c r="S2247" cm="1">
        <f t="array" ref="S2247">_xlfn.IFS(Q2247 ="Fortnightly",14,Q2247="Weekly",7,Q2247="Monthly",30,Q2247="Quarterly",90,Q2247="Bi-Weekly",14,Q2247="Annually",365,Q2247="Every 3 Months",90,TRUE,"NOT FOUND")</f>
        <v>14</v>
      </c>
    </row>
    <row r="2248" spans="1:19" x14ac:dyDescent="0.35">
      <c r="A2248">
        <v>2247</v>
      </c>
      <c r="B2248">
        <v>49</v>
      </c>
      <c r="C2248" t="s">
        <v>7</v>
      </c>
      <c r="D2248" t="s">
        <v>90</v>
      </c>
      <c r="E2248" t="s">
        <v>51</v>
      </c>
      <c r="F2248">
        <v>96</v>
      </c>
      <c r="G2248" t="s">
        <v>65</v>
      </c>
      <c r="H2248" t="s">
        <v>32</v>
      </c>
      <c r="I2248" t="s">
        <v>97</v>
      </c>
      <c r="J2248" t="s">
        <v>45</v>
      </c>
      <c r="K2248">
        <v>4.3</v>
      </c>
      <c r="L2248" t="s">
        <v>140</v>
      </c>
      <c r="M2248" t="s">
        <v>62</v>
      </c>
      <c r="N2248" t="s">
        <v>140</v>
      </c>
      <c r="O2248">
        <v>39</v>
      </c>
      <c r="P2248" t="s">
        <v>34</v>
      </c>
      <c r="Q2248" t="s">
        <v>85</v>
      </c>
      <c r="R2248" t="str" cm="1">
        <f t="array" ref="R2248">_xlfn.IFS(B2248&lt;31,"Young-Adult",B2248&lt;41,"Adult",B2248&lt;61,"Middle-aged",B2248&gt;=61,"Senior")</f>
        <v>Middle-aged</v>
      </c>
      <c r="S2248" cm="1">
        <f t="array" ref="S2248">_xlfn.IFS(Q2248 ="Fortnightly",14,Q2248="Weekly",7,Q2248="Monthly",30,Q2248="Quarterly",90,Q2248="Bi-Weekly",14,Q2248="Annually",365,Q2248="Every 3 Months",90,TRUE,"NOT FOUND")</f>
        <v>90</v>
      </c>
    </row>
    <row r="2249" spans="1:19" x14ac:dyDescent="0.35">
      <c r="A2249">
        <v>2248</v>
      </c>
      <c r="B2249">
        <v>34</v>
      </c>
      <c r="C2249" t="s">
        <v>7</v>
      </c>
      <c r="D2249" t="s">
        <v>94</v>
      </c>
      <c r="E2249" t="s">
        <v>55</v>
      </c>
      <c r="F2249">
        <v>37</v>
      </c>
      <c r="G2249" t="s">
        <v>91</v>
      </c>
      <c r="H2249" t="s">
        <v>11</v>
      </c>
      <c r="I2249" t="s">
        <v>73</v>
      </c>
      <c r="J2249" t="s">
        <v>41</v>
      </c>
      <c r="K2249">
        <v>4.4000000000000004</v>
      </c>
      <c r="L2249" t="s">
        <v>140</v>
      </c>
      <c r="M2249" t="s">
        <v>33</v>
      </c>
      <c r="N2249" t="s">
        <v>140</v>
      </c>
      <c r="O2249">
        <v>18</v>
      </c>
      <c r="P2249" t="s">
        <v>16</v>
      </c>
      <c r="Q2249" t="s">
        <v>37</v>
      </c>
      <c r="R2249" t="str" cm="1">
        <f t="array" ref="R2249">_xlfn.IFS(B2249&lt;31,"Young-Adult",B2249&lt;41,"Adult",B2249&lt;61,"Middle-aged",B2249&gt;=61,"Senior")</f>
        <v>Adult</v>
      </c>
      <c r="S2249" cm="1">
        <f t="array" ref="S2249">_xlfn.IFS(Q2249 ="Fortnightly",14,Q2249="Weekly",7,Q2249="Monthly",30,Q2249="Quarterly",90,Q2249="Bi-Weekly",14,Q2249="Annually",365,Q2249="Every 3 Months",90,TRUE,"NOT FOUND")</f>
        <v>365</v>
      </c>
    </row>
    <row r="2250" spans="1:19" x14ac:dyDescent="0.35">
      <c r="A2250">
        <v>2249</v>
      </c>
      <c r="B2250">
        <v>63</v>
      </c>
      <c r="C2250" t="s">
        <v>7</v>
      </c>
      <c r="D2250" t="s">
        <v>101</v>
      </c>
      <c r="E2250" t="s">
        <v>9</v>
      </c>
      <c r="F2250">
        <v>66</v>
      </c>
      <c r="G2250" t="s">
        <v>31</v>
      </c>
      <c r="H2250" t="s">
        <v>32</v>
      </c>
      <c r="I2250" t="s">
        <v>71</v>
      </c>
      <c r="J2250" t="s">
        <v>13</v>
      </c>
      <c r="K2250">
        <v>3.4</v>
      </c>
      <c r="L2250" t="s">
        <v>140</v>
      </c>
      <c r="M2250" t="s">
        <v>26</v>
      </c>
      <c r="N2250" t="s">
        <v>140</v>
      </c>
      <c r="O2250">
        <v>19</v>
      </c>
      <c r="P2250" t="s">
        <v>34</v>
      </c>
      <c r="Q2250" t="s">
        <v>17</v>
      </c>
      <c r="R2250" t="str" cm="1">
        <f t="array" ref="R2250">_xlfn.IFS(B2250&lt;31,"Young-Adult",B2250&lt;41,"Adult",B2250&lt;61,"Middle-aged",B2250&gt;=61,"Senior")</f>
        <v>Senior</v>
      </c>
      <c r="S2250" cm="1">
        <f t="array" ref="S2250">_xlfn.IFS(Q2250 ="Fortnightly",14,Q2250="Weekly",7,Q2250="Monthly",30,Q2250="Quarterly",90,Q2250="Bi-Weekly",14,Q2250="Annually",365,Q2250="Every 3 Months",90,TRUE,"NOT FOUND")</f>
        <v>14</v>
      </c>
    </row>
    <row r="2251" spans="1:19" x14ac:dyDescent="0.35">
      <c r="A2251">
        <v>2250</v>
      </c>
      <c r="B2251">
        <v>42</v>
      </c>
      <c r="C2251" t="s">
        <v>7</v>
      </c>
      <c r="D2251" t="s">
        <v>131</v>
      </c>
      <c r="E2251" t="s">
        <v>55</v>
      </c>
      <c r="F2251">
        <v>45</v>
      </c>
      <c r="G2251" t="s">
        <v>39</v>
      </c>
      <c r="H2251" t="s">
        <v>80</v>
      </c>
      <c r="I2251" t="s">
        <v>114</v>
      </c>
      <c r="J2251" t="s">
        <v>25</v>
      </c>
      <c r="K2251">
        <v>4.3</v>
      </c>
      <c r="L2251" t="s">
        <v>140</v>
      </c>
      <c r="M2251" t="s">
        <v>33</v>
      </c>
      <c r="N2251" t="s">
        <v>140</v>
      </c>
      <c r="O2251">
        <v>29</v>
      </c>
      <c r="P2251" t="s">
        <v>74</v>
      </c>
      <c r="Q2251" t="s">
        <v>28</v>
      </c>
      <c r="R2251" t="str" cm="1">
        <f t="array" ref="R2251">_xlfn.IFS(B2251&lt;31,"Young-Adult",B2251&lt;41,"Adult",B2251&lt;61,"Middle-aged",B2251&gt;=61,"Senior")</f>
        <v>Middle-aged</v>
      </c>
      <c r="S2251" cm="1">
        <f t="array" ref="S2251">_xlfn.IFS(Q2251 ="Fortnightly",14,Q2251="Weekly",7,Q2251="Monthly",30,Q2251="Quarterly",90,Q2251="Bi-Weekly",14,Q2251="Annually",365,Q2251="Every 3 Months",90,TRUE,"NOT FOUND")</f>
        <v>7</v>
      </c>
    </row>
    <row r="2252" spans="1:19" x14ac:dyDescent="0.35">
      <c r="A2252">
        <v>2251</v>
      </c>
      <c r="B2252">
        <v>41</v>
      </c>
      <c r="C2252" t="s">
        <v>7</v>
      </c>
      <c r="D2252" t="s">
        <v>59</v>
      </c>
      <c r="E2252" t="s">
        <v>30</v>
      </c>
      <c r="F2252">
        <v>89</v>
      </c>
      <c r="G2252" t="s">
        <v>100</v>
      </c>
      <c r="H2252" t="s">
        <v>11</v>
      </c>
      <c r="I2252" t="s">
        <v>57</v>
      </c>
      <c r="J2252" t="s">
        <v>41</v>
      </c>
      <c r="K2252">
        <v>4.5999999999999996</v>
      </c>
      <c r="L2252" t="s">
        <v>140</v>
      </c>
      <c r="M2252" t="s">
        <v>62</v>
      </c>
      <c r="N2252" t="s">
        <v>140</v>
      </c>
      <c r="O2252">
        <v>19</v>
      </c>
      <c r="P2252" t="s">
        <v>27</v>
      </c>
      <c r="Q2252" t="s">
        <v>28</v>
      </c>
      <c r="R2252" t="str" cm="1">
        <f t="array" ref="R2252">_xlfn.IFS(B2252&lt;31,"Young-Adult",B2252&lt;41,"Adult",B2252&lt;61,"Middle-aged",B2252&gt;=61,"Senior")</f>
        <v>Middle-aged</v>
      </c>
      <c r="S2252" cm="1">
        <f t="array" ref="S2252">_xlfn.IFS(Q2252 ="Fortnightly",14,Q2252="Weekly",7,Q2252="Monthly",30,Q2252="Quarterly",90,Q2252="Bi-Weekly",14,Q2252="Annually",365,Q2252="Every 3 Months",90,TRUE,"NOT FOUND")</f>
        <v>7</v>
      </c>
    </row>
    <row r="2253" spans="1:19" x14ac:dyDescent="0.35">
      <c r="A2253">
        <v>2252</v>
      </c>
      <c r="B2253">
        <v>26</v>
      </c>
      <c r="C2253" t="s">
        <v>7</v>
      </c>
      <c r="D2253" t="s">
        <v>59</v>
      </c>
      <c r="E2253" t="s">
        <v>30</v>
      </c>
      <c r="F2253">
        <v>94</v>
      </c>
      <c r="G2253" t="s">
        <v>129</v>
      </c>
      <c r="H2253" t="s">
        <v>11</v>
      </c>
      <c r="I2253" t="s">
        <v>68</v>
      </c>
      <c r="J2253" t="s">
        <v>45</v>
      </c>
      <c r="K2253">
        <v>3.8</v>
      </c>
      <c r="L2253" t="s">
        <v>140</v>
      </c>
      <c r="M2253" t="s">
        <v>26</v>
      </c>
      <c r="N2253" t="s">
        <v>140</v>
      </c>
      <c r="O2253">
        <v>22</v>
      </c>
      <c r="P2253" t="s">
        <v>74</v>
      </c>
      <c r="Q2253" t="s">
        <v>76</v>
      </c>
      <c r="R2253" t="str" cm="1">
        <f t="array" ref="R2253">_xlfn.IFS(B2253&lt;31,"Young-Adult",B2253&lt;41,"Adult",B2253&lt;61,"Middle-aged",B2253&gt;=61,"Senior")</f>
        <v>Young-Adult</v>
      </c>
      <c r="S2253" cm="1">
        <f t="array" ref="S2253">_xlfn.IFS(Q2253 ="Fortnightly",14,Q2253="Weekly",7,Q2253="Monthly",30,Q2253="Quarterly",90,Q2253="Bi-Weekly",14,Q2253="Annually",365,Q2253="Every 3 Months",90,TRUE,"NOT FOUND")</f>
        <v>30</v>
      </c>
    </row>
    <row r="2254" spans="1:19" x14ac:dyDescent="0.35">
      <c r="A2254">
        <v>2253</v>
      </c>
      <c r="B2254">
        <v>48</v>
      </c>
      <c r="C2254" t="s">
        <v>7</v>
      </c>
      <c r="D2254" t="s">
        <v>59</v>
      </c>
      <c r="E2254" t="s">
        <v>30</v>
      </c>
      <c r="F2254">
        <v>96</v>
      </c>
      <c r="G2254" t="s">
        <v>133</v>
      </c>
      <c r="H2254" t="s">
        <v>24</v>
      </c>
      <c r="I2254" t="s">
        <v>20</v>
      </c>
      <c r="J2254" t="s">
        <v>41</v>
      </c>
      <c r="K2254">
        <v>3.9</v>
      </c>
      <c r="L2254" t="s">
        <v>140</v>
      </c>
      <c r="M2254" t="s">
        <v>15</v>
      </c>
      <c r="N2254" t="s">
        <v>140</v>
      </c>
      <c r="O2254">
        <v>21</v>
      </c>
      <c r="P2254" t="s">
        <v>63</v>
      </c>
      <c r="Q2254" t="s">
        <v>37</v>
      </c>
      <c r="R2254" t="str" cm="1">
        <f t="array" ref="R2254">_xlfn.IFS(B2254&lt;31,"Young-Adult",B2254&lt;41,"Adult",B2254&lt;61,"Middle-aged",B2254&gt;=61,"Senior")</f>
        <v>Middle-aged</v>
      </c>
      <c r="S2254" cm="1">
        <f t="array" ref="S2254">_xlfn.IFS(Q2254 ="Fortnightly",14,Q2254="Weekly",7,Q2254="Monthly",30,Q2254="Quarterly",90,Q2254="Bi-Weekly",14,Q2254="Annually",365,Q2254="Every 3 Months",90,TRUE,"NOT FOUND")</f>
        <v>365</v>
      </c>
    </row>
    <row r="2255" spans="1:19" x14ac:dyDescent="0.35">
      <c r="A2255">
        <v>2254</v>
      </c>
      <c r="B2255">
        <v>62</v>
      </c>
      <c r="C2255" t="s">
        <v>7</v>
      </c>
      <c r="D2255" t="s">
        <v>92</v>
      </c>
      <c r="E2255" t="s">
        <v>9</v>
      </c>
      <c r="F2255">
        <v>31</v>
      </c>
      <c r="G2255" t="s">
        <v>89</v>
      </c>
      <c r="H2255" t="s">
        <v>32</v>
      </c>
      <c r="I2255" t="s">
        <v>98</v>
      </c>
      <c r="J2255" t="s">
        <v>25</v>
      </c>
      <c r="K2255">
        <v>2.6</v>
      </c>
      <c r="L2255" t="s">
        <v>140</v>
      </c>
      <c r="M2255" t="s">
        <v>62</v>
      </c>
      <c r="N2255" t="s">
        <v>140</v>
      </c>
      <c r="O2255">
        <v>22</v>
      </c>
      <c r="P2255" t="s">
        <v>34</v>
      </c>
      <c r="Q2255" t="s">
        <v>76</v>
      </c>
      <c r="R2255" t="str" cm="1">
        <f t="array" ref="R2255">_xlfn.IFS(B2255&lt;31,"Young-Adult",B2255&lt;41,"Adult",B2255&lt;61,"Middle-aged",B2255&gt;=61,"Senior")</f>
        <v>Senior</v>
      </c>
      <c r="S2255" cm="1">
        <f t="array" ref="S2255">_xlfn.IFS(Q2255 ="Fortnightly",14,Q2255="Weekly",7,Q2255="Monthly",30,Q2255="Quarterly",90,Q2255="Bi-Weekly",14,Q2255="Annually",365,Q2255="Every 3 Months",90,TRUE,"NOT FOUND")</f>
        <v>30</v>
      </c>
    </row>
    <row r="2256" spans="1:19" x14ac:dyDescent="0.35">
      <c r="A2256">
        <v>2255</v>
      </c>
      <c r="B2256">
        <v>24</v>
      </c>
      <c r="C2256" t="s">
        <v>7</v>
      </c>
      <c r="D2256" t="s">
        <v>121</v>
      </c>
      <c r="E2256" t="s">
        <v>55</v>
      </c>
      <c r="F2256">
        <v>79</v>
      </c>
      <c r="G2256" t="s">
        <v>102</v>
      </c>
      <c r="H2256" t="s">
        <v>32</v>
      </c>
      <c r="I2256" t="s">
        <v>68</v>
      </c>
      <c r="J2256" t="s">
        <v>13</v>
      </c>
      <c r="K2256">
        <v>4.2</v>
      </c>
      <c r="L2256" t="s">
        <v>140</v>
      </c>
      <c r="M2256" t="s">
        <v>62</v>
      </c>
      <c r="N2256" t="s">
        <v>140</v>
      </c>
      <c r="O2256">
        <v>44</v>
      </c>
      <c r="P2256" t="s">
        <v>34</v>
      </c>
      <c r="Q2256" t="s">
        <v>85</v>
      </c>
      <c r="R2256" t="str" cm="1">
        <f t="array" ref="R2256">_xlfn.IFS(B2256&lt;31,"Young-Adult",B2256&lt;41,"Adult",B2256&lt;61,"Middle-aged",B2256&gt;=61,"Senior")</f>
        <v>Young-Adult</v>
      </c>
      <c r="S2256" cm="1">
        <f t="array" ref="S2256">_xlfn.IFS(Q2256 ="Fortnightly",14,Q2256="Weekly",7,Q2256="Monthly",30,Q2256="Quarterly",90,Q2256="Bi-Weekly",14,Q2256="Annually",365,Q2256="Every 3 Months",90,TRUE,"NOT FOUND")</f>
        <v>90</v>
      </c>
    </row>
    <row r="2257" spans="1:19" x14ac:dyDescent="0.35">
      <c r="A2257">
        <v>2256</v>
      </c>
      <c r="B2257">
        <v>48</v>
      </c>
      <c r="C2257" t="s">
        <v>7</v>
      </c>
      <c r="D2257" t="s">
        <v>50</v>
      </c>
      <c r="E2257" t="s">
        <v>51</v>
      </c>
      <c r="F2257">
        <v>39</v>
      </c>
      <c r="G2257" t="s">
        <v>139</v>
      </c>
      <c r="H2257" t="s">
        <v>11</v>
      </c>
      <c r="I2257" t="s">
        <v>73</v>
      </c>
      <c r="J2257" t="s">
        <v>25</v>
      </c>
      <c r="K2257">
        <v>4.5999999999999996</v>
      </c>
      <c r="L2257" t="s">
        <v>140</v>
      </c>
      <c r="M2257" t="s">
        <v>62</v>
      </c>
      <c r="N2257" t="s">
        <v>140</v>
      </c>
      <c r="O2257">
        <v>42</v>
      </c>
      <c r="P2257" t="s">
        <v>63</v>
      </c>
      <c r="Q2257" t="s">
        <v>46</v>
      </c>
      <c r="R2257" t="str" cm="1">
        <f t="array" ref="R2257">_xlfn.IFS(B2257&lt;31,"Young-Adult",B2257&lt;41,"Adult",B2257&lt;61,"Middle-aged",B2257&gt;=61,"Senior")</f>
        <v>Middle-aged</v>
      </c>
      <c r="S2257" cm="1">
        <f t="array" ref="S2257">_xlfn.IFS(Q2257 ="Fortnightly",14,Q2257="Weekly",7,Q2257="Monthly",30,Q2257="Quarterly",90,Q2257="Bi-Weekly",14,Q2257="Annually",365,Q2257="Every 3 Months",90,TRUE,"NOT FOUND")</f>
        <v>90</v>
      </c>
    </row>
    <row r="2258" spans="1:19" x14ac:dyDescent="0.35">
      <c r="A2258">
        <v>2257</v>
      </c>
      <c r="B2258">
        <v>31</v>
      </c>
      <c r="C2258" t="s">
        <v>7</v>
      </c>
      <c r="D2258" t="s">
        <v>8</v>
      </c>
      <c r="E2258" t="s">
        <v>9</v>
      </c>
      <c r="F2258">
        <v>22</v>
      </c>
      <c r="G2258" t="s">
        <v>87</v>
      </c>
      <c r="H2258" t="s">
        <v>32</v>
      </c>
      <c r="I2258" t="s">
        <v>36</v>
      </c>
      <c r="J2258" t="s">
        <v>45</v>
      </c>
      <c r="K2258">
        <v>5</v>
      </c>
      <c r="L2258" t="s">
        <v>140</v>
      </c>
      <c r="M2258" t="s">
        <v>42</v>
      </c>
      <c r="N2258" t="s">
        <v>140</v>
      </c>
      <c r="O2258">
        <v>33</v>
      </c>
      <c r="P2258" t="s">
        <v>27</v>
      </c>
      <c r="Q2258" t="s">
        <v>46</v>
      </c>
      <c r="R2258" t="str" cm="1">
        <f t="array" ref="R2258">_xlfn.IFS(B2258&lt;31,"Young-Adult",B2258&lt;41,"Adult",B2258&lt;61,"Middle-aged",B2258&gt;=61,"Senior")</f>
        <v>Adult</v>
      </c>
      <c r="S2258" cm="1">
        <f t="array" ref="S2258">_xlfn.IFS(Q2258 ="Fortnightly",14,Q2258="Weekly",7,Q2258="Monthly",30,Q2258="Quarterly",90,Q2258="Bi-Weekly",14,Q2258="Annually",365,Q2258="Every 3 Months",90,TRUE,"NOT FOUND")</f>
        <v>90</v>
      </c>
    </row>
    <row r="2259" spans="1:19" x14ac:dyDescent="0.35">
      <c r="A2259">
        <v>2258</v>
      </c>
      <c r="B2259">
        <v>41</v>
      </c>
      <c r="C2259" t="s">
        <v>7</v>
      </c>
      <c r="D2259" t="s">
        <v>75</v>
      </c>
      <c r="E2259" t="s">
        <v>9</v>
      </c>
      <c r="F2259">
        <v>32</v>
      </c>
      <c r="G2259" t="s">
        <v>110</v>
      </c>
      <c r="H2259" t="s">
        <v>11</v>
      </c>
      <c r="I2259" t="s">
        <v>66</v>
      </c>
      <c r="J2259" t="s">
        <v>45</v>
      </c>
      <c r="K2259">
        <v>4.2</v>
      </c>
      <c r="L2259" t="s">
        <v>140</v>
      </c>
      <c r="M2259" t="s">
        <v>42</v>
      </c>
      <c r="N2259" t="s">
        <v>140</v>
      </c>
      <c r="O2259">
        <v>6</v>
      </c>
      <c r="P2259" t="s">
        <v>63</v>
      </c>
      <c r="Q2259" t="s">
        <v>37</v>
      </c>
      <c r="R2259" t="str" cm="1">
        <f t="array" ref="R2259">_xlfn.IFS(B2259&lt;31,"Young-Adult",B2259&lt;41,"Adult",B2259&lt;61,"Middle-aged",B2259&gt;=61,"Senior")</f>
        <v>Middle-aged</v>
      </c>
      <c r="S2259" cm="1">
        <f t="array" ref="S2259">_xlfn.IFS(Q2259 ="Fortnightly",14,Q2259="Weekly",7,Q2259="Monthly",30,Q2259="Quarterly",90,Q2259="Bi-Weekly",14,Q2259="Annually",365,Q2259="Every 3 Months",90,TRUE,"NOT FOUND")</f>
        <v>365</v>
      </c>
    </row>
    <row r="2260" spans="1:19" x14ac:dyDescent="0.35">
      <c r="A2260">
        <v>2259</v>
      </c>
      <c r="B2260">
        <v>24</v>
      </c>
      <c r="C2260" t="s">
        <v>7</v>
      </c>
      <c r="D2260" t="s">
        <v>101</v>
      </c>
      <c r="E2260" t="s">
        <v>9</v>
      </c>
      <c r="F2260">
        <v>71</v>
      </c>
      <c r="G2260" t="s">
        <v>111</v>
      </c>
      <c r="H2260" t="s">
        <v>11</v>
      </c>
      <c r="I2260" t="s">
        <v>97</v>
      </c>
      <c r="J2260" t="s">
        <v>13</v>
      </c>
      <c r="K2260">
        <v>4.3</v>
      </c>
      <c r="L2260" t="s">
        <v>140</v>
      </c>
      <c r="M2260" t="s">
        <v>62</v>
      </c>
      <c r="N2260" t="s">
        <v>140</v>
      </c>
      <c r="O2260">
        <v>44</v>
      </c>
      <c r="P2260" t="s">
        <v>27</v>
      </c>
      <c r="Q2260" t="s">
        <v>85</v>
      </c>
      <c r="R2260" t="str" cm="1">
        <f t="array" ref="R2260">_xlfn.IFS(B2260&lt;31,"Young-Adult",B2260&lt;41,"Adult",B2260&lt;61,"Middle-aged",B2260&gt;=61,"Senior")</f>
        <v>Young-Adult</v>
      </c>
      <c r="S2260" cm="1">
        <f t="array" ref="S2260">_xlfn.IFS(Q2260 ="Fortnightly",14,Q2260="Weekly",7,Q2260="Monthly",30,Q2260="Quarterly",90,Q2260="Bi-Weekly",14,Q2260="Annually",365,Q2260="Every 3 Months",90,TRUE,"NOT FOUND")</f>
        <v>90</v>
      </c>
    </row>
    <row r="2261" spans="1:19" x14ac:dyDescent="0.35">
      <c r="A2261">
        <v>2260</v>
      </c>
      <c r="B2261">
        <v>60</v>
      </c>
      <c r="C2261" t="s">
        <v>7</v>
      </c>
      <c r="D2261" t="s">
        <v>22</v>
      </c>
      <c r="E2261" t="s">
        <v>9</v>
      </c>
      <c r="F2261">
        <v>96</v>
      </c>
      <c r="G2261" t="s">
        <v>91</v>
      </c>
      <c r="H2261" t="s">
        <v>80</v>
      </c>
      <c r="I2261" t="s">
        <v>106</v>
      </c>
      <c r="J2261" t="s">
        <v>25</v>
      </c>
      <c r="K2261">
        <v>3.3</v>
      </c>
      <c r="L2261" t="s">
        <v>140</v>
      </c>
      <c r="M2261" t="s">
        <v>26</v>
      </c>
      <c r="N2261" t="s">
        <v>140</v>
      </c>
      <c r="O2261">
        <v>24</v>
      </c>
      <c r="P2261" t="s">
        <v>21</v>
      </c>
      <c r="Q2261" t="s">
        <v>37</v>
      </c>
      <c r="R2261" t="str" cm="1">
        <f t="array" ref="R2261">_xlfn.IFS(B2261&lt;31,"Young-Adult",B2261&lt;41,"Adult",B2261&lt;61,"Middle-aged",B2261&gt;=61,"Senior")</f>
        <v>Middle-aged</v>
      </c>
      <c r="S2261" cm="1">
        <f t="array" ref="S2261">_xlfn.IFS(Q2261 ="Fortnightly",14,Q2261="Weekly",7,Q2261="Monthly",30,Q2261="Quarterly",90,Q2261="Bi-Weekly",14,Q2261="Annually",365,Q2261="Every 3 Months",90,TRUE,"NOT FOUND")</f>
        <v>365</v>
      </c>
    </row>
    <row r="2262" spans="1:19" x14ac:dyDescent="0.35">
      <c r="A2262">
        <v>2261</v>
      </c>
      <c r="B2262">
        <v>38</v>
      </c>
      <c r="C2262" t="s">
        <v>7</v>
      </c>
      <c r="D2262" t="s">
        <v>107</v>
      </c>
      <c r="E2262" t="s">
        <v>55</v>
      </c>
      <c r="F2262">
        <v>82</v>
      </c>
      <c r="G2262" t="s">
        <v>56</v>
      </c>
      <c r="H2262" t="s">
        <v>32</v>
      </c>
      <c r="I2262" t="s">
        <v>132</v>
      </c>
      <c r="J2262" t="s">
        <v>45</v>
      </c>
      <c r="K2262">
        <v>4.9000000000000004</v>
      </c>
      <c r="L2262" t="s">
        <v>140</v>
      </c>
      <c r="M2262" t="s">
        <v>15</v>
      </c>
      <c r="N2262" t="s">
        <v>140</v>
      </c>
      <c r="O2262">
        <v>16</v>
      </c>
      <c r="P2262" t="s">
        <v>34</v>
      </c>
      <c r="Q2262" t="s">
        <v>46</v>
      </c>
      <c r="R2262" t="str" cm="1">
        <f t="array" ref="R2262">_xlfn.IFS(B2262&lt;31,"Young-Adult",B2262&lt;41,"Adult",B2262&lt;61,"Middle-aged",B2262&gt;=61,"Senior")</f>
        <v>Adult</v>
      </c>
      <c r="S2262" cm="1">
        <f t="array" ref="S2262">_xlfn.IFS(Q2262 ="Fortnightly",14,Q2262="Weekly",7,Q2262="Monthly",30,Q2262="Quarterly",90,Q2262="Bi-Weekly",14,Q2262="Annually",365,Q2262="Every 3 Months",90,TRUE,"NOT FOUND")</f>
        <v>90</v>
      </c>
    </row>
    <row r="2263" spans="1:19" x14ac:dyDescent="0.35">
      <c r="A2263">
        <v>2262</v>
      </c>
      <c r="B2263">
        <v>58</v>
      </c>
      <c r="C2263" t="s">
        <v>7</v>
      </c>
      <c r="D2263" t="s">
        <v>120</v>
      </c>
      <c r="E2263" t="s">
        <v>55</v>
      </c>
      <c r="F2263">
        <v>76</v>
      </c>
      <c r="G2263" t="s">
        <v>119</v>
      </c>
      <c r="H2263" t="s">
        <v>11</v>
      </c>
      <c r="I2263" t="s">
        <v>68</v>
      </c>
      <c r="J2263" t="s">
        <v>25</v>
      </c>
      <c r="K2263">
        <v>4.4000000000000004</v>
      </c>
      <c r="L2263" t="s">
        <v>140</v>
      </c>
      <c r="M2263" t="s">
        <v>42</v>
      </c>
      <c r="N2263" t="s">
        <v>140</v>
      </c>
      <c r="O2263">
        <v>12</v>
      </c>
      <c r="P2263" t="s">
        <v>63</v>
      </c>
      <c r="Q2263" t="s">
        <v>17</v>
      </c>
      <c r="R2263" t="str" cm="1">
        <f t="array" ref="R2263">_xlfn.IFS(B2263&lt;31,"Young-Adult",B2263&lt;41,"Adult",B2263&lt;61,"Middle-aged",B2263&gt;=61,"Senior")</f>
        <v>Middle-aged</v>
      </c>
      <c r="S2263" cm="1">
        <f t="array" ref="S2263">_xlfn.IFS(Q2263 ="Fortnightly",14,Q2263="Weekly",7,Q2263="Monthly",30,Q2263="Quarterly",90,Q2263="Bi-Weekly",14,Q2263="Annually",365,Q2263="Every 3 Months",90,TRUE,"NOT FOUND")</f>
        <v>14</v>
      </c>
    </row>
    <row r="2264" spans="1:19" x14ac:dyDescent="0.35">
      <c r="A2264">
        <v>2263</v>
      </c>
      <c r="B2264">
        <v>53</v>
      </c>
      <c r="C2264" t="s">
        <v>7</v>
      </c>
      <c r="D2264" t="s">
        <v>120</v>
      </c>
      <c r="E2264" t="s">
        <v>55</v>
      </c>
      <c r="F2264">
        <v>22</v>
      </c>
      <c r="G2264" t="s">
        <v>105</v>
      </c>
      <c r="H2264" t="s">
        <v>32</v>
      </c>
      <c r="I2264" t="s">
        <v>84</v>
      </c>
      <c r="J2264" t="s">
        <v>13</v>
      </c>
      <c r="K2264">
        <v>3.1</v>
      </c>
      <c r="L2264" t="s">
        <v>140</v>
      </c>
      <c r="M2264" t="s">
        <v>58</v>
      </c>
      <c r="N2264" t="s">
        <v>140</v>
      </c>
      <c r="O2264">
        <v>50</v>
      </c>
      <c r="P2264" t="s">
        <v>34</v>
      </c>
      <c r="Q2264" t="s">
        <v>76</v>
      </c>
      <c r="R2264" t="str" cm="1">
        <f t="array" ref="R2264">_xlfn.IFS(B2264&lt;31,"Young-Adult",B2264&lt;41,"Adult",B2264&lt;61,"Middle-aged",B2264&gt;=61,"Senior")</f>
        <v>Middle-aged</v>
      </c>
      <c r="S2264" cm="1">
        <f t="array" ref="S2264">_xlfn.IFS(Q2264 ="Fortnightly",14,Q2264="Weekly",7,Q2264="Monthly",30,Q2264="Quarterly",90,Q2264="Bi-Weekly",14,Q2264="Annually",365,Q2264="Every 3 Months",90,TRUE,"NOT FOUND")</f>
        <v>30</v>
      </c>
    </row>
    <row r="2265" spans="1:19" x14ac:dyDescent="0.35">
      <c r="A2265">
        <v>2264</v>
      </c>
      <c r="B2265">
        <v>44</v>
      </c>
      <c r="C2265" t="s">
        <v>7</v>
      </c>
      <c r="D2265" t="s">
        <v>107</v>
      </c>
      <c r="E2265" t="s">
        <v>55</v>
      </c>
      <c r="F2265">
        <v>40</v>
      </c>
      <c r="G2265" t="s">
        <v>104</v>
      </c>
      <c r="H2265" t="s">
        <v>80</v>
      </c>
      <c r="I2265" t="s">
        <v>84</v>
      </c>
      <c r="J2265" t="s">
        <v>13</v>
      </c>
      <c r="K2265">
        <v>3.5</v>
      </c>
      <c r="L2265" t="s">
        <v>140</v>
      </c>
      <c r="M2265" t="s">
        <v>62</v>
      </c>
      <c r="N2265" t="s">
        <v>140</v>
      </c>
      <c r="O2265">
        <v>42</v>
      </c>
      <c r="P2265" t="s">
        <v>21</v>
      </c>
      <c r="Q2265" t="s">
        <v>46</v>
      </c>
      <c r="R2265" t="str" cm="1">
        <f t="array" ref="R2265">_xlfn.IFS(B2265&lt;31,"Young-Adult",B2265&lt;41,"Adult",B2265&lt;61,"Middle-aged",B2265&gt;=61,"Senior")</f>
        <v>Middle-aged</v>
      </c>
      <c r="S2265" cm="1">
        <f t="array" ref="S2265">_xlfn.IFS(Q2265 ="Fortnightly",14,Q2265="Weekly",7,Q2265="Monthly",30,Q2265="Quarterly",90,Q2265="Bi-Weekly",14,Q2265="Annually",365,Q2265="Every 3 Months",90,TRUE,"NOT FOUND")</f>
        <v>90</v>
      </c>
    </row>
    <row r="2266" spans="1:19" x14ac:dyDescent="0.35">
      <c r="A2266">
        <v>2265</v>
      </c>
      <c r="B2266">
        <v>51</v>
      </c>
      <c r="C2266" t="s">
        <v>7</v>
      </c>
      <c r="D2266" t="s">
        <v>112</v>
      </c>
      <c r="E2266" t="s">
        <v>55</v>
      </c>
      <c r="F2266">
        <v>92</v>
      </c>
      <c r="G2266" t="s">
        <v>102</v>
      </c>
      <c r="H2266" t="s">
        <v>32</v>
      </c>
      <c r="I2266" t="s">
        <v>36</v>
      </c>
      <c r="J2266" t="s">
        <v>41</v>
      </c>
      <c r="K2266">
        <v>3.9</v>
      </c>
      <c r="L2266" t="s">
        <v>140</v>
      </c>
      <c r="M2266" t="s">
        <v>58</v>
      </c>
      <c r="N2266" t="s">
        <v>140</v>
      </c>
      <c r="O2266">
        <v>50</v>
      </c>
      <c r="P2266" t="s">
        <v>34</v>
      </c>
      <c r="Q2266" t="s">
        <v>76</v>
      </c>
      <c r="R2266" t="str" cm="1">
        <f t="array" ref="R2266">_xlfn.IFS(B2266&lt;31,"Young-Adult",B2266&lt;41,"Adult",B2266&lt;61,"Middle-aged",B2266&gt;=61,"Senior")</f>
        <v>Middle-aged</v>
      </c>
      <c r="S2266" cm="1">
        <f t="array" ref="S2266">_xlfn.IFS(Q2266 ="Fortnightly",14,Q2266="Weekly",7,Q2266="Monthly",30,Q2266="Quarterly",90,Q2266="Bi-Weekly",14,Q2266="Annually",365,Q2266="Every 3 Months",90,TRUE,"NOT FOUND")</f>
        <v>30</v>
      </c>
    </row>
    <row r="2267" spans="1:19" x14ac:dyDescent="0.35">
      <c r="A2267">
        <v>2266</v>
      </c>
      <c r="B2267">
        <v>36</v>
      </c>
      <c r="C2267" t="s">
        <v>7</v>
      </c>
      <c r="D2267" t="s">
        <v>50</v>
      </c>
      <c r="E2267" t="s">
        <v>51</v>
      </c>
      <c r="F2267">
        <v>94</v>
      </c>
      <c r="G2267" t="s">
        <v>44</v>
      </c>
      <c r="H2267" t="s">
        <v>80</v>
      </c>
      <c r="I2267" t="s">
        <v>122</v>
      </c>
      <c r="J2267" t="s">
        <v>45</v>
      </c>
      <c r="K2267">
        <v>3.9</v>
      </c>
      <c r="L2267" t="s">
        <v>140</v>
      </c>
      <c r="M2267" t="s">
        <v>62</v>
      </c>
      <c r="N2267" t="s">
        <v>140</v>
      </c>
      <c r="O2267">
        <v>10</v>
      </c>
      <c r="P2267" t="s">
        <v>34</v>
      </c>
      <c r="Q2267" t="s">
        <v>46</v>
      </c>
      <c r="R2267" t="str" cm="1">
        <f t="array" ref="R2267">_xlfn.IFS(B2267&lt;31,"Young-Adult",B2267&lt;41,"Adult",B2267&lt;61,"Middle-aged",B2267&gt;=61,"Senior")</f>
        <v>Adult</v>
      </c>
      <c r="S2267" cm="1">
        <f t="array" ref="S2267">_xlfn.IFS(Q2267 ="Fortnightly",14,Q2267="Weekly",7,Q2267="Monthly",30,Q2267="Quarterly",90,Q2267="Bi-Weekly",14,Q2267="Annually",365,Q2267="Every 3 Months",90,TRUE,"NOT FOUND")</f>
        <v>90</v>
      </c>
    </row>
    <row r="2268" spans="1:19" x14ac:dyDescent="0.35">
      <c r="A2268">
        <v>2267</v>
      </c>
      <c r="B2268">
        <v>20</v>
      </c>
      <c r="C2268" t="s">
        <v>7</v>
      </c>
      <c r="D2268" t="s">
        <v>69</v>
      </c>
      <c r="E2268" t="s">
        <v>9</v>
      </c>
      <c r="F2268">
        <v>44</v>
      </c>
      <c r="G2268" t="s">
        <v>56</v>
      </c>
      <c r="H2268" t="s">
        <v>32</v>
      </c>
      <c r="I2268" t="s">
        <v>122</v>
      </c>
      <c r="J2268" t="s">
        <v>45</v>
      </c>
      <c r="K2268">
        <v>4.3</v>
      </c>
      <c r="L2268" t="s">
        <v>140</v>
      </c>
      <c r="M2268" t="s">
        <v>62</v>
      </c>
      <c r="N2268" t="s">
        <v>140</v>
      </c>
      <c r="O2268">
        <v>32</v>
      </c>
      <c r="P2268" t="s">
        <v>74</v>
      </c>
      <c r="Q2268" t="s">
        <v>28</v>
      </c>
      <c r="R2268" t="str" cm="1">
        <f t="array" ref="R2268">_xlfn.IFS(B2268&lt;31,"Young-Adult",B2268&lt;41,"Adult",B2268&lt;61,"Middle-aged",B2268&gt;=61,"Senior")</f>
        <v>Young-Adult</v>
      </c>
      <c r="S2268" cm="1">
        <f t="array" ref="S2268">_xlfn.IFS(Q2268 ="Fortnightly",14,Q2268="Weekly",7,Q2268="Monthly",30,Q2268="Quarterly",90,Q2268="Bi-Weekly",14,Q2268="Annually",365,Q2268="Every 3 Months",90,TRUE,"NOT FOUND")</f>
        <v>7</v>
      </c>
    </row>
    <row r="2269" spans="1:19" x14ac:dyDescent="0.35">
      <c r="A2269">
        <v>2268</v>
      </c>
      <c r="B2269">
        <v>32</v>
      </c>
      <c r="C2269" t="s">
        <v>7</v>
      </c>
      <c r="D2269" t="s">
        <v>131</v>
      </c>
      <c r="E2269" t="s">
        <v>55</v>
      </c>
      <c r="F2269">
        <v>49</v>
      </c>
      <c r="G2269" t="s">
        <v>10</v>
      </c>
      <c r="H2269" t="s">
        <v>24</v>
      </c>
      <c r="I2269" t="s">
        <v>132</v>
      </c>
      <c r="J2269" t="s">
        <v>25</v>
      </c>
      <c r="K2269">
        <v>3.8</v>
      </c>
      <c r="L2269" t="s">
        <v>140</v>
      </c>
      <c r="M2269" t="s">
        <v>15</v>
      </c>
      <c r="N2269" t="s">
        <v>140</v>
      </c>
      <c r="O2269">
        <v>37</v>
      </c>
      <c r="P2269" t="s">
        <v>16</v>
      </c>
      <c r="Q2269" t="s">
        <v>28</v>
      </c>
      <c r="R2269" t="str" cm="1">
        <f t="array" ref="R2269">_xlfn.IFS(B2269&lt;31,"Young-Adult",B2269&lt;41,"Adult",B2269&lt;61,"Middle-aged",B2269&gt;=61,"Senior")</f>
        <v>Adult</v>
      </c>
      <c r="S2269" cm="1">
        <f t="array" ref="S2269">_xlfn.IFS(Q2269 ="Fortnightly",14,Q2269="Weekly",7,Q2269="Monthly",30,Q2269="Quarterly",90,Q2269="Bi-Weekly",14,Q2269="Annually",365,Q2269="Every 3 Months",90,TRUE,"NOT FOUND")</f>
        <v>7</v>
      </c>
    </row>
    <row r="2270" spans="1:19" x14ac:dyDescent="0.35">
      <c r="A2270">
        <v>2269</v>
      </c>
      <c r="B2270">
        <v>66</v>
      </c>
      <c r="C2270" t="s">
        <v>7</v>
      </c>
      <c r="D2270" t="s">
        <v>18</v>
      </c>
      <c r="E2270" t="s">
        <v>9</v>
      </c>
      <c r="F2270">
        <v>26</v>
      </c>
      <c r="G2270" t="s">
        <v>130</v>
      </c>
      <c r="H2270" t="s">
        <v>11</v>
      </c>
      <c r="I2270" t="s">
        <v>49</v>
      </c>
      <c r="J2270" t="s">
        <v>25</v>
      </c>
      <c r="K2270">
        <v>2.7</v>
      </c>
      <c r="L2270" t="s">
        <v>140</v>
      </c>
      <c r="M2270" t="s">
        <v>58</v>
      </c>
      <c r="N2270" t="s">
        <v>140</v>
      </c>
      <c r="O2270">
        <v>15</v>
      </c>
      <c r="P2270" t="s">
        <v>63</v>
      </c>
      <c r="Q2270" t="s">
        <v>76</v>
      </c>
      <c r="R2270" t="str" cm="1">
        <f t="array" ref="R2270">_xlfn.IFS(B2270&lt;31,"Young-Adult",B2270&lt;41,"Adult",B2270&lt;61,"Middle-aged",B2270&gt;=61,"Senior")</f>
        <v>Senior</v>
      </c>
      <c r="S2270" cm="1">
        <f t="array" ref="S2270">_xlfn.IFS(Q2270 ="Fortnightly",14,Q2270="Weekly",7,Q2270="Monthly",30,Q2270="Quarterly",90,Q2270="Bi-Weekly",14,Q2270="Annually",365,Q2270="Every 3 Months",90,TRUE,"NOT FOUND")</f>
        <v>30</v>
      </c>
    </row>
    <row r="2271" spans="1:19" x14ac:dyDescent="0.35">
      <c r="A2271">
        <v>2270</v>
      </c>
      <c r="B2271">
        <v>49</v>
      </c>
      <c r="C2271" t="s">
        <v>7</v>
      </c>
      <c r="D2271" t="s">
        <v>75</v>
      </c>
      <c r="E2271" t="s">
        <v>9</v>
      </c>
      <c r="F2271">
        <v>38</v>
      </c>
      <c r="G2271" t="s">
        <v>10</v>
      </c>
      <c r="H2271" t="s">
        <v>32</v>
      </c>
      <c r="I2271" t="s">
        <v>122</v>
      </c>
      <c r="J2271" t="s">
        <v>45</v>
      </c>
      <c r="K2271">
        <v>4.4000000000000004</v>
      </c>
      <c r="L2271" t="s">
        <v>140</v>
      </c>
      <c r="M2271" t="s">
        <v>62</v>
      </c>
      <c r="N2271" t="s">
        <v>140</v>
      </c>
      <c r="O2271">
        <v>27</v>
      </c>
      <c r="P2271" t="s">
        <v>27</v>
      </c>
      <c r="Q2271" t="s">
        <v>37</v>
      </c>
      <c r="R2271" t="str" cm="1">
        <f t="array" ref="R2271">_xlfn.IFS(B2271&lt;31,"Young-Adult",B2271&lt;41,"Adult",B2271&lt;61,"Middle-aged",B2271&gt;=61,"Senior")</f>
        <v>Middle-aged</v>
      </c>
      <c r="S2271" cm="1">
        <f t="array" ref="S2271">_xlfn.IFS(Q2271 ="Fortnightly",14,Q2271="Weekly",7,Q2271="Monthly",30,Q2271="Quarterly",90,Q2271="Bi-Weekly",14,Q2271="Annually",365,Q2271="Every 3 Months",90,TRUE,"NOT FOUND")</f>
        <v>365</v>
      </c>
    </row>
    <row r="2272" spans="1:19" x14ac:dyDescent="0.35">
      <c r="A2272">
        <v>2271</v>
      </c>
      <c r="B2272">
        <v>27</v>
      </c>
      <c r="C2272" t="s">
        <v>7</v>
      </c>
      <c r="D2272" t="s">
        <v>8</v>
      </c>
      <c r="E2272" t="s">
        <v>9</v>
      </c>
      <c r="F2272">
        <v>72</v>
      </c>
      <c r="G2272" t="s">
        <v>130</v>
      </c>
      <c r="H2272" t="s">
        <v>11</v>
      </c>
      <c r="I2272" t="s">
        <v>61</v>
      </c>
      <c r="J2272" t="s">
        <v>25</v>
      </c>
      <c r="K2272">
        <v>3.5</v>
      </c>
      <c r="L2272" t="s">
        <v>140</v>
      </c>
      <c r="M2272" t="s">
        <v>15</v>
      </c>
      <c r="N2272" t="s">
        <v>140</v>
      </c>
      <c r="O2272">
        <v>7</v>
      </c>
      <c r="P2272" t="s">
        <v>16</v>
      </c>
      <c r="Q2272" t="s">
        <v>28</v>
      </c>
      <c r="R2272" t="str" cm="1">
        <f t="array" ref="R2272">_xlfn.IFS(B2272&lt;31,"Young-Adult",B2272&lt;41,"Adult",B2272&lt;61,"Middle-aged",B2272&gt;=61,"Senior")</f>
        <v>Young-Adult</v>
      </c>
      <c r="S2272" cm="1">
        <f t="array" ref="S2272">_xlfn.IFS(Q2272 ="Fortnightly",14,Q2272="Weekly",7,Q2272="Monthly",30,Q2272="Quarterly",90,Q2272="Bi-Weekly",14,Q2272="Annually",365,Q2272="Every 3 Months",90,TRUE,"NOT FOUND")</f>
        <v>7</v>
      </c>
    </row>
    <row r="2273" spans="1:19" x14ac:dyDescent="0.35">
      <c r="A2273">
        <v>2272</v>
      </c>
      <c r="B2273">
        <v>29</v>
      </c>
      <c r="C2273" t="s">
        <v>7</v>
      </c>
      <c r="D2273" t="s">
        <v>69</v>
      </c>
      <c r="E2273" t="s">
        <v>9</v>
      </c>
      <c r="F2273">
        <v>99</v>
      </c>
      <c r="G2273" t="s">
        <v>108</v>
      </c>
      <c r="H2273" t="s">
        <v>32</v>
      </c>
      <c r="I2273" t="s">
        <v>84</v>
      </c>
      <c r="J2273" t="s">
        <v>41</v>
      </c>
      <c r="K2273">
        <v>3.4</v>
      </c>
      <c r="L2273" t="s">
        <v>140</v>
      </c>
      <c r="M2273" t="s">
        <v>26</v>
      </c>
      <c r="N2273" t="s">
        <v>140</v>
      </c>
      <c r="O2273">
        <v>49</v>
      </c>
      <c r="P2273" t="s">
        <v>34</v>
      </c>
      <c r="Q2273" t="s">
        <v>46</v>
      </c>
      <c r="R2273" t="str" cm="1">
        <f t="array" ref="R2273">_xlfn.IFS(B2273&lt;31,"Young-Adult",B2273&lt;41,"Adult",B2273&lt;61,"Middle-aged",B2273&gt;=61,"Senior")</f>
        <v>Young-Adult</v>
      </c>
      <c r="S2273" cm="1">
        <f t="array" ref="S2273">_xlfn.IFS(Q2273 ="Fortnightly",14,Q2273="Weekly",7,Q2273="Monthly",30,Q2273="Quarterly",90,Q2273="Bi-Weekly",14,Q2273="Annually",365,Q2273="Every 3 Months",90,TRUE,"NOT FOUND")</f>
        <v>90</v>
      </c>
    </row>
    <row r="2274" spans="1:19" x14ac:dyDescent="0.35">
      <c r="A2274">
        <v>2273</v>
      </c>
      <c r="B2274">
        <v>29</v>
      </c>
      <c r="C2274" t="s">
        <v>7</v>
      </c>
      <c r="D2274" t="s">
        <v>90</v>
      </c>
      <c r="E2274" t="s">
        <v>51</v>
      </c>
      <c r="F2274">
        <v>38</v>
      </c>
      <c r="G2274" t="s">
        <v>19</v>
      </c>
      <c r="H2274" t="s">
        <v>11</v>
      </c>
      <c r="I2274" t="s">
        <v>49</v>
      </c>
      <c r="J2274" t="s">
        <v>25</v>
      </c>
      <c r="K2274">
        <v>4</v>
      </c>
      <c r="L2274" t="s">
        <v>140</v>
      </c>
      <c r="M2274" t="s">
        <v>42</v>
      </c>
      <c r="N2274" t="s">
        <v>140</v>
      </c>
      <c r="O2274">
        <v>44</v>
      </c>
      <c r="P2274" t="s">
        <v>34</v>
      </c>
      <c r="Q2274" t="s">
        <v>76</v>
      </c>
      <c r="R2274" t="str" cm="1">
        <f t="array" ref="R2274">_xlfn.IFS(B2274&lt;31,"Young-Adult",B2274&lt;41,"Adult",B2274&lt;61,"Middle-aged",B2274&gt;=61,"Senior")</f>
        <v>Young-Adult</v>
      </c>
      <c r="S2274" cm="1">
        <f t="array" ref="S2274">_xlfn.IFS(Q2274 ="Fortnightly",14,Q2274="Weekly",7,Q2274="Monthly",30,Q2274="Quarterly",90,Q2274="Bi-Weekly",14,Q2274="Annually",365,Q2274="Every 3 Months",90,TRUE,"NOT FOUND")</f>
        <v>30</v>
      </c>
    </row>
    <row r="2275" spans="1:19" x14ac:dyDescent="0.35">
      <c r="A2275">
        <v>2274</v>
      </c>
      <c r="B2275">
        <v>55</v>
      </c>
      <c r="C2275" t="s">
        <v>7</v>
      </c>
      <c r="D2275" t="s">
        <v>50</v>
      </c>
      <c r="E2275" t="s">
        <v>51</v>
      </c>
      <c r="F2275">
        <v>96</v>
      </c>
      <c r="G2275" t="s">
        <v>118</v>
      </c>
      <c r="H2275" t="s">
        <v>11</v>
      </c>
      <c r="I2275" t="s">
        <v>53</v>
      </c>
      <c r="J2275" t="s">
        <v>13</v>
      </c>
      <c r="K2275">
        <v>4.8</v>
      </c>
      <c r="L2275" t="s">
        <v>140</v>
      </c>
      <c r="M2275" t="s">
        <v>15</v>
      </c>
      <c r="N2275" t="s">
        <v>140</v>
      </c>
      <c r="O2275">
        <v>13</v>
      </c>
      <c r="P2275" t="s">
        <v>34</v>
      </c>
      <c r="Q2275" t="s">
        <v>64</v>
      </c>
      <c r="R2275" t="str" cm="1">
        <f t="array" ref="R2275">_xlfn.IFS(B2275&lt;31,"Young-Adult",B2275&lt;41,"Adult",B2275&lt;61,"Middle-aged",B2275&gt;=61,"Senior")</f>
        <v>Middle-aged</v>
      </c>
      <c r="S2275" cm="1">
        <f t="array" ref="S2275">_xlfn.IFS(Q2275 ="Fortnightly",14,Q2275="Weekly",7,Q2275="Monthly",30,Q2275="Quarterly",90,Q2275="Bi-Weekly",14,Q2275="Annually",365,Q2275="Every 3 Months",90,TRUE,"NOT FOUND")</f>
        <v>14</v>
      </c>
    </row>
    <row r="2276" spans="1:19" x14ac:dyDescent="0.35">
      <c r="A2276">
        <v>2275</v>
      </c>
      <c r="B2276">
        <v>57</v>
      </c>
      <c r="C2276" t="s">
        <v>7</v>
      </c>
      <c r="D2276" t="s">
        <v>69</v>
      </c>
      <c r="E2276" t="s">
        <v>9</v>
      </c>
      <c r="F2276">
        <v>27</v>
      </c>
      <c r="G2276" t="s">
        <v>72</v>
      </c>
      <c r="H2276" t="s">
        <v>11</v>
      </c>
      <c r="I2276" t="s">
        <v>36</v>
      </c>
      <c r="J2276" t="s">
        <v>25</v>
      </c>
      <c r="K2276">
        <v>4.5</v>
      </c>
      <c r="L2276" t="s">
        <v>140</v>
      </c>
      <c r="M2276" t="s">
        <v>33</v>
      </c>
      <c r="N2276" t="s">
        <v>140</v>
      </c>
      <c r="O2276">
        <v>38</v>
      </c>
      <c r="P2276" t="s">
        <v>34</v>
      </c>
      <c r="Q2276" t="s">
        <v>17</v>
      </c>
      <c r="R2276" t="str" cm="1">
        <f t="array" ref="R2276">_xlfn.IFS(B2276&lt;31,"Young-Adult",B2276&lt;41,"Adult",B2276&lt;61,"Middle-aged",B2276&gt;=61,"Senior")</f>
        <v>Middle-aged</v>
      </c>
      <c r="S2276" cm="1">
        <f t="array" ref="S2276">_xlfn.IFS(Q2276 ="Fortnightly",14,Q2276="Weekly",7,Q2276="Monthly",30,Q2276="Quarterly",90,Q2276="Bi-Weekly",14,Q2276="Annually",365,Q2276="Every 3 Months",90,TRUE,"NOT FOUND")</f>
        <v>14</v>
      </c>
    </row>
    <row r="2277" spans="1:19" x14ac:dyDescent="0.35">
      <c r="A2277">
        <v>2276</v>
      </c>
      <c r="B2277">
        <v>29</v>
      </c>
      <c r="C2277" t="s">
        <v>7</v>
      </c>
      <c r="D2277" t="s">
        <v>47</v>
      </c>
      <c r="E2277" t="s">
        <v>9</v>
      </c>
      <c r="F2277">
        <v>24</v>
      </c>
      <c r="G2277" t="s">
        <v>89</v>
      </c>
      <c r="H2277" t="s">
        <v>32</v>
      </c>
      <c r="I2277" t="s">
        <v>12</v>
      </c>
      <c r="J2277" t="s">
        <v>13</v>
      </c>
      <c r="K2277">
        <v>4.4000000000000004</v>
      </c>
      <c r="L2277" t="s">
        <v>140</v>
      </c>
      <c r="M2277" t="s">
        <v>42</v>
      </c>
      <c r="N2277" t="s">
        <v>140</v>
      </c>
      <c r="O2277">
        <v>10</v>
      </c>
      <c r="P2277" t="s">
        <v>74</v>
      </c>
      <c r="Q2277" t="s">
        <v>28</v>
      </c>
      <c r="R2277" t="str" cm="1">
        <f t="array" ref="R2277">_xlfn.IFS(B2277&lt;31,"Young-Adult",B2277&lt;41,"Adult",B2277&lt;61,"Middle-aged",B2277&gt;=61,"Senior")</f>
        <v>Young-Adult</v>
      </c>
      <c r="S2277" cm="1">
        <f t="array" ref="S2277">_xlfn.IFS(Q2277 ="Fortnightly",14,Q2277="Weekly",7,Q2277="Monthly",30,Q2277="Quarterly",90,Q2277="Bi-Weekly",14,Q2277="Annually",365,Q2277="Every 3 Months",90,TRUE,"NOT FOUND")</f>
        <v>7</v>
      </c>
    </row>
    <row r="2278" spans="1:19" x14ac:dyDescent="0.35">
      <c r="A2278">
        <v>2277</v>
      </c>
      <c r="B2278">
        <v>31</v>
      </c>
      <c r="C2278" t="s">
        <v>7</v>
      </c>
      <c r="D2278" t="s">
        <v>22</v>
      </c>
      <c r="E2278" t="s">
        <v>9</v>
      </c>
      <c r="F2278">
        <v>82</v>
      </c>
      <c r="G2278" t="s">
        <v>39</v>
      </c>
      <c r="H2278" t="s">
        <v>11</v>
      </c>
      <c r="I2278" t="s">
        <v>96</v>
      </c>
      <c r="J2278" t="s">
        <v>41</v>
      </c>
      <c r="K2278">
        <v>4.0999999999999996</v>
      </c>
      <c r="L2278" t="s">
        <v>140</v>
      </c>
      <c r="M2278" t="s">
        <v>58</v>
      </c>
      <c r="N2278" t="s">
        <v>140</v>
      </c>
      <c r="O2278">
        <v>25</v>
      </c>
      <c r="P2278" t="s">
        <v>74</v>
      </c>
      <c r="Q2278" t="s">
        <v>28</v>
      </c>
      <c r="R2278" t="str" cm="1">
        <f t="array" ref="R2278">_xlfn.IFS(B2278&lt;31,"Young-Adult",B2278&lt;41,"Adult",B2278&lt;61,"Middle-aged",B2278&gt;=61,"Senior")</f>
        <v>Adult</v>
      </c>
      <c r="S2278" cm="1">
        <f t="array" ref="S2278">_xlfn.IFS(Q2278 ="Fortnightly",14,Q2278="Weekly",7,Q2278="Monthly",30,Q2278="Quarterly",90,Q2278="Bi-Weekly",14,Q2278="Annually",365,Q2278="Every 3 Months",90,TRUE,"NOT FOUND")</f>
        <v>7</v>
      </c>
    </row>
    <row r="2279" spans="1:19" x14ac:dyDescent="0.35">
      <c r="A2279">
        <v>2278</v>
      </c>
      <c r="B2279">
        <v>25</v>
      </c>
      <c r="C2279" t="s">
        <v>7</v>
      </c>
      <c r="D2279" t="s">
        <v>112</v>
      </c>
      <c r="E2279" t="s">
        <v>55</v>
      </c>
      <c r="F2279">
        <v>56</v>
      </c>
      <c r="G2279" t="s">
        <v>78</v>
      </c>
      <c r="H2279" t="s">
        <v>32</v>
      </c>
      <c r="I2279" t="s">
        <v>106</v>
      </c>
      <c r="J2279" t="s">
        <v>41</v>
      </c>
      <c r="K2279">
        <v>4.5999999999999996</v>
      </c>
      <c r="L2279" t="s">
        <v>140</v>
      </c>
      <c r="M2279" t="s">
        <v>33</v>
      </c>
      <c r="N2279" t="s">
        <v>140</v>
      </c>
      <c r="O2279">
        <v>18</v>
      </c>
      <c r="P2279" t="s">
        <v>27</v>
      </c>
      <c r="Q2279" t="s">
        <v>46</v>
      </c>
      <c r="R2279" t="str" cm="1">
        <f t="array" ref="R2279">_xlfn.IFS(B2279&lt;31,"Young-Adult",B2279&lt;41,"Adult",B2279&lt;61,"Middle-aged",B2279&gt;=61,"Senior")</f>
        <v>Young-Adult</v>
      </c>
      <c r="S2279" cm="1">
        <f t="array" ref="S2279">_xlfn.IFS(Q2279 ="Fortnightly",14,Q2279="Weekly",7,Q2279="Monthly",30,Q2279="Quarterly",90,Q2279="Bi-Weekly",14,Q2279="Annually",365,Q2279="Every 3 Months",90,TRUE,"NOT FOUND")</f>
        <v>90</v>
      </c>
    </row>
    <row r="2280" spans="1:19" x14ac:dyDescent="0.35">
      <c r="A2280">
        <v>2279</v>
      </c>
      <c r="B2280">
        <v>61</v>
      </c>
      <c r="C2280" t="s">
        <v>7</v>
      </c>
      <c r="D2280" t="s">
        <v>131</v>
      </c>
      <c r="E2280" t="s">
        <v>55</v>
      </c>
      <c r="F2280">
        <v>25</v>
      </c>
      <c r="G2280" t="s">
        <v>116</v>
      </c>
      <c r="H2280" t="s">
        <v>32</v>
      </c>
      <c r="I2280" t="s">
        <v>20</v>
      </c>
      <c r="J2280" t="s">
        <v>45</v>
      </c>
      <c r="K2280">
        <v>3.8</v>
      </c>
      <c r="L2280" t="s">
        <v>140</v>
      </c>
      <c r="M2280" t="s">
        <v>62</v>
      </c>
      <c r="N2280" t="s">
        <v>140</v>
      </c>
      <c r="O2280">
        <v>6</v>
      </c>
      <c r="P2280" t="s">
        <v>21</v>
      </c>
      <c r="Q2280" t="s">
        <v>85</v>
      </c>
      <c r="R2280" t="str" cm="1">
        <f t="array" ref="R2280">_xlfn.IFS(B2280&lt;31,"Young-Adult",B2280&lt;41,"Adult",B2280&lt;61,"Middle-aged",B2280&gt;=61,"Senior")</f>
        <v>Senior</v>
      </c>
      <c r="S2280" cm="1">
        <f t="array" ref="S2280">_xlfn.IFS(Q2280 ="Fortnightly",14,Q2280="Weekly",7,Q2280="Monthly",30,Q2280="Quarterly",90,Q2280="Bi-Weekly",14,Q2280="Annually",365,Q2280="Every 3 Months",90,TRUE,"NOT FOUND")</f>
        <v>90</v>
      </c>
    </row>
    <row r="2281" spans="1:19" x14ac:dyDescent="0.35">
      <c r="A2281">
        <v>2280</v>
      </c>
      <c r="B2281">
        <v>53</v>
      </c>
      <c r="C2281" t="s">
        <v>7</v>
      </c>
      <c r="D2281" t="s">
        <v>38</v>
      </c>
      <c r="E2281" t="s">
        <v>30</v>
      </c>
      <c r="F2281">
        <v>67</v>
      </c>
      <c r="G2281" t="s">
        <v>52</v>
      </c>
      <c r="H2281" t="s">
        <v>11</v>
      </c>
      <c r="I2281" t="s">
        <v>114</v>
      </c>
      <c r="J2281" t="s">
        <v>25</v>
      </c>
      <c r="K2281">
        <v>2.9</v>
      </c>
      <c r="L2281" t="s">
        <v>140</v>
      </c>
      <c r="M2281" t="s">
        <v>26</v>
      </c>
      <c r="N2281" t="s">
        <v>140</v>
      </c>
      <c r="O2281">
        <v>35</v>
      </c>
      <c r="P2281" t="s">
        <v>63</v>
      </c>
      <c r="Q2281" t="s">
        <v>46</v>
      </c>
      <c r="R2281" t="str" cm="1">
        <f t="array" ref="R2281">_xlfn.IFS(B2281&lt;31,"Young-Adult",B2281&lt;41,"Adult",B2281&lt;61,"Middle-aged",B2281&gt;=61,"Senior")</f>
        <v>Middle-aged</v>
      </c>
      <c r="S2281" cm="1">
        <f t="array" ref="S2281">_xlfn.IFS(Q2281 ="Fortnightly",14,Q2281="Weekly",7,Q2281="Monthly",30,Q2281="Quarterly",90,Q2281="Bi-Weekly",14,Q2281="Annually",365,Q2281="Every 3 Months",90,TRUE,"NOT FOUND")</f>
        <v>90</v>
      </c>
    </row>
    <row r="2282" spans="1:19" x14ac:dyDescent="0.35">
      <c r="A2282">
        <v>2281</v>
      </c>
      <c r="B2282">
        <v>22</v>
      </c>
      <c r="C2282" t="s">
        <v>7</v>
      </c>
      <c r="D2282" t="s">
        <v>59</v>
      </c>
      <c r="E2282" t="s">
        <v>30</v>
      </c>
      <c r="F2282">
        <v>21</v>
      </c>
      <c r="G2282" t="s">
        <v>10</v>
      </c>
      <c r="H2282" t="s">
        <v>32</v>
      </c>
      <c r="I2282" t="s">
        <v>96</v>
      </c>
      <c r="J2282" t="s">
        <v>41</v>
      </c>
      <c r="K2282">
        <v>2.8</v>
      </c>
      <c r="L2282" t="s">
        <v>140</v>
      </c>
      <c r="M2282" t="s">
        <v>42</v>
      </c>
      <c r="N2282" t="s">
        <v>140</v>
      </c>
      <c r="O2282">
        <v>31</v>
      </c>
      <c r="P2282" t="s">
        <v>27</v>
      </c>
      <c r="Q2282" t="s">
        <v>17</v>
      </c>
      <c r="R2282" t="str" cm="1">
        <f t="array" ref="R2282">_xlfn.IFS(B2282&lt;31,"Young-Adult",B2282&lt;41,"Adult",B2282&lt;61,"Middle-aged",B2282&gt;=61,"Senior")</f>
        <v>Young-Adult</v>
      </c>
      <c r="S2282" cm="1">
        <f t="array" ref="S2282">_xlfn.IFS(Q2282 ="Fortnightly",14,Q2282="Weekly",7,Q2282="Monthly",30,Q2282="Quarterly",90,Q2282="Bi-Weekly",14,Q2282="Annually",365,Q2282="Every 3 Months",90,TRUE,"NOT FOUND")</f>
        <v>14</v>
      </c>
    </row>
    <row r="2283" spans="1:19" x14ac:dyDescent="0.35">
      <c r="A2283">
        <v>2282</v>
      </c>
      <c r="B2283">
        <v>28</v>
      </c>
      <c r="C2283" t="s">
        <v>7</v>
      </c>
      <c r="D2283" t="s">
        <v>92</v>
      </c>
      <c r="E2283" t="s">
        <v>9</v>
      </c>
      <c r="F2283">
        <v>27</v>
      </c>
      <c r="G2283" t="s">
        <v>99</v>
      </c>
      <c r="H2283" t="s">
        <v>80</v>
      </c>
      <c r="I2283" t="s">
        <v>20</v>
      </c>
      <c r="J2283" t="s">
        <v>41</v>
      </c>
      <c r="K2283">
        <v>3</v>
      </c>
      <c r="L2283" t="s">
        <v>140</v>
      </c>
      <c r="M2283" t="s">
        <v>62</v>
      </c>
      <c r="N2283" t="s">
        <v>140</v>
      </c>
      <c r="O2283">
        <v>41</v>
      </c>
      <c r="P2283" t="s">
        <v>63</v>
      </c>
      <c r="Q2283" t="s">
        <v>37</v>
      </c>
      <c r="R2283" t="str" cm="1">
        <f t="array" ref="R2283">_xlfn.IFS(B2283&lt;31,"Young-Adult",B2283&lt;41,"Adult",B2283&lt;61,"Middle-aged",B2283&gt;=61,"Senior")</f>
        <v>Young-Adult</v>
      </c>
      <c r="S2283" cm="1">
        <f t="array" ref="S2283">_xlfn.IFS(Q2283 ="Fortnightly",14,Q2283="Weekly",7,Q2283="Monthly",30,Q2283="Quarterly",90,Q2283="Bi-Weekly",14,Q2283="Annually",365,Q2283="Every 3 Months",90,TRUE,"NOT FOUND")</f>
        <v>365</v>
      </c>
    </row>
    <row r="2284" spans="1:19" x14ac:dyDescent="0.35">
      <c r="A2284">
        <v>2283</v>
      </c>
      <c r="B2284">
        <v>18</v>
      </c>
      <c r="C2284" t="s">
        <v>7</v>
      </c>
      <c r="D2284" t="s">
        <v>38</v>
      </c>
      <c r="E2284" t="s">
        <v>30</v>
      </c>
      <c r="F2284">
        <v>97</v>
      </c>
      <c r="G2284" t="s">
        <v>123</v>
      </c>
      <c r="H2284" t="s">
        <v>24</v>
      </c>
      <c r="I2284" t="s">
        <v>96</v>
      </c>
      <c r="J2284" t="s">
        <v>45</v>
      </c>
      <c r="K2284">
        <v>4.2</v>
      </c>
      <c r="L2284" t="s">
        <v>140</v>
      </c>
      <c r="M2284" t="s">
        <v>58</v>
      </c>
      <c r="N2284" t="s">
        <v>140</v>
      </c>
      <c r="O2284">
        <v>8</v>
      </c>
      <c r="P2284" t="s">
        <v>27</v>
      </c>
      <c r="Q2284" t="s">
        <v>37</v>
      </c>
      <c r="R2284" t="str" cm="1">
        <f t="array" ref="R2284">_xlfn.IFS(B2284&lt;31,"Young-Adult",B2284&lt;41,"Adult",B2284&lt;61,"Middle-aged",B2284&gt;=61,"Senior")</f>
        <v>Young-Adult</v>
      </c>
      <c r="S2284" cm="1">
        <f t="array" ref="S2284">_xlfn.IFS(Q2284 ="Fortnightly",14,Q2284="Weekly",7,Q2284="Monthly",30,Q2284="Quarterly",90,Q2284="Bi-Weekly",14,Q2284="Annually",365,Q2284="Every 3 Months",90,TRUE,"NOT FOUND")</f>
        <v>365</v>
      </c>
    </row>
    <row r="2285" spans="1:19" x14ac:dyDescent="0.35">
      <c r="A2285">
        <v>2284</v>
      </c>
      <c r="B2285">
        <v>44</v>
      </c>
      <c r="C2285" t="s">
        <v>7</v>
      </c>
      <c r="D2285" t="s">
        <v>54</v>
      </c>
      <c r="E2285" t="s">
        <v>55</v>
      </c>
      <c r="F2285">
        <v>45</v>
      </c>
      <c r="G2285" t="s">
        <v>111</v>
      </c>
      <c r="H2285" t="s">
        <v>24</v>
      </c>
      <c r="I2285" t="s">
        <v>82</v>
      </c>
      <c r="J2285" t="s">
        <v>13</v>
      </c>
      <c r="K2285">
        <v>4.0999999999999996</v>
      </c>
      <c r="L2285" t="s">
        <v>140</v>
      </c>
      <c r="M2285" t="s">
        <v>26</v>
      </c>
      <c r="N2285" t="s">
        <v>140</v>
      </c>
      <c r="O2285">
        <v>34</v>
      </c>
      <c r="P2285" t="s">
        <v>27</v>
      </c>
      <c r="Q2285" t="s">
        <v>17</v>
      </c>
      <c r="R2285" t="str" cm="1">
        <f t="array" ref="R2285">_xlfn.IFS(B2285&lt;31,"Young-Adult",B2285&lt;41,"Adult",B2285&lt;61,"Middle-aged",B2285&gt;=61,"Senior")</f>
        <v>Middle-aged</v>
      </c>
      <c r="S2285" cm="1">
        <f t="array" ref="S2285">_xlfn.IFS(Q2285 ="Fortnightly",14,Q2285="Weekly",7,Q2285="Monthly",30,Q2285="Quarterly",90,Q2285="Bi-Weekly",14,Q2285="Annually",365,Q2285="Every 3 Months",90,TRUE,"NOT FOUND")</f>
        <v>14</v>
      </c>
    </row>
    <row r="2286" spans="1:19" x14ac:dyDescent="0.35">
      <c r="A2286">
        <v>2285</v>
      </c>
      <c r="B2286">
        <v>32</v>
      </c>
      <c r="C2286" t="s">
        <v>7</v>
      </c>
      <c r="D2286" t="s">
        <v>8</v>
      </c>
      <c r="E2286" t="s">
        <v>9</v>
      </c>
      <c r="F2286">
        <v>63</v>
      </c>
      <c r="G2286" t="s">
        <v>134</v>
      </c>
      <c r="H2286" t="s">
        <v>80</v>
      </c>
      <c r="I2286" t="s">
        <v>82</v>
      </c>
      <c r="J2286" t="s">
        <v>45</v>
      </c>
      <c r="K2286">
        <v>4.0999999999999996</v>
      </c>
      <c r="L2286" t="s">
        <v>140</v>
      </c>
      <c r="M2286" t="s">
        <v>15</v>
      </c>
      <c r="N2286" t="s">
        <v>140</v>
      </c>
      <c r="O2286">
        <v>20</v>
      </c>
      <c r="P2286" t="s">
        <v>16</v>
      </c>
      <c r="Q2286" t="s">
        <v>37</v>
      </c>
      <c r="R2286" t="str" cm="1">
        <f t="array" ref="R2286">_xlfn.IFS(B2286&lt;31,"Young-Adult",B2286&lt;41,"Adult",B2286&lt;61,"Middle-aged",B2286&gt;=61,"Senior")</f>
        <v>Adult</v>
      </c>
      <c r="S2286" cm="1">
        <f t="array" ref="S2286">_xlfn.IFS(Q2286 ="Fortnightly",14,Q2286="Weekly",7,Q2286="Monthly",30,Q2286="Quarterly",90,Q2286="Bi-Weekly",14,Q2286="Annually",365,Q2286="Every 3 Months",90,TRUE,"NOT FOUND")</f>
        <v>365</v>
      </c>
    </row>
    <row r="2287" spans="1:19" x14ac:dyDescent="0.35">
      <c r="A2287">
        <v>2286</v>
      </c>
      <c r="B2287">
        <v>34</v>
      </c>
      <c r="C2287" t="s">
        <v>7</v>
      </c>
      <c r="D2287" t="s">
        <v>121</v>
      </c>
      <c r="E2287" t="s">
        <v>55</v>
      </c>
      <c r="F2287">
        <v>100</v>
      </c>
      <c r="G2287" t="s">
        <v>139</v>
      </c>
      <c r="H2287" t="s">
        <v>11</v>
      </c>
      <c r="I2287" t="s">
        <v>57</v>
      </c>
      <c r="J2287" t="s">
        <v>41</v>
      </c>
      <c r="K2287">
        <v>4.5999999999999996</v>
      </c>
      <c r="L2287" t="s">
        <v>140</v>
      </c>
      <c r="M2287" t="s">
        <v>58</v>
      </c>
      <c r="N2287" t="s">
        <v>140</v>
      </c>
      <c r="O2287">
        <v>38</v>
      </c>
      <c r="P2287" t="s">
        <v>34</v>
      </c>
      <c r="Q2287" t="s">
        <v>85</v>
      </c>
      <c r="R2287" t="str" cm="1">
        <f t="array" ref="R2287">_xlfn.IFS(B2287&lt;31,"Young-Adult",B2287&lt;41,"Adult",B2287&lt;61,"Middle-aged",B2287&gt;=61,"Senior")</f>
        <v>Adult</v>
      </c>
      <c r="S2287" cm="1">
        <f t="array" ref="S2287">_xlfn.IFS(Q2287 ="Fortnightly",14,Q2287="Weekly",7,Q2287="Monthly",30,Q2287="Quarterly",90,Q2287="Bi-Weekly",14,Q2287="Annually",365,Q2287="Every 3 Months",90,TRUE,"NOT FOUND")</f>
        <v>90</v>
      </c>
    </row>
    <row r="2288" spans="1:19" x14ac:dyDescent="0.35">
      <c r="A2288">
        <v>2287</v>
      </c>
      <c r="B2288">
        <v>67</v>
      </c>
      <c r="C2288" t="s">
        <v>7</v>
      </c>
      <c r="D2288" t="s">
        <v>113</v>
      </c>
      <c r="E2288" t="s">
        <v>9</v>
      </c>
      <c r="F2288">
        <v>38</v>
      </c>
      <c r="G2288" t="s">
        <v>135</v>
      </c>
      <c r="H2288" t="s">
        <v>11</v>
      </c>
      <c r="I2288" t="s">
        <v>132</v>
      </c>
      <c r="J2288" t="s">
        <v>25</v>
      </c>
      <c r="K2288">
        <v>2.5</v>
      </c>
      <c r="L2288" t="s">
        <v>140</v>
      </c>
      <c r="M2288" t="s">
        <v>62</v>
      </c>
      <c r="N2288" t="s">
        <v>140</v>
      </c>
      <c r="O2288">
        <v>35</v>
      </c>
      <c r="P2288" t="s">
        <v>16</v>
      </c>
      <c r="Q2288" t="s">
        <v>46</v>
      </c>
      <c r="R2288" t="str" cm="1">
        <f t="array" ref="R2288">_xlfn.IFS(B2288&lt;31,"Young-Adult",B2288&lt;41,"Adult",B2288&lt;61,"Middle-aged",B2288&gt;=61,"Senior")</f>
        <v>Senior</v>
      </c>
      <c r="S2288" cm="1">
        <f t="array" ref="S2288">_xlfn.IFS(Q2288 ="Fortnightly",14,Q2288="Weekly",7,Q2288="Monthly",30,Q2288="Quarterly",90,Q2288="Bi-Weekly",14,Q2288="Annually",365,Q2288="Every 3 Months",90,TRUE,"NOT FOUND")</f>
        <v>90</v>
      </c>
    </row>
    <row r="2289" spans="1:19" x14ac:dyDescent="0.35">
      <c r="A2289">
        <v>2288</v>
      </c>
      <c r="B2289">
        <v>66</v>
      </c>
      <c r="C2289" t="s">
        <v>7</v>
      </c>
      <c r="D2289" t="s">
        <v>8</v>
      </c>
      <c r="E2289" t="s">
        <v>9</v>
      </c>
      <c r="F2289">
        <v>45</v>
      </c>
      <c r="G2289" t="s">
        <v>133</v>
      </c>
      <c r="H2289" t="s">
        <v>11</v>
      </c>
      <c r="I2289" t="s">
        <v>84</v>
      </c>
      <c r="J2289" t="s">
        <v>41</v>
      </c>
      <c r="K2289">
        <v>3</v>
      </c>
      <c r="L2289" t="s">
        <v>140</v>
      </c>
      <c r="M2289" t="s">
        <v>62</v>
      </c>
      <c r="N2289" t="s">
        <v>140</v>
      </c>
      <c r="O2289">
        <v>6</v>
      </c>
      <c r="P2289" t="s">
        <v>74</v>
      </c>
      <c r="Q2289" t="s">
        <v>37</v>
      </c>
      <c r="R2289" t="str" cm="1">
        <f t="array" ref="R2289">_xlfn.IFS(B2289&lt;31,"Young-Adult",B2289&lt;41,"Adult",B2289&lt;61,"Middle-aged",B2289&gt;=61,"Senior")</f>
        <v>Senior</v>
      </c>
      <c r="S2289" cm="1">
        <f t="array" ref="S2289">_xlfn.IFS(Q2289 ="Fortnightly",14,Q2289="Weekly",7,Q2289="Monthly",30,Q2289="Quarterly",90,Q2289="Bi-Weekly",14,Q2289="Annually",365,Q2289="Every 3 Months",90,TRUE,"NOT FOUND")</f>
        <v>365</v>
      </c>
    </row>
    <row r="2290" spans="1:19" x14ac:dyDescent="0.35">
      <c r="A2290">
        <v>2289</v>
      </c>
      <c r="B2290">
        <v>28</v>
      </c>
      <c r="C2290" t="s">
        <v>7</v>
      </c>
      <c r="D2290" t="s">
        <v>94</v>
      </c>
      <c r="E2290" t="s">
        <v>55</v>
      </c>
      <c r="F2290">
        <v>91</v>
      </c>
      <c r="G2290" t="s">
        <v>87</v>
      </c>
      <c r="H2290" t="s">
        <v>32</v>
      </c>
      <c r="I2290" t="s">
        <v>109</v>
      </c>
      <c r="J2290" t="s">
        <v>45</v>
      </c>
      <c r="K2290">
        <v>3.8</v>
      </c>
      <c r="L2290" t="s">
        <v>140</v>
      </c>
      <c r="M2290" t="s">
        <v>33</v>
      </c>
      <c r="N2290" t="s">
        <v>140</v>
      </c>
      <c r="O2290">
        <v>50</v>
      </c>
      <c r="P2290" t="s">
        <v>34</v>
      </c>
      <c r="Q2290" t="s">
        <v>28</v>
      </c>
      <c r="R2290" t="str" cm="1">
        <f t="array" ref="R2290">_xlfn.IFS(B2290&lt;31,"Young-Adult",B2290&lt;41,"Adult",B2290&lt;61,"Middle-aged",B2290&gt;=61,"Senior")</f>
        <v>Young-Adult</v>
      </c>
      <c r="S2290" cm="1">
        <f t="array" ref="S2290">_xlfn.IFS(Q2290 ="Fortnightly",14,Q2290="Weekly",7,Q2290="Monthly",30,Q2290="Quarterly",90,Q2290="Bi-Weekly",14,Q2290="Annually",365,Q2290="Every 3 Months",90,TRUE,"NOT FOUND")</f>
        <v>7</v>
      </c>
    </row>
    <row r="2291" spans="1:19" x14ac:dyDescent="0.35">
      <c r="A2291">
        <v>2290</v>
      </c>
      <c r="B2291">
        <v>70</v>
      </c>
      <c r="C2291" t="s">
        <v>7</v>
      </c>
      <c r="D2291" t="s">
        <v>47</v>
      </c>
      <c r="E2291" t="s">
        <v>9</v>
      </c>
      <c r="F2291">
        <v>82</v>
      </c>
      <c r="G2291" t="s">
        <v>95</v>
      </c>
      <c r="H2291" t="s">
        <v>32</v>
      </c>
      <c r="I2291" t="s">
        <v>109</v>
      </c>
      <c r="J2291" t="s">
        <v>45</v>
      </c>
      <c r="K2291">
        <v>4.0999999999999996</v>
      </c>
      <c r="L2291" t="s">
        <v>140</v>
      </c>
      <c r="M2291" t="s">
        <v>26</v>
      </c>
      <c r="N2291" t="s">
        <v>140</v>
      </c>
      <c r="O2291">
        <v>47</v>
      </c>
      <c r="P2291" t="s">
        <v>16</v>
      </c>
      <c r="Q2291" t="s">
        <v>28</v>
      </c>
      <c r="R2291" t="str" cm="1">
        <f t="array" ref="R2291">_xlfn.IFS(B2291&lt;31,"Young-Adult",B2291&lt;41,"Adult",B2291&lt;61,"Middle-aged",B2291&gt;=61,"Senior")</f>
        <v>Senior</v>
      </c>
      <c r="S2291" cm="1">
        <f t="array" ref="S2291">_xlfn.IFS(Q2291 ="Fortnightly",14,Q2291="Weekly",7,Q2291="Monthly",30,Q2291="Quarterly",90,Q2291="Bi-Weekly",14,Q2291="Annually",365,Q2291="Every 3 Months",90,TRUE,"NOT FOUND")</f>
        <v>7</v>
      </c>
    </row>
    <row r="2292" spans="1:19" x14ac:dyDescent="0.35">
      <c r="A2292">
        <v>2291</v>
      </c>
      <c r="B2292">
        <v>37</v>
      </c>
      <c r="C2292" t="s">
        <v>7</v>
      </c>
      <c r="D2292" t="s">
        <v>125</v>
      </c>
      <c r="E2292" t="s">
        <v>30</v>
      </c>
      <c r="F2292">
        <v>48</v>
      </c>
      <c r="G2292" t="s">
        <v>99</v>
      </c>
      <c r="H2292" t="s">
        <v>11</v>
      </c>
      <c r="I2292" t="s">
        <v>124</v>
      </c>
      <c r="J2292" t="s">
        <v>13</v>
      </c>
      <c r="K2292">
        <v>3.3</v>
      </c>
      <c r="L2292" t="s">
        <v>140</v>
      </c>
      <c r="M2292" t="s">
        <v>42</v>
      </c>
      <c r="N2292" t="s">
        <v>140</v>
      </c>
      <c r="O2292">
        <v>23</v>
      </c>
      <c r="P2292" t="s">
        <v>34</v>
      </c>
      <c r="Q2292" t="s">
        <v>46</v>
      </c>
      <c r="R2292" t="str" cm="1">
        <f t="array" ref="R2292">_xlfn.IFS(B2292&lt;31,"Young-Adult",B2292&lt;41,"Adult",B2292&lt;61,"Middle-aged",B2292&gt;=61,"Senior")</f>
        <v>Adult</v>
      </c>
      <c r="S2292" cm="1">
        <f t="array" ref="S2292">_xlfn.IFS(Q2292 ="Fortnightly",14,Q2292="Weekly",7,Q2292="Monthly",30,Q2292="Quarterly",90,Q2292="Bi-Weekly",14,Q2292="Annually",365,Q2292="Every 3 Months",90,TRUE,"NOT FOUND")</f>
        <v>90</v>
      </c>
    </row>
    <row r="2293" spans="1:19" x14ac:dyDescent="0.35">
      <c r="A2293">
        <v>2292</v>
      </c>
      <c r="B2293">
        <v>28</v>
      </c>
      <c r="C2293" t="s">
        <v>7</v>
      </c>
      <c r="D2293" t="s">
        <v>50</v>
      </c>
      <c r="E2293" t="s">
        <v>51</v>
      </c>
      <c r="F2293">
        <v>30</v>
      </c>
      <c r="G2293" t="s">
        <v>111</v>
      </c>
      <c r="H2293" t="s">
        <v>32</v>
      </c>
      <c r="I2293" t="s">
        <v>114</v>
      </c>
      <c r="J2293" t="s">
        <v>25</v>
      </c>
      <c r="K2293">
        <v>5</v>
      </c>
      <c r="L2293" t="s">
        <v>140</v>
      </c>
      <c r="M2293" t="s">
        <v>58</v>
      </c>
      <c r="N2293" t="s">
        <v>140</v>
      </c>
      <c r="O2293">
        <v>13</v>
      </c>
      <c r="P2293" t="s">
        <v>27</v>
      </c>
      <c r="Q2293" t="s">
        <v>46</v>
      </c>
      <c r="R2293" t="str" cm="1">
        <f t="array" ref="R2293">_xlfn.IFS(B2293&lt;31,"Young-Adult",B2293&lt;41,"Adult",B2293&lt;61,"Middle-aged",B2293&gt;=61,"Senior")</f>
        <v>Young-Adult</v>
      </c>
      <c r="S2293" cm="1">
        <f t="array" ref="S2293">_xlfn.IFS(Q2293 ="Fortnightly",14,Q2293="Weekly",7,Q2293="Monthly",30,Q2293="Quarterly",90,Q2293="Bi-Weekly",14,Q2293="Annually",365,Q2293="Every 3 Months",90,TRUE,"NOT FOUND")</f>
        <v>90</v>
      </c>
    </row>
    <row r="2294" spans="1:19" x14ac:dyDescent="0.35">
      <c r="A2294">
        <v>2293</v>
      </c>
      <c r="B2294">
        <v>43</v>
      </c>
      <c r="C2294" t="s">
        <v>7</v>
      </c>
      <c r="D2294" t="s">
        <v>101</v>
      </c>
      <c r="E2294" t="s">
        <v>9</v>
      </c>
      <c r="F2294">
        <v>34</v>
      </c>
      <c r="G2294" t="s">
        <v>117</v>
      </c>
      <c r="H2294" t="s">
        <v>24</v>
      </c>
      <c r="I2294" t="s">
        <v>106</v>
      </c>
      <c r="J2294" t="s">
        <v>25</v>
      </c>
      <c r="K2294">
        <v>3.8</v>
      </c>
      <c r="L2294" t="s">
        <v>140</v>
      </c>
      <c r="M2294" t="s">
        <v>33</v>
      </c>
      <c r="N2294" t="s">
        <v>140</v>
      </c>
      <c r="O2294">
        <v>31</v>
      </c>
      <c r="P2294" t="s">
        <v>74</v>
      </c>
      <c r="Q2294" t="s">
        <v>76</v>
      </c>
      <c r="R2294" t="str" cm="1">
        <f t="array" ref="R2294">_xlfn.IFS(B2294&lt;31,"Young-Adult",B2294&lt;41,"Adult",B2294&lt;61,"Middle-aged",B2294&gt;=61,"Senior")</f>
        <v>Middle-aged</v>
      </c>
      <c r="S2294" cm="1">
        <f t="array" ref="S2294">_xlfn.IFS(Q2294 ="Fortnightly",14,Q2294="Weekly",7,Q2294="Monthly",30,Q2294="Quarterly",90,Q2294="Bi-Weekly",14,Q2294="Annually",365,Q2294="Every 3 Months",90,TRUE,"NOT FOUND")</f>
        <v>30</v>
      </c>
    </row>
    <row r="2295" spans="1:19" x14ac:dyDescent="0.35">
      <c r="A2295">
        <v>2294</v>
      </c>
      <c r="B2295">
        <v>37</v>
      </c>
      <c r="C2295" t="s">
        <v>7</v>
      </c>
      <c r="D2295" t="s">
        <v>18</v>
      </c>
      <c r="E2295" t="s">
        <v>9</v>
      </c>
      <c r="F2295">
        <v>68</v>
      </c>
      <c r="G2295" t="s">
        <v>130</v>
      </c>
      <c r="H2295" t="s">
        <v>11</v>
      </c>
      <c r="I2295" t="s">
        <v>84</v>
      </c>
      <c r="J2295" t="s">
        <v>45</v>
      </c>
      <c r="K2295">
        <v>3.3</v>
      </c>
      <c r="L2295" t="s">
        <v>140</v>
      </c>
      <c r="M2295" t="s">
        <v>15</v>
      </c>
      <c r="N2295" t="s">
        <v>140</v>
      </c>
      <c r="O2295">
        <v>16</v>
      </c>
      <c r="P2295" t="s">
        <v>74</v>
      </c>
      <c r="Q2295" t="s">
        <v>85</v>
      </c>
      <c r="R2295" t="str" cm="1">
        <f t="array" ref="R2295">_xlfn.IFS(B2295&lt;31,"Young-Adult",B2295&lt;41,"Adult",B2295&lt;61,"Middle-aged",B2295&gt;=61,"Senior")</f>
        <v>Adult</v>
      </c>
      <c r="S2295" cm="1">
        <f t="array" ref="S2295">_xlfn.IFS(Q2295 ="Fortnightly",14,Q2295="Weekly",7,Q2295="Monthly",30,Q2295="Quarterly",90,Q2295="Bi-Weekly",14,Q2295="Annually",365,Q2295="Every 3 Months",90,TRUE,"NOT FOUND")</f>
        <v>90</v>
      </c>
    </row>
    <row r="2296" spans="1:19" x14ac:dyDescent="0.35">
      <c r="A2296">
        <v>2295</v>
      </c>
      <c r="B2296">
        <v>54</v>
      </c>
      <c r="C2296" t="s">
        <v>7</v>
      </c>
      <c r="D2296" t="s">
        <v>77</v>
      </c>
      <c r="E2296" t="s">
        <v>55</v>
      </c>
      <c r="F2296">
        <v>95</v>
      </c>
      <c r="G2296" t="s">
        <v>116</v>
      </c>
      <c r="H2296" t="s">
        <v>32</v>
      </c>
      <c r="I2296" t="s">
        <v>96</v>
      </c>
      <c r="J2296" t="s">
        <v>13</v>
      </c>
      <c r="K2296">
        <v>5</v>
      </c>
      <c r="L2296" t="s">
        <v>140</v>
      </c>
      <c r="M2296" t="s">
        <v>15</v>
      </c>
      <c r="N2296" t="s">
        <v>140</v>
      </c>
      <c r="O2296">
        <v>40</v>
      </c>
      <c r="P2296" t="s">
        <v>74</v>
      </c>
      <c r="Q2296" t="s">
        <v>37</v>
      </c>
      <c r="R2296" t="str" cm="1">
        <f t="array" ref="R2296">_xlfn.IFS(B2296&lt;31,"Young-Adult",B2296&lt;41,"Adult",B2296&lt;61,"Middle-aged",B2296&gt;=61,"Senior")</f>
        <v>Middle-aged</v>
      </c>
      <c r="S2296" cm="1">
        <f t="array" ref="S2296">_xlfn.IFS(Q2296 ="Fortnightly",14,Q2296="Weekly",7,Q2296="Monthly",30,Q2296="Quarterly",90,Q2296="Bi-Weekly",14,Q2296="Annually",365,Q2296="Every 3 Months",90,TRUE,"NOT FOUND")</f>
        <v>365</v>
      </c>
    </row>
    <row r="2297" spans="1:19" x14ac:dyDescent="0.35">
      <c r="A2297">
        <v>2296</v>
      </c>
      <c r="B2297">
        <v>50</v>
      </c>
      <c r="C2297" t="s">
        <v>7</v>
      </c>
      <c r="D2297" t="s">
        <v>112</v>
      </c>
      <c r="E2297" t="s">
        <v>55</v>
      </c>
      <c r="F2297">
        <v>22</v>
      </c>
      <c r="G2297" t="s">
        <v>127</v>
      </c>
      <c r="H2297" t="s">
        <v>11</v>
      </c>
      <c r="I2297" t="s">
        <v>106</v>
      </c>
      <c r="J2297" t="s">
        <v>25</v>
      </c>
      <c r="K2297">
        <v>2.9</v>
      </c>
      <c r="L2297" t="s">
        <v>140</v>
      </c>
      <c r="M2297" t="s">
        <v>58</v>
      </c>
      <c r="N2297" t="s">
        <v>140</v>
      </c>
      <c r="O2297">
        <v>45</v>
      </c>
      <c r="P2297" t="s">
        <v>34</v>
      </c>
      <c r="Q2297" t="s">
        <v>46</v>
      </c>
      <c r="R2297" t="str" cm="1">
        <f t="array" ref="R2297">_xlfn.IFS(B2297&lt;31,"Young-Adult",B2297&lt;41,"Adult",B2297&lt;61,"Middle-aged",B2297&gt;=61,"Senior")</f>
        <v>Middle-aged</v>
      </c>
      <c r="S2297" cm="1">
        <f t="array" ref="S2297">_xlfn.IFS(Q2297 ="Fortnightly",14,Q2297="Weekly",7,Q2297="Monthly",30,Q2297="Quarterly",90,Q2297="Bi-Weekly",14,Q2297="Annually",365,Q2297="Every 3 Months",90,TRUE,"NOT FOUND")</f>
        <v>90</v>
      </c>
    </row>
    <row r="2298" spans="1:19" x14ac:dyDescent="0.35">
      <c r="A2298">
        <v>2297</v>
      </c>
      <c r="B2298">
        <v>46</v>
      </c>
      <c r="C2298" t="s">
        <v>7</v>
      </c>
      <c r="D2298" t="s">
        <v>131</v>
      </c>
      <c r="E2298" t="s">
        <v>55</v>
      </c>
      <c r="F2298">
        <v>88</v>
      </c>
      <c r="G2298" t="s">
        <v>137</v>
      </c>
      <c r="H2298" t="s">
        <v>32</v>
      </c>
      <c r="I2298" t="s">
        <v>84</v>
      </c>
      <c r="J2298" t="s">
        <v>45</v>
      </c>
      <c r="K2298">
        <v>2.5</v>
      </c>
      <c r="L2298" t="s">
        <v>140</v>
      </c>
      <c r="M2298" t="s">
        <v>33</v>
      </c>
      <c r="N2298" t="s">
        <v>140</v>
      </c>
      <c r="O2298">
        <v>50</v>
      </c>
      <c r="P2298" t="s">
        <v>16</v>
      </c>
      <c r="Q2298" t="s">
        <v>85</v>
      </c>
      <c r="R2298" t="str" cm="1">
        <f t="array" ref="R2298">_xlfn.IFS(B2298&lt;31,"Young-Adult",B2298&lt;41,"Adult",B2298&lt;61,"Middle-aged",B2298&gt;=61,"Senior")</f>
        <v>Middle-aged</v>
      </c>
      <c r="S2298" cm="1">
        <f t="array" ref="S2298">_xlfn.IFS(Q2298 ="Fortnightly",14,Q2298="Weekly",7,Q2298="Monthly",30,Q2298="Quarterly",90,Q2298="Bi-Weekly",14,Q2298="Annually",365,Q2298="Every 3 Months",90,TRUE,"NOT FOUND")</f>
        <v>90</v>
      </c>
    </row>
    <row r="2299" spans="1:19" x14ac:dyDescent="0.35">
      <c r="A2299">
        <v>2298</v>
      </c>
      <c r="B2299">
        <v>60</v>
      </c>
      <c r="C2299" t="s">
        <v>7</v>
      </c>
      <c r="D2299" t="s">
        <v>113</v>
      </c>
      <c r="E2299" t="s">
        <v>9</v>
      </c>
      <c r="F2299">
        <v>83</v>
      </c>
      <c r="G2299" t="s">
        <v>87</v>
      </c>
      <c r="H2299" t="s">
        <v>32</v>
      </c>
      <c r="I2299" t="s">
        <v>109</v>
      </c>
      <c r="J2299" t="s">
        <v>41</v>
      </c>
      <c r="K2299">
        <v>4.7</v>
      </c>
      <c r="L2299" t="s">
        <v>140</v>
      </c>
      <c r="M2299" t="s">
        <v>42</v>
      </c>
      <c r="N2299" t="s">
        <v>140</v>
      </c>
      <c r="O2299">
        <v>1</v>
      </c>
      <c r="P2299" t="s">
        <v>63</v>
      </c>
      <c r="Q2299" t="s">
        <v>46</v>
      </c>
      <c r="R2299" t="str" cm="1">
        <f t="array" ref="R2299">_xlfn.IFS(B2299&lt;31,"Young-Adult",B2299&lt;41,"Adult",B2299&lt;61,"Middle-aged",B2299&gt;=61,"Senior")</f>
        <v>Middle-aged</v>
      </c>
      <c r="S2299" cm="1">
        <f t="array" ref="S2299">_xlfn.IFS(Q2299 ="Fortnightly",14,Q2299="Weekly",7,Q2299="Monthly",30,Q2299="Quarterly",90,Q2299="Bi-Weekly",14,Q2299="Annually",365,Q2299="Every 3 Months",90,TRUE,"NOT FOUND")</f>
        <v>90</v>
      </c>
    </row>
    <row r="2300" spans="1:19" x14ac:dyDescent="0.35">
      <c r="A2300">
        <v>2299</v>
      </c>
      <c r="B2300">
        <v>40</v>
      </c>
      <c r="C2300" t="s">
        <v>7</v>
      </c>
      <c r="D2300" t="s">
        <v>54</v>
      </c>
      <c r="E2300" t="s">
        <v>55</v>
      </c>
      <c r="F2300">
        <v>87</v>
      </c>
      <c r="G2300" t="s">
        <v>44</v>
      </c>
      <c r="H2300" t="s">
        <v>11</v>
      </c>
      <c r="I2300" t="s">
        <v>97</v>
      </c>
      <c r="J2300" t="s">
        <v>25</v>
      </c>
      <c r="K2300">
        <v>2.9</v>
      </c>
      <c r="L2300" t="s">
        <v>140</v>
      </c>
      <c r="M2300" t="s">
        <v>58</v>
      </c>
      <c r="N2300" t="s">
        <v>140</v>
      </c>
      <c r="O2300">
        <v>10</v>
      </c>
      <c r="P2300" t="s">
        <v>21</v>
      </c>
      <c r="Q2300" t="s">
        <v>85</v>
      </c>
      <c r="R2300" t="str" cm="1">
        <f t="array" ref="R2300">_xlfn.IFS(B2300&lt;31,"Young-Adult",B2300&lt;41,"Adult",B2300&lt;61,"Middle-aged",B2300&gt;=61,"Senior")</f>
        <v>Adult</v>
      </c>
      <c r="S2300" cm="1">
        <f t="array" ref="S2300">_xlfn.IFS(Q2300 ="Fortnightly",14,Q2300="Weekly",7,Q2300="Monthly",30,Q2300="Quarterly",90,Q2300="Bi-Weekly",14,Q2300="Annually",365,Q2300="Every 3 Months",90,TRUE,"NOT FOUND")</f>
        <v>90</v>
      </c>
    </row>
    <row r="2301" spans="1:19" x14ac:dyDescent="0.35">
      <c r="A2301">
        <v>2300</v>
      </c>
      <c r="B2301">
        <v>64</v>
      </c>
      <c r="C2301" t="s">
        <v>7</v>
      </c>
      <c r="D2301" t="s">
        <v>50</v>
      </c>
      <c r="E2301" t="s">
        <v>51</v>
      </c>
      <c r="F2301">
        <v>57</v>
      </c>
      <c r="G2301" t="s">
        <v>123</v>
      </c>
      <c r="H2301" t="s">
        <v>32</v>
      </c>
      <c r="I2301" t="s">
        <v>71</v>
      </c>
      <c r="J2301" t="s">
        <v>41</v>
      </c>
      <c r="K2301">
        <v>3.7</v>
      </c>
      <c r="L2301" t="s">
        <v>140</v>
      </c>
      <c r="M2301" t="s">
        <v>62</v>
      </c>
      <c r="N2301" t="s">
        <v>140</v>
      </c>
      <c r="O2301">
        <v>48</v>
      </c>
      <c r="P2301" t="s">
        <v>27</v>
      </c>
      <c r="Q2301" t="s">
        <v>85</v>
      </c>
      <c r="R2301" t="str" cm="1">
        <f t="array" ref="R2301">_xlfn.IFS(B2301&lt;31,"Young-Adult",B2301&lt;41,"Adult",B2301&lt;61,"Middle-aged",B2301&gt;=61,"Senior")</f>
        <v>Senior</v>
      </c>
      <c r="S2301" cm="1">
        <f t="array" ref="S2301">_xlfn.IFS(Q2301 ="Fortnightly",14,Q2301="Weekly",7,Q2301="Monthly",30,Q2301="Quarterly",90,Q2301="Bi-Weekly",14,Q2301="Annually",365,Q2301="Every 3 Months",90,TRUE,"NOT FOUND")</f>
        <v>90</v>
      </c>
    </row>
    <row r="2302" spans="1:19" x14ac:dyDescent="0.35">
      <c r="A2302">
        <v>2301</v>
      </c>
      <c r="B2302">
        <v>18</v>
      </c>
      <c r="C2302" t="s">
        <v>7</v>
      </c>
      <c r="D2302" t="s">
        <v>50</v>
      </c>
      <c r="E2302" t="s">
        <v>51</v>
      </c>
      <c r="F2302">
        <v>88</v>
      </c>
      <c r="G2302" t="s">
        <v>126</v>
      </c>
      <c r="H2302" t="s">
        <v>80</v>
      </c>
      <c r="I2302" t="s">
        <v>81</v>
      </c>
      <c r="J2302" t="s">
        <v>41</v>
      </c>
      <c r="K2302">
        <v>4.4000000000000004</v>
      </c>
      <c r="L2302" t="s">
        <v>140</v>
      </c>
      <c r="M2302" t="s">
        <v>58</v>
      </c>
      <c r="N2302" t="s">
        <v>140</v>
      </c>
      <c r="O2302">
        <v>38</v>
      </c>
      <c r="P2302" t="s">
        <v>27</v>
      </c>
      <c r="Q2302" t="s">
        <v>76</v>
      </c>
      <c r="R2302" t="str" cm="1">
        <f t="array" ref="R2302">_xlfn.IFS(B2302&lt;31,"Young-Adult",B2302&lt;41,"Adult",B2302&lt;61,"Middle-aged",B2302&gt;=61,"Senior")</f>
        <v>Young-Adult</v>
      </c>
      <c r="S2302" cm="1">
        <f t="array" ref="S2302">_xlfn.IFS(Q2302 ="Fortnightly",14,Q2302="Weekly",7,Q2302="Monthly",30,Q2302="Quarterly",90,Q2302="Bi-Weekly",14,Q2302="Annually",365,Q2302="Every 3 Months",90,TRUE,"NOT FOUND")</f>
        <v>30</v>
      </c>
    </row>
    <row r="2303" spans="1:19" x14ac:dyDescent="0.35">
      <c r="A2303">
        <v>2302</v>
      </c>
      <c r="B2303">
        <v>37</v>
      </c>
      <c r="C2303" t="s">
        <v>7</v>
      </c>
      <c r="D2303" t="s">
        <v>83</v>
      </c>
      <c r="E2303" t="s">
        <v>9</v>
      </c>
      <c r="F2303">
        <v>20</v>
      </c>
      <c r="G2303" t="s">
        <v>19</v>
      </c>
      <c r="H2303" t="s">
        <v>11</v>
      </c>
      <c r="I2303" t="s">
        <v>36</v>
      </c>
      <c r="J2303" t="s">
        <v>13</v>
      </c>
      <c r="K2303">
        <v>2.9</v>
      </c>
      <c r="L2303" t="s">
        <v>140</v>
      </c>
      <c r="M2303" t="s">
        <v>33</v>
      </c>
      <c r="N2303" t="s">
        <v>140</v>
      </c>
      <c r="O2303">
        <v>21</v>
      </c>
      <c r="P2303" t="s">
        <v>74</v>
      </c>
      <c r="Q2303" t="s">
        <v>37</v>
      </c>
      <c r="R2303" t="str" cm="1">
        <f t="array" ref="R2303">_xlfn.IFS(B2303&lt;31,"Young-Adult",B2303&lt;41,"Adult",B2303&lt;61,"Middle-aged",B2303&gt;=61,"Senior")</f>
        <v>Adult</v>
      </c>
      <c r="S2303" cm="1">
        <f t="array" ref="S2303">_xlfn.IFS(Q2303 ="Fortnightly",14,Q2303="Weekly",7,Q2303="Monthly",30,Q2303="Quarterly",90,Q2303="Bi-Weekly",14,Q2303="Annually",365,Q2303="Every 3 Months",90,TRUE,"NOT FOUND")</f>
        <v>365</v>
      </c>
    </row>
    <row r="2304" spans="1:19" x14ac:dyDescent="0.35">
      <c r="A2304">
        <v>2303</v>
      </c>
      <c r="B2304">
        <v>36</v>
      </c>
      <c r="C2304" t="s">
        <v>7</v>
      </c>
      <c r="D2304" t="s">
        <v>121</v>
      </c>
      <c r="E2304" t="s">
        <v>55</v>
      </c>
      <c r="F2304">
        <v>39</v>
      </c>
      <c r="G2304" t="s">
        <v>44</v>
      </c>
      <c r="H2304" t="s">
        <v>11</v>
      </c>
      <c r="I2304" t="s">
        <v>57</v>
      </c>
      <c r="J2304" t="s">
        <v>41</v>
      </c>
      <c r="K2304">
        <v>3.6</v>
      </c>
      <c r="L2304" t="s">
        <v>140</v>
      </c>
      <c r="M2304" t="s">
        <v>62</v>
      </c>
      <c r="N2304" t="s">
        <v>140</v>
      </c>
      <c r="O2304">
        <v>38</v>
      </c>
      <c r="P2304" t="s">
        <v>16</v>
      </c>
      <c r="Q2304" t="s">
        <v>76</v>
      </c>
      <c r="R2304" t="str" cm="1">
        <f t="array" ref="R2304">_xlfn.IFS(B2304&lt;31,"Young-Adult",B2304&lt;41,"Adult",B2304&lt;61,"Middle-aged",B2304&gt;=61,"Senior")</f>
        <v>Adult</v>
      </c>
      <c r="S2304" cm="1">
        <f t="array" ref="S2304">_xlfn.IFS(Q2304 ="Fortnightly",14,Q2304="Weekly",7,Q2304="Monthly",30,Q2304="Quarterly",90,Q2304="Bi-Weekly",14,Q2304="Annually",365,Q2304="Every 3 Months",90,TRUE,"NOT FOUND")</f>
        <v>30</v>
      </c>
    </row>
    <row r="2305" spans="1:19" x14ac:dyDescent="0.35">
      <c r="A2305">
        <v>2304</v>
      </c>
      <c r="B2305">
        <v>51</v>
      </c>
      <c r="C2305" t="s">
        <v>7</v>
      </c>
      <c r="D2305" t="s">
        <v>77</v>
      </c>
      <c r="E2305" t="s">
        <v>55</v>
      </c>
      <c r="F2305">
        <v>71</v>
      </c>
      <c r="G2305" t="s">
        <v>115</v>
      </c>
      <c r="H2305" t="s">
        <v>24</v>
      </c>
      <c r="I2305" t="s">
        <v>106</v>
      </c>
      <c r="J2305" t="s">
        <v>25</v>
      </c>
      <c r="K2305">
        <v>4.8</v>
      </c>
      <c r="L2305" t="s">
        <v>140</v>
      </c>
      <c r="M2305" t="s">
        <v>58</v>
      </c>
      <c r="N2305" t="s">
        <v>140</v>
      </c>
      <c r="O2305">
        <v>31</v>
      </c>
      <c r="P2305" t="s">
        <v>27</v>
      </c>
      <c r="Q2305" t="s">
        <v>17</v>
      </c>
      <c r="R2305" t="str" cm="1">
        <f t="array" ref="R2305">_xlfn.IFS(B2305&lt;31,"Young-Adult",B2305&lt;41,"Adult",B2305&lt;61,"Middle-aged",B2305&gt;=61,"Senior")</f>
        <v>Middle-aged</v>
      </c>
      <c r="S2305" cm="1">
        <f t="array" ref="S2305">_xlfn.IFS(Q2305 ="Fortnightly",14,Q2305="Weekly",7,Q2305="Monthly",30,Q2305="Quarterly",90,Q2305="Bi-Weekly",14,Q2305="Annually",365,Q2305="Every 3 Months",90,TRUE,"NOT FOUND")</f>
        <v>14</v>
      </c>
    </row>
    <row r="2306" spans="1:19" x14ac:dyDescent="0.35">
      <c r="A2306">
        <v>2305</v>
      </c>
      <c r="B2306">
        <v>26</v>
      </c>
      <c r="C2306" t="s">
        <v>7</v>
      </c>
      <c r="D2306" t="s">
        <v>92</v>
      </c>
      <c r="E2306" t="s">
        <v>9</v>
      </c>
      <c r="F2306">
        <v>73</v>
      </c>
      <c r="G2306" t="s">
        <v>48</v>
      </c>
      <c r="H2306" t="s">
        <v>11</v>
      </c>
      <c r="I2306" t="s">
        <v>53</v>
      </c>
      <c r="J2306" t="s">
        <v>13</v>
      </c>
      <c r="K2306">
        <v>4.7</v>
      </c>
      <c r="L2306" t="s">
        <v>140</v>
      </c>
      <c r="M2306" t="s">
        <v>26</v>
      </c>
      <c r="N2306" t="s">
        <v>140</v>
      </c>
      <c r="O2306">
        <v>9</v>
      </c>
      <c r="P2306" t="s">
        <v>74</v>
      </c>
      <c r="Q2306" t="s">
        <v>17</v>
      </c>
      <c r="R2306" t="str" cm="1">
        <f t="array" ref="R2306">_xlfn.IFS(B2306&lt;31,"Young-Adult",B2306&lt;41,"Adult",B2306&lt;61,"Middle-aged",B2306&gt;=61,"Senior")</f>
        <v>Young-Adult</v>
      </c>
      <c r="S2306" cm="1">
        <f t="array" ref="S2306">_xlfn.IFS(Q2306 ="Fortnightly",14,Q2306="Weekly",7,Q2306="Monthly",30,Q2306="Quarterly",90,Q2306="Bi-Weekly",14,Q2306="Annually",365,Q2306="Every 3 Months",90,TRUE,"NOT FOUND")</f>
        <v>14</v>
      </c>
    </row>
    <row r="2307" spans="1:19" x14ac:dyDescent="0.35">
      <c r="A2307">
        <v>2306</v>
      </c>
      <c r="B2307">
        <v>68</v>
      </c>
      <c r="C2307" t="s">
        <v>7</v>
      </c>
      <c r="D2307" t="s">
        <v>54</v>
      </c>
      <c r="E2307" t="s">
        <v>55</v>
      </c>
      <c r="F2307">
        <v>63</v>
      </c>
      <c r="G2307" t="s">
        <v>19</v>
      </c>
      <c r="H2307" t="s">
        <v>32</v>
      </c>
      <c r="I2307" t="s">
        <v>68</v>
      </c>
      <c r="J2307" t="s">
        <v>41</v>
      </c>
      <c r="K2307">
        <v>2.6</v>
      </c>
      <c r="L2307" t="s">
        <v>140</v>
      </c>
      <c r="M2307" t="s">
        <v>26</v>
      </c>
      <c r="N2307" t="s">
        <v>140</v>
      </c>
      <c r="O2307">
        <v>47</v>
      </c>
      <c r="P2307" t="s">
        <v>21</v>
      </c>
      <c r="Q2307" t="s">
        <v>28</v>
      </c>
      <c r="R2307" t="str" cm="1">
        <f t="array" ref="R2307">_xlfn.IFS(B2307&lt;31,"Young-Adult",B2307&lt;41,"Adult",B2307&lt;61,"Middle-aged",B2307&gt;=61,"Senior")</f>
        <v>Senior</v>
      </c>
      <c r="S2307" cm="1">
        <f t="array" ref="S2307">_xlfn.IFS(Q2307 ="Fortnightly",14,Q2307="Weekly",7,Q2307="Monthly",30,Q2307="Quarterly",90,Q2307="Bi-Weekly",14,Q2307="Annually",365,Q2307="Every 3 Months",90,TRUE,"NOT FOUND")</f>
        <v>7</v>
      </c>
    </row>
    <row r="2308" spans="1:19" x14ac:dyDescent="0.35">
      <c r="A2308">
        <v>2307</v>
      </c>
      <c r="B2308">
        <v>27</v>
      </c>
      <c r="C2308" t="s">
        <v>7</v>
      </c>
      <c r="D2308" t="s">
        <v>131</v>
      </c>
      <c r="E2308" t="s">
        <v>55</v>
      </c>
      <c r="F2308">
        <v>78</v>
      </c>
      <c r="G2308" t="s">
        <v>91</v>
      </c>
      <c r="H2308" t="s">
        <v>11</v>
      </c>
      <c r="I2308" t="s">
        <v>53</v>
      </c>
      <c r="J2308" t="s">
        <v>13</v>
      </c>
      <c r="K2308">
        <v>3.4</v>
      </c>
      <c r="L2308" t="s">
        <v>140</v>
      </c>
      <c r="M2308" t="s">
        <v>42</v>
      </c>
      <c r="N2308" t="s">
        <v>140</v>
      </c>
      <c r="O2308">
        <v>8</v>
      </c>
      <c r="P2308" t="s">
        <v>21</v>
      </c>
      <c r="Q2308" t="s">
        <v>64</v>
      </c>
      <c r="R2308" t="str" cm="1">
        <f t="array" ref="R2308">_xlfn.IFS(B2308&lt;31,"Young-Adult",B2308&lt;41,"Adult",B2308&lt;61,"Middle-aged",B2308&gt;=61,"Senior")</f>
        <v>Young-Adult</v>
      </c>
      <c r="S2308" cm="1">
        <f t="array" ref="S2308">_xlfn.IFS(Q2308 ="Fortnightly",14,Q2308="Weekly",7,Q2308="Monthly",30,Q2308="Quarterly",90,Q2308="Bi-Weekly",14,Q2308="Annually",365,Q2308="Every 3 Months",90,TRUE,"NOT FOUND")</f>
        <v>14</v>
      </c>
    </row>
    <row r="2309" spans="1:19" x14ac:dyDescent="0.35">
      <c r="A2309">
        <v>2308</v>
      </c>
      <c r="B2309">
        <v>28</v>
      </c>
      <c r="C2309" t="s">
        <v>7</v>
      </c>
      <c r="D2309" t="s">
        <v>75</v>
      </c>
      <c r="E2309" t="s">
        <v>9</v>
      </c>
      <c r="F2309">
        <v>96</v>
      </c>
      <c r="G2309" t="s">
        <v>56</v>
      </c>
      <c r="H2309" t="s">
        <v>11</v>
      </c>
      <c r="I2309" t="s">
        <v>84</v>
      </c>
      <c r="J2309" t="s">
        <v>45</v>
      </c>
      <c r="K2309">
        <v>3.5</v>
      </c>
      <c r="L2309" t="s">
        <v>140</v>
      </c>
      <c r="M2309" t="s">
        <v>33</v>
      </c>
      <c r="N2309" t="s">
        <v>140</v>
      </c>
      <c r="O2309">
        <v>30</v>
      </c>
      <c r="P2309" t="s">
        <v>74</v>
      </c>
      <c r="Q2309" t="s">
        <v>37</v>
      </c>
      <c r="R2309" t="str" cm="1">
        <f t="array" ref="R2309">_xlfn.IFS(B2309&lt;31,"Young-Adult",B2309&lt;41,"Adult",B2309&lt;61,"Middle-aged",B2309&gt;=61,"Senior")</f>
        <v>Young-Adult</v>
      </c>
      <c r="S2309" cm="1">
        <f t="array" ref="S2309">_xlfn.IFS(Q2309 ="Fortnightly",14,Q2309="Weekly",7,Q2309="Monthly",30,Q2309="Quarterly",90,Q2309="Bi-Weekly",14,Q2309="Annually",365,Q2309="Every 3 Months",90,TRUE,"NOT FOUND")</f>
        <v>365</v>
      </c>
    </row>
    <row r="2310" spans="1:19" x14ac:dyDescent="0.35">
      <c r="A2310">
        <v>2309</v>
      </c>
      <c r="B2310">
        <v>49</v>
      </c>
      <c r="C2310" t="s">
        <v>7</v>
      </c>
      <c r="D2310" t="s">
        <v>77</v>
      </c>
      <c r="E2310" t="s">
        <v>55</v>
      </c>
      <c r="F2310">
        <v>81</v>
      </c>
      <c r="G2310" t="s">
        <v>102</v>
      </c>
      <c r="H2310" t="s">
        <v>32</v>
      </c>
      <c r="I2310" t="s">
        <v>73</v>
      </c>
      <c r="J2310" t="s">
        <v>13</v>
      </c>
      <c r="K2310">
        <v>3.4</v>
      </c>
      <c r="L2310" t="s">
        <v>140</v>
      </c>
      <c r="M2310" t="s">
        <v>58</v>
      </c>
      <c r="N2310" t="s">
        <v>140</v>
      </c>
      <c r="O2310">
        <v>22</v>
      </c>
      <c r="P2310" t="s">
        <v>63</v>
      </c>
      <c r="Q2310" t="s">
        <v>46</v>
      </c>
      <c r="R2310" t="str" cm="1">
        <f t="array" ref="R2310">_xlfn.IFS(B2310&lt;31,"Young-Adult",B2310&lt;41,"Adult",B2310&lt;61,"Middle-aged",B2310&gt;=61,"Senior")</f>
        <v>Middle-aged</v>
      </c>
      <c r="S2310" cm="1">
        <f t="array" ref="S2310">_xlfn.IFS(Q2310 ="Fortnightly",14,Q2310="Weekly",7,Q2310="Monthly",30,Q2310="Quarterly",90,Q2310="Bi-Weekly",14,Q2310="Annually",365,Q2310="Every 3 Months",90,TRUE,"NOT FOUND")</f>
        <v>90</v>
      </c>
    </row>
    <row r="2311" spans="1:19" x14ac:dyDescent="0.35">
      <c r="A2311">
        <v>2310</v>
      </c>
      <c r="B2311">
        <v>70</v>
      </c>
      <c r="C2311" t="s">
        <v>7</v>
      </c>
      <c r="D2311" t="s">
        <v>69</v>
      </c>
      <c r="E2311" t="s">
        <v>9</v>
      </c>
      <c r="F2311">
        <v>95</v>
      </c>
      <c r="G2311" t="s">
        <v>127</v>
      </c>
      <c r="H2311" t="s">
        <v>24</v>
      </c>
      <c r="I2311" t="s">
        <v>68</v>
      </c>
      <c r="J2311" t="s">
        <v>45</v>
      </c>
      <c r="K2311">
        <v>5</v>
      </c>
      <c r="L2311" t="s">
        <v>140</v>
      </c>
      <c r="M2311" t="s">
        <v>58</v>
      </c>
      <c r="N2311" t="s">
        <v>140</v>
      </c>
      <c r="O2311">
        <v>3</v>
      </c>
      <c r="P2311" t="s">
        <v>63</v>
      </c>
      <c r="Q2311" t="s">
        <v>46</v>
      </c>
      <c r="R2311" t="str" cm="1">
        <f t="array" ref="R2311">_xlfn.IFS(B2311&lt;31,"Young-Adult",B2311&lt;41,"Adult",B2311&lt;61,"Middle-aged",B2311&gt;=61,"Senior")</f>
        <v>Senior</v>
      </c>
      <c r="S2311" cm="1">
        <f t="array" ref="S2311">_xlfn.IFS(Q2311 ="Fortnightly",14,Q2311="Weekly",7,Q2311="Monthly",30,Q2311="Quarterly",90,Q2311="Bi-Weekly",14,Q2311="Annually",365,Q2311="Every 3 Months",90,TRUE,"NOT FOUND")</f>
        <v>90</v>
      </c>
    </row>
    <row r="2312" spans="1:19" x14ac:dyDescent="0.35">
      <c r="A2312">
        <v>2311</v>
      </c>
      <c r="B2312">
        <v>30</v>
      </c>
      <c r="C2312" t="s">
        <v>7</v>
      </c>
      <c r="D2312" t="s">
        <v>131</v>
      </c>
      <c r="E2312" t="s">
        <v>55</v>
      </c>
      <c r="F2312">
        <v>68</v>
      </c>
      <c r="G2312" t="s">
        <v>129</v>
      </c>
      <c r="H2312" t="s">
        <v>32</v>
      </c>
      <c r="I2312" t="s">
        <v>97</v>
      </c>
      <c r="J2312" t="s">
        <v>25</v>
      </c>
      <c r="K2312">
        <v>4.5999999999999996</v>
      </c>
      <c r="L2312" t="s">
        <v>140</v>
      </c>
      <c r="M2312" t="s">
        <v>42</v>
      </c>
      <c r="N2312" t="s">
        <v>140</v>
      </c>
      <c r="O2312">
        <v>15</v>
      </c>
      <c r="P2312" t="s">
        <v>34</v>
      </c>
      <c r="Q2312" t="s">
        <v>76</v>
      </c>
      <c r="R2312" t="str" cm="1">
        <f t="array" ref="R2312">_xlfn.IFS(B2312&lt;31,"Young-Adult",B2312&lt;41,"Adult",B2312&lt;61,"Middle-aged",B2312&gt;=61,"Senior")</f>
        <v>Young-Adult</v>
      </c>
      <c r="S2312" cm="1">
        <f t="array" ref="S2312">_xlfn.IFS(Q2312 ="Fortnightly",14,Q2312="Weekly",7,Q2312="Monthly",30,Q2312="Quarterly",90,Q2312="Bi-Weekly",14,Q2312="Annually",365,Q2312="Every 3 Months",90,TRUE,"NOT FOUND")</f>
        <v>30</v>
      </c>
    </row>
    <row r="2313" spans="1:19" x14ac:dyDescent="0.35">
      <c r="A2313">
        <v>2312</v>
      </c>
      <c r="B2313">
        <v>27</v>
      </c>
      <c r="C2313" t="s">
        <v>7</v>
      </c>
      <c r="D2313" t="s">
        <v>38</v>
      </c>
      <c r="E2313" t="s">
        <v>30</v>
      </c>
      <c r="F2313">
        <v>28</v>
      </c>
      <c r="G2313" t="s">
        <v>44</v>
      </c>
      <c r="H2313" t="s">
        <v>11</v>
      </c>
      <c r="I2313" t="s">
        <v>68</v>
      </c>
      <c r="J2313" t="s">
        <v>25</v>
      </c>
      <c r="K2313">
        <v>4.8</v>
      </c>
      <c r="L2313" t="s">
        <v>140</v>
      </c>
      <c r="M2313" t="s">
        <v>58</v>
      </c>
      <c r="N2313" t="s">
        <v>140</v>
      </c>
      <c r="O2313">
        <v>10</v>
      </c>
      <c r="P2313" t="s">
        <v>63</v>
      </c>
      <c r="Q2313" t="s">
        <v>85</v>
      </c>
      <c r="R2313" t="str" cm="1">
        <f t="array" ref="R2313">_xlfn.IFS(B2313&lt;31,"Young-Adult",B2313&lt;41,"Adult",B2313&lt;61,"Middle-aged",B2313&gt;=61,"Senior")</f>
        <v>Young-Adult</v>
      </c>
      <c r="S2313" cm="1">
        <f t="array" ref="S2313">_xlfn.IFS(Q2313 ="Fortnightly",14,Q2313="Weekly",7,Q2313="Monthly",30,Q2313="Quarterly",90,Q2313="Bi-Weekly",14,Q2313="Annually",365,Q2313="Every 3 Months",90,TRUE,"NOT FOUND")</f>
        <v>90</v>
      </c>
    </row>
    <row r="2314" spans="1:19" x14ac:dyDescent="0.35">
      <c r="A2314">
        <v>2313</v>
      </c>
      <c r="B2314">
        <v>19</v>
      </c>
      <c r="C2314" t="s">
        <v>7</v>
      </c>
      <c r="D2314" t="s">
        <v>101</v>
      </c>
      <c r="E2314" t="s">
        <v>9</v>
      </c>
      <c r="F2314">
        <v>30</v>
      </c>
      <c r="G2314" t="s">
        <v>117</v>
      </c>
      <c r="H2314" t="s">
        <v>11</v>
      </c>
      <c r="I2314" t="s">
        <v>71</v>
      </c>
      <c r="J2314" t="s">
        <v>41</v>
      </c>
      <c r="K2314">
        <v>3.7</v>
      </c>
      <c r="L2314" t="s">
        <v>140</v>
      </c>
      <c r="M2314" t="s">
        <v>26</v>
      </c>
      <c r="N2314" t="s">
        <v>140</v>
      </c>
      <c r="O2314">
        <v>19</v>
      </c>
      <c r="P2314" t="s">
        <v>21</v>
      </c>
      <c r="Q2314" t="s">
        <v>85</v>
      </c>
      <c r="R2314" t="str" cm="1">
        <f t="array" ref="R2314">_xlfn.IFS(B2314&lt;31,"Young-Adult",B2314&lt;41,"Adult",B2314&lt;61,"Middle-aged",B2314&gt;=61,"Senior")</f>
        <v>Young-Adult</v>
      </c>
      <c r="S2314" cm="1">
        <f t="array" ref="S2314">_xlfn.IFS(Q2314 ="Fortnightly",14,Q2314="Weekly",7,Q2314="Monthly",30,Q2314="Quarterly",90,Q2314="Bi-Weekly",14,Q2314="Annually",365,Q2314="Every 3 Months",90,TRUE,"NOT FOUND")</f>
        <v>90</v>
      </c>
    </row>
    <row r="2315" spans="1:19" x14ac:dyDescent="0.35">
      <c r="A2315">
        <v>2314</v>
      </c>
      <c r="B2315">
        <v>64</v>
      </c>
      <c r="C2315" t="s">
        <v>7</v>
      </c>
      <c r="D2315" t="s">
        <v>69</v>
      </c>
      <c r="E2315" t="s">
        <v>9</v>
      </c>
      <c r="F2315">
        <v>31</v>
      </c>
      <c r="G2315" t="s">
        <v>130</v>
      </c>
      <c r="H2315" t="s">
        <v>32</v>
      </c>
      <c r="I2315" t="s">
        <v>82</v>
      </c>
      <c r="J2315" t="s">
        <v>41</v>
      </c>
      <c r="K2315">
        <v>4.7</v>
      </c>
      <c r="L2315" t="s">
        <v>140</v>
      </c>
      <c r="M2315" t="s">
        <v>33</v>
      </c>
      <c r="N2315" t="s">
        <v>140</v>
      </c>
      <c r="O2315">
        <v>36</v>
      </c>
      <c r="P2315" t="s">
        <v>63</v>
      </c>
      <c r="Q2315" t="s">
        <v>17</v>
      </c>
      <c r="R2315" t="str" cm="1">
        <f t="array" ref="R2315">_xlfn.IFS(B2315&lt;31,"Young-Adult",B2315&lt;41,"Adult",B2315&lt;61,"Middle-aged",B2315&gt;=61,"Senior")</f>
        <v>Senior</v>
      </c>
      <c r="S2315" cm="1">
        <f t="array" ref="S2315">_xlfn.IFS(Q2315 ="Fortnightly",14,Q2315="Weekly",7,Q2315="Monthly",30,Q2315="Quarterly",90,Q2315="Bi-Weekly",14,Q2315="Annually",365,Q2315="Every 3 Months",90,TRUE,"NOT FOUND")</f>
        <v>14</v>
      </c>
    </row>
    <row r="2316" spans="1:19" x14ac:dyDescent="0.35">
      <c r="A2316">
        <v>2315</v>
      </c>
      <c r="B2316">
        <v>42</v>
      </c>
      <c r="C2316" t="s">
        <v>7</v>
      </c>
      <c r="D2316" t="s">
        <v>54</v>
      </c>
      <c r="E2316" t="s">
        <v>55</v>
      </c>
      <c r="F2316">
        <v>95</v>
      </c>
      <c r="G2316" t="s">
        <v>129</v>
      </c>
      <c r="H2316" t="s">
        <v>80</v>
      </c>
      <c r="I2316" t="s">
        <v>98</v>
      </c>
      <c r="J2316" t="s">
        <v>13</v>
      </c>
      <c r="K2316">
        <v>4.4000000000000004</v>
      </c>
      <c r="L2316" t="s">
        <v>140</v>
      </c>
      <c r="M2316" t="s">
        <v>15</v>
      </c>
      <c r="N2316" t="s">
        <v>140</v>
      </c>
      <c r="O2316">
        <v>12</v>
      </c>
      <c r="P2316" t="s">
        <v>63</v>
      </c>
      <c r="Q2316" t="s">
        <v>85</v>
      </c>
      <c r="R2316" t="str" cm="1">
        <f t="array" ref="R2316">_xlfn.IFS(B2316&lt;31,"Young-Adult",B2316&lt;41,"Adult",B2316&lt;61,"Middle-aged",B2316&gt;=61,"Senior")</f>
        <v>Middle-aged</v>
      </c>
      <c r="S2316" cm="1">
        <f t="array" ref="S2316">_xlfn.IFS(Q2316 ="Fortnightly",14,Q2316="Weekly",7,Q2316="Monthly",30,Q2316="Quarterly",90,Q2316="Bi-Weekly",14,Q2316="Annually",365,Q2316="Every 3 Months",90,TRUE,"NOT FOUND")</f>
        <v>90</v>
      </c>
    </row>
    <row r="2317" spans="1:19" x14ac:dyDescent="0.35">
      <c r="A2317">
        <v>2316</v>
      </c>
      <c r="B2317">
        <v>69</v>
      </c>
      <c r="C2317" t="s">
        <v>7</v>
      </c>
      <c r="D2317" t="s">
        <v>113</v>
      </c>
      <c r="E2317" t="s">
        <v>9</v>
      </c>
      <c r="F2317">
        <v>79</v>
      </c>
      <c r="G2317" t="s">
        <v>117</v>
      </c>
      <c r="H2317" t="s">
        <v>32</v>
      </c>
      <c r="I2317" t="s">
        <v>114</v>
      </c>
      <c r="J2317" t="s">
        <v>13</v>
      </c>
      <c r="K2317">
        <v>3.5</v>
      </c>
      <c r="L2317" t="s">
        <v>140</v>
      </c>
      <c r="M2317" t="s">
        <v>58</v>
      </c>
      <c r="N2317" t="s">
        <v>140</v>
      </c>
      <c r="O2317">
        <v>49</v>
      </c>
      <c r="P2317" t="s">
        <v>74</v>
      </c>
      <c r="Q2317" t="s">
        <v>46</v>
      </c>
      <c r="R2317" t="str" cm="1">
        <f t="array" ref="R2317">_xlfn.IFS(B2317&lt;31,"Young-Adult",B2317&lt;41,"Adult",B2317&lt;61,"Middle-aged",B2317&gt;=61,"Senior")</f>
        <v>Senior</v>
      </c>
      <c r="S2317" cm="1">
        <f t="array" ref="S2317">_xlfn.IFS(Q2317 ="Fortnightly",14,Q2317="Weekly",7,Q2317="Monthly",30,Q2317="Quarterly",90,Q2317="Bi-Weekly",14,Q2317="Annually",365,Q2317="Every 3 Months",90,TRUE,"NOT FOUND")</f>
        <v>90</v>
      </c>
    </row>
    <row r="2318" spans="1:19" x14ac:dyDescent="0.35">
      <c r="A2318">
        <v>2317</v>
      </c>
      <c r="B2318">
        <v>28</v>
      </c>
      <c r="C2318" t="s">
        <v>7</v>
      </c>
      <c r="D2318" t="s">
        <v>38</v>
      </c>
      <c r="E2318" t="s">
        <v>30</v>
      </c>
      <c r="F2318">
        <v>39</v>
      </c>
      <c r="G2318" t="s">
        <v>44</v>
      </c>
      <c r="H2318" t="s">
        <v>11</v>
      </c>
      <c r="I2318" t="s">
        <v>122</v>
      </c>
      <c r="J2318" t="s">
        <v>13</v>
      </c>
      <c r="K2318">
        <v>3.8</v>
      </c>
      <c r="L2318" t="s">
        <v>140</v>
      </c>
      <c r="M2318" t="s">
        <v>42</v>
      </c>
      <c r="N2318" t="s">
        <v>140</v>
      </c>
      <c r="O2318">
        <v>7</v>
      </c>
      <c r="P2318" t="s">
        <v>74</v>
      </c>
      <c r="Q2318" t="s">
        <v>37</v>
      </c>
      <c r="R2318" t="str" cm="1">
        <f t="array" ref="R2318">_xlfn.IFS(B2318&lt;31,"Young-Adult",B2318&lt;41,"Adult",B2318&lt;61,"Middle-aged",B2318&gt;=61,"Senior")</f>
        <v>Young-Adult</v>
      </c>
      <c r="S2318" cm="1">
        <f t="array" ref="S2318">_xlfn.IFS(Q2318 ="Fortnightly",14,Q2318="Weekly",7,Q2318="Monthly",30,Q2318="Quarterly",90,Q2318="Bi-Weekly",14,Q2318="Annually",365,Q2318="Every 3 Months",90,TRUE,"NOT FOUND")</f>
        <v>365</v>
      </c>
    </row>
    <row r="2319" spans="1:19" x14ac:dyDescent="0.35">
      <c r="A2319">
        <v>2318</v>
      </c>
      <c r="B2319">
        <v>47</v>
      </c>
      <c r="C2319" t="s">
        <v>7</v>
      </c>
      <c r="D2319" t="s">
        <v>90</v>
      </c>
      <c r="E2319" t="s">
        <v>51</v>
      </c>
      <c r="F2319">
        <v>34</v>
      </c>
      <c r="G2319" t="s">
        <v>115</v>
      </c>
      <c r="H2319" t="s">
        <v>32</v>
      </c>
      <c r="I2319" t="s">
        <v>61</v>
      </c>
      <c r="J2319" t="s">
        <v>41</v>
      </c>
      <c r="K2319">
        <v>4.7</v>
      </c>
      <c r="L2319" t="s">
        <v>140</v>
      </c>
      <c r="M2319" t="s">
        <v>33</v>
      </c>
      <c r="N2319" t="s">
        <v>140</v>
      </c>
      <c r="O2319">
        <v>28</v>
      </c>
      <c r="P2319" t="s">
        <v>63</v>
      </c>
      <c r="Q2319" t="s">
        <v>76</v>
      </c>
      <c r="R2319" t="str" cm="1">
        <f t="array" ref="R2319">_xlfn.IFS(B2319&lt;31,"Young-Adult",B2319&lt;41,"Adult",B2319&lt;61,"Middle-aged",B2319&gt;=61,"Senior")</f>
        <v>Middle-aged</v>
      </c>
      <c r="S2319" cm="1">
        <f t="array" ref="S2319">_xlfn.IFS(Q2319 ="Fortnightly",14,Q2319="Weekly",7,Q2319="Monthly",30,Q2319="Quarterly",90,Q2319="Bi-Weekly",14,Q2319="Annually",365,Q2319="Every 3 Months",90,TRUE,"NOT FOUND")</f>
        <v>30</v>
      </c>
    </row>
    <row r="2320" spans="1:19" x14ac:dyDescent="0.35">
      <c r="A2320">
        <v>2319</v>
      </c>
      <c r="B2320">
        <v>69</v>
      </c>
      <c r="C2320" t="s">
        <v>7</v>
      </c>
      <c r="D2320" t="s">
        <v>92</v>
      </c>
      <c r="E2320" t="s">
        <v>9</v>
      </c>
      <c r="F2320">
        <v>28</v>
      </c>
      <c r="G2320" t="s">
        <v>39</v>
      </c>
      <c r="H2320" t="s">
        <v>11</v>
      </c>
      <c r="I2320" t="s">
        <v>40</v>
      </c>
      <c r="J2320" t="s">
        <v>25</v>
      </c>
      <c r="K2320">
        <v>3.1</v>
      </c>
      <c r="L2320" t="s">
        <v>140</v>
      </c>
      <c r="M2320" t="s">
        <v>62</v>
      </c>
      <c r="N2320" t="s">
        <v>140</v>
      </c>
      <c r="O2320">
        <v>30</v>
      </c>
      <c r="P2320" t="s">
        <v>27</v>
      </c>
      <c r="Q2320" t="s">
        <v>37</v>
      </c>
      <c r="R2320" t="str" cm="1">
        <f t="array" ref="R2320">_xlfn.IFS(B2320&lt;31,"Young-Adult",B2320&lt;41,"Adult",B2320&lt;61,"Middle-aged",B2320&gt;=61,"Senior")</f>
        <v>Senior</v>
      </c>
      <c r="S2320" cm="1">
        <f t="array" ref="S2320">_xlfn.IFS(Q2320 ="Fortnightly",14,Q2320="Weekly",7,Q2320="Monthly",30,Q2320="Quarterly",90,Q2320="Bi-Weekly",14,Q2320="Annually",365,Q2320="Every 3 Months",90,TRUE,"NOT FOUND")</f>
        <v>365</v>
      </c>
    </row>
    <row r="2321" spans="1:19" x14ac:dyDescent="0.35">
      <c r="A2321">
        <v>2320</v>
      </c>
      <c r="B2321">
        <v>56</v>
      </c>
      <c r="C2321" t="s">
        <v>7</v>
      </c>
      <c r="D2321" t="s">
        <v>29</v>
      </c>
      <c r="E2321" t="s">
        <v>30</v>
      </c>
      <c r="F2321">
        <v>38</v>
      </c>
      <c r="G2321" t="s">
        <v>19</v>
      </c>
      <c r="H2321" t="s">
        <v>80</v>
      </c>
      <c r="I2321" t="s">
        <v>36</v>
      </c>
      <c r="J2321" t="s">
        <v>13</v>
      </c>
      <c r="K2321">
        <v>5</v>
      </c>
      <c r="L2321" t="s">
        <v>140</v>
      </c>
      <c r="M2321" t="s">
        <v>26</v>
      </c>
      <c r="N2321" t="s">
        <v>140</v>
      </c>
      <c r="O2321">
        <v>29</v>
      </c>
      <c r="P2321" t="s">
        <v>34</v>
      </c>
      <c r="Q2321" t="s">
        <v>76</v>
      </c>
      <c r="R2321" t="str" cm="1">
        <f t="array" ref="R2321">_xlfn.IFS(B2321&lt;31,"Young-Adult",B2321&lt;41,"Adult",B2321&lt;61,"Middle-aged",B2321&gt;=61,"Senior")</f>
        <v>Middle-aged</v>
      </c>
      <c r="S2321" cm="1">
        <f t="array" ref="S2321">_xlfn.IFS(Q2321 ="Fortnightly",14,Q2321="Weekly",7,Q2321="Monthly",30,Q2321="Quarterly",90,Q2321="Bi-Weekly",14,Q2321="Annually",365,Q2321="Every 3 Months",90,TRUE,"NOT FOUND")</f>
        <v>30</v>
      </c>
    </row>
    <row r="2322" spans="1:19" x14ac:dyDescent="0.35">
      <c r="A2322">
        <v>2321</v>
      </c>
      <c r="B2322">
        <v>28</v>
      </c>
      <c r="C2322" t="s">
        <v>7</v>
      </c>
      <c r="D2322" t="s">
        <v>59</v>
      </c>
      <c r="E2322" t="s">
        <v>30</v>
      </c>
      <c r="F2322">
        <v>55</v>
      </c>
      <c r="G2322" t="s">
        <v>118</v>
      </c>
      <c r="H2322" t="s">
        <v>32</v>
      </c>
      <c r="I2322" t="s">
        <v>66</v>
      </c>
      <c r="J2322" t="s">
        <v>25</v>
      </c>
      <c r="K2322">
        <v>3.7</v>
      </c>
      <c r="L2322" t="s">
        <v>140</v>
      </c>
      <c r="M2322" t="s">
        <v>26</v>
      </c>
      <c r="N2322" t="s">
        <v>140</v>
      </c>
      <c r="O2322">
        <v>9</v>
      </c>
      <c r="P2322" t="s">
        <v>74</v>
      </c>
      <c r="Q2322" t="s">
        <v>85</v>
      </c>
      <c r="R2322" t="str" cm="1">
        <f t="array" ref="R2322">_xlfn.IFS(B2322&lt;31,"Young-Adult",B2322&lt;41,"Adult",B2322&lt;61,"Middle-aged",B2322&gt;=61,"Senior")</f>
        <v>Young-Adult</v>
      </c>
      <c r="S2322" cm="1">
        <f t="array" ref="S2322">_xlfn.IFS(Q2322 ="Fortnightly",14,Q2322="Weekly",7,Q2322="Monthly",30,Q2322="Quarterly",90,Q2322="Bi-Weekly",14,Q2322="Annually",365,Q2322="Every 3 Months",90,TRUE,"NOT FOUND")</f>
        <v>90</v>
      </c>
    </row>
    <row r="2323" spans="1:19" x14ac:dyDescent="0.35">
      <c r="A2323">
        <v>2322</v>
      </c>
      <c r="B2323">
        <v>50</v>
      </c>
      <c r="C2323" t="s">
        <v>7</v>
      </c>
      <c r="D2323" t="s">
        <v>29</v>
      </c>
      <c r="E2323" t="s">
        <v>30</v>
      </c>
      <c r="F2323">
        <v>31</v>
      </c>
      <c r="G2323" t="s">
        <v>100</v>
      </c>
      <c r="H2323" t="s">
        <v>32</v>
      </c>
      <c r="I2323" t="s">
        <v>106</v>
      </c>
      <c r="J2323" t="s">
        <v>13</v>
      </c>
      <c r="K2323">
        <v>3</v>
      </c>
      <c r="L2323" t="s">
        <v>140</v>
      </c>
      <c r="M2323" t="s">
        <v>33</v>
      </c>
      <c r="N2323" t="s">
        <v>140</v>
      </c>
      <c r="O2323">
        <v>27</v>
      </c>
      <c r="P2323" t="s">
        <v>74</v>
      </c>
      <c r="Q2323" t="s">
        <v>17</v>
      </c>
      <c r="R2323" t="str" cm="1">
        <f t="array" ref="R2323">_xlfn.IFS(B2323&lt;31,"Young-Adult",B2323&lt;41,"Adult",B2323&lt;61,"Middle-aged",B2323&gt;=61,"Senior")</f>
        <v>Middle-aged</v>
      </c>
      <c r="S2323" cm="1">
        <f t="array" ref="S2323">_xlfn.IFS(Q2323 ="Fortnightly",14,Q2323="Weekly",7,Q2323="Monthly",30,Q2323="Quarterly",90,Q2323="Bi-Weekly",14,Q2323="Annually",365,Q2323="Every 3 Months",90,TRUE,"NOT FOUND")</f>
        <v>14</v>
      </c>
    </row>
    <row r="2324" spans="1:19" x14ac:dyDescent="0.35">
      <c r="A2324">
        <v>2323</v>
      </c>
      <c r="B2324">
        <v>39</v>
      </c>
      <c r="C2324" t="s">
        <v>7</v>
      </c>
      <c r="D2324" t="s">
        <v>50</v>
      </c>
      <c r="E2324" t="s">
        <v>51</v>
      </c>
      <c r="F2324">
        <v>84</v>
      </c>
      <c r="G2324" t="s">
        <v>127</v>
      </c>
      <c r="H2324" t="s">
        <v>24</v>
      </c>
      <c r="I2324" t="s">
        <v>81</v>
      </c>
      <c r="J2324" t="s">
        <v>25</v>
      </c>
      <c r="K2324">
        <v>4.5</v>
      </c>
      <c r="L2324" t="s">
        <v>140</v>
      </c>
      <c r="M2324" t="s">
        <v>62</v>
      </c>
      <c r="N2324" t="s">
        <v>140</v>
      </c>
      <c r="O2324">
        <v>21</v>
      </c>
      <c r="P2324" t="s">
        <v>16</v>
      </c>
      <c r="Q2324" t="s">
        <v>17</v>
      </c>
      <c r="R2324" t="str" cm="1">
        <f t="array" ref="R2324">_xlfn.IFS(B2324&lt;31,"Young-Adult",B2324&lt;41,"Adult",B2324&lt;61,"Middle-aged",B2324&gt;=61,"Senior")</f>
        <v>Adult</v>
      </c>
      <c r="S2324" cm="1">
        <f t="array" ref="S2324">_xlfn.IFS(Q2324 ="Fortnightly",14,Q2324="Weekly",7,Q2324="Monthly",30,Q2324="Quarterly",90,Q2324="Bi-Weekly",14,Q2324="Annually",365,Q2324="Every 3 Months",90,TRUE,"NOT FOUND")</f>
        <v>14</v>
      </c>
    </row>
    <row r="2325" spans="1:19" x14ac:dyDescent="0.35">
      <c r="A2325">
        <v>2324</v>
      </c>
      <c r="B2325">
        <v>35</v>
      </c>
      <c r="C2325" t="s">
        <v>7</v>
      </c>
      <c r="D2325" t="s">
        <v>131</v>
      </c>
      <c r="E2325" t="s">
        <v>55</v>
      </c>
      <c r="F2325">
        <v>93</v>
      </c>
      <c r="G2325" t="s">
        <v>116</v>
      </c>
      <c r="H2325" t="s">
        <v>11</v>
      </c>
      <c r="I2325" t="s">
        <v>40</v>
      </c>
      <c r="J2325" t="s">
        <v>13</v>
      </c>
      <c r="K2325">
        <v>4.7</v>
      </c>
      <c r="L2325" t="s">
        <v>140</v>
      </c>
      <c r="M2325" t="s">
        <v>15</v>
      </c>
      <c r="N2325" t="s">
        <v>140</v>
      </c>
      <c r="O2325">
        <v>36</v>
      </c>
      <c r="P2325" t="s">
        <v>27</v>
      </c>
      <c r="Q2325" t="s">
        <v>76</v>
      </c>
      <c r="R2325" t="str" cm="1">
        <f t="array" ref="R2325">_xlfn.IFS(B2325&lt;31,"Young-Adult",B2325&lt;41,"Adult",B2325&lt;61,"Middle-aged",B2325&gt;=61,"Senior")</f>
        <v>Adult</v>
      </c>
      <c r="S2325" cm="1">
        <f t="array" ref="S2325">_xlfn.IFS(Q2325 ="Fortnightly",14,Q2325="Weekly",7,Q2325="Monthly",30,Q2325="Quarterly",90,Q2325="Bi-Weekly",14,Q2325="Annually",365,Q2325="Every 3 Months",90,TRUE,"NOT FOUND")</f>
        <v>30</v>
      </c>
    </row>
    <row r="2326" spans="1:19" x14ac:dyDescent="0.35">
      <c r="A2326">
        <v>2325</v>
      </c>
      <c r="B2326">
        <v>59</v>
      </c>
      <c r="C2326" t="s">
        <v>7</v>
      </c>
      <c r="D2326" t="s">
        <v>50</v>
      </c>
      <c r="E2326" t="s">
        <v>51</v>
      </c>
      <c r="F2326">
        <v>28</v>
      </c>
      <c r="G2326" t="s">
        <v>35</v>
      </c>
      <c r="H2326" t="s">
        <v>11</v>
      </c>
      <c r="I2326" t="s">
        <v>98</v>
      </c>
      <c r="J2326" t="s">
        <v>13</v>
      </c>
      <c r="K2326">
        <v>3.5</v>
      </c>
      <c r="L2326" t="s">
        <v>140</v>
      </c>
      <c r="M2326" t="s">
        <v>26</v>
      </c>
      <c r="N2326" t="s">
        <v>140</v>
      </c>
      <c r="O2326">
        <v>19</v>
      </c>
      <c r="P2326" t="s">
        <v>74</v>
      </c>
      <c r="Q2326" t="s">
        <v>37</v>
      </c>
      <c r="R2326" t="str" cm="1">
        <f t="array" ref="R2326">_xlfn.IFS(B2326&lt;31,"Young-Adult",B2326&lt;41,"Adult",B2326&lt;61,"Middle-aged",B2326&gt;=61,"Senior")</f>
        <v>Middle-aged</v>
      </c>
      <c r="S2326" cm="1">
        <f t="array" ref="S2326">_xlfn.IFS(Q2326 ="Fortnightly",14,Q2326="Weekly",7,Q2326="Monthly",30,Q2326="Quarterly",90,Q2326="Bi-Weekly",14,Q2326="Annually",365,Q2326="Every 3 Months",90,TRUE,"NOT FOUND")</f>
        <v>365</v>
      </c>
    </row>
    <row r="2327" spans="1:19" x14ac:dyDescent="0.35">
      <c r="A2327">
        <v>2326</v>
      </c>
      <c r="B2327">
        <v>44</v>
      </c>
      <c r="C2327" t="s">
        <v>7</v>
      </c>
      <c r="D2327" t="s">
        <v>125</v>
      </c>
      <c r="E2327" t="s">
        <v>30</v>
      </c>
      <c r="F2327">
        <v>55</v>
      </c>
      <c r="G2327" t="s">
        <v>72</v>
      </c>
      <c r="H2327" t="s">
        <v>32</v>
      </c>
      <c r="I2327" t="s">
        <v>49</v>
      </c>
      <c r="J2327" t="s">
        <v>41</v>
      </c>
      <c r="K2327">
        <v>4.4000000000000004</v>
      </c>
      <c r="L2327" t="s">
        <v>140</v>
      </c>
      <c r="M2327" t="s">
        <v>58</v>
      </c>
      <c r="N2327" t="s">
        <v>140</v>
      </c>
      <c r="O2327">
        <v>47</v>
      </c>
      <c r="P2327" t="s">
        <v>21</v>
      </c>
      <c r="Q2327" t="s">
        <v>28</v>
      </c>
      <c r="R2327" t="str" cm="1">
        <f t="array" ref="R2327">_xlfn.IFS(B2327&lt;31,"Young-Adult",B2327&lt;41,"Adult",B2327&lt;61,"Middle-aged",B2327&gt;=61,"Senior")</f>
        <v>Middle-aged</v>
      </c>
      <c r="S2327" cm="1">
        <f t="array" ref="S2327">_xlfn.IFS(Q2327 ="Fortnightly",14,Q2327="Weekly",7,Q2327="Monthly",30,Q2327="Quarterly",90,Q2327="Bi-Weekly",14,Q2327="Annually",365,Q2327="Every 3 Months",90,TRUE,"NOT FOUND")</f>
        <v>7</v>
      </c>
    </row>
    <row r="2328" spans="1:19" x14ac:dyDescent="0.35">
      <c r="A2328">
        <v>2327</v>
      </c>
      <c r="B2328">
        <v>66</v>
      </c>
      <c r="C2328" t="s">
        <v>7</v>
      </c>
      <c r="D2328" t="s">
        <v>75</v>
      </c>
      <c r="E2328" t="s">
        <v>9</v>
      </c>
      <c r="F2328">
        <v>63</v>
      </c>
      <c r="G2328" t="s">
        <v>89</v>
      </c>
      <c r="H2328" t="s">
        <v>11</v>
      </c>
      <c r="I2328" t="s">
        <v>20</v>
      </c>
      <c r="J2328" t="s">
        <v>13</v>
      </c>
      <c r="K2328">
        <v>2.6</v>
      </c>
      <c r="L2328" t="s">
        <v>140</v>
      </c>
      <c r="M2328" t="s">
        <v>42</v>
      </c>
      <c r="N2328" t="s">
        <v>140</v>
      </c>
      <c r="O2328">
        <v>38</v>
      </c>
      <c r="P2328" t="s">
        <v>63</v>
      </c>
      <c r="Q2328" t="s">
        <v>37</v>
      </c>
      <c r="R2328" t="str" cm="1">
        <f t="array" ref="R2328">_xlfn.IFS(B2328&lt;31,"Young-Adult",B2328&lt;41,"Adult",B2328&lt;61,"Middle-aged",B2328&gt;=61,"Senior")</f>
        <v>Senior</v>
      </c>
      <c r="S2328" cm="1">
        <f t="array" ref="S2328">_xlfn.IFS(Q2328 ="Fortnightly",14,Q2328="Weekly",7,Q2328="Monthly",30,Q2328="Quarterly",90,Q2328="Bi-Weekly",14,Q2328="Annually",365,Q2328="Every 3 Months",90,TRUE,"NOT FOUND")</f>
        <v>365</v>
      </c>
    </row>
    <row r="2329" spans="1:19" x14ac:dyDescent="0.35">
      <c r="A2329">
        <v>2328</v>
      </c>
      <c r="B2329">
        <v>20</v>
      </c>
      <c r="C2329" t="s">
        <v>7</v>
      </c>
      <c r="D2329" t="s">
        <v>75</v>
      </c>
      <c r="E2329" t="s">
        <v>9</v>
      </c>
      <c r="F2329">
        <v>94</v>
      </c>
      <c r="G2329" t="s">
        <v>78</v>
      </c>
      <c r="H2329" t="s">
        <v>32</v>
      </c>
      <c r="I2329" t="s">
        <v>96</v>
      </c>
      <c r="J2329" t="s">
        <v>13</v>
      </c>
      <c r="K2329">
        <v>4.2</v>
      </c>
      <c r="L2329" t="s">
        <v>140</v>
      </c>
      <c r="M2329" t="s">
        <v>58</v>
      </c>
      <c r="N2329" t="s">
        <v>140</v>
      </c>
      <c r="O2329">
        <v>22</v>
      </c>
      <c r="P2329" t="s">
        <v>16</v>
      </c>
      <c r="Q2329" t="s">
        <v>64</v>
      </c>
      <c r="R2329" t="str" cm="1">
        <f t="array" ref="R2329">_xlfn.IFS(B2329&lt;31,"Young-Adult",B2329&lt;41,"Adult",B2329&lt;61,"Middle-aged",B2329&gt;=61,"Senior")</f>
        <v>Young-Adult</v>
      </c>
      <c r="S2329" cm="1">
        <f t="array" ref="S2329">_xlfn.IFS(Q2329 ="Fortnightly",14,Q2329="Weekly",7,Q2329="Monthly",30,Q2329="Quarterly",90,Q2329="Bi-Weekly",14,Q2329="Annually",365,Q2329="Every 3 Months",90,TRUE,"NOT FOUND")</f>
        <v>14</v>
      </c>
    </row>
    <row r="2330" spans="1:19" x14ac:dyDescent="0.35">
      <c r="A2330">
        <v>2329</v>
      </c>
      <c r="B2330">
        <v>45</v>
      </c>
      <c r="C2330" t="s">
        <v>7</v>
      </c>
      <c r="D2330" t="s">
        <v>83</v>
      </c>
      <c r="E2330" t="s">
        <v>9</v>
      </c>
      <c r="F2330">
        <v>36</v>
      </c>
      <c r="G2330" t="s">
        <v>102</v>
      </c>
      <c r="H2330" t="s">
        <v>32</v>
      </c>
      <c r="I2330" t="s">
        <v>20</v>
      </c>
      <c r="J2330" t="s">
        <v>45</v>
      </c>
      <c r="K2330">
        <v>2.6</v>
      </c>
      <c r="L2330" t="s">
        <v>140</v>
      </c>
      <c r="M2330" t="s">
        <v>15</v>
      </c>
      <c r="N2330" t="s">
        <v>140</v>
      </c>
      <c r="O2330">
        <v>29</v>
      </c>
      <c r="P2330" t="s">
        <v>16</v>
      </c>
      <c r="Q2330" t="s">
        <v>64</v>
      </c>
      <c r="R2330" t="str" cm="1">
        <f t="array" ref="R2330">_xlfn.IFS(B2330&lt;31,"Young-Adult",B2330&lt;41,"Adult",B2330&lt;61,"Middle-aged",B2330&gt;=61,"Senior")</f>
        <v>Middle-aged</v>
      </c>
      <c r="S2330" cm="1">
        <f t="array" ref="S2330">_xlfn.IFS(Q2330 ="Fortnightly",14,Q2330="Weekly",7,Q2330="Monthly",30,Q2330="Quarterly",90,Q2330="Bi-Weekly",14,Q2330="Annually",365,Q2330="Every 3 Months",90,TRUE,"NOT FOUND")</f>
        <v>14</v>
      </c>
    </row>
    <row r="2331" spans="1:19" x14ac:dyDescent="0.35">
      <c r="A2331">
        <v>2330</v>
      </c>
      <c r="B2331">
        <v>49</v>
      </c>
      <c r="C2331" t="s">
        <v>7</v>
      </c>
      <c r="D2331" t="s">
        <v>112</v>
      </c>
      <c r="E2331" t="s">
        <v>55</v>
      </c>
      <c r="F2331">
        <v>97</v>
      </c>
      <c r="G2331" t="s">
        <v>133</v>
      </c>
      <c r="H2331" t="s">
        <v>24</v>
      </c>
      <c r="I2331" t="s">
        <v>73</v>
      </c>
      <c r="J2331" t="s">
        <v>25</v>
      </c>
      <c r="K2331">
        <v>4.8</v>
      </c>
      <c r="L2331" t="s">
        <v>140</v>
      </c>
      <c r="M2331" t="s">
        <v>26</v>
      </c>
      <c r="N2331" t="s">
        <v>140</v>
      </c>
      <c r="O2331">
        <v>42</v>
      </c>
      <c r="P2331" t="s">
        <v>63</v>
      </c>
      <c r="Q2331" t="s">
        <v>37</v>
      </c>
      <c r="R2331" t="str" cm="1">
        <f t="array" ref="R2331">_xlfn.IFS(B2331&lt;31,"Young-Adult",B2331&lt;41,"Adult",B2331&lt;61,"Middle-aged",B2331&gt;=61,"Senior")</f>
        <v>Middle-aged</v>
      </c>
      <c r="S2331" cm="1">
        <f t="array" ref="S2331">_xlfn.IFS(Q2331 ="Fortnightly",14,Q2331="Weekly",7,Q2331="Monthly",30,Q2331="Quarterly",90,Q2331="Bi-Weekly",14,Q2331="Annually",365,Q2331="Every 3 Months",90,TRUE,"NOT FOUND")</f>
        <v>365</v>
      </c>
    </row>
    <row r="2332" spans="1:19" x14ac:dyDescent="0.35">
      <c r="A2332">
        <v>2331</v>
      </c>
      <c r="B2332">
        <v>60</v>
      </c>
      <c r="C2332" t="s">
        <v>7</v>
      </c>
      <c r="D2332" t="s">
        <v>120</v>
      </c>
      <c r="E2332" t="s">
        <v>55</v>
      </c>
      <c r="F2332">
        <v>63</v>
      </c>
      <c r="G2332" t="s">
        <v>105</v>
      </c>
      <c r="H2332" t="s">
        <v>11</v>
      </c>
      <c r="I2332" t="s">
        <v>109</v>
      </c>
      <c r="J2332" t="s">
        <v>41</v>
      </c>
      <c r="K2332">
        <v>2.9</v>
      </c>
      <c r="L2332" t="s">
        <v>140</v>
      </c>
      <c r="M2332" t="s">
        <v>62</v>
      </c>
      <c r="N2332" t="s">
        <v>140</v>
      </c>
      <c r="O2332">
        <v>47</v>
      </c>
      <c r="P2332" t="s">
        <v>34</v>
      </c>
      <c r="Q2332" t="s">
        <v>85</v>
      </c>
      <c r="R2332" t="str" cm="1">
        <f t="array" ref="R2332">_xlfn.IFS(B2332&lt;31,"Young-Adult",B2332&lt;41,"Adult",B2332&lt;61,"Middle-aged",B2332&gt;=61,"Senior")</f>
        <v>Middle-aged</v>
      </c>
      <c r="S2332" cm="1">
        <f t="array" ref="S2332">_xlfn.IFS(Q2332 ="Fortnightly",14,Q2332="Weekly",7,Q2332="Monthly",30,Q2332="Quarterly",90,Q2332="Bi-Weekly",14,Q2332="Annually",365,Q2332="Every 3 Months",90,TRUE,"NOT FOUND")</f>
        <v>90</v>
      </c>
    </row>
    <row r="2333" spans="1:19" x14ac:dyDescent="0.35">
      <c r="A2333">
        <v>2332</v>
      </c>
      <c r="B2333">
        <v>61</v>
      </c>
      <c r="C2333" t="s">
        <v>7</v>
      </c>
      <c r="D2333" t="s">
        <v>107</v>
      </c>
      <c r="E2333" t="s">
        <v>55</v>
      </c>
      <c r="F2333">
        <v>77</v>
      </c>
      <c r="G2333" t="s">
        <v>103</v>
      </c>
      <c r="H2333" t="s">
        <v>24</v>
      </c>
      <c r="I2333" t="s">
        <v>66</v>
      </c>
      <c r="J2333" t="s">
        <v>25</v>
      </c>
      <c r="K2333">
        <v>4.3</v>
      </c>
      <c r="L2333" t="s">
        <v>140</v>
      </c>
      <c r="M2333" t="s">
        <v>58</v>
      </c>
      <c r="N2333" t="s">
        <v>140</v>
      </c>
      <c r="O2333">
        <v>10</v>
      </c>
      <c r="P2333" t="s">
        <v>27</v>
      </c>
      <c r="Q2333" t="s">
        <v>64</v>
      </c>
      <c r="R2333" t="str" cm="1">
        <f t="array" ref="R2333">_xlfn.IFS(B2333&lt;31,"Young-Adult",B2333&lt;41,"Adult",B2333&lt;61,"Middle-aged",B2333&gt;=61,"Senior")</f>
        <v>Senior</v>
      </c>
      <c r="S2333" cm="1">
        <f t="array" ref="S2333">_xlfn.IFS(Q2333 ="Fortnightly",14,Q2333="Weekly",7,Q2333="Monthly",30,Q2333="Quarterly",90,Q2333="Bi-Weekly",14,Q2333="Annually",365,Q2333="Every 3 Months",90,TRUE,"NOT FOUND")</f>
        <v>14</v>
      </c>
    </row>
    <row r="2334" spans="1:19" x14ac:dyDescent="0.35">
      <c r="A2334">
        <v>2333</v>
      </c>
      <c r="B2334">
        <v>36</v>
      </c>
      <c r="C2334" t="s">
        <v>7</v>
      </c>
      <c r="D2334" t="s">
        <v>107</v>
      </c>
      <c r="E2334" t="s">
        <v>55</v>
      </c>
      <c r="F2334">
        <v>53</v>
      </c>
      <c r="G2334" t="s">
        <v>119</v>
      </c>
      <c r="H2334" t="s">
        <v>80</v>
      </c>
      <c r="I2334" t="s">
        <v>66</v>
      </c>
      <c r="J2334" t="s">
        <v>45</v>
      </c>
      <c r="K2334">
        <v>2.6</v>
      </c>
      <c r="L2334" t="s">
        <v>140</v>
      </c>
      <c r="M2334" t="s">
        <v>62</v>
      </c>
      <c r="N2334" t="s">
        <v>140</v>
      </c>
      <c r="O2334">
        <v>10</v>
      </c>
      <c r="P2334" t="s">
        <v>16</v>
      </c>
      <c r="Q2334" t="s">
        <v>76</v>
      </c>
      <c r="R2334" t="str" cm="1">
        <f t="array" ref="R2334">_xlfn.IFS(B2334&lt;31,"Young-Adult",B2334&lt;41,"Adult",B2334&lt;61,"Middle-aged",B2334&gt;=61,"Senior")</f>
        <v>Adult</v>
      </c>
      <c r="S2334" cm="1">
        <f t="array" ref="S2334">_xlfn.IFS(Q2334 ="Fortnightly",14,Q2334="Weekly",7,Q2334="Monthly",30,Q2334="Quarterly",90,Q2334="Bi-Weekly",14,Q2334="Annually",365,Q2334="Every 3 Months",90,TRUE,"NOT FOUND")</f>
        <v>30</v>
      </c>
    </row>
    <row r="2335" spans="1:19" x14ac:dyDescent="0.35">
      <c r="A2335">
        <v>2334</v>
      </c>
      <c r="B2335">
        <v>33</v>
      </c>
      <c r="C2335" t="s">
        <v>7</v>
      </c>
      <c r="D2335" t="s">
        <v>43</v>
      </c>
      <c r="E2335" t="s">
        <v>9</v>
      </c>
      <c r="F2335">
        <v>77</v>
      </c>
      <c r="G2335" t="s">
        <v>99</v>
      </c>
      <c r="H2335" t="s">
        <v>32</v>
      </c>
      <c r="I2335" t="s">
        <v>106</v>
      </c>
      <c r="J2335" t="s">
        <v>25</v>
      </c>
      <c r="K2335">
        <v>3.8</v>
      </c>
      <c r="L2335" t="s">
        <v>140</v>
      </c>
      <c r="M2335" t="s">
        <v>33</v>
      </c>
      <c r="N2335" t="s">
        <v>140</v>
      </c>
      <c r="O2335">
        <v>1</v>
      </c>
      <c r="P2335" t="s">
        <v>34</v>
      </c>
      <c r="Q2335" t="s">
        <v>85</v>
      </c>
      <c r="R2335" t="str" cm="1">
        <f t="array" ref="R2335">_xlfn.IFS(B2335&lt;31,"Young-Adult",B2335&lt;41,"Adult",B2335&lt;61,"Middle-aged",B2335&gt;=61,"Senior")</f>
        <v>Adult</v>
      </c>
      <c r="S2335" cm="1">
        <f t="array" ref="S2335">_xlfn.IFS(Q2335 ="Fortnightly",14,Q2335="Weekly",7,Q2335="Monthly",30,Q2335="Quarterly",90,Q2335="Bi-Weekly",14,Q2335="Annually",365,Q2335="Every 3 Months",90,TRUE,"NOT FOUND")</f>
        <v>90</v>
      </c>
    </row>
    <row r="2336" spans="1:19" x14ac:dyDescent="0.35">
      <c r="A2336">
        <v>2335</v>
      </c>
      <c r="B2336">
        <v>49</v>
      </c>
      <c r="C2336" t="s">
        <v>7</v>
      </c>
      <c r="D2336" t="s">
        <v>125</v>
      </c>
      <c r="E2336" t="s">
        <v>30</v>
      </c>
      <c r="F2336">
        <v>79</v>
      </c>
      <c r="G2336" t="s">
        <v>99</v>
      </c>
      <c r="H2336" t="s">
        <v>11</v>
      </c>
      <c r="I2336" t="s">
        <v>84</v>
      </c>
      <c r="J2336" t="s">
        <v>41</v>
      </c>
      <c r="K2336">
        <v>4.2</v>
      </c>
      <c r="L2336" t="s">
        <v>140</v>
      </c>
      <c r="M2336" t="s">
        <v>42</v>
      </c>
      <c r="N2336" t="s">
        <v>140</v>
      </c>
      <c r="O2336">
        <v>7</v>
      </c>
      <c r="P2336" t="s">
        <v>27</v>
      </c>
      <c r="Q2336" t="s">
        <v>76</v>
      </c>
      <c r="R2336" t="str" cm="1">
        <f t="array" ref="R2336">_xlfn.IFS(B2336&lt;31,"Young-Adult",B2336&lt;41,"Adult",B2336&lt;61,"Middle-aged",B2336&gt;=61,"Senior")</f>
        <v>Middle-aged</v>
      </c>
      <c r="S2336" cm="1">
        <f t="array" ref="S2336">_xlfn.IFS(Q2336 ="Fortnightly",14,Q2336="Weekly",7,Q2336="Monthly",30,Q2336="Quarterly",90,Q2336="Bi-Weekly",14,Q2336="Annually",365,Q2336="Every 3 Months",90,TRUE,"NOT FOUND")</f>
        <v>30</v>
      </c>
    </row>
    <row r="2337" spans="1:19" x14ac:dyDescent="0.35">
      <c r="A2337">
        <v>2336</v>
      </c>
      <c r="B2337">
        <v>31</v>
      </c>
      <c r="C2337" t="s">
        <v>7</v>
      </c>
      <c r="D2337" t="s">
        <v>50</v>
      </c>
      <c r="E2337" t="s">
        <v>51</v>
      </c>
      <c r="F2337">
        <v>37</v>
      </c>
      <c r="G2337" t="s">
        <v>123</v>
      </c>
      <c r="H2337" t="s">
        <v>32</v>
      </c>
      <c r="I2337" t="s">
        <v>82</v>
      </c>
      <c r="J2337" t="s">
        <v>41</v>
      </c>
      <c r="K2337">
        <v>3.9</v>
      </c>
      <c r="L2337" t="s">
        <v>140</v>
      </c>
      <c r="M2337" t="s">
        <v>62</v>
      </c>
      <c r="N2337" t="s">
        <v>140</v>
      </c>
      <c r="O2337">
        <v>10</v>
      </c>
      <c r="P2337" t="s">
        <v>16</v>
      </c>
      <c r="Q2337" t="s">
        <v>17</v>
      </c>
      <c r="R2337" t="str" cm="1">
        <f t="array" ref="R2337">_xlfn.IFS(B2337&lt;31,"Young-Adult",B2337&lt;41,"Adult",B2337&lt;61,"Middle-aged",B2337&gt;=61,"Senior")</f>
        <v>Adult</v>
      </c>
      <c r="S2337" cm="1">
        <f t="array" ref="S2337">_xlfn.IFS(Q2337 ="Fortnightly",14,Q2337="Weekly",7,Q2337="Monthly",30,Q2337="Quarterly",90,Q2337="Bi-Weekly",14,Q2337="Annually",365,Q2337="Every 3 Months",90,TRUE,"NOT FOUND")</f>
        <v>14</v>
      </c>
    </row>
    <row r="2338" spans="1:19" x14ac:dyDescent="0.35">
      <c r="A2338">
        <v>2337</v>
      </c>
      <c r="B2338">
        <v>19</v>
      </c>
      <c r="C2338" t="s">
        <v>7</v>
      </c>
      <c r="D2338" t="s">
        <v>121</v>
      </c>
      <c r="E2338" t="s">
        <v>55</v>
      </c>
      <c r="F2338">
        <v>94</v>
      </c>
      <c r="G2338" t="s">
        <v>87</v>
      </c>
      <c r="H2338" t="s">
        <v>32</v>
      </c>
      <c r="I2338" t="s">
        <v>84</v>
      </c>
      <c r="J2338" t="s">
        <v>13</v>
      </c>
      <c r="K2338">
        <v>3.1</v>
      </c>
      <c r="L2338" t="s">
        <v>140</v>
      </c>
      <c r="M2338" t="s">
        <v>26</v>
      </c>
      <c r="N2338" t="s">
        <v>140</v>
      </c>
      <c r="O2338">
        <v>11</v>
      </c>
      <c r="P2338" t="s">
        <v>27</v>
      </c>
      <c r="Q2338" t="s">
        <v>28</v>
      </c>
      <c r="R2338" t="str" cm="1">
        <f t="array" ref="R2338">_xlfn.IFS(B2338&lt;31,"Young-Adult",B2338&lt;41,"Adult",B2338&lt;61,"Middle-aged",B2338&gt;=61,"Senior")</f>
        <v>Young-Adult</v>
      </c>
      <c r="S2338" cm="1">
        <f t="array" ref="S2338">_xlfn.IFS(Q2338 ="Fortnightly",14,Q2338="Weekly",7,Q2338="Monthly",30,Q2338="Quarterly",90,Q2338="Bi-Weekly",14,Q2338="Annually",365,Q2338="Every 3 Months",90,TRUE,"NOT FOUND")</f>
        <v>7</v>
      </c>
    </row>
    <row r="2339" spans="1:19" x14ac:dyDescent="0.35">
      <c r="A2339">
        <v>2338</v>
      </c>
      <c r="B2339">
        <v>39</v>
      </c>
      <c r="C2339" t="s">
        <v>7</v>
      </c>
      <c r="D2339" t="s">
        <v>125</v>
      </c>
      <c r="E2339" t="s">
        <v>30</v>
      </c>
      <c r="F2339">
        <v>76</v>
      </c>
      <c r="G2339" t="s">
        <v>102</v>
      </c>
      <c r="H2339" t="s">
        <v>24</v>
      </c>
      <c r="I2339" t="s">
        <v>71</v>
      </c>
      <c r="J2339" t="s">
        <v>45</v>
      </c>
      <c r="K2339">
        <v>3.6</v>
      </c>
      <c r="L2339" t="s">
        <v>140</v>
      </c>
      <c r="M2339" t="s">
        <v>62</v>
      </c>
      <c r="N2339" t="s">
        <v>140</v>
      </c>
      <c r="O2339">
        <v>5</v>
      </c>
      <c r="P2339" t="s">
        <v>21</v>
      </c>
      <c r="Q2339" t="s">
        <v>37</v>
      </c>
      <c r="R2339" t="str" cm="1">
        <f t="array" ref="R2339">_xlfn.IFS(B2339&lt;31,"Young-Adult",B2339&lt;41,"Adult",B2339&lt;61,"Middle-aged",B2339&gt;=61,"Senior")</f>
        <v>Adult</v>
      </c>
      <c r="S2339" cm="1">
        <f t="array" ref="S2339">_xlfn.IFS(Q2339 ="Fortnightly",14,Q2339="Weekly",7,Q2339="Monthly",30,Q2339="Quarterly",90,Q2339="Bi-Weekly",14,Q2339="Annually",365,Q2339="Every 3 Months",90,TRUE,"NOT FOUND")</f>
        <v>365</v>
      </c>
    </row>
    <row r="2340" spans="1:19" x14ac:dyDescent="0.35">
      <c r="A2340">
        <v>2339</v>
      </c>
      <c r="B2340">
        <v>66</v>
      </c>
      <c r="C2340" t="s">
        <v>7</v>
      </c>
      <c r="D2340" t="s">
        <v>38</v>
      </c>
      <c r="E2340" t="s">
        <v>30</v>
      </c>
      <c r="F2340">
        <v>68</v>
      </c>
      <c r="G2340" t="s">
        <v>130</v>
      </c>
      <c r="H2340" t="s">
        <v>24</v>
      </c>
      <c r="I2340" t="s">
        <v>53</v>
      </c>
      <c r="J2340" t="s">
        <v>45</v>
      </c>
      <c r="K2340">
        <v>4</v>
      </c>
      <c r="L2340" t="s">
        <v>140</v>
      </c>
      <c r="M2340" t="s">
        <v>15</v>
      </c>
      <c r="N2340" t="s">
        <v>140</v>
      </c>
      <c r="O2340">
        <v>21</v>
      </c>
      <c r="P2340" t="s">
        <v>34</v>
      </c>
      <c r="Q2340" t="s">
        <v>46</v>
      </c>
      <c r="R2340" t="str" cm="1">
        <f t="array" ref="R2340">_xlfn.IFS(B2340&lt;31,"Young-Adult",B2340&lt;41,"Adult",B2340&lt;61,"Middle-aged",B2340&gt;=61,"Senior")</f>
        <v>Senior</v>
      </c>
      <c r="S2340" cm="1">
        <f t="array" ref="S2340">_xlfn.IFS(Q2340 ="Fortnightly",14,Q2340="Weekly",7,Q2340="Monthly",30,Q2340="Quarterly",90,Q2340="Bi-Weekly",14,Q2340="Annually",365,Q2340="Every 3 Months",90,TRUE,"NOT FOUND")</f>
        <v>90</v>
      </c>
    </row>
    <row r="2341" spans="1:19" x14ac:dyDescent="0.35">
      <c r="A2341">
        <v>2340</v>
      </c>
      <c r="B2341">
        <v>25</v>
      </c>
      <c r="C2341" t="s">
        <v>7</v>
      </c>
      <c r="D2341" t="s">
        <v>43</v>
      </c>
      <c r="E2341" t="s">
        <v>9</v>
      </c>
      <c r="F2341">
        <v>65</v>
      </c>
      <c r="G2341" t="s">
        <v>103</v>
      </c>
      <c r="H2341" t="s">
        <v>11</v>
      </c>
      <c r="I2341" t="s">
        <v>20</v>
      </c>
      <c r="J2341" t="s">
        <v>25</v>
      </c>
      <c r="K2341">
        <v>3.4</v>
      </c>
      <c r="L2341" t="s">
        <v>140</v>
      </c>
      <c r="M2341" t="s">
        <v>33</v>
      </c>
      <c r="N2341" t="s">
        <v>140</v>
      </c>
      <c r="O2341">
        <v>24</v>
      </c>
      <c r="P2341" t="s">
        <v>63</v>
      </c>
      <c r="Q2341" t="s">
        <v>46</v>
      </c>
      <c r="R2341" t="str" cm="1">
        <f t="array" ref="R2341">_xlfn.IFS(B2341&lt;31,"Young-Adult",B2341&lt;41,"Adult",B2341&lt;61,"Middle-aged",B2341&gt;=61,"Senior")</f>
        <v>Young-Adult</v>
      </c>
      <c r="S2341" cm="1">
        <f t="array" ref="S2341">_xlfn.IFS(Q2341 ="Fortnightly",14,Q2341="Weekly",7,Q2341="Monthly",30,Q2341="Quarterly",90,Q2341="Bi-Weekly",14,Q2341="Annually",365,Q2341="Every 3 Months",90,TRUE,"NOT FOUND")</f>
        <v>90</v>
      </c>
    </row>
    <row r="2342" spans="1:19" x14ac:dyDescent="0.35">
      <c r="A2342">
        <v>2341</v>
      </c>
      <c r="B2342">
        <v>63</v>
      </c>
      <c r="C2342" t="s">
        <v>7</v>
      </c>
      <c r="D2342" t="s">
        <v>8</v>
      </c>
      <c r="E2342" t="s">
        <v>9</v>
      </c>
      <c r="F2342">
        <v>24</v>
      </c>
      <c r="G2342" t="s">
        <v>67</v>
      </c>
      <c r="H2342" t="s">
        <v>32</v>
      </c>
      <c r="I2342" t="s">
        <v>97</v>
      </c>
      <c r="J2342" t="s">
        <v>41</v>
      </c>
      <c r="K2342">
        <v>2.6</v>
      </c>
      <c r="L2342" t="s">
        <v>140</v>
      </c>
      <c r="M2342" t="s">
        <v>42</v>
      </c>
      <c r="N2342" t="s">
        <v>140</v>
      </c>
      <c r="O2342">
        <v>37</v>
      </c>
      <c r="P2342" t="s">
        <v>27</v>
      </c>
      <c r="Q2342" t="s">
        <v>17</v>
      </c>
      <c r="R2342" t="str" cm="1">
        <f t="array" ref="R2342">_xlfn.IFS(B2342&lt;31,"Young-Adult",B2342&lt;41,"Adult",B2342&lt;61,"Middle-aged",B2342&gt;=61,"Senior")</f>
        <v>Senior</v>
      </c>
      <c r="S2342" cm="1">
        <f t="array" ref="S2342">_xlfn.IFS(Q2342 ="Fortnightly",14,Q2342="Weekly",7,Q2342="Monthly",30,Q2342="Quarterly",90,Q2342="Bi-Weekly",14,Q2342="Annually",365,Q2342="Every 3 Months",90,TRUE,"NOT FOUND")</f>
        <v>14</v>
      </c>
    </row>
    <row r="2343" spans="1:19" x14ac:dyDescent="0.35">
      <c r="A2343">
        <v>2342</v>
      </c>
      <c r="B2343">
        <v>56</v>
      </c>
      <c r="C2343" t="s">
        <v>7</v>
      </c>
      <c r="D2343" t="s">
        <v>90</v>
      </c>
      <c r="E2343" t="s">
        <v>51</v>
      </c>
      <c r="F2343">
        <v>31</v>
      </c>
      <c r="G2343" t="s">
        <v>127</v>
      </c>
      <c r="H2343" t="s">
        <v>11</v>
      </c>
      <c r="I2343" t="s">
        <v>73</v>
      </c>
      <c r="J2343" t="s">
        <v>41</v>
      </c>
      <c r="K2343">
        <v>4.5</v>
      </c>
      <c r="L2343" t="s">
        <v>140</v>
      </c>
      <c r="M2343" t="s">
        <v>15</v>
      </c>
      <c r="N2343" t="s">
        <v>140</v>
      </c>
      <c r="O2343">
        <v>22</v>
      </c>
      <c r="P2343" t="s">
        <v>16</v>
      </c>
      <c r="Q2343" t="s">
        <v>85</v>
      </c>
      <c r="R2343" t="str" cm="1">
        <f t="array" ref="R2343">_xlfn.IFS(B2343&lt;31,"Young-Adult",B2343&lt;41,"Adult",B2343&lt;61,"Middle-aged",B2343&gt;=61,"Senior")</f>
        <v>Middle-aged</v>
      </c>
      <c r="S2343" cm="1">
        <f t="array" ref="S2343">_xlfn.IFS(Q2343 ="Fortnightly",14,Q2343="Weekly",7,Q2343="Monthly",30,Q2343="Quarterly",90,Q2343="Bi-Weekly",14,Q2343="Annually",365,Q2343="Every 3 Months",90,TRUE,"NOT FOUND")</f>
        <v>90</v>
      </c>
    </row>
    <row r="2344" spans="1:19" x14ac:dyDescent="0.35">
      <c r="A2344">
        <v>2343</v>
      </c>
      <c r="B2344">
        <v>20</v>
      </c>
      <c r="C2344" t="s">
        <v>7</v>
      </c>
      <c r="D2344" t="s">
        <v>75</v>
      </c>
      <c r="E2344" t="s">
        <v>9</v>
      </c>
      <c r="F2344">
        <v>89</v>
      </c>
      <c r="G2344" t="s">
        <v>110</v>
      </c>
      <c r="H2344" t="s">
        <v>32</v>
      </c>
      <c r="I2344" t="s">
        <v>66</v>
      </c>
      <c r="J2344" t="s">
        <v>45</v>
      </c>
      <c r="K2344">
        <v>4.9000000000000004</v>
      </c>
      <c r="L2344" t="s">
        <v>140</v>
      </c>
      <c r="M2344" t="s">
        <v>42</v>
      </c>
      <c r="N2344" t="s">
        <v>140</v>
      </c>
      <c r="O2344">
        <v>16</v>
      </c>
      <c r="P2344" t="s">
        <v>74</v>
      </c>
      <c r="Q2344" t="s">
        <v>17</v>
      </c>
      <c r="R2344" t="str" cm="1">
        <f t="array" ref="R2344">_xlfn.IFS(B2344&lt;31,"Young-Adult",B2344&lt;41,"Adult",B2344&lt;61,"Middle-aged",B2344&gt;=61,"Senior")</f>
        <v>Young-Adult</v>
      </c>
      <c r="S2344" cm="1">
        <f t="array" ref="S2344">_xlfn.IFS(Q2344 ="Fortnightly",14,Q2344="Weekly",7,Q2344="Monthly",30,Q2344="Quarterly",90,Q2344="Bi-Weekly",14,Q2344="Annually",365,Q2344="Every 3 Months",90,TRUE,"NOT FOUND")</f>
        <v>14</v>
      </c>
    </row>
    <row r="2345" spans="1:19" x14ac:dyDescent="0.35">
      <c r="A2345">
        <v>2344</v>
      </c>
      <c r="B2345">
        <v>58</v>
      </c>
      <c r="C2345" t="s">
        <v>7</v>
      </c>
      <c r="D2345" t="s">
        <v>113</v>
      </c>
      <c r="E2345" t="s">
        <v>9</v>
      </c>
      <c r="F2345">
        <v>49</v>
      </c>
      <c r="G2345" t="s">
        <v>116</v>
      </c>
      <c r="H2345" t="s">
        <v>32</v>
      </c>
      <c r="I2345" t="s">
        <v>96</v>
      </c>
      <c r="J2345" t="s">
        <v>41</v>
      </c>
      <c r="K2345">
        <v>4.4000000000000004</v>
      </c>
      <c r="L2345" t="s">
        <v>140</v>
      </c>
      <c r="M2345" t="s">
        <v>58</v>
      </c>
      <c r="N2345" t="s">
        <v>140</v>
      </c>
      <c r="O2345">
        <v>44</v>
      </c>
      <c r="P2345" t="s">
        <v>34</v>
      </c>
      <c r="Q2345" t="s">
        <v>76</v>
      </c>
      <c r="R2345" t="str" cm="1">
        <f t="array" ref="R2345">_xlfn.IFS(B2345&lt;31,"Young-Adult",B2345&lt;41,"Adult",B2345&lt;61,"Middle-aged",B2345&gt;=61,"Senior")</f>
        <v>Middle-aged</v>
      </c>
      <c r="S2345" cm="1">
        <f t="array" ref="S2345">_xlfn.IFS(Q2345 ="Fortnightly",14,Q2345="Weekly",7,Q2345="Monthly",30,Q2345="Quarterly",90,Q2345="Bi-Weekly",14,Q2345="Annually",365,Q2345="Every 3 Months",90,TRUE,"NOT FOUND")</f>
        <v>30</v>
      </c>
    </row>
    <row r="2346" spans="1:19" x14ac:dyDescent="0.35">
      <c r="A2346">
        <v>2345</v>
      </c>
      <c r="B2346">
        <v>34</v>
      </c>
      <c r="C2346" t="s">
        <v>7</v>
      </c>
      <c r="D2346" t="s">
        <v>29</v>
      </c>
      <c r="E2346" t="s">
        <v>30</v>
      </c>
      <c r="F2346">
        <v>92</v>
      </c>
      <c r="G2346" t="s">
        <v>31</v>
      </c>
      <c r="H2346" t="s">
        <v>80</v>
      </c>
      <c r="I2346" t="s">
        <v>81</v>
      </c>
      <c r="J2346" t="s">
        <v>45</v>
      </c>
      <c r="K2346">
        <v>3.5</v>
      </c>
      <c r="L2346" t="s">
        <v>140</v>
      </c>
      <c r="M2346" t="s">
        <v>15</v>
      </c>
      <c r="N2346" t="s">
        <v>140</v>
      </c>
      <c r="O2346">
        <v>14</v>
      </c>
      <c r="P2346" t="s">
        <v>16</v>
      </c>
      <c r="Q2346" t="s">
        <v>64</v>
      </c>
      <c r="R2346" t="str" cm="1">
        <f t="array" ref="R2346">_xlfn.IFS(B2346&lt;31,"Young-Adult",B2346&lt;41,"Adult",B2346&lt;61,"Middle-aged",B2346&gt;=61,"Senior")</f>
        <v>Adult</v>
      </c>
      <c r="S2346" cm="1">
        <f t="array" ref="S2346">_xlfn.IFS(Q2346 ="Fortnightly",14,Q2346="Weekly",7,Q2346="Monthly",30,Q2346="Quarterly",90,Q2346="Bi-Weekly",14,Q2346="Annually",365,Q2346="Every 3 Months",90,TRUE,"NOT FOUND")</f>
        <v>14</v>
      </c>
    </row>
    <row r="2347" spans="1:19" x14ac:dyDescent="0.35">
      <c r="A2347">
        <v>2346</v>
      </c>
      <c r="B2347">
        <v>28</v>
      </c>
      <c r="C2347" t="s">
        <v>7</v>
      </c>
      <c r="D2347" t="s">
        <v>101</v>
      </c>
      <c r="E2347" t="s">
        <v>9</v>
      </c>
      <c r="F2347">
        <v>32</v>
      </c>
      <c r="G2347" t="s">
        <v>72</v>
      </c>
      <c r="H2347" t="s">
        <v>24</v>
      </c>
      <c r="I2347" t="s">
        <v>109</v>
      </c>
      <c r="J2347" t="s">
        <v>13</v>
      </c>
      <c r="K2347">
        <v>3.3</v>
      </c>
      <c r="L2347" t="s">
        <v>140</v>
      </c>
      <c r="M2347" t="s">
        <v>15</v>
      </c>
      <c r="N2347" t="s">
        <v>140</v>
      </c>
      <c r="O2347">
        <v>23</v>
      </c>
      <c r="P2347" t="s">
        <v>63</v>
      </c>
      <c r="Q2347" t="s">
        <v>85</v>
      </c>
      <c r="R2347" t="str" cm="1">
        <f t="array" ref="R2347">_xlfn.IFS(B2347&lt;31,"Young-Adult",B2347&lt;41,"Adult",B2347&lt;61,"Middle-aged",B2347&gt;=61,"Senior")</f>
        <v>Young-Adult</v>
      </c>
      <c r="S2347" cm="1">
        <f t="array" ref="S2347">_xlfn.IFS(Q2347 ="Fortnightly",14,Q2347="Weekly",7,Q2347="Monthly",30,Q2347="Quarterly",90,Q2347="Bi-Weekly",14,Q2347="Annually",365,Q2347="Every 3 Months",90,TRUE,"NOT FOUND")</f>
        <v>90</v>
      </c>
    </row>
    <row r="2348" spans="1:19" x14ac:dyDescent="0.35">
      <c r="A2348">
        <v>2347</v>
      </c>
      <c r="B2348">
        <v>22</v>
      </c>
      <c r="C2348" t="s">
        <v>7</v>
      </c>
      <c r="D2348" t="s">
        <v>90</v>
      </c>
      <c r="E2348" t="s">
        <v>51</v>
      </c>
      <c r="F2348">
        <v>67</v>
      </c>
      <c r="G2348" t="s">
        <v>118</v>
      </c>
      <c r="H2348" t="s">
        <v>11</v>
      </c>
      <c r="I2348" t="s">
        <v>98</v>
      </c>
      <c r="J2348" t="s">
        <v>13</v>
      </c>
      <c r="K2348">
        <v>3.1</v>
      </c>
      <c r="L2348" t="s">
        <v>140</v>
      </c>
      <c r="M2348" t="s">
        <v>42</v>
      </c>
      <c r="N2348" t="s">
        <v>140</v>
      </c>
      <c r="O2348">
        <v>46</v>
      </c>
      <c r="P2348" t="s">
        <v>74</v>
      </c>
      <c r="Q2348" t="s">
        <v>17</v>
      </c>
      <c r="R2348" t="str" cm="1">
        <f t="array" ref="R2348">_xlfn.IFS(B2348&lt;31,"Young-Adult",B2348&lt;41,"Adult",B2348&lt;61,"Middle-aged",B2348&gt;=61,"Senior")</f>
        <v>Young-Adult</v>
      </c>
      <c r="S2348" cm="1">
        <f t="array" ref="S2348">_xlfn.IFS(Q2348 ="Fortnightly",14,Q2348="Weekly",7,Q2348="Monthly",30,Q2348="Quarterly",90,Q2348="Bi-Weekly",14,Q2348="Annually",365,Q2348="Every 3 Months",90,TRUE,"NOT FOUND")</f>
        <v>14</v>
      </c>
    </row>
    <row r="2349" spans="1:19" x14ac:dyDescent="0.35">
      <c r="A2349">
        <v>2348</v>
      </c>
      <c r="B2349">
        <v>37</v>
      </c>
      <c r="C2349" t="s">
        <v>7</v>
      </c>
      <c r="D2349" t="s">
        <v>121</v>
      </c>
      <c r="E2349" t="s">
        <v>55</v>
      </c>
      <c r="F2349">
        <v>64</v>
      </c>
      <c r="G2349" t="s">
        <v>87</v>
      </c>
      <c r="H2349" t="s">
        <v>24</v>
      </c>
      <c r="I2349" t="s">
        <v>12</v>
      </c>
      <c r="J2349" t="s">
        <v>45</v>
      </c>
      <c r="K2349">
        <v>4.2</v>
      </c>
      <c r="L2349" t="s">
        <v>140</v>
      </c>
      <c r="M2349" t="s">
        <v>15</v>
      </c>
      <c r="N2349" t="s">
        <v>140</v>
      </c>
      <c r="O2349">
        <v>46</v>
      </c>
      <c r="P2349" t="s">
        <v>21</v>
      </c>
      <c r="Q2349" t="s">
        <v>85</v>
      </c>
      <c r="R2349" t="str" cm="1">
        <f t="array" ref="R2349">_xlfn.IFS(B2349&lt;31,"Young-Adult",B2349&lt;41,"Adult",B2349&lt;61,"Middle-aged",B2349&gt;=61,"Senior")</f>
        <v>Adult</v>
      </c>
      <c r="S2349" cm="1">
        <f t="array" ref="S2349">_xlfn.IFS(Q2349 ="Fortnightly",14,Q2349="Weekly",7,Q2349="Monthly",30,Q2349="Quarterly",90,Q2349="Bi-Weekly",14,Q2349="Annually",365,Q2349="Every 3 Months",90,TRUE,"NOT FOUND")</f>
        <v>90</v>
      </c>
    </row>
    <row r="2350" spans="1:19" x14ac:dyDescent="0.35">
      <c r="A2350">
        <v>2349</v>
      </c>
      <c r="B2350">
        <v>54</v>
      </c>
      <c r="C2350" t="s">
        <v>7</v>
      </c>
      <c r="D2350" t="s">
        <v>59</v>
      </c>
      <c r="E2350" t="s">
        <v>30</v>
      </c>
      <c r="F2350">
        <v>84</v>
      </c>
      <c r="G2350" t="s">
        <v>19</v>
      </c>
      <c r="H2350" t="s">
        <v>32</v>
      </c>
      <c r="I2350" t="s">
        <v>109</v>
      </c>
      <c r="J2350" t="s">
        <v>25</v>
      </c>
      <c r="K2350">
        <v>4.9000000000000004</v>
      </c>
      <c r="L2350" t="s">
        <v>140</v>
      </c>
      <c r="M2350" t="s">
        <v>33</v>
      </c>
      <c r="N2350" t="s">
        <v>140</v>
      </c>
      <c r="O2350">
        <v>16</v>
      </c>
      <c r="P2350" t="s">
        <v>34</v>
      </c>
      <c r="Q2350" t="s">
        <v>85</v>
      </c>
      <c r="R2350" t="str" cm="1">
        <f t="array" ref="R2350">_xlfn.IFS(B2350&lt;31,"Young-Adult",B2350&lt;41,"Adult",B2350&lt;61,"Middle-aged",B2350&gt;=61,"Senior")</f>
        <v>Middle-aged</v>
      </c>
      <c r="S2350" cm="1">
        <f t="array" ref="S2350">_xlfn.IFS(Q2350 ="Fortnightly",14,Q2350="Weekly",7,Q2350="Monthly",30,Q2350="Quarterly",90,Q2350="Bi-Weekly",14,Q2350="Annually",365,Q2350="Every 3 Months",90,TRUE,"NOT FOUND")</f>
        <v>90</v>
      </c>
    </row>
    <row r="2351" spans="1:19" x14ac:dyDescent="0.35">
      <c r="A2351">
        <v>2350</v>
      </c>
      <c r="B2351">
        <v>65</v>
      </c>
      <c r="C2351" t="s">
        <v>7</v>
      </c>
      <c r="D2351" t="s">
        <v>8</v>
      </c>
      <c r="E2351" t="s">
        <v>9</v>
      </c>
      <c r="F2351">
        <v>34</v>
      </c>
      <c r="G2351" t="s">
        <v>72</v>
      </c>
      <c r="H2351" t="s">
        <v>32</v>
      </c>
      <c r="I2351" t="s">
        <v>109</v>
      </c>
      <c r="J2351" t="s">
        <v>45</v>
      </c>
      <c r="K2351">
        <v>3.9</v>
      </c>
      <c r="L2351" t="s">
        <v>140</v>
      </c>
      <c r="M2351" t="s">
        <v>42</v>
      </c>
      <c r="N2351" t="s">
        <v>140</v>
      </c>
      <c r="O2351">
        <v>40</v>
      </c>
      <c r="P2351" t="s">
        <v>27</v>
      </c>
      <c r="Q2351" t="s">
        <v>85</v>
      </c>
      <c r="R2351" t="str" cm="1">
        <f t="array" ref="R2351">_xlfn.IFS(B2351&lt;31,"Young-Adult",B2351&lt;41,"Adult",B2351&lt;61,"Middle-aged",B2351&gt;=61,"Senior")</f>
        <v>Senior</v>
      </c>
      <c r="S2351" cm="1">
        <f t="array" ref="S2351">_xlfn.IFS(Q2351 ="Fortnightly",14,Q2351="Weekly",7,Q2351="Monthly",30,Q2351="Quarterly",90,Q2351="Bi-Weekly",14,Q2351="Annually",365,Q2351="Every 3 Months",90,TRUE,"NOT FOUND")</f>
        <v>90</v>
      </c>
    </row>
    <row r="2352" spans="1:19" x14ac:dyDescent="0.35">
      <c r="A2352">
        <v>2351</v>
      </c>
      <c r="B2352">
        <v>57</v>
      </c>
      <c r="C2352" t="s">
        <v>7</v>
      </c>
      <c r="D2352" t="s">
        <v>59</v>
      </c>
      <c r="E2352" t="s">
        <v>30</v>
      </c>
      <c r="F2352">
        <v>26</v>
      </c>
      <c r="G2352" t="s">
        <v>65</v>
      </c>
      <c r="H2352" t="s">
        <v>32</v>
      </c>
      <c r="I2352" t="s">
        <v>36</v>
      </c>
      <c r="J2352" t="s">
        <v>13</v>
      </c>
      <c r="K2352">
        <v>4.2</v>
      </c>
      <c r="L2352" t="s">
        <v>140</v>
      </c>
      <c r="M2352" t="s">
        <v>26</v>
      </c>
      <c r="N2352" t="s">
        <v>140</v>
      </c>
      <c r="O2352">
        <v>21</v>
      </c>
      <c r="P2352" t="s">
        <v>21</v>
      </c>
      <c r="Q2352" t="s">
        <v>37</v>
      </c>
      <c r="R2352" t="str" cm="1">
        <f t="array" ref="R2352">_xlfn.IFS(B2352&lt;31,"Young-Adult",B2352&lt;41,"Adult",B2352&lt;61,"Middle-aged",B2352&gt;=61,"Senior")</f>
        <v>Middle-aged</v>
      </c>
      <c r="S2352" cm="1">
        <f t="array" ref="S2352">_xlfn.IFS(Q2352 ="Fortnightly",14,Q2352="Weekly",7,Q2352="Monthly",30,Q2352="Quarterly",90,Q2352="Bi-Weekly",14,Q2352="Annually",365,Q2352="Every 3 Months",90,TRUE,"NOT FOUND")</f>
        <v>365</v>
      </c>
    </row>
    <row r="2353" spans="1:19" x14ac:dyDescent="0.35">
      <c r="A2353">
        <v>2352</v>
      </c>
      <c r="B2353">
        <v>38</v>
      </c>
      <c r="C2353" t="s">
        <v>7</v>
      </c>
      <c r="D2353" t="s">
        <v>18</v>
      </c>
      <c r="E2353" t="s">
        <v>9</v>
      </c>
      <c r="F2353">
        <v>50</v>
      </c>
      <c r="G2353" t="s">
        <v>70</v>
      </c>
      <c r="H2353" t="s">
        <v>24</v>
      </c>
      <c r="I2353" t="s">
        <v>97</v>
      </c>
      <c r="J2353" t="s">
        <v>45</v>
      </c>
      <c r="K2353">
        <v>4.9000000000000004</v>
      </c>
      <c r="L2353" t="s">
        <v>140</v>
      </c>
      <c r="M2353" t="s">
        <v>62</v>
      </c>
      <c r="N2353" t="s">
        <v>140</v>
      </c>
      <c r="O2353">
        <v>25</v>
      </c>
      <c r="P2353" t="s">
        <v>34</v>
      </c>
      <c r="Q2353" t="s">
        <v>64</v>
      </c>
      <c r="R2353" t="str" cm="1">
        <f t="array" ref="R2353">_xlfn.IFS(B2353&lt;31,"Young-Adult",B2353&lt;41,"Adult",B2353&lt;61,"Middle-aged",B2353&gt;=61,"Senior")</f>
        <v>Adult</v>
      </c>
      <c r="S2353" cm="1">
        <f t="array" ref="S2353">_xlfn.IFS(Q2353 ="Fortnightly",14,Q2353="Weekly",7,Q2353="Monthly",30,Q2353="Quarterly",90,Q2353="Bi-Weekly",14,Q2353="Annually",365,Q2353="Every 3 Months",90,TRUE,"NOT FOUND")</f>
        <v>14</v>
      </c>
    </row>
    <row r="2354" spans="1:19" x14ac:dyDescent="0.35">
      <c r="A2354">
        <v>2353</v>
      </c>
      <c r="B2354">
        <v>70</v>
      </c>
      <c r="C2354" t="s">
        <v>7</v>
      </c>
      <c r="D2354" t="s">
        <v>125</v>
      </c>
      <c r="E2354" t="s">
        <v>30</v>
      </c>
      <c r="F2354">
        <v>46</v>
      </c>
      <c r="G2354" t="s">
        <v>133</v>
      </c>
      <c r="H2354" t="s">
        <v>32</v>
      </c>
      <c r="I2354" t="s">
        <v>122</v>
      </c>
      <c r="J2354" t="s">
        <v>45</v>
      </c>
      <c r="K2354">
        <v>2.8</v>
      </c>
      <c r="L2354" t="s">
        <v>140</v>
      </c>
      <c r="M2354" t="s">
        <v>62</v>
      </c>
      <c r="N2354" t="s">
        <v>140</v>
      </c>
      <c r="O2354">
        <v>25</v>
      </c>
      <c r="P2354" t="s">
        <v>63</v>
      </c>
      <c r="Q2354" t="s">
        <v>46</v>
      </c>
      <c r="R2354" t="str" cm="1">
        <f t="array" ref="R2354">_xlfn.IFS(B2354&lt;31,"Young-Adult",B2354&lt;41,"Adult",B2354&lt;61,"Middle-aged",B2354&gt;=61,"Senior")</f>
        <v>Senior</v>
      </c>
      <c r="S2354" cm="1">
        <f t="array" ref="S2354">_xlfn.IFS(Q2354 ="Fortnightly",14,Q2354="Weekly",7,Q2354="Monthly",30,Q2354="Quarterly",90,Q2354="Bi-Weekly",14,Q2354="Annually",365,Q2354="Every 3 Months",90,TRUE,"NOT FOUND")</f>
        <v>90</v>
      </c>
    </row>
    <row r="2355" spans="1:19" x14ac:dyDescent="0.35">
      <c r="A2355">
        <v>2354</v>
      </c>
      <c r="B2355">
        <v>56</v>
      </c>
      <c r="C2355" t="s">
        <v>7</v>
      </c>
      <c r="D2355" t="s">
        <v>54</v>
      </c>
      <c r="E2355" t="s">
        <v>55</v>
      </c>
      <c r="F2355">
        <v>71</v>
      </c>
      <c r="G2355" t="s">
        <v>44</v>
      </c>
      <c r="H2355" t="s">
        <v>32</v>
      </c>
      <c r="I2355" t="s">
        <v>40</v>
      </c>
      <c r="J2355" t="s">
        <v>45</v>
      </c>
      <c r="K2355">
        <v>4.0999999999999996</v>
      </c>
      <c r="L2355" t="s">
        <v>140</v>
      </c>
      <c r="M2355" t="s">
        <v>42</v>
      </c>
      <c r="N2355" t="s">
        <v>140</v>
      </c>
      <c r="O2355">
        <v>25</v>
      </c>
      <c r="P2355" t="s">
        <v>74</v>
      </c>
      <c r="Q2355" t="s">
        <v>85</v>
      </c>
      <c r="R2355" t="str" cm="1">
        <f t="array" ref="R2355">_xlfn.IFS(B2355&lt;31,"Young-Adult",B2355&lt;41,"Adult",B2355&lt;61,"Middle-aged",B2355&gt;=61,"Senior")</f>
        <v>Middle-aged</v>
      </c>
      <c r="S2355" cm="1">
        <f t="array" ref="S2355">_xlfn.IFS(Q2355 ="Fortnightly",14,Q2355="Weekly",7,Q2355="Monthly",30,Q2355="Quarterly",90,Q2355="Bi-Weekly",14,Q2355="Annually",365,Q2355="Every 3 Months",90,TRUE,"NOT FOUND")</f>
        <v>90</v>
      </c>
    </row>
    <row r="2356" spans="1:19" x14ac:dyDescent="0.35">
      <c r="A2356">
        <v>2355</v>
      </c>
      <c r="B2356">
        <v>56</v>
      </c>
      <c r="C2356" t="s">
        <v>7</v>
      </c>
      <c r="D2356" t="s">
        <v>8</v>
      </c>
      <c r="E2356" t="s">
        <v>9</v>
      </c>
      <c r="F2356">
        <v>78</v>
      </c>
      <c r="G2356" t="s">
        <v>138</v>
      </c>
      <c r="H2356" t="s">
        <v>32</v>
      </c>
      <c r="I2356" t="s">
        <v>132</v>
      </c>
      <c r="J2356" t="s">
        <v>41</v>
      </c>
      <c r="K2356">
        <v>4.8</v>
      </c>
      <c r="L2356" t="s">
        <v>140</v>
      </c>
      <c r="M2356" t="s">
        <v>33</v>
      </c>
      <c r="N2356" t="s">
        <v>140</v>
      </c>
      <c r="O2356">
        <v>27</v>
      </c>
      <c r="P2356" t="s">
        <v>16</v>
      </c>
      <c r="Q2356" t="s">
        <v>76</v>
      </c>
      <c r="R2356" t="str" cm="1">
        <f t="array" ref="R2356">_xlfn.IFS(B2356&lt;31,"Young-Adult",B2356&lt;41,"Adult",B2356&lt;61,"Middle-aged",B2356&gt;=61,"Senior")</f>
        <v>Middle-aged</v>
      </c>
      <c r="S2356" cm="1">
        <f t="array" ref="S2356">_xlfn.IFS(Q2356 ="Fortnightly",14,Q2356="Weekly",7,Q2356="Monthly",30,Q2356="Quarterly",90,Q2356="Bi-Weekly",14,Q2356="Annually",365,Q2356="Every 3 Months",90,TRUE,"NOT FOUND")</f>
        <v>30</v>
      </c>
    </row>
    <row r="2357" spans="1:19" x14ac:dyDescent="0.35">
      <c r="A2357">
        <v>2356</v>
      </c>
      <c r="B2357">
        <v>22</v>
      </c>
      <c r="C2357" t="s">
        <v>7</v>
      </c>
      <c r="D2357" t="s">
        <v>75</v>
      </c>
      <c r="E2357" t="s">
        <v>9</v>
      </c>
      <c r="F2357">
        <v>35</v>
      </c>
      <c r="G2357" t="s">
        <v>110</v>
      </c>
      <c r="H2357" t="s">
        <v>24</v>
      </c>
      <c r="I2357" t="s">
        <v>61</v>
      </c>
      <c r="J2357" t="s">
        <v>13</v>
      </c>
      <c r="K2357">
        <v>4.0999999999999996</v>
      </c>
      <c r="L2357" t="s">
        <v>140</v>
      </c>
      <c r="M2357" t="s">
        <v>33</v>
      </c>
      <c r="N2357" t="s">
        <v>140</v>
      </c>
      <c r="O2357">
        <v>12</v>
      </c>
      <c r="P2357" t="s">
        <v>21</v>
      </c>
      <c r="Q2357" t="s">
        <v>76</v>
      </c>
      <c r="R2357" t="str" cm="1">
        <f t="array" ref="R2357">_xlfn.IFS(B2357&lt;31,"Young-Adult",B2357&lt;41,"Adult",B2357&lt;61,"Middle-aged",B2357&gt;=61,"Senior")</f>
        <v>Young-Adult</v>
      </c>
      <c r="S2357" cm="1">
        <f t="array" ref="S2357">_xlfn.IFS(Q2357 ="Fortnightly",14,Q2357="Weekly",7,Q2357="Monthly",30,Q2357="Quarterly",90,Q2357="Bi-Weekly",14,Q2357="Annually",365,Q2357="Every 3 Months",90,TRUE,"NOT FOUND")</f>
        <v>30</v>
      </c>
    </row>
    <row r="2358" spans="1:19" x14ac:dyDescent="0.35">
      <c r="A2358">
        <v>2357</v>
      </c>
      <c r="B2358">
        <v>57</v>
      </c>
      <c r="C2358" t="s">
        <v>7</v>
      </c>
      <c r="D2358" t="s">
        <v>120</v>
      </c>
      <c r="E2358" t="s">
        <v>55</v>
      </c>
      <c r="F2358">
        <v>58</v>
      </c>
      <c r="G2358" t="s">
        <v>44</v>
      </c>
      <c r="H2358" t="s">
        <v>32</v>
      </c>
      <c r="I2358" t="s">
        <v>12</v>
      </c>
      <c r="J2358" t="s">
        <v>41</v>
      </c>
      <c r="K2358">
        <v>3</v>
      </c>
      <c r="L2358" t="s">
        <v>140</v>
      </c>
      <c r="M2358" t="s">
        <v>26</v>
      </c>
      <c r="N2358" t="s">
        <v>140</v>
      </c>
      <c r="O2358">
        <v>27</v>
      </c>
      <c r="P2358" t="s">
        <v>74</v>
      </c>
      <c r="Q2358" t="s">
        <v>46</v>
      </c>
      <c r="R2358" t="str" cm="1">
        <f t="array" ref="R2358">_xlfn.IFS(B2358&lt;31,"Young-Adult",B2358&lt;41,"Adult",B2358&lt;61,"Middle-aged",B2358&gt;=61,"Senior")</f>
        <v>Middle-aged</v>
      </c>
      <c r="S2358" cm="1">
        <f t="array" ref="S2358">_xlfn.IFS(Q2358 ="Fortnightly",14,Q2358="Weekly",7,Q2358="Monthly",30,Q2358="Quarterly",90,Q2358="Bi-Weekly",14,Q2358="Annually",365,Q2358="Every 3 Months",90,TRUE,"NOT FOUND")</f>
        <v>90</v>
      </c>
    </row>
    <row r="2359" spans="1:19" x14ac:dyDescent="0.35">
      <c r="A2359">
        <v>2358</v>
      </c>
      <c r="B2359">
        <v>53</v>
      </c>
      <c r="C2359" t="s">
        <v>7</v>
      </c>
      <c r="D2359" t="s">
        <v>43</v>
      </c>
      <c r="E2359" t="s">
        <v>9</v>
      </c>
      <c r="F2359">
        <v>67</v>
      </c>
      <c r="G2359" t="s">
        <v>139</v>
      </c>
      <c r="H2359" t="s">
        <v>11</v>
      </c>
      <c r="I2359" t="s">
        <v>97</v>
      </c>
      <c r="J2359" t="s">
        <v>45</v>
      </c>
      <c r="K2359">
        <v>4.2</v>
      </c>
      <c r="L2359" t="s">
        <v>140</v>
      </c>
      <c r="M2359" t="s">
        <v>58</v>
      </c>
      <c r="N2359" t="s">
        <v>140</v>
      </c>
      <c r="O2359">
        <v>40</v>
      </c>
      <c r="P2359" t="s">
        <v>27</v>
      </c>
      <c r="Q2359" t="s">
        <v>64</v>
      </c>
      <c r="R2359" t="str" cm="1">
        <f t="array" ref="R2359">_xlfn.IFS(B2359&lt;31,"Young-Adult",B2359&lt;41,"Adult",B2359&lt;61,"Middle-aged",B2359&gt;=61,"Senior")</f>
        <v>Middle-aged</v>
      </c>
      <c r="S2359" cm="1">
        <f t="array" ref="S2359">_xlfn.IFS(Q2359 ="Fortnightly",14,Q2359="Weekly",7,Q2359="Monthly",30,Q2359="Quarterly",90,Q2359="Bi-Weekly",14,Q2359="Annually",365,Q2359="Every 3 Months",90,TRUE,"NOT FOUND")</f>
        <v>14</v>
      </c>
    </row>
    <row r="2360" spans="1:19" x14ac:dyDescent="0.35">
      <c r="A2360">
        <v>2359</v>
      </c>
      <c r="B2360">
        <v>53</v>
      </c>
      <c r="C2360" t="s">
        <v>7</v>
      </c>
      <c r="D2360" t="s">
        <v>18</v>
      </c>
      <c r="E2360" t="s">
        <v>9</v>
      </c>
      <c r="F2360">
        <v>93</v>
      </c>
      <c r="G2360" t="s">
        <v>93</v>
      </c>
      <c r="H2360" t="s">
        <v>11</v>
      </c>
      <c r="I2360" t="s">
        <v>57</v>
      </c>
      <c r="J2360" t="s">
        <v>25</v>
      </c>
      <c r="K2360">
        <v>3.8</v>
      </c>
      <c r="L2360" t="s">
        <v>140</v>
      </c>
      <c r="M2360" t="s">
        <v>42</v>
      </c>
      <c r="N2360" t="s">
        <v>140</v>
      </c>
      <c r="O2360">
        <v>38</v>
      </c>
      <c r="P2360" t="s">
        <v>27</v>
      </c>
      <c r="Q2360" t="s">
        <v>46</v>
      </c>
      <c r="R2360" t="str" cm="1">
        <f t="array" ref="R2360">_xlfn.IFS(B2360&lt;31,"Young-Adult",B2360&lt;41,"Adult",B2360&lt;61,"Middle-aged",B2360&gt;=61,"Senior")</f>
        <v>Middle-aged</v>
      </c>
      <c r="S2360" cm="1">
        <f t="array" ref="S2360">_xlfn.IFS(Q2360 ="Fortnightly",14,Q2360="Weekly",7,Q2360="Monthly",30,Q2360="Quarterly",90,Q2360="Bi-Weekly",14,Q2360="Annually",365,Q2360="Every 3 Months",90,TRUE,"NOT FOUND")</f>
        <v>90</v>
      </c>
    </row>
    <row r="2361" spans="1:19" x14ac:dyDescent="0.35">
      <c r="A2361">
        <v>2360</v>
      </c>
      <c r="B2361">
        <v>19</v>
      </c>
      <c r="C2361" t="s">
        <v>7</v>
      </c>
      <c r="D2361" t="s">
        <v>107</v>
      </c>
      <c r="E2361" t="s">
        <v>55</v>
      </c>
      <c r="F2361">
        <v>81</v>
      </c>
      <c r="G2361" t="s">
        <v>126</v>
      </c>
      <c r="H2361" t="s">
        <v>24</v>
      </c>
      <c r="I2361" t="s">
        <v>68</v>
      </c>
      <c r="J2361" t="s">
        <v>25</v>
      </c>
      <c r="K2361">
        <v>3.3</v>
      </c>
      <c r="L2361" t="s">
        <v>140</v>
      </c>
      <c r="M2361" t="s">
        <v>58</v>
      </c>
      <c r="N2361" t="s">
        <v>140</v>
      </c>
      <c r="O2361">
        <v>44</v>
      </c>
      <c r="P2361" t="s">
        <v>63</v>
      </c>
      <c r="Q2361" t="s">
        <v>85</v>
      </c>
      <c r="R2361" t="str" cm="1">
        <f t="array" ref="R2361">_xlfn.IFS(B2361&lt;31,"Young-Adult",B2361&lt;41,"Adult",B2361&lt;61,"Middle-aged",B2361&gt;=61,"Senior")</f>
        <v>Young-Adult</v>
      </c>
      <c r="S2361" cm="1">
        <f t="array" ref="S2361">_xlfn.IFS(Q2361 ="Fortnightly",14,Q2361="Weekly",7,Q2361="Monthly",30,Q2361="Quarterly",90,Q2361="Bi-Weekly",14,Q2361="Annually",365,Q2361="Every 3 Months",90,TRUE,"NOT FOUND")</f>
        <v>90</v>
      </c>
    </row>
    <row r="2362" spans="1:19" x14ac:dyDescent="0.35">
      <c r="A2362">
        <v>2361</v>
      </c>
      <c r="B2362">
        <v>49</v>
      </c>
      <c r="C2362" t="s">
        <v>7</v>
      </c>
      <c r="D2362" t="s">
        <v>54</v>
      </c>
      <c r="E2362" t="s">
        <v>55</v>
      </c>
      <c r="F2362">
        <v>80</v>
      </c>
      <c r="G2362" t="s">
        <v>72</v>
      </c>
      <c r="H2362" t="s">
        <v>11</v>
      </c>
      <c r="I2362" t="s">
        <v>53</v>
      </c>
      <c r="J2362" t="s">
        <v>45</v>
      </c>
      <c r="K2362">
        <v>4.7</v>
      </c>
      <c r="L2362" t="s">
        <v>140</v>
      </c>
      <c r="M2362" t="s">
        <v>58</v>
      </c>
      <c r="N2362" t="s">
        <v>140</v>
      </c>
      <c r="O2362">
        <v>27</v>
      </c>
      <c r="P2362" t="s">
        <v>16</v>
      </c>
      <c r="Q2362" t="s">
        <v>85</v>
      </c>
      <c r="R2362" t="str" cm="1">
        <f t="array" ref="R2362">_xlfn.IFS(B2362&lt;31,"Young-Adult",B2362&lt;41,"Adult",B2362&lt;61,"Middle-aged",B2362&gt;=61,"Senior")</f>
        <v>Middle-aged</v>
      </c>
      <c r="S2362" cm="1">
        <f t="array" ref="S2362">_xlfn.IFS(Q2362 ="Fortnightly",14,Q2362="Weekly",7,Q2362="Monthly",30,Q2362="Quarterly",90,Q2362="Bi-Weekly",14,Q2362="Annually",365,Q2362="Every 3 Months",90,TRUE,"NOT FOUND")</f>
        <v>90</v>
      </c>
    </row>
    <row r="2363" spans="1:19" x14ac:dyDescent="0.35">
      <c r="A2363">
        <v>2362</v>
      </c>
      <c r="B2363">
        <v>44</v>
      </c>
      <c r="C2363" t="s">
        <v>7</v>
      </c>
      <c r="D2363" t="s">
        <v>107</v>
      </c>
      <c r="E2363" t="s">
        <v>55</v>
      </c>
      <c r="F2363">
        <v>64</v>
      </c>
      <c r="G2363" t="s">
        <v>78</v>
      </c>
      <c r="H2363" t="s">
        <v>32</v>
      </c>
      <c r="I2363" t="s">
        <v>12</v>
      </c>
      <c r="J2363" t="s">
        <v>25</v>
      </c>
      <c r="K2363">
        <v>4.3</v>
      </c>
      <c r="L2363" t="s">
        <v>140</v>
      </c>
      <c r="M2363" t="s">
        <v>58</v>
      </c>
      <c r="N2363" t="s">
        <v>140</v>
      </c>
      <c r="O2363">
        <v>30</v>
      </c>
      <c r="P2363" t="s">
        <v>27</v>
      </c>
      <c r="Q2363" t="s">
        <v>85</v>
      </c>
      <c r="R2363" t="str" cm="1">
        <f t="array" ref="R2363">_xlfn.IFS(B2363&lt;31,"Young-Adult",B2363&lt;41,"Adult",B2363&lt;61,"Middle-aged",B2363&gt;=61,"Senior")</f>
        <v>Middle-aged</v>
      </c>
      <c r="S2363" cm="1">
        <f t="array" ref="S2363">_xlfn.IFS(Q2363 ="Fortnightly",14,Q2363="Weekly",7,Q2363="Monthly",30,Q2363="Quarterly",90,Q2363="Bi-Weekly",14,Q2363="Annually",365,Q2363="Every 3 Months",90,TRUE,"NOT FOUND")</f>
        <v>90</v>
      </c>
    </row>
    <row r="2364" spans="1:19" x14ac:dyDescent="0.35">
      <c r="A2364">
        <v>2363</v>
      </c>
      <c r="B2364">
        <v>27</v>
      </c>
      <c r="C2364" t="s">
        <v>7</v>
      </c>
      <c r="D2364" t="s">
        <v>22</v>
      </c>
      <c r="E2364" t="s">
        <v>9</v>
      </c>
      <c r="F2364">
        <v>41</v>
      </c>
      <c r="G2364" t="s">
        <v>129</v>
      </c>
      <c r="H2364" t="s">
        <v>32</v>
      </c>
      <c r="I2364" t="s">
        <v>98</v>
      </c>
      <c r="J2364" t="s">
        <v>45</v>
      </c>
      <c r="K2364">
        <v>2.7</v>
      </c>
      <c r="L2364" t="s">
        <v>140</v>
      </c>
      <c r="M2364" t="s">
        <v>42</v>
      </c>
      <c r="N2364" t="s">
        <v>140</v>
      </c>
      <c r="O2364">
        <v>24</v>
      </c>
      <c r="P2364" t="s">
        <v>27</v>
      </c>
      <c r="Q2364" t="s">
        <v>76</v>
      </c>
      <c r="R2364" t="str" cm="1">
        <f t="array" ref="R2364">_xlfn.IFS(B2364&lt;31,"Young-Adult",B2364&lt;41,"Adult",B2364&lt;61,"Middle-aged",B2364&gt;=61,"Senior")</f>
        <v>Young-Adult</v>
      </c>
      <c r="S2364" cm="1">
        <f t="array" ref="S2364">_xlfn.IFS(Q2364 ="Fortnightly",14,Q2364="Weekly",7,Q2364="Monthly",30,Q2364="Quarterly",90,Q2364="Bi-Weekly",14,Q2364="Annually",365,Q2364="Every 3 Months",90,TRUE,"NOT FOUND")</f>
        <v>30</v>
      </c>
    </row>
    <row r="2365" spans="1:19" x14ac:dyDescent="0.35">
      <c r="A2365">
        <v>2364</v>
      </c>
      <c r="B2365">
        <v>60</v>
      </c>
      <c r="C2365" t="s">
        <v>7</v>
      </c>
      <c r="D2365" t="s">
        <v>113</v>
      </c>
      <c r="E2365" t="s">
        <v>9</v>
      </c>
      <c r="F2365">
        <v>79</v>
      </c>
      <c r="G2365" t="s">
        <v>126</v>
      </c>
      <c r="H2365" t="s">
        <v>80</v>
      </c>
      <c r="I2365" t="s">
        <v>57</v>
      </c>
      <c r="J2365" t="s">
        <v>13</v>
      </c>
      <c r="K2365">
        <v>4.2</v>
      </c>
      <c r="L2365" t="s">
        <v>140</v>
      </c>
      <c r="M2365" t="s">
        <v>15</v>
      </c>
      <c r="N2365" t="s">
        <v>140</v>
      </c>
      <c r="O2365">
        <v>38</v>
      </c>
      <c r="P2365" t="s">
        <v>21</v>
      </c>
      <c r="Q2365" t="s">
        <v>64</v>
      </c>
      <c r="R2365" t="str" cm="1">
        <f t="array" ref="R2365">_xlfn.IFS(B2365&lt;31,"Young-Adult",B2365&lt;41,"Adult",B2365&lt;61,"Middle-aged",B2365&gt;=61,"Senior")</f>
        <v>Middle-aged</v>
      </c>
      <c r="S2365" cm="1">
        <f t="array" ref="S2365">_xlfn.IFS(Q2365 ="Fortnightly",14,Q2365="Weekly",7,Q2365="Monthly",30,Q2365="Quarterly",90,Q2365="Bi-Weekly",14,Q2365="Annually",365,Q2365="Every 3 Months",90,TRUE,"NOT FOUND")</f>
        <v>14</v>
      </c>
    </row>
    <row r="2366" spans="1:19" x14ac:dyDescent="0.35">
      <c r="A2366">
        <v>2365</v>
      </c>
      <c r="B2366">
        <v>62</v>
      </c>
      <c r="C2366" t="s">
        <v>7</v>
      </c>
      <c r="D2366" t="s">
        <v>77</v>
      </c>
      <c r="E2366" t="s">
        <v>55</v>
      </c>
      <c r="F2366">
        <v>60</v>
      </c>
      <c r="G2366" t="s">
        <v>79</v>
      </c>
      <c r="H2366" t="s">
        <v>11</v>
      </c>
      <c r="I2366" t="s">
        <v>20</v>
      </c>
      <c r="J2366" t="s">
        <v>13</v>
      </c>
      <c r="K2366">
        <v>4.2</v>
      </c>
      <c r="L2366" t="s">
        <v>140</v>
      </c>
      <c r="M2366" t="s">
        <v>26</v>
      </c>
      <c r="N2366" t="s">
        <v>140</v>
      </c>
      <c r="O2366">
        <v>4</v>
      </c>
      <c r="P2366" t="s">
        <v>34</v>
      </c>
      <c r="Q2366" t="s">
        <v>46</v>
      </c>
      <c r="R2366" t="str" cm="1">
        <f t="array" ref="R2366">_xlfn.IFS(B2366&lt;31,"Young-Adult",B2366&lt;41,"Adult",B2366&lt;61,"Middle-aged",B2366&gt;=61,"Senior")</f>
        <v>Senior</v>
      </c>
      <c r="S2366" cm="1">
        <f t="array" ref="S2366">_xlfn.IFS(Q2366 ="Fortnightly",14,Q2366="Weekly",7,Q2366="Monthly",30,Q2366="Quarterly",90,Q2366="Bi-Weekly",14,Q2366="Annually",365,Q2366="Every 3 Months",90,TRUE,"NOT FOUND")</f>
        <v>90</v>
      </c>
    </row>
    <row r="2367" spans="1:19" x14ac:dyDescent="0.35">
      <c r="A2367">
        <v>2366</v>
      </c>
      <c r="B2367">
        <v>52</v>
      </c>
      <c r="C2367" t="s">
        <v>7</v>
      </c>
      <c r="D2367" t="s">
        <v>38</v>
      </c>
      <c r="E2367" t="s">
        <v>30</v>
      </c>
      <c r="F2367">
        <v>91</v>
      </c>
      <c r="G2367" t="s">
        <v>39</v>
      </c>
      <c r="H2367" t="s">
        <v>24</v>
      </c>
      <c r="I2367" t="s">
        <v>88</v>
      </c>
      <c r="J2367" t="s">
        <v>13</v>
      </c>
      <c r="K2367">
        <v>2.5</v>
      </c>
      <c r="L2367" t="s">
        <v>140</v>
      </c>
      <c r="M2367" t="s">
        <v>33</v>
      </c>
      <c r="N2367" t="s">
        <v>140</v>
      </c>
      <c r="O2367">
        <v>32</v>
      </c>
      <c r="P2367" t="s">
        <v>16</v>
      </c>
      <c r="Q2367" t="s">
        <v>76</v>
      </c>
      <c r="R2367" t="str" cm="1">
        <f t="array" ref="R2367">_xlfn.IFS(B2367&lt;31,"Young-Adult",B2367&lt;41,"Adult",B2367&lt;61,"Middle-aged",B2367&gt;=61,"Senior")</f>
        <v>Middle-aged</v>
      </c>
      <c r="S2367" cm="1">
        <f t="array" ref="S2367">_xlfn.IFS(Q2367 ="Fortnightly",14,Q2367="Weekly",7,Q2367="Monthly",30,Q2367="Quarterly",90,Q2367="Bi-Weekly",14,Q2367="Annually",365,Q2367="Every 3 Months",90,TRUE,"NOT FOUND")</f>
        <v>30</v>
      </c>
    </row>
    <row r="2368" spans="1:19" x14ac:dyDescent="0.35">
      <c r="A2368">
        <v>2367</v>
      </c>
      <c r="B2368">
        <v>30</v>
      </c>
      <c r="C2368" t="s">
        <v>7</v>
      </c>
      <c r="D2368" t="s">
        <v>59</v>
      </c>
      <c r="E2368" t="s">
        <v>30</v>
      </c>
      <c r="F2368">
        <v>66</v>
      </c>
      <c r="G2368" t="s">
        <v>118</v>
      </c>
      <c r="H2368" t="s">
        <v>11</v>
      </c>
      <c r="I2368" t="s">
        <v>98</v>
      </c>
      <c r="J2368" t="s">
        <v>13</v>
      </c>
      <c r="K2368">
        <v>3.6</v>
      </c>
      <c r="L2368" t="s">
        <v>140</v>
      </c>
      <c r="M2368" t="s">
        <v>15</v>
      </c>
      <c r="N2368" t="s">
        <v>140</v>
      </c>
      <c r="O2368">
        <v>32</v>
      </c>
      <c r="P2368" t="s">
        <v>27</v>
      </c>
      <c r="Q2368" t="s">
        <v>17</v>
      </c>
      <c r="R2368" t="str" cm="1">
        <f t="array" ref="R2368">_xlfn.IFS(B2368&lt;31,"Young-Adult",B2368&lt;41,"Adult",B2368&lt;61,"Middle-aged",B2368&gt;=61,"Senior")</f>
        <v>Young-Adult</v>
      </c>
      <c r="S2368" cm="1">
        <f t="array" ref="S2368">_xlfn.IFS(Q2368 ="Fortnightly",14,Q2368="Weekly",7,Q2368="Monthly",30,Q2368="Quarterly",90,Q2368="Bi-Weekly",14,Q2368="Annually",365,Q2368="Every 3 Months",90,TRUE,"NOT FOUND")</f>
        <v>14</v>
      </c>
    </row>
    <row r="2369" spans="1:19" x14ac:dyDescent="0.35">
      <c r="A2369">
        <v>2368</v>
      </c>
      <c r="B2369">
        <v>66</v>
      </c>
      <c r="C2369" t="s">
        <v>7</v>
      </c>
      <c r="D2369" t="s">
        <v>113</v>
      </c>
      <c r="E2369" t="s">
        <v>9</v>
      </c>
      <c r="F2369">
        <v>85</v>
      </c>
      <c r="G2369" t="s">
        <v>102</v>
      </c>
      <c r="H2369" t="s">
        <v>11</v>
      </c>
      <c r="I2369" t="s">
        <v>84</v>
      </c>
      <c r="J2369" t="s">
        <v>13</v>
      </c>
      <c r="K2369">
        <v>3.4</v>
      </c>
      <c r="L2369" t="s">
        <v>140</v>
      </c>
      <c r="M2369" t="s">
        <v>42</v>
      </c>
      <c r="N2369" t="s">
        <v>140</v>
      </c>
      <c r="O2369">
        <v>28</v>
      </c>
      <c r="P2369" t="s">
        <v>63</v>
      </c>
      <c r="Q2369" t="s">
        <v>64</v>
      </c>
      <c r="R2369" t="str" cm="1">
        <f t="array" ref="R2369">_xlfn.IFS(B2369&lt;31,"Young-Adult",B2369&lt;41,"Adult",B2369&lt;61,"Middle-aged",B2369&gt;=61,"Senior")</f>
        <v>Senior</v>
      </c>
      <c r="S2369" cm="1">
        <f t="array" ref="S2369">_xlfn.IFS(Q2369 ="Fortnightly",14,Q2369="Weekly",7,Q2369="Monthly",30,Q2369="Quarterly",90,Q2369="Bi-Weekly",14,Q2369="Annually",365,Q2369="Every 3 Months",90,TRUE,"NOT FOUND")</f>
        <v>14</v>
      </c>
    </row>
    <row r="2370" spans="1:19" x14ac:dyDescent="0.35">
      <c r="A2370">
        <v>2369</v>
      </c>
      <c r="B2370">
        <v>29</v>
      </c>
      <c r="C2370" t="s">
        <v>7</v>
      </c>
      <c r="D2370" t="s">
        <v>77</v>
      </c>
      <c r="E2370" t="s">
        <v>55</v>
      </c>
      <c r="F2370">
        <v>38</v>
      </c>
      <c r="G2370" t="s">
        <v>115</v>
      </c>
      <c r="H2370" t="s">
        <v>32</v>
      </c>
      <c r="I2370" t="s">
        <v>81</v>
      </c>
      <c r="J2370" t="s">
        <v>41</v>
      </c>
      <c r="K2370">
        <v>3.3</v>
      </c>
      <c r="L2370" t="s">
        <v>140</v>
      </c>
      <c r="M2370" t="s">
        <v>42</v>
      </c>
      <c r="N2370" t="s">
        <v>140</v>
      </c>
      <c r="O2370">
        <v>6</v>
      </c>
      <c r="P2370" t="s">
        <v>74</v>
      </c>
      <c r="Q2370" t="s">
        <v>85</v>
      </c>
      <c r="R2370" t="str" cm="1">
        <f t="array" ref="R2370">_xlfn.IFS(B2370&lt;31,"Young-Adult",B2370&lt;41,"Adult",B2370&lt;61,"Middle-aged",B2370&gt;=61,"Senior")</f>
        <v>Young-Adult</v>
      </c>
      <c r="S2370" cm="1">
        <f t="array" ref="S2370">_xlfn.IFS(Q2370 ="Fortnightly",14,Q2370="Weekly",7,Q2370="Monthly",30,Q2370="Quarterly",90,Q2370="Bi-Weekly",14,Q2370="Annually",365,Q2370="Every 3 Months",90,TRUE,"NOT FOUND")</f>
        <v>90</v>
      </c>
    </row>
    <row r="2371" spans="1:19" x14ac:dyDescent="0.35">
      <c r="A2371">
        <v>2370</v>
      </c>
      <c r="B2371">
        <v>24</v>
      </c>
      <c r="C2371" t="s">
        <v>7</v>
      </c>
      <c r="D2371" t="s">
        <v>18</v>
      </c>
      <c r="E2371" t="s">
        <v>9</v>
      </c>
      <c r="F2371">
        <v>23</v>
      </c>
      <c r="G2371" t="s">
        <v>117</v>
      </c>
      <c r="H2371" t="s">
        <v>32</v>
      </c>
      <c r="I2371" t="s">
        <v>97</v>
      </c>
      <c r="J2371" t="s">
        <v>13</v>
      </c>
      <c r="K2371">
        <v>4.5999999999999996</v>
      </c>
      <c r="L2371" t="s">
        <v>140</v>
      </c>
      <c r="M2371" t="s">
        <v>42</v>
      </c>
      <c r="N2371" t="s">
        <v>140</v>
      </c>
      <c r="O2371">
        <v>24</v>
      </c>
      <c r="P2371" t="s">
        <v>34</v>
      </c>
      <c r="Q2371" t="s">
        <v>76</v>
      </c>
      <c r="R2371" t="str" cm="1">
        <f t="array" ref="R2371">_xlfn.IFS(B2371&lt;31,"Young-Adult",B2371&lt;41,"Adult",B2371&lt;61,"Middle-aged",B2371&gt;=61,"Senior")</f>
        <v>Young-Adult</v>
      </c>
      <c r="S2371" cm="1">
        <f t="array" ref="S2371">_xlfn.IFS(Q2371 ="Fortnightly",14,Q2371="Weekly",7,Q2371="Monthly",30,Q2371="Quarterly",90,Q2371="Bi-Weekly",14,Q2371="Annually",365,Q2371="Every 3 Months",90,TRUE,"NOT FOUND")</f>
        <v>30</v>
      </c>
    </row>
    <row r="2372" spans="1:19" x14ac:dyDescent="0.35">
      <c r="A2372">
        <v>2371</v>
      </c>
      <c r="B2372">
        <v>51</v>
      </c>
      <c r="C2372" t="s">
        <v>7</v>
      </c>
      <c r="D2372" t="s">
        <v>59</v>
      </c>
      <c r="E2372" t="s">
        <v>30</v>
      </c>
      <c r="F2372">
        <v>71</v>
      </c>
      <c r="G2372" t="s">
        <v>108</v>
      </c>
      <c r="H2372" t="s">
        <v>32</v>
      </c>
      <c r="I2372" t="s">
        <v>82</v>
      </c>
      <c r="J2372" t="s">
        <v>25</v>
      </c>
      <c r="K2372">
        <v>3.9</v>
      </c>
      <c r="L2372" t="s">
        <v>140</v>
      </c>
      <c r="M2372" t="s">
        <v>62</v>
      </c>
      <c r="N2372" t="s">
        <v>140</v>
      </c>
      <c r="O2372">
        <v>38</v>
      </c>
      <c r="P2372" t="s">
        <v>16</v>
      </c>
      <c r="Q2372" t="s">
        <v>28</v>
      </c>
      <c r="R2372" t="str" cm="1">
        <f t="array" ref="R2372">_xlfn.IFS(B2372&lt;31,"Young-Adult",B2372&lt;41,"Adult",B2372&lt;61,"Middle-aged",B2372&gt;=61,"Senior")</f>
        <v>Middle-aged</v>
      </c>
      <c r="S2372" cm="1">
        <f t="array" ref="S2372">_xlfn.IFS(Q2372 ="Fortnightly",14,Q2372="Weekly",7,Q2372="Monthly",30,Q2372="Quarterly",90,Q2372="Bi-Weekly",14,Q2372="Annually",365,Q2372="Every 3 Months",90,TRUE,"NOT FOUND")</f>
        <v>7</v>
      </c>
    </row>
    <row r="2373" spans="1:19" x14ac:dyDescent="0.35">
      <c r="A2373">
        <v>2372</v>
      </c>
      <c r="B2373">
        <v>67</v>
      </c>
      <c r="C2373" t="s">
        <v>7</v>
      </c>
      <c r="D2373" t="s">
        <v>113</v>
      </c>
      <c r="E2373" t="s">
        <v>9</v>
      </c>
      <c r="F2373">
        <v>25</v>
      </c>
      <c r="G2373" t="s">
        <v>104</v>
      </c>
      <c r="H2373" t="s">
        <v>32</v>
      </c>
      <c r="I2373" t="s">
        <v>49</v>
      </c>
      <c r="J2373" t="s">
        <v>13</v>
      </c>
      <c r="K2373">
        <v>3.7</v>
      </c>
      <c r="L2373" t="s">
        <v>140</v>
      </c>
      <c r="M2373" t="s">
        <v>33</v>
      </c>
      <c r="N2373" t="s">
        <v>140</v>
      </c>
      <c r="O2373">
        <v>28</v>
      </c>
      <c r="P2373" t="s">
        <v>74</v>
      </c>
      <c r="Q2373" t="s">
        <v>37</v>
      </c>
      <c r="R2373" t="str" cm="1">
        <f t="array" ref="R2373">_xlfn.IFS(B2373&lt;31,"Young-Adult",B2373&lt;41,"Adult",B2373&lt;61,"Middle-aged",B2373&gt;=61,"Senior")</f>
        <v>Senior</v>
      </c>
      <c r="S2373" cm="1">
        <f t="array" ref="S2373">_xlfn.IFS(Q2373 ="Fortnightly",14,Q2373="Weekly",7,Q2373="Monthly",30,Q2373="Quarterly",90,Q2373="Bi-Weekly",14,Q2373="Annually",365,Q2373="Every 3 Months",90,TRUE,"NOT FOUND")</f>
        <v>365</v>
      </c>
    </row>
    <row r="2374" spans="1:19" x14ac:dyDescent="0.35">
      <c r="A2374">
        <v>2373</v>
      </c>
      <c r="B2374">
        <v>50</v>
      </c>
      <c r="C2374" t="s">
        <v>7</v>
      </c>
      <c r="D2374" t="s">
        <v>125</v>
      </c>
      <c r="E2374" t="s">
        <v>30</v>
      </c>
      <c r="F2374">
        <v>39</v>
      </c>
      <c r="G2374" t="s">
        <v>78</v>
      </c>
      <c r="H2374" t="s">
        <v>80</v>
      </c>
      <c r="I2374" t="s">
        <v>53</v>
      </c>
      <c r="J2374" t="s">
        <v>25</v>
      </c>
      <c r="K2374">
        <v>3.1</v>
      </c>
      <c r="L2374" t="s">
        <v>140</v>
      </c>
      <c r="M2374" t="s">
        <v>15</v>
      </c>
      <c r="N2374" t="s">
        <v>140</v>
      </c>
      <c r="O2374">
        <v>9</v>
      </c>
      <c r="P2374" t="s">
        <v>34</v>
      </c>
      <c r="Q2374" t="s">
        <v>17</v>
      </c>
      <c r="R2374" t="str" cm="1">
        <f t="array" ref="R2374">_xlfn.IFS(B2374&lt;31,"Young-Adult",B2374&lt;41,"Adult",B2374&lt;61,"Middle-aged",B2374&gt;=61,"Senior")</f>
        <v>Middle-aged</v>
      </c>
      <c r="S2374" cm="1">
        <f t="array" ref="S2374">_xlfn.IFS(Q2374 ="Fortnightly",14,Q2374="Weekly",7,Q2374="Monthly",30,Q2374="Quarterly",90,Q2374="Bi-Weekly",14,Q2374="Annually",365,Q2374="Every 3 Months",90,TRUE,"NOT FOUND")</f>
        <v>14</v>
      </c>
    </row>
    <row r="2375" spans="1:19" x14ac:dyDescent="0.35">
      <c r="A2375">
        <v>2374</v>
      </c>
      <c r="B2375">
        <v>37</v>
      </c>
      <c r="C2375" t="s">
        <v>7</v>
      </c>
      <c r="D2375" t="s">
        <v>92</v>
      </c>
      <c r="E2375" t="s">
        <v>9</v>
      </c>
      <c r="F2375">
        <v>20</v>
      </c>
      <c r="G2375" t="s">
        <v>139</v>
      </c>
      <c r="H2375" t="s">
        <v>32</v>
      </c>
      <c r="I2375" t="s">
        <v>12</v>
      </c>
      <c r="J2375" t="s">
        <v>25</v>
      </c>
      <c r="K2375">
        <v>4.9000000000000004</v>
      </c>
      <c r="L2375" t="s">
        <v>140</v>
      </c>
      <c r="M2375" t="s">
        <v>15</v>
      </c>
      <c r="N2375" t="s">
        <v>140</v>
      </c>
      <c r="O2375">
        <v>21</v>
      </c>
      <c r="P2375" t="s">
        <v>74</v>
      </c>
      <c r="Q2375" t="s">
        <v>85</v>
      </c>
      <c r="R2375" t="str" cm="1">
        <f t="array" ref="R2375">_xlfn.IFS(B2375&lt;31,"Young-Adult",B2375&lt;41,"Adult",B2375&lt;61,"Middle-aged",B2375&gt;=61,"Senior")</f>
        <v>Adult</v>
      </c>
      <c r="S2375" cm="1">
        <f t="array" ref="S2375">_xlfn.IFS(Q2375 ="Fortnightly",14,Q2375="Weekly",7,Q2375="Monthly",30,Q2375="Quarterly",90,Q2375="Bi-Weekly",14,Q2375="Annually",365,Q2375="Every 3 Months",90,TRUE,"NOT FOUND")</f>
        <v>90</v>
      </c>
    </row>
    <row r="2376" spans="1:19" x14ac:dyDescent="0.35">
      <c r="A2376">
        <v>2375</v>
      </c>
      <c r="B2376">
        <v>69</v>
      </c>
      <c r="C2376" t="s">
        <v>7</v>
      </c>
      <c r="D2376" t="s">
        <v>131</v>
      </c>
      <c r="E2376" t="s">
        <v>55</v>
      </c>
      <c r="F2376">
        <v>73</v>
      </c>
      <c r="G2376" t="s">
        <v>137</v>
      </c>
      <c r="H2376" t="s">
        <v>11</v>
      </c>
      <c r="I2376" t="s">
        <v>88</v>
      </c>
      <c r="J2376" t="s">
        <v>13</v>
      </c>
      <c r="K2376">
        <v>4.7</v>
      </c>
      <c r="L2376" t="s">
        <v>140</v>
      </c>
      <c r="M2376" t="s">
        <v>42</v>
      </c>
      <c r="N2376" t="s">
        <v>140</v>
      </c>
      <c r="O2376">
        <v>31</v>
      </c>
      <c r="P2376" t="s">
        <v>74</v>
      </c>
      <c r="Q2376" t="s">
        <v>76</v>
      </c>
      <c r="R2376" t="str" cm="1">
        <f t="array" ref="R2376">_xlfn.IFS(B2376&lt;31,"Young-Adult",B2376&lt;41,"Adult",B2376&lt;61,"Middle-aged",B2376&gt;=61,"Senior")</f>
        <v>Senior</v>
      </c>
      <c r="S2376" cm="1">
        <f t="array" ref="S2376">_xlfn.IFS(Q2376 ="Fortnightly",14,Q2376="Weekly",7,Q2376="Monthly",30,Q2376="Quarterly",90,Q2376="Bi-Weekly",14,Q2376="Annually",365,Q2376="Every 3 Months",90,TRUE,"NOT FOUND")</f>
        <v>30</v>
      </c>
    </row>
    <row r="2377" spans="1:19" x14ac:dyDescent="0.35">
      <c r="A2377">
        <v>2376</v>
      </c>
      <c r="B2377">
        <v>60</v>
      </c>
      <c r="C2377" t="s">
        <v>7</v>
      </c>
      <c r="D2377" t="s">
        <v>120</v>
      </c>
      <c r="E2377" t="s">
        <v>55</v>
      </c>
      <c r="F2377">
        <v>63</v>
      </c>
      <c r="G2377" t="s">
        <v>129</v>
      </c>
      <c r="H2377" t="s">
        <v>11</v>
      </c>
      <c r="I2377" t="s">
        <v>88</v>
      </c>
      <c r="J2377" t="s">
        <v>45</v>
      </c>
      <c r="K2377">
        <v>2.9</v>
      </c>
      <c r="L2377" t="s">
        <v>140</v>
      </c>
      <c r="M2377" t="s">
        <v>33</v>
      </c>
      <c r="N2377" t="s">
        <v>140</v>
      </c>
      <c r="O2377">
        <v>18</v>
      </c>
      <c r="P2377" t="s">
        <v>27</v>
      </c>
      <c r="Q2377" t="s">
        <v>46</v>
      </c>
      <c r="R2377" t="str" cm="1">
        <f t="array" ref="R2377">_xlfn.IFS(B2377&lt;31,"Young-Adult",B2377&lt;41,"Adult",B2377&lt;61,"Middle-aged",B2377&gt;=61,"Senior")</f>
        <v>Middle-aged</v>
      </c>
      <c r="S2377" cm="1">
        <f t="array" ref="S2377">_xlfn.IFS(Q2377 ="Fortnightly",14,Q2377="Weekly",7,Q2377="Monthly",30,Q2377="Quarterly",90,Q2377="Bi-Weekly",14,Q2377="Annually",365,Q2377="Every 3 Months",90,TRUE,"NOT FOUND")</f>
        <v>90</v>
      </c>
    </row>
    <row r="2378" spans="1:19" x14ac:dyDescent="0.35">
      <c r="A2378">
        <v>2377</v>
      </c>
      <c r="B2378">
        <v>21</v>
      </c>
      <c r="C2378" t="s">
        <v>7</v>
      </c>
      <c r="D2378" t="s">
        <v>131</v>
      </c>
      <c r="E2378" t="s">
        <v>55</v>
      </c>
      <c r="F2378">
        <v>94</v>
      </c>
      <c r="G2378" t="s">
        <v>110</v>
      </c>
      <c r="H2378" t="s">
        <v>80</v>
      </c>
      <c r="I2378" t="s">
        <v>97</v>
      </c>
      <c r="J2378" t="s">
        <v>25</v>
      </c>
      <c r="K2378">
        <v>4.0999999999999996</v>
      </c>
      <c r="L2378" t="s">
        <v>140</v>
      </c>
      <c r="M2378" t="s">
        <v>15</v>
      </c>
      <c r="N2378" t="s">
        <v>140</v>
      </c>
      <c r="O2378">
        <v>5</v>
      </c>
      <c r="P2378" t="s">
        <v>21</v>
      </c>
      <c r="Q2378" t="s">
        <v>28</v>
      </c>
      <c r="R2378" t="str" cm="1">
        <f t="array" ref="R2378">_xlfn.IFS(B2378&lt;31,"Young-Adult",B2378&lt;41,"Adult",B2378&lt;61,"Middle-aged",B2378&gt;=61,"Senior")</f>
        <v>Young-Adult</v>
      </c>
      <c r="S2378" cm="1">
        <f t="array" ref="S2378">_xlfn.IFS(Q2378 ="Fortnightly",14,Q2378="Weekly",7,Q2378="Monthly",30,Q2378="Quarterly",90,Q2378="Bi-Weekly",14,Q2378="Annually",365,Q2378="Every 3 Months",90,TRUE,"NOT FOUND")</f>
        <v>7</v>
      </c>
    </row>
    <row r="2379" spans="1:19" x14ac:dyDescent="0.35">
      <c r="A2379">
        <v>2378</v>
      </c>
      <c r="B2379">
        <v>44</v>
      </c>
      <c r="C2379" t="s">
        <v>7</v>
      </c>
      <c r="D2379" t="s">
        <v>8</v>
      </c>
      <c r="E2379" t="s">
        <v>9</v>
      </c>
      <c r="F2379">
        <v>94</v>
      </c>
      <c r="G2379" t="s">
        <v>135</v>
      </c>
      <c r="H2379" t="s">
        <v>11</v>
      </c>
      <c r="I2379" t="s">
        <v>124</v>
      </c>
      <c r="J2379" t="s">
        <v>45</v>
      </c>
      <c r="K2379">
        <v>4</v>
      </c>
      <c r="L2379" t="s">
        <v>140</v>
      </c>
      <c r="M2379" t="s">
        <v>33</v>
      </c>
      <c r="N2379" t="s">
        <v>140</v>
      </c>
      <c r="O2379">
        <v>22</v>
      </c>
      <c r="P2379" t="s">
        <v>21</v>
      </c>
      <c r="Q2379" t="s">
        <v>37</v>
      </c>
      <c r="R2379" t="str" cm="1">
        <f t="array" ref="R2379">_xlfn.IFS(B2379&lt;31,"Young-Adult",B2379&lt;41,"Adult",B2379&lt;61,"Middle-aged",B2379&gt;=61,"Senior")</f>
        <v>Middle-aged</v>
      </c>
      <c r="S2379" cm="1">
        <f t="array" ref="S2379">_xlfn.IFS(Q2379 ="Fortnightly",14,Q2379="Weekly",7,Q2379="Monthly",30,Q2379="Quarterly",90,Q2379="Bi-Weekly",14,Q2379="Annually",365,Q2379="Every 3 Months",90,TRUE,"NOT FOUND")</f>
        <v>365</v>
      </c>
    </row>
    <row r="2380" spans="1:19" x14ac:dyDescent="0.35">
      <c r="A2380">
        <v>2379</v>
      </c>
      <c r="B2380">
        <v>26</v>
      </c>
      <c r="C2380" t="s">
        <v>7</v>
      </c>
      <c r="D2380" t="s">
        <v>107</v>
      </c>
      <c r="E2380" t="s">
        <v>55</v>
      </c>
      <c r="F2380">
        <v>71</v>
      </c>
      <c r="G2380" t="s">
        <v>70</v>
      </c>
      <c r="H2380" t="s">
        <v>11</v>
      </c>
      <c r="I2380" t="s">
        <v>73</v>
      </c>
      <c r="J2380" t="s">
        <v>41</v>
      </c>
      <c r="K2380">
        <v>2.7</v>
      </c>
      <c r="L2380" t="s">
        <v>140</v>
      </c>
      <c r="M2380" t="s">
        <v>62</v>
      </c>
      <c r="N2380" t="s">
        <v>140</v>
      </c>
      <c r="O2380">
        <v>37</v>
      </c>
      <c r="P2380" t="s">
        <v>34</v>
      </c>
      <c r="Q2380" t="s">
        <v>64</v>
      </c>
      <c r="R2380" t="str" cm="1">
        <f t="array" ref="R2380">_xlfn.IFS(B2380&lt;31,"Young-Adult",B2380&lt;41,"Adult",B2380&lt;61,"Middle-aged",B2380&gt;=61,"Senior")</f>
        <v>Young-Adult</v>
      </c>
      <c r="S2380" cm="1">
        <f t="array" ref="S2380">_xlfn.IFS(Q2380 ="Fortnightly",14,Q2380="Weekly",7,Q2380="Monthly",30,Q2380="Quarterly",90,Q2380="Bi-Weekly",14,Q2380="Annually",365,Q2380="Every 3 Months",90,TRUE,"NOT FOUND")</f>
        <v>14</v>
      </c>
    </row>
    <row r="2381" spans="1:19" x14ac:dyDescent="0.35">
      <c r="A2381">
        <v>2380</v>
      </c>
      <c r="B2381">
        <v>40</v>
      </c>
      <c r="C2381" t="s">
        <v>7</v>
      </c>
      <c r="D2381" t="s">
        <v>112</v>
      </c>
      <c r="E2381" t="s">
        <v>55</v>
      </c>
      <c r="F2381">
        <v>77</v>
      </c>
      <c r="G2381" t="s">
        <v>135</v>
      </c>
      <c r="H2381" t="s">
        <v>32</v>
      </c>
      <c r="I2381" t="s">
        <v>88</v>
      </c>
      <c r="J2381" t="s">
        <v>25</v>
      </c>
      <c r="K2381">
        <v>4</v>
      </c>
      <c r="L2381" t="s">
        <v>140</v>
      </c>
      <c r="M2381" t="s">
        <v>58</v>
      </c>
      <c r="N2381" t="s">
        <v>140</v>
      </c>
      <c r="O2381">
        <v>22</v>
      </c>
      <c r="P2381" t="s">
        <v>74</v>
      </c>
      <c r="Q2381" t="s">
        <v>76</v>
      </c>
      <c r="R2381" t="str" cm="1">
        <f t="array" ref="R2381">_xlfn.IFS(B2381&lt;31,"Young-Adult",B2381&lt;41,"Adult",B2381&lt;61,"Middle-aged",B2381&gt;=61,"Senior")</f>
        <v>Adult</v>
      </c>
      <c r="S2381" cm="1">
        <f t="array" ref="S2381">_xlfn.IFS(Q2381 ="Fortnightly",14,Q2381="Weekly",7,Q2381="Monthly",30,Q2381="Quarterly",90,Q2381="Bi-Weekly",14,Q2381="Annually",365,Q2381="Every 3 Months",90,TRUE,"NOT FOUND")</f>
        <v>30</v>
      </c>
    </row>
    <row r="2382" spans="1:19" x14ac:dyDescent="0.35">
      <c r="A2382">
        <v>2381</v>
      </c>
      <c r="B2382">
        <v>41</v>
      </c>
      <c r="C2382" t="s">
        <v>7</v>
      </c>
      <c r="D2382" t="s">
        <v>107</v>
      </c>
      <c r="E2382" t="s">
        <v>55</v>
      </c>
      <c r="F2382">
        <v>66</v>
      </c>
      <c r="G2382" t="s">
        <v>126</v>
      </c>
      <c r="H2382" t="s">
        <v>32</v>
      </c>
      <c r="I2382" t="s">
        <v>82</v>
      </c>
      <c r="J2382" t="s">
        <v>45</v>
      </c>
      <c r="K2382">
        <v>2.5</v>
      </c>
      <c r="L2382" t="s">
        <v>140</v>
      </c>
      <c r="M2382" t="s">
        <v>33</v>
      </c>
      <c r="N2382" t="s">
        <v>140</v>
      </c>
      <c r="O2382">
        <v>36</v>
      </c>
      <c r="P2382" t="s">
        <v>34</v>
      </c>
      <c r="Q2382" t="s">
        <v>17</v>
      </c>
      <c r="R2382" t="str" cm="1">
        <f t="array" ref="R2382">_xlfn.IFS(B2382&lt;31,"Young-Adult",B2382&lt;41,"Adult",B2382&lt;61,"Middle-aged",B2382&gt;=61,"Senior")</f>
        <v>Middle-aged</v>
      </c>
      <c r="S2382" cm="1">
        <f t="array" ref="S2382">_xlfn.IFS(Q2382 ="Fortnightly",14,Q2382="Weekly",7,Q2382="Monthly",30,Q2382="Quarterly",90,Q2382="Bi-Weekly",14,Q2382="Annually",365,Q2382="Every 3 Months",90,TRUE,"NOT FOUND")</f>
        <v>14</v>
      </c>
    </row>
    <row r="2383" spans="1:19" x14ac:dyDescent="0.35">
      <c r="A2383">
        <v>2382</v>
      </c>
      <c r="B2383">
        <v>62</v>
      </c>
      <c r="C2383" t="s">
        <v>7</v>
      </c>
      <c r="D2383" t="s">
        <v>29</v>
      </c>
      <c r="E2383" t="s">
        <v>30</v>
      </c>
      <c r="F2383">
        <v>23</v>
      </c>
      <c r="G2383" t="s">
        <v>138</v>
      </c>
      <c r="H2383" t="s">
        <v>32</v>
      </c>
      <c r="I2383" t="s">
        <v>73</v>
      </c>
      <c r="J2383" t="s">
        <v>41</v>
      </c>
      <c r="K2383">
        <v>4.5</v>
      </c>
      <c r="L2383" t="s">
        <v>140</v>
      </c>
      <c r="M2383" t="s">
        <v>26</v>
      </c>
      <c r="N2383" t="s">
        <v>140</v>
      </c>
      <c r="O2383">
        <v>23</v>
      </c>
      <c r="P2383" t="s">
        <v>34</v>
      </c>
      <c r="Q2383" t="s">
        <v>37</v>
      </c>
      <c r="R2383" t="str" cm="1">
        <f t="array" ref="R2383">_xlfn.IFS(B2383&lt;31,"Young-Adult",B2383&lt;41,"Adult",B2383&lt;61,"Middle-aged",B2383&gt;=61,"Senior")</f>
        <v>Senior</v>
      </c>
      <c r="S2383" cm="1">
        <f t="array" ref="S2383">_xlfn.IFS(Q2383 ="Fortnightly",14,Q2383="Weekly",7,Q2383="Monthly",30,Q2383="Quarterly",90,Q2383="Bi-Weekly",14,Q2383="Annually",365,Q2383="Every 3 Months",90,TRUE,"NOT FOUND")</f>
        <v>365</v>
      </c>
    </row>
    <row r="2384" spans="1:19" x14ac:dyDescent="0.35">
      <c r="A2384">
        <v>2383</v>
      </c>
      <c r="B2384">
        <v>39</v>
      </c>
      <c r="C2384" t="s">
        <v>7</v>
      </c>
      <c r="D2384" t="s">
        <v>18</v>
      </c>
      <c r="E2384" t="s">
        <v>9</v>
      </c>
      <c r="F2384">
        <v>60</v>
      </c>
      <c r="G2384" t="s">
        <v>87</v>
      </c>
      <c r="H2384" t="s">
        <v>32</v>
      </c>
      <c r="I2384" t="s">
        <v>36</v>
      </c>
      <c r="J2384" t="s">
        <v>25</v>
      </c>
      <c r="K2384">
        <v>3.9</v>
      </c>
      <c r="L2384" t="s">
        <v>140</v>
      </c>
      <c r="M2384" t="s">
        <v>15</v>
      </c>
      <c r="N2384" t="s">
        <v>140</v>
      </c>
      <c r="O2384">
        <v>44</v>
      </c>
      <c r="P2384" t="s">
        <v>74</v>
      </c>
      <c r="Q2384" t="s">
        <v>28</v>
      </c>
      <c r="R2384" t="str" cm="1">
        <f t="array" ref="R2384">_xlfn.IFS(B2384&lt;31,"Young-Adult",B2384&lt;41,"Adult",B2384&lt;61,"Middle-aged",B2384&gt;=61,"Senior")</f>
        <v>Adult</v>
      </c>
      <c r="S2384" cm="1">
        <f t="array" ref="S2384">_xlfn.IFS(Q2384 ="Fortnightly",14,Q2384="Weekly",7,Q2384="Monthly",30,Q2384="Quarterly",90,Q2384="Bi-Weekly",14,Q2384="Annually",365,Q2384="Every 3 Months",90,TRUE,"NOT FOUND")</f>
        <v>7</v>
      </c>
    </row>
    <row r="2385" spans="1:19" x14ac:dyDescent="0.35">
      <c r="A2385">
        <v>2384</v>
      </c>
      <c r="B2385">
        <v>53</v>
      </c>
      <c r="C2385" t="s">
        <v>7</v>
      </c>
      <c r="D2385" t="s">
        <v>120</v>
      </c>
      <c r="E2385" t="s">
        <v>55</v>
      </c>
      <c r="F2385">
        <v>72</v>
      </c>
      <c r="G2385" t="s">
        <v>31</v>
      </c>
      <c r="H2385" t="s">
        <v>11</v>
      </c>
      <c r="I2385" t="s">
        <v>68</v>
      </c>
      <c r="J2385" t="s">
        <v>25</v>
      </c>
      <c r="K2385">
        <v>4.9000000000000004</v>
      </c>
      <c r="L2385" t="s">
        <v>140</v>
      </c>
      <c r="M2385" t="s">
        <v>58</v>
      </c>
      <c r="N2385" t="s">
        <v>140</v>
      </c>
      <c r="O2385">
        <v>25</v>
      </c>
      <c r="P2385" t="s">
        <v>63</v>
      </c>
      <c r="Q2385" t="s">
        <v>37</v>
      </c>
      <c r="R2385" t="str" cm="1">
        <f t="array" ref="R2385">_xlfn.IFS(B2385&lt;31,"Young-Adult",B2385&lt;41,"Adult",B2385&lt;61,"Middle-aged",B2385&gt;=61,"Senior")</f>
        <v>Middle-aged</v>
      </c>
      <c r="S2385" cm="1">
        <f t="array" ref="S2385">_xlfn.IFS(Q2385 ="Fortnightly",14,Q2385="Weekly",7,Q2385="Monthly",30,Q2385="Quarterly",90,Q2385="Bi-Weekly",14,Q2385="Annually",365,Q2385="Every 3 Months",90,TRUE,"NOT FOUND")</f>
        <v>365</v>
      </c>
    </row>
    <row r="2386" spans="1:19" x14ac:dyDescent="0.35">
      <c r="A2386">
        <v>2385</v>
      </c>
      <c r="B2386">
        <v>24</v>
      </c>
      <c r="C2386" t="s">
        <v>7</v>
      </c>
      <c r="D2386" t="s">
        <v>8</v>
      </c>
      <c r="E2386" t="s">
        <v>9</v>
      </c>
      <c r="F2386">
        <v>35</v>
      </c>
      <c r="G2386" t="s">
        <v>78</v>
      </c>
      <c r="H2386" t="s">
        <v>11</v>
      </c>
      <c r="I2386" t="s">
        <v>84</v>
      </c>
      <c r="J2386" t="s">
        <v>13</v>
      </c>
      <c r="K2386">
        <v>3.3</v>
      </c>
      <c r="L2386" t="s">
        <v>140</v>
      </c>
      <c r="M2386" t="s">
        <v>58</v>
      </c>
      <c r="N2386" t="s">
        <v>140</v>
      </c>
      <c r="O2386">
        <v>40</v>
      </c>
      <c r="P2386" t="s">
        <v>34</v>
      </c>
      <c r="Q2386" t="s">
        <v>46</v>
      </c>
      <c r="R2386" t="str" cm="1">
        <f t="array" ref="R2386">_xlfn.IFS(B2386&lt;31,"Young-Adult",B2386&lt;41,"Adult",B2386&lt;61,"Middle-aged",B2386&gt;=61,"Senior")</f>
        <v>Young-Adult</v>
      </c>
      <c r="S2386" cm="1">
        <f t="array" ref="S2386">_xlfn.IFS(Q2386 ="Fortnightly",14,Q2386="Weekly",7,Q2386="Monthly",30,Q2386="Quarterly",90,Q2386="Bi-Weekly",14,Q2386="Annually",365,Q2386="Every 3 Months",90,TRUE,"NOT FOUND")</f>
        <v>90</v>
      </c>
    </row>
    <row r="2387" spans="1:19" x14ac:dyDescent="0.35">
      <c r="A2387">
        <v>2386</v>
      </c>
      <c r="B2387">
        <v>41</v>
      </c>
      <c r="C2387" t="s">
        <v>7</v>
      </c>
      <c r="D2387" t="s">
        <v>107</v>
      </c>
      <c r="E2387" t="s">
        <v>55</v>
      </c>
      <c r="F2387">
        <v>31</v>
      </c>
      <c r="G2387" t="s">
        <v>89</v>
      </c>
      <c r="H2387" t="s">
        <v>32</v>
      </c>
      <c r="I2387" t="s">
        <v>98</v>
      </c>
      <c r="J2387" t="s">
        <v>45</v>
      </c>
      <c r="K2387">
        <v>3.8</v>
      </c>
      <c r="L2387" t="s">
        <v>140</v>
      </c>
      <c r="M2387" t="s">
        <v>15</v>
      </c>
      <c r="N2387" t="s">
        <v>140</v>
      </c>
      <c r="O2387">
        <v>12</v>
      </c>
      <c r="P2387" t="s">
        <v>34</v>
      </c>
      <c r="Q2387" t="s">
        <v>28</v>
      </c>
      <c r="R2387" t="str" cm="1">
        <f t="array" ref="R2387">_xlfn.IFS(B2387&lt;31,"Young-Adult",B2387&lt;41,"Adult",B2387&lt;61,"Middle-aged",B2387&gt;=61,"Senior")</f>
        <v>Middle-aged</v>
      </c>
      <c r="S2387" cm="1">
        <f t="array" ref="S2387">_xlfn.IFS(Q2387 ="Fortnightly",14,Q2387="Weekly",7,Q2387="Monthly",30,Q2387="Quarterly",90,Q2387="Bi-Weekly",14,Q2387="Annually",365,Q2387="Every 3 Months",90,TRUE,"NOT FOUND")</f>
        <v>7</v>
      </c>
    </row>
    <row r="2388" spans="1:19" x14ac:dyDescent="0.35">
      <c r="A2388">
        <v>2387</v>
      </c>
      <c r="B2388">
        <v>19</v>
      </c>
      <c r="C2388" t="s">
        <v>7</v>
      </c>
      <c r="D2388" t="s">
        <v>113</v>
      </c>
      <c r="E2388" t="s">
        <v>9</v>
      </c>
      <c r="F2388">
        <v>33</v>
      </c>
      <c r="G2388" t="s">
        <v>103</v>
      </c>
      <c r="H2388" t="s">
        <v>11</v>
      </c>
      <c r="I2388" t="s">
        <v>132</v>
      </c>
      <c r="J2388" t="s">
        <v>41</v>
      </c>
      <c r="K2388">
        <v>2.9</v>
      </c>
      <c r="L2388" t="s">
        <v>140</v>
      </c>
      <c r="M2388" t="s">
        <v>42</v>
      </c>
      <c r="N2388" t="s">
        <v>140</v>
      </c>
      <c r="O2388">
        <v>14</v>
      </c>
      <c r="P2388" t="s">
        <v>16</v>
      </c>
      <c r="Q2388" t="s">
        <v>76</v>
      </c>
      <c r="R2388" t="str" cm="1">
        <f t="array" ref="R2388">_xlfn.IFS(B2388&lt;31,"Young-Adult",B2388&lt;41,"Adult",B2388&lt;61,"Middle-aged",B2388&gt;=61,"Senior")</f>
        <v>Young-Adult</v>
      </c>
      <c r="S2388" cm="1">
        <f t="array" ref="S2388">_xlfn.IFS(Q2388 ="Fortnightly",14,Q2388="Weekly",7,Q2388="Monthly",30,Q2388="Quarterly",90,Q2388="Bi-Weekly",14,Q2388="Annually",365,Q2388="Every 3 Months",90,TRUE,"NOT FOUND")</f>
        <v>30</v>
      </c>
    </row>
    <row r="2389" spans="1:19" x14ac:dyDescent="0.35">
      <c r="A2389">
        <v>2388</v>
      </c>
      <c r="B2389">
        <v>36</v>
      </c>
      <c r="C2389" t="s">
        <v>7</v>
      </c>
      <c r="D2389" t="s">
        <v>112</v>
      </c>
      <c r="E2389" t="s">
        <v>55</v>
      </c>
      <c r="F2389">
        <v>95</v>
      </c>
      <c r="G2389" t="s">
        <v>110</v>
      </c>
      <c r="H2389" t="s">
        <v>32</v>
      </c>
      <c r="I2389" t="s">
        <v>68</v>
      </c>
      <c r="J2389" t="s">
        <v>41</v>
      </c>
      <c r="K2389">
        <v>4</v>
      </c>
      <c r="L2389" t="s">
        <v>140</v>
      </c>
      <c r="M2389" t="s">
        <v>58</v>
      </c>
      <c r="N2389" t="s">
        <v>140</v>
      </c>
      <c r="O2389">
        <v>14</v>
      </c>
      <c r="P2389" t="s">
        <v>74</v>
      </c>
      <c r="Q2389" t="s">
        <v>76</v>
      </c>
      <c r="R2389" t="str" cm="1">
        <f t="array" ref="R2389">_xlfn.IFS(B2389&lt;31,"Young-Adult",B2389&lt;41,"Adult",B2389&lt;61,"Middle-aged",B2389&gt;=61,"Senior")</f>
        <v>Adult</v>
      </c>
      <c r="S2389" cm="1">
        <f t="array" ref="S2389">_xlfn.IFS(Q2389 ="Fortnightly",14,Q2389="Weekly",7,Q2389="Monthly",30,Q2389="Quarterly",90,Q2389="Bi-Weekly",14,Q2389="Annually",365,Q2389="Every 3 Months",90,TRUE,"NOT FOUND")</f>
        <v>30</v>
      </c>
    </row>
    <row r="2390" spans="1:19" x14ac:dyDescent="0.35">
      <c r="A2390">
        <v>2389</v>
      </c>
      <c r="B2390">
        <v>21</v>
      </c>
      <c r="C2390" t="s">
        <v>7</v>
      </c>
      <c r="D2390" t="s">
        <v>69</v>
      </c>
      <c r="E2390" t="s">
        <v>9</v>
      </c>
      <c r="F2390">
        <v>68</v>
      </c>
      <c r="G2390" t="s">
        <v>78</v>
      </c>
      <c r="H2390" t="s">
        <v>32</v>
      </c>
      <c r="I2390" t="s">
        <v>88</v>
      </c>
      <c r="J2390" t="s">
        <v>45</v>
      </c>
      <c r="K2390">
        <v>4.0999999999999996</v>
      </c>
      <c r="L2390" t="s">
        <v>140</v>
      </c>
      <c r="M2390" t="s">
        <v>62</v>
      </c>
      <c r="N2390" t="s">
        <v>140</v>
      </c>
      <c r="O2390">
        <v>10</v>
      </c>
      <c r="P2390" t="s">
        <v>74</v>
      </c>
      <c r="Q2390" t="s">
        <v>37</v>
      </c>
      <c r="R2390" t="str" cm="1">
        <f t="array" ref="R2390">_xlfn.IFS(B2390&lt;31,"Young-Adult",B2390&lt;41,"Adult",B2390&lt;61,"Middle-aged",B2390&gt;=61,"Senior")</f>
        <v>Young-Adult</v>
      </c>
      <c r="S2390" cm="1">
        <f t="array" ref="S2390">_xlfn.IFS(Q2390 ="Fortnightly",14,Q2390="Weekly",7,Q2390="Monthly",30,Q2390="Quarterly",90,Q2390="Bi-Weekly",14,Q2390="Annually",365,Q2390="Every 3 Months",90,TRUE,"NOT FOUND")</f>
        <v>365</v>
      </c>
    </row>
    <row r="2391" spans="1:19" x14ac:dyDescent="0.35">
      <c r="A2391">
        <v>2390</v>
      </c>
      <c r="B2391">
        <v>25</v>
      </c>
      <c r="C2391" t="s">
        <v>7</v>
      </c>
      <c r="D2391" t="s">
        <v>50</v>
      </c>
      <c r="E2391" t="s">
        <v>51</v>
      </c>
      <c r="F2391">
        <v>87</v>
      </c>
      <c r="G2391" t="s">
        <v>99</v>
      </c>
      <c r="H2391" t="s">
        <v>32</v>
      </c>
      <c r="I2391" t="s">
        <v>71</v>
      </c>
      <c r="J2391" t="s">
        <v>25</v>
      </c>
      <c r="K2391">
        <v>3.1</v>
      </c>
      <c r="L2391" t="s">
        <v>140</v>
      </c>
      <c r="M2391" t="s">
        <v>62</v>
      </c>
      <c r="N2391" t="s">
        <v>140</v>
      </c>
      <c r="O2391">
        <v>17</v>
      </c>
      <c r="P2391" t="s">
        <v>63</v>
      </c>
      <c r="Q2391" t="s">
        <v>85</v>
      </c>
      <c r="R2391" t="str" cm="1">
        <f t="array" ref="R2391">_xlfn.IFS(B2391&lt;31,"Young-Adult",B2391&lt;41,"Adult",B2391&lt;61,"Middle-aged",B2391&gt;=61,"Senior")</f>
        <v>Young-Adult</v>
      </c>
      <c r="S2391" cm="1">
        <f t="array" ref="S2391">_xlfn.IFS(Q2391 ="Fortnightly",14,Q2391="Weekly",7,Q2391="Monthly",30,Q2391="Quarterly",90,Q2391="Bi-Weekly",14,Q2391="Annually",365,Q2391="Every 3 Months",90,TRUE,"NOT FOUND")</f>
        <v>90</v>
      </c>
    </row>
    <row r="2392" spans="1:19" x14ac:dyDescent="0.35">
      <c r="A2392">
        <v>2391</v>
      </c>
      <c r="B2392">
        <v>65</v>
      </c>
      <c r="C2392" t="s">
        <v>7</v>
      </c>
      <c r="D2392" t="s">
        <v>43</v>
      </c>
      <c r="E2392" t="s">
        <v>9</v>
      </c>
      <c r="F2392">
        <v>64</v>
      </c>
      <c r="G2392" t="s">
        <v>105</v>
      </c>
      <c r="H2392" t="s">
        <v>80</v>
      </c>
      <c r="I2392" t="s">
        <v>122</v>
      </c>
      <c r="J2392" t="s">
        <v>13</v>
      </c>
      <c r="K2392">
        <v>4.5999999999999996</v>
      </c>
      <c r="L2392" t="s">
        <v>140</v>
      </c>
      <c r="M2392" t="s">
        <v>15</v>
      </c>
      <c r="N2392" t="s">
        <v>140</v>
      </c>
      <c r="O2392">
        <v>24</v>
      </c>
      <c r="P2392" t="s">
        <v>74</v>
      </c>
      <c r="Q2392" t="s">
        <v>17</v>
      </c>
      <c r="R2392" t="str" cm="1">
        <f t="array" ref="R2392">_xlfn.IFS(B2392&lt;31,"Young-Adult",B2392&lt;41,"Adult",B2392&lt;61,"Middle-aged",B2392&gt;=61,"Senior")</f>
        <v>Senior</v>
      </c>
      <c r="S2392" cm="1">
        <f t="array" ref="S2392">_xlfn.IFS(Q2392 ="Fortnightly",14,Q2392="Weekly",7,Q2392="Monthly",30,Q2392="Quarterly",90,Q2392="Bi-Weekly",14,Q2392="Annually",365,Q2392="Every 3 Months",90,TRUE,"NOT FOUND")</f>
        <v>14</v>
      </c>
    </row>
    <row r="2393" spans="1:19" x14ac:dyDescent="0.35">
      <c r="A2393">
        <v>2392</v>
      </c>
      <c r="B2393">
        <v>42</v>
      </c>
      <c r="C2393" t="s">
        <v>7</v>
      </c>
      <c r="D2393" t="s">
        <v>43</v>
      </c>
      <c r="E2393" t="s">
        <v>9</v>
      </c>
      <c r="F2393">
        <v>74</v>
      </c>
      <c r="G2393" t="s">
        <v>139</v>
      </c>
      <c r="H2393" t="s">
        <v>32</v>
      </c>
      <c r="I2393" t="s">
        <v>82</v>
      </c>
      <c r="J2393" t="s">
        <v>13</v>
      </c>
      <c r="K2393">
        <v>4.5999999999999996</v>
      </c>
      <c r="L2393" t="s">
        <v>140</v>
      </c>
      <c r="M2393" t="s">
        <v>33</v>
      </c>
      <c r="N2393" t="s">
        <v>140</v>
      </c>
      <c r="O2393">
        <v>31</v>
      </c>
      <c r="P2393" t="s">
        <v>63</v>
      </c>
      <c r="Q2393" t="s">
        <v>46</v>
      </c>
      <c r="R2393" t="str" cm="1">
        <f t="array" ref="R2393">_xlfn.IFS(B2393&lt;31,"Young-Adult",B2393&lt;41,"Adult",B2393&lt;61,"Middle-aged",B2393&gt;=61,"Senior")</f>
        <v>Middle-aged</v>
      </c>
      <c r="S2393" cm="1">
        <f t="array" ref="S2393">_xlfn.IFS(Q2393 ="Fortnightly",14,Q2393="Weekly",7,Q2393="Monthly",30,Q2393="Quarterly",90,Q2393="Bi-Weekly",14,Q2393="Annually",365,Q2393="Every 3 Months",90,TRUE,"NOT FOUND")</f>
        <v>90</v>
      </c>
    </row>
    <row r="2394" spans="1:19" x14ac:dyDescent="0.35">
      <c r="A2394">
        <v>2393</v>
      </c>
      <c r="B2394">
        <v>40</v>
      </c>
      <c r="C2394" t="s">
        <v>7</v>
      </c>
      <c r="D2394" t="s">
        <v>22</v>
      </c>
      <c r="E2394" t="s">
        <v>9</v>
      </c>
      <c r="F2394">
        <v>62</v>
      </c>
      <c r="G2394" t="s">
        <v>56</v>
      </c>
      <c r="H2394" t="s">
        <v>11</v>
      </c>
      <c r="I2394" t="s">
        <v>53</v>
      </c>
      <c r="J2394" t="s">
        <v>25</v>
      </c>
      <c r="K2394">
        <v>2.6</v>
      </c>
      <c r="L2394" t="s">
        <v>140</v>
      </c>
      <c r="M2394" t="s">
        <v>58</v>
      </c>
      <c r="N2394" t="s">
        <v>140</v>
      </c>
      <c r="O2394">
        <v>36</v>
      </c>
      <c r="P2394" t="s">
        <v>21</v>
      </c>
      <c r="Q2394" t="s">
        <v>37</v>
      </c>
      <c r="R2394" t="str" cm="1">
        <f t="array" ref="R2394">_xlfn.IFS(B2394&lt;31,"Young-Adult",B2394&lt;41,"Adult",B2394&lt;61,"Middle-aged",B2394&gt;=61,"Senior")</f>
        <v>Adult</v>
      </c>
      <c r="S2394" cm="1">
        <f t="array" ref="S2394">_xlfn.IFS(Q2394 ="Fortnightly",14,Q2394="Weekly",7,Q2394="Monthly",30,Q2394="Quarterly",90,Q2394="Bi-Weekly",14,Q2394="Annually",365,Q2394="Every 3 Months",90,TRUE,"NOT FOUND")</f>
        <v>365</v>
      </c>
    </row>
    <row r="2395" spans="1:19" x14ac:dyDescent="0.35">
      <c r="A2395">
        <v>2394</v>
      </c>
      <c r="B2395">
        <v>58</v>
      </c>
      <c r="C2395" t="s">
        <v>7</v>
      </c>
      <c r="D2395" t="s">
        <v>113</v>
      </c>
      <c r="E2395" t="s">
        <v>9</v>
      </c>
      <c r="F2395">
        <v>97</v>
      </c>
      <c r="G2395" t="s">
        <v>48</v>
      </c>
      <c r="H2395" t="s">
        <v>32</v>
      </c>
      <c r="I2395" t="s">
        <v>98</v>
      </c>
      <c r="J2395" t="s">
        <v>13</v>
      </c>
      <c r="K2395">
        <v>5</v>
      </c>
      <c r="L2395" t="s">
        <v>140</v>
      </c>
      <c r="M2395" t="s">
        <v>58</v>
      </c>
      <c r="N2395" t="s">
        <v>140</v>
      </c>
      <c r="O2395">
        <v>38</v>
      </c>
      <c r="P2395" t="s">
        <v>34</v>
      </c>
      <c r="Q2395" t="s">
        <v>85</v>
      </c>
      <c r="R2395" t="str" cm="1">
        <f t="array" ref="R2395">_xlfn.IFS(B2395&lt;31,"Young-Adult",B2395&lt;41,"Adult",B2395&lt;61,"Middle-aged",B2395&gt;=61,"Senior")</f>
        <v>Middle-aged</v>
      </c>
      <c r="S2395" cm="1">
        <f t="array" ref="S2395">_xlfn.IFS(Q2395 ="Fortnightly",14,Q2395="Weekly",7,Q2395="Monthly",30,Q2395="Quarterly",90,Q2395="Bi-Weekly",14,Q2395="Annually",365,Q2395="Every 3 Months",90,TRUE,"NOT FOUND")</f>
        <v>90</v>
      </c>
    </row>
    <row r="2396" spans="1:19" x14ac:dyDescent="0.35">
      <c r="A2396">
        <v>2395</v>
      </c>
      <c r="B2396">
        <v>40</v>
      </c>
      <c r="C2396" t="s">
        <v>7</v>
      </c>
      <c r="D2396" t="s">
        <v>29</v>
      </c>
      <c r="E2396" t="s">
        <v>30</v>
      </c>
      <c r="F2396">
        <v>47</v>
      </c>
      <c r="G2396" t="s">
        <v>127</v>
      </c>
      <c r="H2396" t="s">
        <v>11</v>
      </c>
      <c r="I2396" t="s">
        <v>88</v>
      </c>
      <c r="J2396" t="s">
        <v>45</v>
      </c>
      <c r="K2396">
        <v>2.9</v>
      </c>
      <c r="L2396" t="s">
        <v>140</v>
      </c>
      <c r="M2396" t="s">
        <v>58</v>
      </c>
      <c r="N2396" t="s">
        <v>140</v>
      </c>
      <c r="O2396">
        <v>23</v>
      </c>
      <c r="P2396" t="s">
        <v>74</v>
      </c>
      <c r="Q2396" t="s">
        <v>17</v>
      </c>
      <c r="R2396" t="str" cm="1">
        <f t="array" ref="R2396">_xlfn.IFS(B2396&lt;31,"Young-Adult",B2396&lt;41,"Adult",B2396&lt;61,"Middle-aged",B2396&gt;=61,"Senior")</f>
        <v>Adult</v>
      </c>
      <c r="S2396" cm="1">
        <f t="array" ref="S2396">_xlfn.IFS(Q2396 ="Fortnightly",14,Q2396="Weekly",7,Q2396="Monthly",30,Q2396="Quarterly",90,Q2396="Bi-Weekly",14,Q2396="Annually",365,Q2396="Every 3 Months",90,TRUE,"NOT FOUND")</f>
        <v>14</v>
      </c>
    </row>
    <row r="2397" spans="1:19" x14ac:dyDescent="0.35">
      <c r="A2397">
        <v>2396</v>
      </c>
      <c r="B2397">
        <v>62</v>
      </c>
      <c r="C2397" t="s">
        <v>7</v>
      </c>
      <c r="D2397" t="s">
        <v>8</v>
      </c>
      <c r="E2397" t="s">
        <v>9</v>
      </c>
      <c r="F2397">
        <v>83</v>
      </c>
      <c r="G2397" t="s">
        <v>127</v>
      </c>
      <c r="H2397" t="s">
        <v>32</v>
      </c>
      <c r="I2397" t="s">
        <v>97</v>
      </c>
      <c r="J2397" t="s">
        <v>13</v>
      </c>
      <c r="K2397">
        <v>3.5</v>
      </c>
      <c r="L2397" t="s">
        <v>140</v>
      </c>
      <c r="M2397" t="s">
        <v>58</v>
      </c>
      <c r="N2397" t="s">
        <v>140</v>
      </c>
      <c r="O2397">
        <v>47</v>
      </c>
      <c r="P2397" t="s">
        <v>34</v>
      </c>
      <c r="Q2397" t="s">
        <v>64</v>
      </c>
      <c r="R2397" t="str" cm="1">
        <f t="array" ref="R2397">_xlfn.IFS(B2397&lt;31,"Young-Adult",B2397&lt;41,"Adult",B2397&lt;61,"Middle-aged",B2397&gt;=61,"Senior")</f>
        <v>Senior</v>
      </c>
      <c r="S2397" cm="1">
        <f t="array" ref="S2397">_xlfn.IFS(Q2397 ="Fortnightly",14,Q2397="Weekly",7,Q2397="Monthly",30,Q2397="Quarterly",90,Q2397="Bi-Weekly",14,Q2397="Annually",365,Q2397="Every 3 Months",90,TRUE,"NOT FOUND")</f>
        <v>14</v>
      </c>
    </row>
    <row r="2398" spans="1:19" x14ac:dyDescent="0.35">
      <c r="A2398">
        <v>2397</v>
      </c>
      <c r="B2398">
        <v>38</v>
      </c>
      <c r="C2398" t="s">
        <v>7</v>
      </c>
      <c r="D2398" t="s">
        <v>43</v>
      </c>
      <c r="E2398" t="s">
        <v>9</v>
      </c>
      <c r="F2398">
        <v>82</v>
      </c>
      <c r="G2398" t="s">
        <v>35</v>
      </c>
      <c r="H2398" t="s">
        <v>32</v>
      </c>
      <c r="I2398" t="s">
        <v>66</v>
      </c>
      <c r="J2398" t="s">
        <v>25</v>
      </c>
      <c r="K2398">
        <v>3.7</v>
      </c>
      <c r="L2398" t="s">
        <v>140</v>
      </c>
      <c r="M2398" t="s">
        <v>58</v>
      </c>
      <c r="N2398" t="s">
        <v>140</v>
      </c>
      <c r="O2398">
        <v>20</v>
      </c>
      <c r="P2398" t="s">
        <v>16</v>
      </c>
      <c r="Q2398" t="s">
        <v>28</v>
      </c>
      <c r="R2398" t="str" cm="1">
        <f t="array" ref="R2398">_xlfn.IFS(B2398&lt;31,"Young-Adult",B2398&lt;41,"Adult",B2398&lt;61,"Middle-aged",B2398&gt;=61,"Senior")</f>
        <v>Adult</v>
      </c>
      <c r="S2398" cm="1">
        <f t="array" ref="S2398">_xlfn.IFS(Q2398 ="Fortnightly",14,Q2398="Weekly",7,Q2398="Monthly",30,Q2398="Quarterly",90,Q2398="Bi-Weekly",14,Q2398="Annually",365,Q2398="Every 3 Months",90,TRUE,"NOT FOUND")</f>
        <v>7</v>
      </c>
    </row>
    <row r="2399" spans="1:19" x14ac:dyDescent="0.35">
      <c r="A2399">
        <v>2398</v>
      </c>
      <c r="B2399">
        <v>37</v>
      </c>
      <c r="C2399" t="s">
        <v>7</v>
      </c>
      <c r="D2399" t="s">
        <v>77</v>
      </c>
      <c r="E2399" t="s">
        <v>55</v>
      </c>
      <c r="F2399">
        <v>26</v>
      </c>
      <c r="G2399" t="s">
        <v>52</v>
      </c>
      <c r="H2399" t="s">
        <v>11</v>
      </c>
      <c r="I2399" t="s">
        <v>82</v>
      </c>
      <c r="J2399" t="s">
        <v>45</v>
      </c>
      <c r="K2399">
        <v>2.9</v>
      </c>
      <c r="L2399" t="s">
        <v>140</v>
      </c>
      <c r="M2399" t="s">
        <v>62</v>
      </c>
      <c r="N2399" t="s">
        <v>140</v>
      </c>
      <c r="O2399">
        <v>41</v>
      </c>
      <c r="P2399" t="s">
        <v>16</v>
      </c>
      <c r="Q2399" t="s">
        <v>76</v>
      </c>
      <c r="R2399" t="str" cm="1">
        <f t="array" ref="R2399">_xlfn.IFS(B2399&lt;31,"Young-Adult",B2399&lt;41,"Adult",B2399&lt;61,"Middle-aged",B2399&gt;=61,"Senior")</f>
        <v>Adult</v>
      </c>
      <c r="S2399" cm="1">
        <f t="array" ref="S2399">_xlfn.IFS(Q2399 ="Fortnightly",14,Q2399="Weekly",7,Q2399="Monthly",30,Q2399="Quarterly",90,Q2399="Bi-Weekly",14,Q2399="Annually",365,Q2399="Every 3 Months",90,TRUE,"NOT FOUND")</f>
        <v>30</v>
      </c>
    </row>
    <row r="2400" spans="1:19" x14ac:dyDescent="0.35">
      <c r="A2400">
        <v>2399</v>
      </c>
      <c r="B2400">
        <v>65</v>
      </c>
      <c r="C2400" t="s">
        <v>7</v>
      </c>
      <c r="D2400" t="s">
        <v>90</v>
      </c>
      <c r="E2400" t="s">
        <v>51</v>
      </c>
      <c r="F2400">
        <v>81</v>
      </c>
      <c r="G2400" t="s">
        <v>91</v>
      </c>
      <c r="H2400" t="s">
        <v>32</v>
      </c>
      <c r="I2400" t="s">
        <v>109</v>
      </c>
      <c r="J2400" t="s">
        <v>13</v>
      </c>
      <c r="K2400">
        <v>4.3</v>
      </c>
      <c r="L2400" t="s">
        <v>140</v>
      </c>
      <c r="M2400" t="s">
        <v>26</v>
      </c>
      <c r="N2400" t="s">
        <v>140</v>
      </c>
      <c r="O2400">
        <v>44</v>
      </c>
      <c r="P2400" t="s">
        <v>63</v>
      </c>
      <c r="Q2400" t="s">
        <v>17</v>
      </c>
      <c r="R2400" t="str" cm="1">
        <f t="array" ref="R2400">_xlfn.IFS(B2400&lt;31,"Young-Adult",B2400&lt;41,"Adult",B2400&lt;61,"Middle-aged",B2400&gt;=61,"Senior")</f>
        <v>Senior</v>
      </c>
      <c r="S2400" cm="1">
        <f t="array" ref="S2400">_xlfn.IFS(Q2400 ="Fortnightly",14,Q2400="Weekly",7,Q2400="Monthly",30,Q2400="Quarterly",90,Q2400="Bi-Weekly",14,Q2400="Annually",365,Q2400="Every 3 Months",90,TRUE,"NOT FOUND")</f>
        <v>14</v>
      </c>
    </row>
    <row r="2401" spans="1:19" x14ac:dyDescent="0.35">
      <c r="A2401">
        <v>2400</v>
      </c>
      <c r="B2401">
        <v>55</v>
      </c>
      <c r="C2401" t="s">
        <v>7</v>
      </c>
      <c r="D2401" t="s">
        <v>69</v>
      </c>
      <c r="E2401" t="s">
        <v>9</v>
      </c>
      <c r="F2401">
        <v>44</v>
      </c>
      <c r="G2401" t="s">
        <v>70</v>
      </c>
      <c r="H2401" t="s">
        <v>11</v>
      </c>
      <c r="I2401" t="s">
        <v>106</v>
      </c>
      <c r="J2401" t="s">
        <v>25</v>
      </c>
      <c r="K2401">
        <v>3.2</v>
      </c>
      <c r="L2401" t="s">
        <v>140</v>
      </c>
      <c r="M2401" t="s">
        <v>62</v>
      </c>
      <c r="N2401" t="s">
        <v>140</v>
      </c>
      <c r="O2401">
        <v>31</v>
      </c>
      <c r="P2401" t="s">
        <v>21</v>
      </c>
      <c r="Q2401" t="s">
        <v>76</v>
      </c>
      <c r="R2401" t="str" cm="1">
        <f t="array" ref="R2401">_xlfn.IFS(B2401&lt;31,"Young-Adult",B2401&lt;41,"Adult",B2401&lt;61,"Middle-aged",B2401&gt;=61,"Senior")</f>
        <v>Middle-aged</v>
      </c>
      <c r="S2401" cm="1">
        <f t="array" ref="S2401">_xlfn.IFS(Q2401 ="Fortnightly",14,Q2401="Weekly",7,Q2401="Monthly",30,Q2401="Quarterly",90,Q2401="Bi-Weekly",14,Q2401="Annually",365,Q2401="Every 3 Months",90,TRUE,"NOT FOUND")</f>
        <v>30</v>
      </c>
    </row>
    <row r="2402" spans="1:19" x14ac:dyDescent="0.35">
      <c r="A2402">
        <v>2401</v>
      </c>
      <c r="B2402">
        <v>43</v>
      </c>
      <c r="C2402" t="s">
        <v>7</v>
      </c>
      <c r="D2402" t="s">
        <v>77</v>
      </c>
      <c r="E2402" t="s">
        <v>55</v>
      </c>
      <c r="F2402">
        <v>88</v>
      </c>
      <c r="G2402" t="s">
        <v>35</v>
      </c>
      <c r="H2402" t="s">
        <v>32</v>
      </c>
      <c r="I2402" t="s">
        <v>88</v>
      </c>
      <c r="J2402" t="s">
        <v>13</v>
      </c>
      <c r="K2402">
        <v>4.2</v>
      </c>
      <c r="L2402" t="s">
        <v>140</v>
      </c>
      <c r="M2402" t="s">
        <v>33</v>
      </c>
      <c r="N2402" t="s">
        <v>140</v>
      </c>
      <c r="O2402">
        <v>11</v>
      </c>
      <c r="P2402" t="s">
        <v>27</v>
      </c>
      <c r="Q2402" t="s">
        <v>64</v>
      </c>
      <c r="R2402" t="str" cm="1">
        <f t="array" ref="R2402">_xlfn.IFS(B2402&lt;31,"Young-Adult",B2402&lt;41,"Adult",B2402&lt;61,"Middle-aged",B2402&gt;=61,"Senior")</f>
        <v>Middle-aged</v>
      </c>
      <c r="S2402" cm="1">
        <f t="array" ref="S2402">_xlfn.IFS(Q2402 ="Fortnightly",14,Q2402="Weekly",7,Q2402="Monthly",30,Q2402="Quarterly",90,Q2402="Bi-Weekly",14,Q2402="Annually",365,Q2402="Every 3 Months",90,TRUE,"NOT FOUND")</f>
        <v>14</v>
      </c>
    </row>
    <row r="2403" spans="1:19" x14ac:dyDescent="0.35">
      <c r="A2403">
        <v>2402</v>
      </c>
      <c r="B2403">
        <v>43</v>
      </c>
      <c r="C2403" t="s">
        <v>7</v>
      </c>
      <c r="D2403" t="s">
        <v>125</v>
      </c>
      <c r="E2403" t="s">
        <v>30</v>
      </c>
      <c r="F2403">
        <v>76</v>
      </c>
      <c r="G2403" t="s">
        <v>35</v>
      </c>
      <c r="H2403" t="s">
        <v>32</v>
      </c>
      <c r="I2403" t="s">
        <v>57</v>
      </c>
      <c r="J2403" t="s">
        <v>13</v>
      </c>
      <c r="K2403">
        <v>4.2</v>
      </c>
      <c r="L2403" t="s">
        <v>140</v>
      </c>
      <c r="M2403" t="s">
        <v>42</v>
      </c>
      <c r="N2403" t="s">
        <v>140</v>
      </c>
      <c r="O2403">
        <v>25</v>
      </c>
      <c r="P2403" t="s">
        <v>34</v>
      </c>
      <c r="Q2403" t="s">
        <v>64</v>
      </c>
      <c r="R2403" t="str" cm="1">
        <f t="array" ref="R2403">_xlfn.IFS(B2403&lt;31,"Young-Adult",B2403&lt;41,"Adult",B2403&lt;61,"Middle-aged",B2403&gt;=61,"Senior")</f>
        <v>Middle-aged</v>
      </c>
      <c r="S2403" cm="1">
        <f t="array" ref="S2403">_xlfn.IFS(Q2403 ="Fortnightly",14,Q2403="Weekly",7,Q2403="Monthly",30,Q2403="Quarterly",90,Q2403="Bi-Weekly",14,Q2403="Annually",365,Q2403="Every 3 Months",90,TRUE,"NOT FOUND")</f>
        <v>14</v>
      </c>
    </row>
    <row r="2404" spans="1:19" x14ac:dyDescent="0.35">
      <c r="A2404">
        <v>2403</v>
      </c>
      <c r="B2404">
        <v>45</v>
      </c>
      <c r="C2404" t="s">
        <v>7</v>
      </c>
      <c r="D2404" t="s">
        <v>107</v>
      </c>
      <c r="E2404" t="s">
        <v>55</v>
      </c>
      <c r="F2404">
        <v>89</v>
      </c>
      <c r="G2404" t="s">
        <v>128</v>
      </c>
      <c r="H2404" t="s">
        <v>32</v>
      </c>
      <c r="I2404" t="s">
        <v>98</v>
      </c>
      <c r="J2404" t="s">
        <v>13</v>
      </c>
      <c r="K2404">
        <v>3.8</v>
      </c>
      <c r="L2404" t="s">
        <v>140</v>
      </c>
      <c r="M2404" t="s">
        <v>26</v>
      </c>
      <c r="N2404" t="s">
        <v>140</v>
      </c>
      <c r="O2404">
        <v>31</v>
      </c>
      <c r="P2404" t="s">
        <v>21</v>
      </c>
      <c r="Q2404" t="s">
        <v>28</v>
      </c>
      <c r="R2404" t="str" cm="1">
        <f t="array" ref="R2404">_xlfn.IFS(B2404&lt;31,"Young-Adult",B2404&lt;41,"Adult",B2404&lt;61,"Middle-aged",B2404&gt;=61,"Senior")</f>
        <v>Middle-aged</v>
      </c>
      <c r="S2404" cm="1">
        <f t="array" ref="S2404">_xlfn.IFS(Q2404 ="Fortnightly",14,Q2404="Weekly",7,Q2404="Monthly",30,Q2404="Quarterly",90,Q2404="Bi-Weekly",14,Q2404="Annually",365,Q2404="Every 3 Months",90,TRUE,"NOT FOUND")</f>
        <v>7</v>
      </c>
    </row>
    <row r="2405" spans="1:19" x14ac:dyDescent="0.35">
      <c r="A2405">
        <v>2404</v>
      </c>
      <c r="B2405">
        <v>64</v>
      </c>
      <c r="C2405" t="s">
        <v>7</v>
      </c>
      <c r="D2405" t="s">
        <v>47</v>
      </c>
      <c r="E2405" t="s">
        <v>9</v>
      </c>
      <c r="F2405">
        <v>22</v>
      </c>
      <c r="G2405" t="s">
        <v>56</v>
      </c>
      <c r="H2405" t="s">
        <v>32</v>
      </c>
      <c r="I2405" t="s">
        <v>124</v>
      </c>
      <c r="J2405" t="s">
        <v>45</v>
      </c>
      <c r="K2405">
        <v>4.4000000000000004</v>
      </c>
      <c r="L2405" t="s">
        <v>140</v>
      </c>
      <c r="M2405" t="s">
        <v>42</v>
      </c>
      <c r="N2405" t="s">
        <v>140</v>
      </c>
      <c r="O2405">
        <v>40</v>
      </c>
      <c r="P2405" t="s">
        <v>74</v>
      </c>
      <c r="Q2405" t="s">
        <v>28</v>
      </c>
      <c r="R2405" t="str" cm="1">
        <f t="array" ref="R2405">_xlfn.IFS(B2405&lt;31,"Young-Adult",B2405&lt;41,"Adult",B2405&lt;61,"Middle-aged",B2405&gt;=61,"Senior")</f>
        <v>Senior</v>
      </c>
      <c r="S2405" cm="1">
        <f t="array" ref="S2405">_xlfn.IFS(Q2405 ="Fortnightly",14,Q2405="Weekly",7,Q2405="Monthly",30,Q2405="Quarterly",90,Q2405="Bi-Weekly",14,Q2405="Annually",365,Q2405="Every 3 Months",90,TRUE,"NOT FOUND")</f>
        <v>7</v>
      </c>
    </row>
    <row r="2406" spans="1:19" x14ac:dyDescent="0.35">
      <c r="A2406">
        <v>2405</v>
      </c>
      <c r="B2406">
        <v>28</v>
      </c>
      <c r="C2406" t="s">
        <v>7</v>
      </c>
      <c r="D2406" t="s">
        <v>47</v>
      </c>
      <c r="E2406" t="s">
        <v>9</v>
      </c>
      <c r="F2406">
        <v>33</v>
      </c>
      <c r="G2406" t="s">
        <v>52</v>
      </c>
      <c r="H2406" t="s">
        <v>11</v>
      </c>
      <c r="I2406" t="s">
        <v>97</v>
      </c>
      <c r="J2406" t="s">
        <v>13</v>
      </c>
      <c r="K2406">
        <v>3.1</v>
      </c>
      <c r="L2406" t="s">
        <v>140</v>
      </c>
      <c r="M2406" t="s">
        <v>58</v>
      </c>
      <c r="N2406" t="s">
        <v>140</v>
      </c>
      <c r="O2406">
        <v>23</v>
      </c>
      <c r="P2406" t="s">
        <v>27</v>
      </c>
      <c r="Q2406" t="s">
        <v>64</v>
      </c>
      <c r="R2406" t="str" cm="1">
        <f t="array" ref="R2406">_xlfn.IFS(B2406&lt;31,"Young-Adult",B2406&lt;41,"Adult",B2406&lt;61,"Middle-aged",B2406&gt;=61,"Senior")</f>
        <v>Young-Adult</v>
      </c>
      <c r="S2406" cm="1">
        <f t="array" ref="S2406">_xlfn.IFS(Q2406 ="Fortnightly",14,Q2406="Weekly",7,Q2406="Monthly",30,Q2406="Quarterly",90,Q2406="Bi-Weekly",14,Q2406="Annually",365,Q2406="Every 3 Months",90,TRUE,"NOT FOUND")</f>
        <v>14</v>
      </c>
    </row>
    <row r="2407" spans="1:19" x14ac:dyDescent="0.35">
      <c r="A2407">
        <v>2406</v>
      </c>
      <c r="B2407">
        <v>69</v>
      </c>
      <c r="C2407" t="s">
        <v>7</v>
      </c>
      <c r="D2407" t="s">
        <v>22</v>
      </c>
      <c r="E2407" t="s">
        <v>9</v>
      </c>
      <c r="F2407">
        <v>97</v>
      </c>
      <c r="G2407" t="s">
        <v>87</v>
      </c>
      <c r="H2407" t="s">
        <v>80</v>
      </c>
      <c r="I2407" t="s">
        <v>53</v>
      </c>
      <c r="J2407" t="s">
        <v>45</v>
      </c>
      <c r="K2407">
        <v>5</v>
      </c>
      <c r="L2407" t="s">
        <v>140</v>
      </c>
      <c r="M2407" t="s">
        <v>42</v>
      </c>
      <c r="N2407" t="s">
        <v>140</v>
      </c>
      <c r="O2407">
        <v>5</v>
      </c>
      <c r="P2407" t="s">
        <v>74</v>
      </c>
      <c r="Q2407" t="s">
        <v>46</v>
      </c>
      <c r="R2407" t="str" cm="1">
        <f t="array" ref="R2407">_xlfn.IFS(B2407&lt;31,"Young-Adult",B2407&lt;41,"Adult",B2407&lt;61,"Middle-aged",B2407&gt;=61,"Senior")</f>
        <v>Senior</v>
      </c>
      <c r="S2407" cm="1">
        <f t="array" ref="S2407">_xlfn.IFS(Q2407 ="Fortnightly",14,Q2407="Weekly",7,Q2407="Monthly",30,Q2407="Quarterly",90,Q2407="Bi-Weekly",14,Q2407="Annually",365,Q2407="Every 3 Months",90,TRUE,"NOT FOUND")</f>
        <v>90</v>
      </c>
    </row>
    <row r="2408" spans="1:19" x14ac:dyDescent="0.35">
      <c r="A2408">
        <v>2407</v>
      </c>
      <c r="B2408">
        <v>54</v>
      </c>
      <c r="C2408" t="s">
        <v>7</v>
      </c>
      <c r="D2408" t="s">
        <v>107</v>
      </c>
      <c r="E2408" t="s">
        <v>55</v>
      </c>
      <c r="F2408">
        <v>57</v>
      </c>
      <c r="G2408" t="s">
        <v>87</v>
      </c>
      <c r="H2408" t="s">
        <v>32</v>
      </c>
      <c r="I2408" t="s">
        <v>114</v>
      </c>
      <c r="J2408" t="s">
        <v>13</v>
      </c>
      <c r="K2408">
        <v>4.7</v>
      </c>
      <c r="L2408" t="s">
        <v>140</v>
      </c>
      <c r="M2408" t="s">
        <v>42</v>
      </c>
      <c r="N2408" t="s">
        <v>140</v>
      </c>
      <c r="O2408">
        <v>26</v>
      </c>
      <c r="P2408" t="s">
        <v>34</v>
      </c>
      <c r="Q2408" t="s">
        <v>28</v>
      </c>
      <c r="R2408" t="str" cm="1">
        <f t="array" ref="R2408">_xlfn.IFS(B2408&lt;31,"Young-Adult",B2408&lt;41,"Adult",B2408&lt;61,"Middle-aged",B2408&gt;=61,"Senior")</f>
        <v>Middle-aged</v>
      </c>
      <c r="S2408" cm="1">
        <f t="array" ref="S2408">_xlfn.IFS(Q2408 ="Fortnightly",14,Q2408="Weekly",7,Q2408="Monthly",30,Q2408="Quarterly",90,Q2408="Bi-Weekly",14,Q2408="Annually",365,Q2408="Every 3 Months",90,TRUE,"NOT FOUND")</f>
        <v>7</v>
      </c>
    </row>
    <row r="2409" spans="1:19" x14ac:dyDescent="0.35">
      <c r="A2409">
        <v>2408</v>
      </c>
      <c r="B2409">
        <v>52</v>
      </c>
      <c r="C2409" t="s">
        <v>7</v>
      </c>
      <c r="D2409" t="s">
        <v>47</v>
      </c>
      <c r="E2409" t="s">
        <v>9</v>
      </c>
      <c r="F2409">
        <v>38</v>
      </c>
      <c r="G2409" t="s">
        <v>103</v>
      </c>
      <c r="H2409" t="s">
        <v>32</v>
      </c>
      <c r="I2409" t="s">
        <v>106</v>
      </c>
      <c r="J2409" t="s">
        <v>41</v>
      </c>
      <c r="K2409">
        <v>3</v>
      </c>
      <c r="L2409" t="s">
        <v>140</v>
      </c>
      <c r="M2409" t="s">
        <v>15</v>
      </c>
      <c r="N2409" t="s">
        <v>140</v>
      </c>
      <c r="O2409">
        <v>11</v>
      </c>
      <c r="P2409" t="s">
        <v>27</v>
      </c>
      <c r="Q2409" t="s">
        <v>64</v>
      </c>
      <c r="R2409" t="str" cm="1">
        <f t="array" ref="R2409">_xlfn.IFS(B2409&lt;31,"Young-Adult",B2409&lt;41,"Adult",B2409&lt;61,"Middle-aged",B2409&gt;=61,"Senior")</f>
        <v>Middle-aged</v>
      </c>
      <c r="S2409" cm="1">
        <f t="array" ref="S2409">_xlfn.IFS(Q2409 ="Fortnightly",14,Q2409="Weekly",7,Q2409="Monthly",30,Q2409="Quarterly",90,Q2409="Bi-Weekly",14,Q2409="Annually",365,Q2409="Every 3 Months",90,TRUE,"NOT FOUND")</f>
        <v>14</v>
      </c>
    </row>
    <row r="2410" spans="1:19" x14ac:dyDescent="0.35">
      <c r="A2410">
        <v>2409</v>
      </c>
      <c r="B2410">
        <v>23</v>
      </c>
      <c r="C2410" t="s">
        <v>7</v>
      </c>
      <c r="D2410" t="s">
        <v>38</v>
      </c>
      <c r="E2410" t="s">
        <v>30</v>
      </c>
      <c r="F2410">
        <v>55</v>
      </c>
      <c r="G2410" t="s">
        <v>65</v>
      </c>
      <c r="H2410" t="s">
        <v>80</v>
      </c>
      <c r="I2410" t="s">
        <v>82</v>
      </c>
      <c r="J2410" t="s">
        <v>45</v>
      </c>
      <c r="K2410">
        <v>4.2</v>
      </c>
      <c r="L2410" t="s">
        <v>140</v>
      </c>
      <c r="M2410" t="s">
        <v>33</v>
      </c>
      <c r="N2410" t="s">
        <v>140</v>
      </c>
      <c r="O2410">
        <v>44</v>
      </c>
      <c r="P2410" t="s">
        <v>74</v>
      </c>
      <c r="Q2410" t="s">
        <v>85</v>
      </c>
      <c r="R2410" t="str" cm="1">
        <f t="array" ref="R2410">_xlfn.IFS(B2410&lt;31,"Young-Adult",B2410&lt;41,"Adult",B2410&lt;61,"Middle-aged",B2410&gt;=61,"Senior")</f>
        <v>Young-Adult</v>
      </c>
      <c r="S2410" cm="1">
        <f t="array" ref="S2410">_xlfn.IFS(Q2410 ="Fortnightly",14,Q2410="Weekly",7,Q2410="Monthly",30,Q2410="Quarterly",90,Q2410="Bi-Weekly",14,Q2410="Annually",365,Q2410="Every 3 Months",90,TRUE,"NOT FOUND")</f>
        <v>90</v>
      </c>
    </row>
    <row r="2411" spans="1:19" x14ac:dyDescent="0.35">
      <c r="A2411">
        <v>2410</v>
      </c>
      <c r="B2411">
        <v>26</v>
      </c>
      <c r="C2411" t="s">
        <v>7</v>
      </c>
      <c r="D2411" t="s">
        <v>94</v>
      </c>
      <c r="E2411" t="s">
        <v>55</v>
      </c>
      <c r="F2411">
        <v>37</v>
      </c>
      <c r="G2411" t="s">
        <v>137</v>
      </c>
      <c r="H2411" t="s">
        <v>11</v>
      </c>
      <c r="I2411" t="s">
        <v>122</v>
      </c>
      <c r="J2411" t="s">
        <v>25</v>
      </c>
      <c r="K2411">
        <v>3</v>
      </c>
      <c r="L2411" t="s">
        <v>140</v>
      </c>
      <c r="M2411" t="s">
        <v>62</v>
      </c>
      <c r="N2411" t="s">
        <v>140</v>
      </c>
      <c r="O2411">
        <v>47</v>
      </c>
      <c r="P2411" t="s">
        <v>21</v>
      </c>
      <c r="Q2411" t="s">
        <v>85</v>
      </c>
      <c r="R2411" t="str" cm="1">
        <f t="array" ref="R2411">_xlfn.IFS(B2411&lt;31,"Young-Adult",B2411&lt;41,"Adult",B2411&lt;61,"Middle-aged",B2411&gt;=61,"Senior")</f>
        <v>Young-Adult</v>
      </c>
      <c r="S2411" cm="1">
        <f t="array" ref="S2411">_xlfn.IFS(Q2411 ="Fortnightly",14,Q2411="Weekly",7,Q2411="Monthly",30,Q2411="Quarterly",90,Q2411="Bi-Weekly",14,Q2411="Annually",365,Q2411="Every 3 Months",90,TRUE,"NOT FOUND")</f>
        <v>90</v>
      </c>
    </row>
    <row r="2412" spans="1:19" x14ac:dyDescent="0.35">
      <c r="A2412">
        <v>2411</v>
      </c>
      <c r="B2412">
        <v>48</v>
      </c>
      <c r="C2412" t="s">
        <v>7</v>
      </c>
      <c r="D2412" t="s">
        <v>59</v>
      </c>
      <c r="E2412" t="s">
        <v>30</v>
      </c>
      <c r="F2412">
        <v>43</v>
      </c>
      <c r="G2412" t="s">
        <v>138</v>
      </c>
      <c r="H2412" t="s">
        <v>32</v>
      </c>
      <c r="I2412" t="s">
        <v>20</v>
      </c>
      <c r="J2412" t="s">
        <v>41</v>
      </c>
      <c r="K2412">
        <v>3.7</v>
      </c>
      <c r="L2412" t="s">
        <v>140</v>
      </c>
      <c r="M2412" t="s">
        <v>26</v>
      </c>
      <c r="N2412" t="s">
        <v>140</v>
      </c>
      <c r="O2412">
        <v>46</v>
      </c>
      <c r="P2412" t="s">
        <v>34</v>
      </c>
      <c r="Q2412" t="s">
        <v>76</v>
      </c>
      <c r="R2412" t="str" cm="1">
        <f t="array" ref="R2412">_xlfn.IFS(B2412&lt;31,"Young-Adult",B2412&lt;41,"Adult",B2412&lt;61,"Middle-aged",B2412&gt;=61,"Senior")</f>
        <v>Middle-aged</v>
      </c>
      <c r="S2412" cm="1">
        <f t="array" ref="S2412">_xlfn.IFS(Q2412 ="Fortnightly",14,Q2412="Weekly",7,Q2412="Monthly",30,Q2412="Quarterly",90,Q2412="Bi-Weekly",14,Q2412="Annually",365,Q2412="Every 3 Months",90,TRUE,"NOT FOUND")</f>
        <v>30</v>
      </c>
    </row>
    <row r="2413" spans="1:19" x14ac:dyDescent="0.35">
      <c r="A2413">
        <v>2412</v>
      </c>
      <c r="B2413">
        <v>49</v>
      </c>
      <c r="C2413" t="s">
        <v>7</v>
      </c>
      <c r="D2413" t="s">
        <v>92</v>
      </c>
      <c r="E2413" t="s">
        <v>9</v>
      </c>
      <c r="F2413">
        <v>96</v>
      </c>
      <c r="G2413" t="s">
        <v>129</v>
      </c>
      <c r="H2413" t="s">
        <v>32</v>
      </c>
      <c r="I2413" t="s">
        <v>97</v>
      </c>
      <c r="J2413" t="s">
        <v>41</v>
      </c>
      <c r="K2413">
        <v>2.7</v>
      </c>
      <c r="L2413" t="s">
        <v>140</v>
      </c>
      <c r="M2413" t="s">
        <v>26</v>
      </c>
      <c r="N2413" t="s">
        <v>140</v>
      </c>
      <c r="O2413">
        <v>35</v>
      </c>
      <c r="P2413" t="s">
        <v>21</v>
      </c>
      <c r="Q2413" t="s">
        <v>85</v>
      </c>
      <c r="R2413" t="str" cm="1">
        <f t="array" ref="R2413">_xlfn.IFS(B2413&lt;31,"Young-Adult",B2413&lt;41,"Adult",B2413&lt;61,"Middle-aged",B2413&gt;=61,"Senior")</f>
        <v>Middle-aged</v>
      </c>
      <c r="S2413" cm="1">
        <f t="array" ref="S2413">_xlfn.IFS(Q2413 ="Fortnightly",14,Q2413="Weekly",7,Q2413="Monthly",30,Q2413="Quarterly",90,Q2413="Bi-Weekly",14,Q2413="Annually",365,Q2413="Every 3 Months",90,TRUE,"NOT FOUND")</f>
        <v>90</v>
      </c>
    </row>
    <row r="2414" spans="1:19" x14ac:dyDescent="0.35">
      <c r="A2414">
        <v>2413</v>
      </c>
      <c r="B2414">
        <v>53</v>
      </c>
      <c r="C2414" t="s">
        <v>7</v>
      </c>
      <c r="D2414" t="s">
        <v>90</v>
      </c>
      <c r="E2414" t="s">
        <v>51</v>
      </c>
      <c r="F2414">
        <v>51</v>
      </c>
      <c r="G2414" t="s">
        <v>35</v>
      </c>
      <c r="H2414" t="s">
        <v>32</v>
      </c>
      <c r="I2414" t="s">
        <v>57</v>
      </c>
      <c r="J2414" t="s">
        <v>13</v>
      </c>
      <c r="K2414">
        <v>4.3</v>
      </c>
      <c r="L2414" t="s">
        <v>140</v>
      </c>
      <c r="M2414" t="s">
        <v>58</v>
      </c>
      <c r="N2414" t="s">
        <v>140</v>
      </c>
      <c r="O2414">
        <v>8</v>
      </c>
      <c r="P2414" t="s">
        <v>63</v>
      </c>
      <c r="Q2414" t="s">
        <v>64</v>
      </c>
      <c r="R2414" t="str" cm="1">
        <f t="array" ref="R2414">_xlfn.IFS(B2414&lt;31,"Young-Adult",B2414&lt;41,"Adult",B2414&lt;61,"Middle-aged",B2414&gt;=61,"Senior")</f>
        <v>Middle-aged</v>
      </c>
      <c r="S2414" cm="1">
        <f t="array" ref="S2414">_xlfn.IFS(Q2414 ="Fortnightly",14,Q2414="Weekly",7,Q2414="Monthly",30,Q2414="Quarterly",90,Q2414="Bi-Weekly",14,Q2414="Annually",365,Q2414="Every 3 Months",90,TRUE,"NOT FOUND")</f>
        <v>14</v>
      </c>
    </row>
    <row r="2415" spans="1:19" x14ac:dyDescent="0.35">
      <c r="A2415">
        <v>2414</v>
      </c>
      <c r="B2415">
        <v>69</v>
      </c>
      <c r="C2415" t="s">
        <v>7</v>
      </c>
      <c r="D2415" t="s">
        <v>47</v>
      </c>
      <c r="E2415" t="s">
        <v>9</v>
      </c>
      <c r="F2415">
        <v>95</v>
      </c>
      <c r="G2415" t="s">
        <v>126</v>
      </c>
      <c r="H2415" t="s">
        <v>80</v>
      </c>
      <c r="I2415" t="s">
        <v>71</v>
      </c>
      <c r="J2415" t="s">
        <v>45</v>
      </c>
      <c r="K2415">
        <v>2.7</v>
      </c>
      <c r="L2415" t="s">
        <v>140</v>
      </c>
      <c r="M2415" t="s">
        <v>58</v>
      </c>
      <c r="N2415" t="s">
        <v>140</v>
      </c>
      <c r="O2415">
        <v>30</v>
      </c>
      <c r="P2415" t="s">
        <v>63</v>
      </c>
      <c r="Q2415" t="s">
        <v>28</v>
      </c>
      <c r="R2415" t="str" cm="1">
        <f t="array" ref="R2415">_xlfn.IFS(B2415&lt;31,"Young-Adult",B2415&lt;41,"Adult",B2415&lt;61,"Middle-aged",B2415&gt;=61,"Senior")</f>
        <v>Senior</v>
      </c>
      <c r="S2415" cm="1">
        <f t="array" ref="S2415">_xlfn.IFS(Q2415 ="Fortnightly",14,Q2415="Weekly",7,Q2415="Monthly",30,Q2415="Quarterly",90,Q2415="Bi-Weekly",14,Q2415="Annually",365,Q2415="Every 3 Months",90,TRUE,"NOT FOUND")</f>
        <v>7</v>
      </c>
    </row>
    <row r="2416" spans="1:19" x14ac:dyDescent="0.35">
      <c r="A2416">
        <v>2415</v>
      </c>
      <c r="B2416">
        <v>26</v>
      </c>
      <c r="C2416" t="s">
        <v>7</v>
      </c>
      <c r="D2416" t="s">
        <v>113</v>
      </c>
      <c r="E2416" t="s">
        <v>9</v>
      </c>
      <c r="F2416">
        <v>26</v>
      </c>
      <c r="G2416" t="s">
        <v>129</v>
      </c>
      <c r="H2416" t="s">
        <v>32</v>
      </c>
      <c r="I2416" t="s">
        <v>81</v>
      </c>
      <c r="J2416" t="s">
        <v>41</v>
      </c>
      <c r="K2416">
        <v>3.7</v>
      </c>
      <c r="L2416" t="s">
        <v>140</v>
      </c>
      <c r="M2416" t="s">
        <v>33</v>
      </c>
      <c r="N2416" t="s">
        <v>140</v>
      </c>
      <c r="O2416">
        <v>14</v>
      </c>
      <c r="P2416" t="s">
        <v>27</v>
      </c>
      <c r="Q2416" t="s">
        <v>64</v>
      </c>
      <c r="R2416" t="str" cm="1">
        <f t="array" ref="R2416">_xlfn.IFS(B2416&lt;31,"Young-Adult",B2416&lt;41,"Adult",B2416&lt;61,"Middle-aged",B2416&gt;=61,"Senior")</f>
        <v>Young-Adult</v>
      </c>
      <c r="S2416" cm="1">
        <f t="array" ref="S2416">_xlfn.IFS(Q2416 ="Fortnightly",14,Q2416="Weekly",7,Q2416="Monthly",30,Q2416="Quarterly",90,Q2416="Bi-Weekly",14,Q2416="Annually",365,Q2416="Every 3 Months",90,TRUE,"NOT FOUND")</f>
        <v>14</v>
      </c>
    </row>
    <row r="2417" spans="1:19" x14ac:dyDescent="0.35">
      <c r="A2417">
        <v>2416</v>
      </c>
      <c r="B2417">
        <v>21</v>
      </c>
      <c r="C2417" t="s">
        <v>7</v>
      </c>
      <c r="D2417" t="s">
        <v>50</v>
      </c>
      <c r="E2417" t="s">
        <v>51</v>
      </c>
      <c r="F2417">
        <v>34</v>
      </c>
      <c r="G2417" t="s">
        <v>65</v>
      </c>
      <c r="H2417" t="s">
        <v>80</v>
      </c>
      <c r="I2417" t="s">
        <v>81</v>
      </c>
      <c r="J2417" t="s">
        <v>45</v>
      </c>
      <c r="K2417">
        <v>4.3</v>
      </c>
      <c r="L2417" t="s">
        <v>140</v>
      </c>
      <c r="M2417" t="s">
        <v>42</v>
      </c>
      <c r="N2417" t="s">
        <v>140</v>
      </c>
      <c r="O2417">
        <v>30</v>
      </c>
      <c r="P2417" t="s">
        <v>63</v>
      </c>
      <c r="Q2417" t="s">
        <v>28</v>
      </c>
      <c r="R2417" t="str" cm="1">
        <f t="array" ref="R2417">_xlfn.IFS(B2417&lt;31,"Young-Adult",B2417&lt;41,"Adult",B2417&lt;61,"Middle-aged",B2417&gt;=61,"Senior")</f>
        <v>Young-Adult</v>
      </c>
      <c r="S2417" cm="1">
        <f t="array" ref="S2417">_xlfn.IFS(Q2417 ="Fortnightly",14,Q2417="Weekly",7,Q2417="Monthly",30,Q2417="Quarterly",90,Q2417="Bi-Weekly",14,Q2417="Annually",365,Q2417="Every 3 Months",90,TRUE,"NOT FOUND")</f>
        <v>7</v>
      </c>
    </row>
    <row r="2418" spans="1:19" x14ac:dyDescent="0.35">
      <c r="A2418">
        <v>2417</v>
      </c>
      <c r="B2418">
        <v>59</v>
      </c>
      <c r="C2418" t="s">
        <v>7</v>
      </c>
      <c r="D2418" t="s">
        <v>29</v>
      </c>
      <c r="E2418" t="s">
        <v>30</v>
      </c>
      <c r="F2418">
        <v>83</v>
      </c>
      <c r="G2418" t="s">
        <v>133</v>
      </c>
      <c r="H2418" t="s">
        <v>24</v>
      </c>
      <c r="I2418" t="s">
        <v>82</v>
      </c>
      <c r="J2418" t="s">
        <v>41</v>
      </c>
      <c r="K2418">
        <v>4</v>
      </c>
      <c r="L2418" t="s">
        <v>140</v>
      </c>
      <c r="M2418" t="s">
        <v>33</v>
      </c>
      <c r="N2418" t="s">
        <v>140</v>
      </c>
      <c r="O2418">
        <v>26</v>
      </c>
      <c r="P2418" t="s">
        <v>27</v>
      </c>
      <c r="Q2418" t="s">
        <v>85</v>
      </c>
      <c r="R2418" t="str" cm="1">
        <f t="array" ref="R2418">_xlfn.IFS(B2418&lt;31,"Young-Adult",B2418&lt;41,"Adult",B2418&lt;61,"Middle-aged",B2418&gt;=61,"Senior")</f>
        <v>Middle-aged</v>
      </c>
      <c r="S2418" cm="1">
        <f t="array" ref="S2418">_xlfn.IFS(Q2418 ="Fortnightly",14,Q2418="Weekly",7,Q2418="Monthly",30,Q2418="Quarterly",90,Q2418="Bi-Weekly",14,Q2418="Annually",365,Q2418="Every 3 Months",90,TRUE,"NOT FOUND")</f>
        <v>90</v>
      </c>
    </row>
    <row r="2419" spans="1:19" x14ac:dyDescent="0.35">
      <c r="A2419">
        <v>2418</v>
      </c>
      <c r="B2419">
        <v>21</v>
      </c>
      <c r="C2419" t="s">
        <v>7</v>
      </c>
      <c r="D2419" t="s">
        <v>120</v>
      </c>
      <c r="E2419" t="s">
        <v>55</v>
      </c>
      <c r="F2419">
        <v>24</v>
      </c>
      <c r="G2419" t="s">
        <v>108</v>
      </c>
      <c r="H2419" t="s">
        <v>32</v>
      </c>
      <c r="I2419" t="s">
        <v>66</v>
      </c>
      <c r="J2419" t="s">
        <v>45</v>
      </c>
      <c r="K2419">
        <v>3.3</v>
      </c>
      <c r="L2419" t="s">
        <v>140</v>
      </c>
      <c r="M2419" t="s">
        <v>42</v>
      </c>
      <c r="N2419" t="s">
        <v>140</v>
      </c>
      <c r="O2419">
        <v>32</v>
      </c>
      <c r="P2419" t="s">
        <v>16</v>
      </c>
      <c r="Q2419" t="s">
        <v>17</v>
      </c>
      <c r="R2419" t="str" cm="1">
        <f t="array" ref="R2419">_xlfn.IFS(B2419&lt;31,"Young-Adult",B2419&lt;41,"Adult",B2419&lt;61,"Middle-aged",B2419&gt;=61,"Senior")</f>
        <v>Young-Adult</v>
      </c>
      <c r="S2419" cm="1">
        <f t="array" ref="S2419">_xlfn.IFS(Q2419 ="Fortnightly",14,Q2419="Weekly",7,Q2419="Monthly",30,Q2419="Quarterly",90,Q2419="Bi-Weekly",14,Q2419="Annually",365,Q2419="Every 3 Months",90,TRUE,"NOT FOUND")</f>
        <v>14</v>
      </c>
    </row>
    <row r="2420" spans="1:19" x14ac:dyDescent="0.35">
      <c r="A2420">
        <v>2419</v>
      </c>
      <c r="B2420">
        <v>22</v>
      </c>
      <c r="C2420" t="s">
        <v>7</v>
      </c>
      <c r="D2420" t="s">
        <v>83</v>
      </c>
      <c r="E2420" t="s">
        <v>9</v>
      </c>
      <c r="F2420">
        <v>69</v>
      </c>
      <c r="G2420" t="s">
        <v>139</v>
      </c>
      <c r="H2420" t="s">
        <v>24</v>
      </c>
      <c r="I2420" t="s">
        <v>114</v>
      </c>
      <c r="J2420" t="s">
        <v>45</v>
      </c>
      <c r="K2420">
        <v>4</v>
      </c>
      <c r="L2420" t="s">
        <v>140</v>
      </c>
      <c r="M2420" t="s">
        <v>33</v>
      </c>
      <c r="N2420" t="s">
        <v>140</v>
      </c>
      <c r="O2420">
        <v>47</v>
      </c>
      <c r="P2420" t="s">
        <v>21</v>
      </c>
      <c r="Q2420" t="s">
        <v>85</v>
      </c>
      <c r="R2420" t="str" cm="1">
        <f t="array" ref="R2420">_xlfn.IFS(B2420&lt;31,"Young-Adult",B2420&lt;41,"Adult",B2420&lt;61,"Middle-aged",B2420&gt;=61,"Senior")</f>
        <v>Young-Adult</v>
      </c>
      <c r="S2420" cm="1">
        <f t="array" ref="S2420">_xlfn.IFS(Q2420 ="Fortnightly",14,Q2420="Weekly",7,Q2420="Monthly",30,Q2420="Quarterly",90,Q2420="Bi-Weekly",14,Q2420="Annually",365,Q2420="Every 3 Months",90,TRUE,"NOT FOUND")</f>
        <v>90</v>
      </c>
    </row>
    <row r="2421" spans="1:19" x14ac:dyDescent="0.35">
      <c r="A2421">
        <v>2420</v>
      </c>
      <c r="B2421">
        <v>26</v>
      </c>
      <c r="C2421" t="s">
        <v>7</v>
      </c>
      <c r="D2421" t="s">
        <v>18</v>
      </c>
      <c r="E2421" t="s">
        <v>9</v>
      </c>
      <c r="F2421">
        <v>40</v>
      </c>
      <c r="G2421" t="s">
        <v>86</v>
      </c>
      <c r="H2421" t="s">
        <v>32</v>
      </c>
      <c r="I2421" t="s">
        <v>132</v>
      </c>
      <c r="J2421" t="s">
        <v>45</v>
      </c>
      <c r="K2421">
        <v>2.7</v>
      </c>
      <c r="L2421" t="s">
        <v>140</v>
      </c>
      <c r="M2421" t="s">
        <v>33</v>
      </c>
      <c r="N2421" t="s">
        <v>140</v>
      </c>
      <c r="O2421">
        <v>11</v>
      </c>
      <c r="P2421" t="s">
        <v>27</v>
      </c>
      <c r="Q2421" t="s">
        <v>85</v>
      </c>
      <c r="R2421" t="str" cm="1">
        <f t="array" ref="R2421">_xlfn.IFS(B2421&lt;31,"Young-Adult",B2421&lt;41,"Adult",B2421&lt;61,"Middle-aged",B2421&gt;=61,"Senior")</f>
        <v>Young-Adult</v>
      </c>
      <c r="S2421" cm="1">
        <f t="array" ref="S2421">_xlfn.IFS(Q2421 ="Fortnightly",14,Q2421="Weekly",7,Q2421="Monthly",30,Q2421="Quarterly",90,Q2421="Bi-Weekly",14,Q2421="Annually",365,Q2421="Every 3 Months",90,TRUE,"NOT FOUND")</f>
        <v>90</v>
      </c>
    </row>
    <row r="2422" spans="1:19" x14ac:dyDescent="0.35">
      <c r="A2422">
        <v>2421</v>
      </c>
      <c r="B2422">
        <v>41</v>
      </c>
      <c r="C2422" t="s">
        <v>7</v>
      </c>
      <c r="D2422" t="s">
        <v>90</v>
      </c>
      <c r="E2422" t="s">
        <v>51</v>
      </c>
      <c r="F2422">
        <v>87</v>
      </c>
      <c r="G2422" t="s">
        <v>86</v>
      </c>
      <c r="H2422" t="s">
        <v>24</v>
      </c>
      <c r="I2422" t="s">
        <v>84</v>
      </c>
      <c r="J2422" t="s">
        <v>13</v>
      </c>
      <c r="K2422">
        <v>4.2</v>
      </c>
      <c r="L2422" t="s">
        <v>140</v>
      </c>
      <c r="M2422" t="s">
        <v>26</v>
      </c>
      <c r="N2422" t="s">
        <v>140</v>
      </c>
      <c r="O2422">
        <v>28</v>
      </c>
      <c r="P2422" t="s">
        <v>34</v>
      </c>
      <c r="Q2422" t="s">
        <v>37</v>
      </c>
      <c r="R2422" t="str" cm="1">
        <f t="array" ref="R2422">_xlfn.IFS(B2422&lt;31,"Young-Adult",B2422&lt;41,"Adult",B2422&lt;61,"Middle-aged",B2422&gt;=61,"Senior")</f>
        <v>Middle-aged</v>
      </c>
      <c r="S2422" cm="1">
        <f t="array" ref="S2422">_xlfn.IFS(Q2422 ="Fortnightly",14,Q2422="Weekly",7,Q2422="Monthly",30,Q2422="Quarterly",90,Q2422="Bi-Weekly",14,Q2422="Annually",365,Q2422="Every 3 Months",90,TRUE,"NOT FOUND")</f>
        <v>365</v>
      </c>
    </row>
    <row r="2423" spans="1:19" x14ac:dyDescent="0.35">
      <c r="A2423">
        <v>2422</v>
      </c>
      <c r="B2423">
        <v>37</v>
      </c>
      <c r="C2423" t="s">
        <v>7</v>
      </c>
      <c r="D2423" t="s">
        <v>38</v>
      </c>
      <c r="E2423" t="s">
        <v>30</v>
      </c>
      <c r="F2423">
        <v>46</v>
      </c>
      <c r="G2423" t="s">
        <v>136</v>
      </c>
      <c r="H2423" t="s">
        <v>11</v>
      </c>
      <c r="I2423" t="s">
        <v>57</v>
      </c>
      <c r="J2423" t="s">
        <v>25</v>
      </c>
      <c r="K2423">
        <v>4.5999999999999996</v>
      </c>
      <c r="L2423" t="s">
        <v>140</v>
      </c>
      <c r="M2423" t="s">
        <v>42</v>
      </c>
      <c r="N2423" t="s">
        <v>140</v>
      </c>
      <c r="O2423">
        <v>2</v>
      </c>
      <c r="P2423" t="s">
        <v>74</v>
      </c>
      <c r="Q2423" t="s">
        <v>85</v>
      </c>
      <c r="R2423" t="str" cm="1">
        <f t="array" ref="R2423">_xlfn.IFS(B2423&lt;31,"Young-Adult",B2423&lt;41,"Adult",B2423&lt;61,"Middle-aged",B2423&gt;=61,"Senior")</f>
        <v>Adult</v>
      </c>
      <c r="S2423" cm="1">
        <f t="array" ref="S2423">_xlfn.IFS(Q2423 ="Fortnightly",14,Q2423="Weekly",7,Q2423="Monthly",30,Q2423="Quarterly",90,Q2423="Bi-Weekly",14,Q2423="Annually",365,Q2423="Every 3 Months",90,TRUE,"NOT FOUND")</f>
        <v>90</v>
      </c>
    </row>
    <row r="2424" spans="1:19" x14ac:dyDescent="0.35">
      <c r="A2424">
        <v>2423</v>
      </c>
      <c r="B2424">
        <v>30</v>
      </c>
      <c r="C2424" t="s">
        <v>7</v>
      </c>
      <c r="D2424" t="s">
        <v>94</v>
      </c>
      <c r="E2424" t="s">
        <v>55</v>
      </c>
      <c r="F2424">
        <v>82</v>
      </c>
      <c r="G2424" t="s">
        <v>130</v>
      </c>
      <c r="H2424" t="s">
        <v>32</v>
      </c>
      <c r="I2424" t="s">
        <v>88</v>
      </c>
      <c r="J2424" t="s">
        <v>13</v>
      </c>
      <c r="K2424">
        <v>4.8</v>
      </c>
      <c r="L2424" t="s">
        <v>140</v>
      </c>
      <c r="M2424" t="s">
        <v>62</v>
      </c>
      <c r="N2424" t="s">
        <v>140</v>
      </c>
      <c r="O2424">
        <v>45</v>
      </c>
      <c r="P2424" t="s">
        <v>27</v>
      </c>
      <c r="Q2424" t="s">
        <v>28</v>
      </c>
      <c r="R2424" t="str" cm="1">
        <f t="array" ref="R2424">_xlfn.IFS(B2424&lt;31,"Young-Adult",B2424&lt;41,"Adult",B2424&lt;61,"Middle-aged",B2424&gt;=61,"Senior")</f>
        <v>Young-Adult</v>
      </c>
      <c r="S2424" cm="1">
        <f t="array" ref="S2424">_xlfn.IFS(Q2424 ="Fortnightly",14,Q2424="Weekly",7,Q2424="Monthly",30,Q2424="Quarterly",90,Q2424="Bi-Weekly",14,Q2424="Annually",365,Q2424="Every 3 Months",90,TRUE,"NOT FOUND")</f>
        <v>7</v>
      </c>
    </row>
    <row r="2425" spans="1:19" x14ac:dyDescent="0.35">
      <c r="A2425">
        <v>2424</v>
      </c>
      <c r="B2425">
        <v>49</v>
      </c>
      <c r="C2425" t="s">
        <v>7</v>
      </c>
      <c r="D2425" t="s">
        <v>120</v>
      </c>
      <c r="E2425" t="s">
        <v>55</v>
      </c>
      <c r="F2425">
        <v>81</v>
      </c>
      <c r="G2425" t="s">
        <v>52</v>
      </c>
      <c r="H2425" t="s">
        <v>32</v>
      </c>
      <c r="I2425" t="s">
        <v>61</v>
      </c>
      <c r="J2425" t="s">
        <v>41</v>
      </c>
      <c r="K2425">
        <v>2.8</v>
      </c>
      <c r="L2425" t="s">
        <v>140</v>
      </c>
      <c r="M2425" t="s">
        <v>26</v>
      </c>
      <c r="N2425" t="s">
        <v>140</v>
      </c>
      <c r="O2425">
        <v>7</v>
      </c>
      <c r="P2425" t="s">
        <v>27</v>
      </c>
      <c r="Q2425" t="s">
        <v>85</v>
      </c>
      <c r="R2425" t="str" cm="1">
        <f t="array" ref="R2425">_xlfn.IFS(B2425&lt;31,"Young-Adult",B2425&lt;41,"Adult",B2425&lt;61,"Middle-aged",B2425&gt;=61,"Senior")</f>
        <v>Middle-aged</v>
      </c>
      <c r="S2425" cm="1">
        <f t="array" ref="S2425">_xlfn.IFS(Q2425 ="Fortnightly",14,Q2425="Weekly",7,Q2425="Monthly",30,Q2425="Quarterly",90,Q2425="Bi-Weekly",14,Q2425="Annually",365,Q2425="Every 3 Months",90,TRUE,"NOT FOUND")</f>
        <v>90</v>
      </c>
    </row>
    <row r="2426" spans="1:19" x14ac:dyDescent="0.35">
      <c r="A2426">
        <v>2425</v>
      </c>
      <c r="B2426">
        <v>49</v>
      </c>
      <c r="C2426" t="s">
        <v>7</v>
      </c>
      <c r="D2426" t="s">
        <v>94</v>
      </c>
      <c r="E2426" t="s">
        <v>55</v>
      </c>
      <c r="F2426">
        <v>57</v>
      </c>
      <c r="G2426" t="s">
        <v>67</v>
      </c>
      <c r="H2426" t="s">
        <v>32</v>
      </c>
      <c r="I2426" t="s">
        <v>88</v>
      </c>
      <c r="J2426" t="s">
        <v>13</v>
      </c>
      <c r="K2426">
        <v>4.5</v>
      </c>
      <c r="L2426" t="s">
        <v>140</v>
      </c>
      <c r="M2426" t="s">
        <v>33</v>
      </c>
      <c r="N2426" t="s">
        <v>140</v>
      </c>
      <c r="O2426">
        <v>28</v>
      </c>
      <c r="P2426" t="s">
        <v>63</v>
      </c>
      <c r="Q2426" t="s">
        <v>64</v>
      </c>
      <c r="R2426" t="str" cm="1">
        <f t="array" ref="R2426">_xlfn.IFS(B2426&lt;31,"Young-Adult",B2426&lt;41,"Adult",B2426&lt;61,"Middle-aged",B2426&gt;=61,"Senior")</f>
        <v>Middle-aged</v>
      </c>
      <c r="S2426" cm="1">
        <f t="array" ref="S2426">_xlfn.IFS(Q2426 ="Fortnightly",14,Q2426="Weekly",7,Q2426="Monthly",30,Q2426="Quarterly",90,Q2426="Bi-Weekly",14,Q2426="Annually",365,Q2426="Every 3 Months",90,TRUE,"NOT FOUND")</f>
        <v>14</v>
      </c>
    </row>
    <row r="2427" spans="1:19" x14ac:dyDescent="0.35">
      <c r="A2427">
        <v>2426</v>
      </c>
      <c r="B2427">
        <v>58</v>
      </c>
      <c r="C2427" t="s">
        <v>7</v>
      </c>
      <c r="D2427" t="s">
        <v>59</v>
      </c>
      <c r="E2427" t="s">
        <v>30</v>
      </c>
      <c r="F2427">
        <v>49</v>
      </c>
      <c r="G2427" t="s">
        <v>102</v>
      </c>
      <c r="H2427" t="s">
        <v>24</v>
      </c>
      <c r="I2427" t="s">
        <v>66</v>
      </c>
      <c r="J2427" t="s">
        <v>41</v>
      </c>
      <c r="K2427">
        <v>3</v>
      </c>
      <c r="L2427" t="s">
        <v>140</v>
      </c>
      <c r="M2427" t="s">
        <v>58</v>
      </c>
      <c r="N2427" t="s">
        <v>140</v>
      </c>
      <c r="O2427">
        <v>34</v>
      </c>
      <c r="P2427" t="s">
        <v>63</v>
      </c>
      <c r="Q2427" t="s">
        <v>46</v>
      </c>
      <c r="R2427" t="str" cm="1">
        <f t="array" ref="R2427">_xlfn.IFS(B2427&lt;31,"Young-Adult",B2427&lt;41,"Adult",B2427&lt;61,"Middle-aged",B2427&gt;=61,"Senior")</f>
        <v>Middle-aged</v>
      </c>
      <c r="S2427" cm="1">
        <f t="array" ref="S2427">_xlfn.IFS(Q2427 ="Fortnightly",14,Q2427="Weekly",7,Q2427="Monthly",30,Q2427="Quarterly",90,Q2427="Bi-Weekly",14,Q2427="Annually",365,Q2427="Every 3 Months",90,TRUE,"NOT FOUND")</f>
        <v>90</v>
      </c>
    </row>
    <row r="2428" spans="1:19" x14ac:dyDescent="0.35">
      <c r="A2428">
        <v>2427</v>
      </c>
      <c r="B2428">
        <v>70</v>
      </c>
      <c r="C2428" t="s">
        <v>7</v>
      </c>
      <c r="D2428" t="s">
        <v>90</v>
      </c>
      <c r="E2428" t="s">
        <v>51</v>
      </c>
      <c r="F2428">
        <v>42</v>
      </c>
      <c r="G2428" t="s">
        <v>91</v>
      </c>
      <c r="H2428" t="s">
        <v>32</v>
      </c>
      <c r="I2428" t="s">
        <v>66</v>
      </c>
      <c r="J2428" t="s">
        <v>45</v>
      </c>
      <c r="K2428">
        <v>4.5999999999999996</v>
      </c>
      <c r="L2428" t="s">
        <v>140</v>
      </c>
      <c r="M2428" t="s">
        <v>26</v>
      </c>
      <c r="N2428" t="s">
        <v>140</v>
      </c>
      <c r="O2428">
        <v>26</v>
      </c>
      <c r="P2428" t="s">
        <v>74</v>
      </c>
      <c r="Q2428" t="s">
        <v>85</v>
      </c>
      <c r="R2428" t="str" cm="1">
        <f t="array" ref="R2428">_xlfn.IFS(B2428&lt;31,"Young-Adult",B2428&lt;41,"Adult",B2428&lt;61,"Middle-aged",B2428&gt;=61,"Senior")</f>
        <v>Senior</v>
      </c>
      <c r="S2428" cm="1">
        <f t="array" ref="S2428">_xlfn.IFS(Q2428 ="Fortnightly",14,Q2428="Weekly",7,Q2428="Monthly",30,Q2428="Quarterly",90,Q2428="Bi-Weekly",14,Q2428="Annually",365,Q2428="Every 3 Months",90,TRUE,"NOT FOUND")</f>
        <v>90</v>
      </c>
    </row>
    <row r="2429" spans="1:19" x14ac:dyDescent="0.35">
      <c r="A2429">
        <v>2428</v>
      </c>
      <c r="B2429">
        <v>27</v>
      </c>
      <c r="C2429" t="s">
        <v>7</v>
      </c>
      <c r="D2429" t="s">
        <v>90</v>
      </c>
      <c r="E2429" t="s">
        <v>51</v>
      </c>
      <c r="F2429">
        <v>26</v>
      </c>
      <c r="G2429" t="s">
        <v>35</v>
      </c>
      <c r="H2429" t="s">
        <v>32</v>
      </c>
      <c r="I2429" t="s">
        <v>61</v>
      </c>
      <c r="J2429" t="s">
        <v>25</v>
      </c>
      <c r="K2429">
        <v>3.3</v>
      </c>
      <c r="L2429" t="s">
        <v>140</v>
      </c>
      <c r="M2429" t="s">
        <v>42</v>
      </c>
      <c r="N2429" t="s">
        <v>140</v>
      </c>
      <c r="O2429">
        <v>45</v>
      </c>
      <c r="P2429" t="s">
        <v>21</v>
      </c>
      <c r="Q2429" t="s">
        <v>46</v>
      </c>
      <c r="R2429" t="str" cm="1">
        <f t="array" ref="R2429">_xlfn.IFS(B2429&lt;31,"Young-Adult",B2429&lt;41,"Adult",B2429&lt;61,"Middle-aged",B2429&gt;=61,"Senior")</f>
        <v>Young-Adult</v>
      </c>
      <c r="S2429" cm="1">
        <f t="array" ref="S2429">_xlfn.IFS(Q2429 ="Fortnightly",14,Q2429="Weekly",7,Q2429="Monthly",30,Q2429="Quarterly",90,Q2429="Bi-Weekly",14,Q2429="Annually",365,Q2429="Every 3 Months",90,TRUE,"NOT FOUND")</f>
        <v>90</v>
      </c>
    </row>
    <row r="2430" spans="1:19" x14ac:dyDescent="0.35">
      <c r="A2430">
        <v>2429</v>
      </c>
      <c r="B2430">
        <v>65</v>
      </c>
      <c r="C2430" t="s">
        <v>7</v>
      </c>
      <c r="D2430" t="s">
        <v>101</v>
      </c>
      <c r="E2430" t="s">
        <v>9</v>
      </c>
      <c r="F2430">
        <v>38</v>
      </c>
      <c r="G2430" t="s">
        <v>123</v>
      </c>
      <c r="H2430" t="s">
        <v>32</v>
      </c>
      <c r="I2430" t="s">
        <v>71</v>
      </c>
      <c r="J2430" t="s">
        <v>25</v>
      </c>
      <c r="K2430">
        <v>4.4000000000000004</v>
      </c>
      <c r="L2430" t="s">
        <v>140</v>
      </c>
      <c r="M2430" t="s">
        <v>33</v>
      </c>
      <c r="N2430" t="s">
        <v>140</v>
      </c>
      <c r="O2430">
        <v>34</v>
      </c>
      <c r="P2430" t="s">
        <v>74</v>
      </c>
      <c r="Q2430" t="s">
        <v>37</v>
      </c>
      <c r="R2430" t="str" cm="1">
        <f t="array" ref="R2430">_xlfn.IFS(B2430&lt;31,"Young-Adult",B2430&lt;41,"Adult",B2430&lt;61,"Middle-aged",B2430&gt;=61,"Senior")</f>
        <v>Senior</v>
      </c>
      <c r="S2430" cm="1">
        <f t="array" ref="S2430">_xlfn.IFS(Q2430 ="Fortnightly",14,Q2430="Weekly",7,Q2430="Monthly",30,Q2430="Quarterly",90,Q2430="Bi-Weekly",14,Q2430="Annually",365,Q2430="Every 3 Months",90,TRUE,"NOT FOUND")</f>
        <v>365</v>
      </c>
    </row>
    <row r="2431" spans="1:19" x14ac:dyDescent="0.35">
      <c r="A2431">
        <v>2430</v>
      </c>
      <c r="B2431">
        <v>57</v>
      </c>
      <c r="C2431" t="s">
        <v>7</v>
      </c>
      <c r="D2431" t="s">
        <v>38</v>
      </c>
      <c r="E2431" t="s">
        <v>30</v>
      </c>
      <c r="F2431">
        <v>57</v>
      </c>
      <c r="G2431" t="s">
        <v>129</v>
      </c>
      <c r="H2431" t="s">
        <v>80</v>
      </c>
      <c r="I2431" t="s">
        <v>20</v>
      </c>
      <c r="J2431" t="s">
        <v>41</v>
      </c>
      <c r="K2431">
        <v>4.4000000000000004</v>
      </c>
      <c r="L2431" t="s">
        <v>140</v>
      </c>
      <c r="M2431" t="s">
        <v>42</v>
      </c>
      <c r="N2431" t="s">
        <v>140</v>
      </c>
      <c r="O2431">
        <v>47</v>
      </c>
      <c r="P2431" t="s">
        <v>27</v>
      </c>
      <c r="Q2431" t="s">
        <v>17</v>
      </c>
      <c r="R2431" t="str" cm="1">
        <f t="array" ref="R2431">_xlfn.IFS(B2431&lt;31,"Young-Adult",B2431&lt;41,"Adult",B2431&lt;61,"Middle-aged",B2431&gt;=61,"Senior")</f>
        <v>Middle-aged</v>
      </c>
      <c r="S2431" cm="1">
        <f t="array" ref="S2431">_xlfn.IFS(Q2431 ="Fortnightly",14,Q2431="Weekly",7,Q2431="Monthly",30,Q2431="Quarterly",90,Q2431="Bi-Weekly",14,Q2431="Annually",365,Q2431="Every 3 Months",90,TRUE,"NOT FOUND")</f>
        <v>14</v>
      </c>
    </row>
    <row r="2432" spans="1:19" x14ac:dyDescent="0.35">
      <c r="A2432">
        <v>2431</v>
      </c>
      <c r="B2432">
        <v>20</v>
      </c>
      <c r="C2432" t="s">
        <v>7</v>
      </c>
      <c r="D2432" t="s">
        <v>90</v>
      </c>
      <c r="E2432" t="s">
        <v>51</v>
      </c>
      <c r="F2432">
        <v>100</v>
      </c>
      <c r="G2432" t="s">
        <v>102</v>
      </c>
      <c r="H2432" t="s">
        <v>80</v>
      </c>
      <c r="I2432" t="s">
        <v>40</v>
      </c>
      <c r="J2432" t="s">
        <v>41</v>
      </c>
      <c r="K2432">
        <v>4.3</v>
      </c>
      <c r="L2432" t="s">
        <v>140</v>
      </c>
      <c r="M2432" t="s">
        <v>15</v>
      </c>
      <c r="N2432" t="s">
        <v>140</v>
      </c>
      <c r="O2432">
        <v>42</v>
      </c>
      <c r="P2432" t="s">
        <v>21</v>
      </c>
      <c r="Q2432" t="s">
        <v>46</v>
      </c>
      <c r="R2432" t="str" cm="1">
        <f t="array" ref="R2432">_xlfn.IFS(B2432&lt;31,"Young-Adult",B2432&lt;41,"Adult",B2432&lt;61,"Middle-aged",B2432&gt;=61,"Senior")</f>
        <v>Young-Adult</v>
      </c>
      <c r="S2432" cm="1">
        <f t="array" ref="S2432">_xlfn.IFS(Q2432 ="Fortnightly",14,Q2432="Weekly",7,Q2432="Monthly",30,Q2432="Quarterly",90,Q2432="Bi-Weekly",14,Q2432="Annually",365,Q2432="Every 3 Months",90,TRUE,"NOT FOUND")</f>
        <v>90</v>
      </c>
    </row>
    <row r="2433" spans="1:19" x14ac:dyDescent="0.35">
      <c r="A2433">
        <v>2432</v>
      </c>
      <c r="B2433">
        <v>34</v>
      </c>
      <c r="C2433" t="s">
        <v>7</v>
      </c>
      <c r="D2433" t="s">
        <v>92</v>
      </c>
      <c r="E2433" t="s">
        <v>9</v>
      </c>
      <c r="F2433">
        <v>73</v>
      </c>
      <c r="G2433" t="s">
        <v>78</v>
      </c>
      <c r="H2433" t="s">
        <v>24</v>
      </c>
      <c r="I2433" t="s">
        <v>66</v>
      </c>
      <c r="J2433" t="s">
        <v>45</v>
      </c>
      <c r="K2433">
        <v>3.4</v>
      </c>
      <c r="L2433" t="s">
        <v>140</v>
      </c>
      <c r="M2433" t="s">
        <v>15</v>
      </c>
      <c r="N2433" t="s">
        <v>140</v>
      </c>
      <c r="O2433">
        <v>27</v>
      </c>
      <c r="P2433" t="s">
        <v>63</v>
      </c>
      <c r="Q2433" t="s">
        <v>85</v>
      </c>
      <c r="R2433" t="str" cm="1">
        <f t="array" ref="R2433">_xlfn.IFS(B2433&lt;31,"Young-Adult",B2433&lt;41,"Adult",B2433&lt;61,"Middle-aged",B2433&gt;=61,"Senior")</f>
        <v>Adult</v>
      </c>
      <c r="S2433" cm="1">
        <f t="array" ref="S2433">_xlfn.IFS(Q2433 ="Fortnightly",14,Q2433="Weekly",7,Q2433="Monthly",30,Q2433="Quarterly",90,Q2433="Bi-Weekly",14,Q2433="Annually",365,Q2433="Every 3 Months",90,TRUE,"NOT FOUND")</f>
        <v>90</v>
      </c>
    </row>
    <row r="2434" spans="1:19" x14ac:dyDescent="0.35">
      <c r="A2434">
        <v>2433</v>
      </c>
      <c r="B2434">
        <v>59</v>
      </c>
      <c r="C2434" t="s">
        <v>7</v>
      </c>
      <c r="D2434" t="s">
        <v>90</v>
      </c>
      <c r="E2434" t="s">
        <v>51</v>
      </c>
      <c r="F2434">
        <v>66</v>
      </c>
      <c r="G2434" t="s">
        <v>65</v>
      </c>
      <c r="H2434" t="s">
        <v>32</v>
      </c>
      <c r="I2434" t="s">
        <v>88</v>
      </c>
      <c r="J2434" t="s">
        <v>13</v>
      </c>
      <c r="K2434">
        <v>2.8</v>
      </c>
      <c r="L2434" t="s">
        <v>140</v>
      </c>
      <c r="M2434" t="s">
        <v>62</v>
      </c>
      <c r="N2434" t="s">
        <v>140</v>
      </c>
      <c r="O2434">
        <v>43</v>
      </c>
      <c r="P2434" t="s">
        <v>16</v>
      </c>
      <c r="Q2434" t="s">
        <v>76</v>
      </c>
      <c r="R2434" t="str" cm="1">
        <f t="array" ref="R2434">_xlfn.IFS(B2434&lt;31,"Young-Adult",B2434&lt;41,"Adult",B2434&lt;61,"Middle-aged",B2434&gt;=61,"Senior")</f>
        <v>Middle-aged</v>
      </c>
      <c r="S2434" cm="1">
        <f t="array" ref="S2434">_xlfn.IFS(Q2434 ="Fortnightly",14,Q2434="Weekly",7,Q2434="Monthly",30,Q2434="Quarterly",90,Q2434="Bi-Weekly",14,Q2434="Annually",365,Q2434="Every 3 Months",90,TRUE,"NOT FOUND")</f>
        <v>30</v>
      </c>
    </row>
    <row r="2435" spans="1:19" x14ac:dyDescent="0.35">
      <c r="A2435">
        <v>2434</v>
      </c>
      <c r="B2435">
        <v>54</v>
      </c>
      <c r="C2435" t="s">
        <v>7</v>
      </c>
      <c r="D2435" t="s">
        <v>101</v>
      </c>
      <c r="E2435" t="s">
        <v>9</v>
      </c>
      <c r="F2435">
        <v>73</v>
      </c>
      <c r="G2435" t="s">
        <v>35</v>
      </c>
      <c r="H2435" t="s">
        <v>32</v>
      </c>
      <c r="I2435" t="s">
        <v>132</v>
      </c>
      <c r="J2435" t="s">
        <v>25</v>
      </c>
      <c r="K2435">
        <v>3.4</v>
      </c>
      <c r="L2435" t="s">
        <v>140</v>
      </c>
      <c r="M2435" t="s">
        <v>42</v>
      </c>
      <c r="N2435" t="s">
        <v>140</v>
      </c>
      <c r="O2435">
        <v>16</v>
      </c>
      <c r="P2435" t="s">
        <v>21</v>
      </c>
      <c r="Q2435" t="s">
        <v>64</v>
      </c>
      <c r="R2435" t="str" cm="1">
        <f t="array" ref="R2435">_xlfn.IFS(B2435&lt;31,"Young-Adult",B2435&lt;41,"Adult",B2435&lt;61,"Middle-aged",B2435&gt;=61,"Senior")</f>
        <v>Middle-aged</v>
      </c>
      <c r="S2435" cm="1">
        <f t="array" ref="S2435">_xlfn.IFS(Q2435 ="Fortnightly",14,Q2435="Weekly",7,Q2435="Monthly",30,Q2435="Quarterly",90,Q2435="Bi-Weekly",14,Q2435="Annually",365,Q2435="Every 3 Months",90,TRUE,"NOT FOUND")</f>
        <v>14</v>
      </c>
    </row>
    <row r="2436" spans="1:19" x14ac:dyDescent="0.35">
      <c r="A2436">
        <v>2435</v>
      </c>
      <c r="B2436">
        <v>36</v>
      </c>
      <c r="C2436" t="s">
        <v>7</v>
      </c>
      <c r="D2436" t="s">
        <v>131</v>
      </c>
      <c r="E2436" t="s">
        <v>55</v>
      </c>
      <c r="F2436">
        <v>45</v>
      </c>
      <c r="G2436" t="s">
        <v>128</v>
      </c>
      <c r="H2436" t="s">
        <v>32</v>
      </c>
      <c r="I2436" t="s">
        <v>98</v>
      </c>
      <c r="J2436" t="s">
        <v>25</v>
      </c>
      <c r="K2436">
        <v>5</v>
      </c>
      <c r="L2436" t="s">
        <v>140</v>
      </c>
      <c r="M2436" t="s">
        <v>62</v>
      </c>
      <c r="N2436" t="s">
        <v>140</v>
      </c>
      <c r="O2436">
        <v>40</v>
      </c>
      <c r="P2436" t="s">
        <v>27</v>
      </c>
      <c r="Q2436" t="s">
        <v>76</v>
      </c>
      <c r="R2436" t="str" cm="1">
        <f t="array" ref="R2436">_xlfn.IFS(B2436&lt;31,"Young-Adult",B2436&lt;41,"Adult",B2436&lt;61,"Middle-aged",B2436&gt;=61,"Senior")</f>
        <v>Adult</v>
      </c>
      <c r="S2436" cm="1">
        <f t="array" ref="S2436">_xlfn.IFS(Q2436 ="Fortnightly",14,Q2436="Weekly",7,Q2436="Monthly",30,Q2436="Quarterly",90,Q2436="Bi-Weekly",14,Q2436="Annually",365,Q2436="Every 3 Months",90,TRUE,"NOT FOUND")</f>
        <v>30</v>
      </c>
    </row>
    <row r="2437" spans="1:19" x14ac:dyDescent="0.35">
      <c r="A2437">
        <v>2436</v>
      </c>
      <c r="B2437">
        <v>21</v>
      </c>
      <c r="C2437" t="s">
        <v>7</v>
      </c>
      <c r="D2437" t="s">
        <v>38</v>
      </c>
      <c r="E2437" t="s">
        <v>30</v>
      </c>
      <c r="F2437">
        <v>27</v>
      </c>
      <c r="G2437" t="s">
        <v>65</v>
      </c>
      <c r="H2437" t="s">
        <v>24</v>
      </c>
      <c r="I2437" t="s">
        <v>82</v>
      </c>
      <c r="J2437" t="s">
        <v>45</v>
      </c>
      <c r="K2437">
        <v>4.5</v>
      </c>
      <c r="L2437" t="s">
        <v>140</v>
      </c>
      <c r="M2437" t="s">
        <v>26</v>
      </c>
      <c r="N2437" t="s">
        <v>140</v>
      </c>
      <c r="O2437">
        <v>29</v>
      </c>
      <c r="P2437" t="s">
        <v>21</v>
      </c>
      <c r="Q2437" t="s">
        <v>64</v>
      </c>
      <c r="R2437" t="str" cm="1">
        <f t="array" ref="R2437">_xlfn.IFS(B2437&lt;31,"Young-Adult",B2437&lt;41,"Adult",B2437&lt;61,"Middle-aged",B2437&gt;=61,"Senior")</f>
        <v>Young-Adult</v>
      </c>
      <c r="S2437" cm="1">
        <f t="array" ref="S2437">_xlfn.IFS(Q2437 ="Fortnightly",14,Q2437="Weekly",7,Q2437="Monthly",30,Q2437="Quarterly",90,Q2437="Bi-Weekly",14,Q2437="Annually",365,Q2437="Every 3 Months",90,TRUE,"NOT FOUND")</f>
        <v>14</v>
      </c>
    </row>
    <row r="2438" spans="1:19" x14ac:dyDescent="0.35">
      <c r="A2438">
        <v>2437</v>
      </c>
      <c r="B2438">
        <v>52</v>
      </c>
      <c r="C2438" t="s">
        <v>7</v>
      </c>
      <c r="D2438" t="s">
        <v>101</v>
      </c>
      <c r="E2438" t="s">
        <v>9</v>
      </c>
      <c r="F2438">
        <v>24</v>
      </c>
      <c r="G2438" t="s">
        <v>127</v>
      </c>
      <c r="H2438" t="s">
        <v>32</v>
      </c>
      <c r="I2438" t="s">
        <v>122</v>
      </c>
      <c r="J2438" t="s">
        <v>45</v>
      </c>
      <c r="K2438">
        <v>2.7</v>
      </c>
      <c r="L2438" t="s">
        <v>140</v>
      </c>
      <c r="M2438" t="s">
        <v>62</v>
      </c>
      <c r="N2438" t="s">
        <v>140</v>
      </c>
      <c r="O2438">
        <v>38</v>
      </c>
      <c r="P2438" t="s">
        <v>27</v>
      </c>
      <c r="Q2438" t="s">
        <v>46</v>
      </c>
      <c r="R2438" t="str" cm="1">
        <f t="array" ref="R2438">_xlfn.IFS(B2438&lt;31,"Young-Adult",B2438&lt;41,"Adult",B2438&lt;61,"Middle-aged",B2438&gt;=61,"Senior")</f>
        <v>Middle-aged</v>
      </c>
      <c r="S2438" cm="1">
        <f t="array" ref="S2438">_xlfn.IFS(Q2438 ="Fortnightly",14,Q2438="Weekly",7,Q2438="Monthly",30,Q2438="Quarterly",90,Q2438="Bi-Weekly",14,Q2438="Annually",365,Q2438="Every 3 Months",90,TRUE,"NOT FOUND")</f>
        <v>90</v>
      </c>
    </row>
    <row r="2439" spans="1:19" x14ac:dyDescent="0.35">
      <c r="A2439">
        <v>2438</v>
      </c>
      <c r="B2439">
        <v>43</v>
      </c>
      <c r="C2439" t="s">
        <v>7</v>
      </c>
      <c r="D2439" t="s">
        <v>38</v>
      </c>
      <c r="E2439" t="s">
        <v>30</v>
      </c>
      <c r="F2439">
        <v>59</v>
      </c>
      <c r="G2439" t="s">
        <v>39</v>
      </c>
      <c r="H2439" t="s">
        <v>80</v>
      </c>
      <c r="I2439" t="s">
        <v>124</v>
      </c>
      <c r="J2439" t="s">
        <v>13</v>
      </c>
      <c r="K2439">
        <v>3.4</v>
      </c>
      <c r="L2439" t="s">
        <v>140</v>
      </c>
      <c r="M2439" t="s">
        <v>62</v>
      </c>
      <c r="N2439" t="s">
        <v>140</v>
      </c>
      <c r="O2439">
        <v>34</v>
      </c>
      <c r="P2439" t="s">
        <v>27</v>
      </c>
      <c r="Q2439" t="s">
        <v>28</v>
      </c>
      <c r="R2439" t="str" cm="1">
        <f t="array" ref="R2439">_xlfn.IFS(B2439&lt;31,"Young-Adult",B2439&lt;41,"Adult",B2439&lt;61,"Middle-aged",B2439&gt;=61,"Senior")</f>
        <v>Middle-aged</v>
      </c>
      <c r="S2439" cm="1">
        <f t="array" ref="S2439">_xlfn.IFS(Q2439 ="Fortnightly",14,Q2439="Weekly",7,Q2439="Monthly",30,Q2439="Quarterly",90,Q2439="Bi-Weekly",14,Q2439="Annually",365,Q2439="Every 3 Months",90,TRUE,"NOT FOUND")</f>
        <v>7</v>
      </c>
    </row>
    <row r="2440" spans="1:19" x14ac:dyDescent="0.35">
      <c r="A2440">
        <v>2439</v>
      </c>
      <c r="B2440">
        <v>32</v>
      </c>
      <c r="C2440" t="s">
        <v>7</v>
      </c>
      <c r="D2440" t="s">
        <v>22</v>
      </c>
      <c r="E2440" t="s">
        <v>9</v>
      </c>
      <c r="F2440">
        <v>20</v>
      </c>
      <c r="G2440" t="s">
        <v>67</v>
      </c>
      <c r="H2440" t="s">
        <v>24</v>
      </c>
      <c r="I2440" t="s">
        <v>97</v>
      </c>
      <c r="J2440" t="s">
        <v>13</v>
      </c>
      <c r="K2440">
        <v>3.4</v>
      </c>
      <c r="L2440" t="s">
        <v>140</v>
      </c>
      <c r="M2440" t="s">
        <v>15</v>
      </c>
      <c r="N2440" t="s">
        <v>140</v>
      </c>
      <c r="O2440">
        <v>30</v>
      </c>
      <c r="P2440" t="s">
        <v>16</v>
      </c>
      <c r="Q2440" t="s">
        <v>28</v>
      </c>
      <c r="R2440" t="str" cm="1">
        <f t="array" ref="R2440">_xlfn.IFS(B2440&lt;31,"Young-Adult",B2440&lt;41,"Adult",B2440&lt;61,"Middle-aged",B2440&gt;=61,"Senior")</f>
        <v>Adult</v>
      </c>
      <c r="S2440" cm="1">
        <f t="array" ref="S2440">_xlfn.IFS(Q2440 ="Fortnightly",14,Q2440="Weekly",7,Q2440="Monthly",30,Q2440="Quarterly",90,Q2440="Bi-Weekly",14,Q2440="Annually",365,Q2440="Every 3 Months",90,TRUE,"NOT FOUND")</f>
        <v>7</v>
      </c>
    </row>
    <row r="2441" spans="1:19" x14ac:dyDescent="0.35">
      <c r="A2441">
        <v>2440</v>
      </c>
      <c r="B2441">
        <v>55</v>
      </c>
      <c r="C2441" t="s">
        <v>7</v>
      </c>
      <c r="D2441" t="s">
        <v>54</v>
      </c>
      <c r="E2441" t="s">
        <v>55</v>
      </c>
      <c r="F2441">
        <v>44</v>
      </c>
      <c r="G2441" t="s">
        <v>60</v>
      </c>
      <c r="H2441" t="s">
        <v>32</v>
      </c>
      <c r="I2441" t="s">
        <v>20</v>
      </c>
      <c r="J2441" t="s">
        <v>41</v>
      </c>
      <c r="K2441">
        <v>2.8</v>
      </c>
      <c r="L2441" t="s">
        <v>140</v>
      </c>
      <c r="M2441" t="s">
        <v>42</v>
      </c>
      <c r="N2441" t="s">
        <v>140</v>
      </c>
      <c r="O2441">
        <v>45</v>
      </c>
      <c r="P2441" t="s">
        <v>63</v>
      </c>
      <c r="Q2441" t="s">
        <v>37</v>
      </c>
      <c r="R2441" t="str" cm="1">
        <f t="array" ref="R2441">_xlfn.IFS(B2441&lt;31,"Young-Adult",B2441&lt;41,"Adult",B2441&lt;61,"Middle-aged",B2441&gt;=61,"Senior")</f>
        <v>Middle-aged</v>
      </c>
      <c r="S2441" cm="1">
        <f t="array" ref="S2441">_xlfn.IFS(Q2441 ="Fortnightly",14,Q2441="Weekly",7,Q2441="Monthly",30,Q2441="Quarterly",90,Q2441="Bi-Weekly",14,Q2441="Annually",365,Q2441="Every 3 Months",90,TRUE,"NOT FOUND")</f>
        <v>365</v>
      </c>
    </row>
    <row r="2442" spans="1:19" x14ac:dyDescent="0.35">
      <c r="A2442">
        <v>2441</v>
      </c>
      <c r="B2442">
        <v>31</v>
      </c>
      <c r="C2442" t="s">
        <v>7</v>
      </c>
      <c r="D2442" t="s">
        <v>113</v>
      </c>
      <c r="E2442" t="s">
        <v>9</v>
      </c>
      <c r="F2442">
        <v>90</v>
      </c>
      <c r="G2442" t="s">
        <v>104</v>
      </c>
      <c r="H2442" t="s">
        <v>32</v>
      </c>
      <c r="I2442" t="s">
        <v>96</v>
      </c>
      <c r="J2442" t="s">
        <v>25</v>
      </c>
      <c r="K2442">
        <v>4.7</v>
      </c>
      <c r="L2442" t="s">
        <v>140</v>
      </c>
      <c r="M2442" t="s">
        <v>42</v>
      </c>
      <c r="N2442" t="s">
        <v>140</v>
      </c>
      <c r="O2442">
        <v>47</v>
      </c>
      <c r="P2442" t="s">
        <v>63</v>
      </c>
      <c r="Q2442" t="s">
        <v>37</v>
      </c>
      <c r="R2442" t="str" cm="1">
        <f t="array" ref="R2442">_xlfn.IFS(B2442&lt;31,"Young-Adult",B2442&lt;41,"Adult",B2442&lt;61,"Middle-aged",B2442&gt;=61,"Senior")</f>
        <v>Adult</v>
      </c>
      <c r="S2442" cm="1">
        <f t="array" ref="S2442">_xlfn.IFS(Q2442 ="Fortnightly",14,Q2442="Weekly",7,Q2442="Monthly",30,Q2442="Quarterly",90,Q2442="Bi-Weekly",14,Q2442="Annually",365,Q2442="Every 3 Months",90,TRUE,"NOT FOUND")</f>
        <v>365</v>
      </c>
    </row>
    <row r="2443" spans="1:19" x14ac:dyDescent="0.35">
      <c r="A2443">
        <v>2442</v>
      </c>
      <c r="B2443">
        <v>45</v>
      </c>
      <c r="C2443" t="s">
        <v>7</v>
      </c>
      <c r="D2443" t="s">
        <v>94</v>
      </c>
      <c r="E2443" t="s">
        <v>55</v>
      </c>
      <c r="F2443">
        <v>36</v>
      </c>
      <c r="G2443" t="s">
        <v>87</v>
      </c>
      <c r="H2443" t="s">
        <v>32</v>
      </c>
      <c r="I2443" t="s">
        <v>82</v>
      </c>
      <c r="J2443" t="s">
        <v>45</v>
      </c>
      <c r="K2443">
        <v>4.7</v>
      </c>
      <c r="L2443" t="s">
        <v>140</v>
      </c>
      <c r="M2443" t="s">
        <v>26</v>
      </c>
      <c r="N2443" t="s">
        <v>140</v>
      </c>
      <c r="O2443">
        <v>5</v>
      </c>
      <c r="P2443" t="s">
        <v>27</v>
      </c>
      <c r="Q2443" t="s">
        <v>76</v>
      </c>
      <c r="R2443" t="str" cm="1">
        <f t="array" ref="R2443">_xlfn.IFS(B2443&lt;31,"Young-Adult",B2443&lt;41,"Adult",B2443&lt;61,"Middle-aged",B2443&gt;=61,"Senior")</f>
        <v>Middle-aged</v>
      </c>
      <c r="S2443" cm="1">
        <f t="array" ref="S2443">_xlfn.IFS(Q2443 ="Fortnightly",14,Q2443="Weekly",7,Q2443="Monthly",30,Q2443="Quarterly",90,Q2443="Bi-Weekly",14,Q2443="Annually",365,Q2443="Every 3 Months",90,TRUE,"NOT FOUND")</f>
        <v>30</v>
      </c>
    </row>
    <row r="2444" spans="1:19" x14ac:dyDescent="0.35">
      <c r="A2444">
        <v>2443</v>
      </c>
      <c r="B2444">
        <v>53</v>
      </c>
      <c r="C2444" t="s">
        <v>7</v>
      </c>
      <c r="D2444" t="s">
        <v>8</v>
      </c>
      <c r="E2444" t="s">
        <v>9</v>
      </c>
      <c r="F2444">
        <v>95</v>
      </c>
      <c r="G2444" t="s">
        <v>39</v>
      </c>
      <c r="H2444" t="s">
        <v>11</v>
      </c>
      <c r="I2444" t="s">
        <v>71</v>
      </c>
      <c r="J2444" t="s">
        <v>13</v>
      </c>
      <c r="K2444">
        <v>4.7</v>
      </c>
      <c r="L2444" t="s">
        <v>140</v>
      </c>
      <c r="M2444" t="s">
        <v>26</v>
      </c>
      <c r="N2444" t="s">
        <v>140</v>
      </c>
      <c r="O2444">
        <v>50</v>
      </c>
      <c r="P2444" t="s">
        <v>74</v>
      </c>
      <c r="Q2444" t="s">
        <v>64</v>
      </c>
      <c r="R2444" t="str" cm="1">
        <f t="array" ref="R2444">_xlfn.IFS(B2444&lt;31,"Young-Adult",B2444&lt;41,"Adult",B2444&lt;61,"Middle-aged",B2444&gt;=61,"Senior")</f>
        <v>Middle-aged</v>
      </c>
      <c r="S2444" cm="1">
        <f t="array" ref="S2444">_xlfn.IFS(Q2444 ="Fortnightly",14,Q2444="Weekly",7,Q2444="Monthly",30,Q2444="Quarterly",90,Q2444="Bi-Weekly",14,Q2444="Annually",365,Q2444="Every 3 Months",90,TRUE,"NOT FOUND")</f>
        <v>14</v>
      </c>
    </row>
    <row r="2445" spans="1:19" x14ac:dyDescent="0.35">
      <c r="A2445">
        <v>2444</v>
      </c>
      <c r="B2445">
        <v>24</v>
      </c>
      <c r="C2445" t="s">
        <v>7</v>
      </c>
      <c r="D2445" t="s">
        <v>120</v>
      </c>
      <c r="E2445" t="s">
        <v>55</v>
      </c>
      <c r="F2445">
        <v>30</v>
      </c>
      <c r="G2445" t="s">
        <v>135</v>
      </c>
      <c r="H2445" t="s">
        <v>32</v>
      </c>
      <c r="I2445" t="s">
        <v>84</v>
      </c>
      <c r="J2445" t="s">
        <v>25</v>
      </c>
      <c r="K2445">
        <v>3.4</v>
      </c>
      <c r="L2445" t="s">
        <v>140</v>
      </c>
      <c r="M2445" t="s">
        <v>58</v>
      </c>
      <c r="N2445" t="s">
        <v>140</v>
      </c>
      <c r="O2445">
        <v>24</v>
      </c>
      <c r="P2445" t="s">
        <v>63</v>
      </c>
      <c r="Q2445" t="s">
        <v>64</v>
      </c>
      <c r="R2445" t="str" cm="1">
        <f t="array" ref="R2445">_xlfn.IFS(B2445&lt;31,"Young-Adult",B2445&lt;41,"Adult",B2445&lt;61,"Middle-aged",B2445&gt;=61,"Senior")</f>
        <v>Young-Adult</v>
      </c>
      <c r="S2445" cm="1">
        <f t="array" ref="S2445">_xlfn.IFS(Q2445 ="Fortnightly",14,Q2445="Weekly",7,Q2445="Monthly",30,Q2445="Quarterly",90,Q2445="Bi-Weekly",14,Q2445="Annually",365,Q2445="Every 3 Months",90,TRUE,"NOT FOUND")</f>
        <v>14</v>
      </c>
    </row>
    <row r="2446" spans="1:19" x14ac:dyDescent="0.35">
      <c r="A2446">
        <v>2445</v>
      </c>
      <c r="B2446">
        <v>47</v>
      </c>
      <c r="C2446" t="s">
        <v>7</v>
      </c>
      <c r="D2446" t="s">
        <v>107</v>
      </c>
      <c r="E2446" t="s">
        <v>55</v>
      </c>
      <c r="F2446">
        <v>65</v>
      </c>
      <c r="G2446" t="s">
        <v>52</v>
      </c>
      <c r="H2446" t="s">
        <v>24</v>
      </c>
      <c r="I2446" t="s">
        <v>68</v>
      </c>
      <c r="J2446" t="s">
        <v>45</v>
      </c>
      <c r="K2446">
        <v>3.7</v>
      </c>
      <c r="L2446" t="s">
        <v>140</v>
      </c>
      <c r="M2446" t="s">
        <v>15</v>
      </c>
      <c r="N2446" t="s">
        <v>140</v>
      </c>
      <c r="O2446">
        <v>15</v>
      </c>
      <c r="P2446" t="s">
        <v>74</v>
      </c>
      <c r="Q2446" t="s">
        <v>64</v>
      </c>
      <c r="R2446" t="str" cm="1">
        <f t="array" ref="R2446">_xlfn.IFS(B2446&lt;31,"Young-Adult",B2446&lt;41,"Adult",B2446&lt;61,"Middle-aged",B2446&gt;=61,"Senior")</f>
        <v>Middle-aged</v>
      </c>
      <c r="S2446" cm="1">
        <f t="array" ref="S2446">_xlfn.IFS(Q2446 ="Fortnightly",14,Q2446="Weekly",7,Q2446="Monthly",30,Q2446="Quarterly",90,Q2446="Bi-Weekly",14,Q2446="Annually",365,Q2446="Every 3 Months",90,TRUE,"NOT FOUND")</f>
        <v>14</v>
      </c>
    </row>
    <row r="2447" spans="1:19" x14ac:dyDescent="0.35">
      <c r="A2447">
        <v>2446</v>
      </c>
      <c r="B2447">
        <v>63</v>
      </c>
      <c r="C2447" t="s">
        <v>7</v>
      </c>
      <c r="D2447" t="s">
        <v>107</v>
      </c>
      <c r="E2447" t="s">
        <v>55</v>
      </c>
      <c r="F2447">
        <v>96</v>
      </c>
      <c r="G2447" t="s">
        <v>110</v>
      </c>
      <c r="H2447" t="s">
        <v>32</v>
      </c>
      <c r="I2447" t="s">
        <v>98</v>
      </c>
      <c r="J2447" t="s">
        <v>41</v>
      </c>
      <c r="K2447">
        <v>4.0999999999999996</v>
      </c>
      <c r="L2447" t="s">
        <v>140</v>
      </c>
      <c r="M2447" t="s">
        <v>62</v>
      </c>
      <c r="N2447" t="s">
        <v>140</v>
      </c>
      <c r="O2447">
        <v>50</v>
      </c>
      <c r="P2447" t="s">
        <v>21</v>
      </c>
      <c r="Q2447" t="s">
        <v>28</v>
      </c>
      <c r="R2447" t="str" cm="1">
        <f t="array" ref="R2447">_xlfn.IFS(B2447&lt;31,"Young-Adult",B2447&lt;41,"Adult",B2447&lt;61,"Middle-aged",B2447&gt;=61,"Senior")</f>
        <v>Senior</v>
      </c>
      <c r="S2447" cm="1">
        <f t="array" ref="S2447">_xlfn.IFS(Q2447 ="Fortnightly",14,Q2447="Weekly",7,Q2447="Monthly",30,Q2447="Quarterly",90,Q2447="Bi-Weekly",14,Q2447="Annually",365,Q2447="Every 3 Months",90,TRUE,"NOT FOUND")</f>
        <v>7</v>
      </c>
    </row>
    <row r="2448" spans="1:19" x14ac:dyDescent="0.35">
      <c r="A2448">
        <v>2447</v>
      </c>
      <c r="B2448">
        <v>38</v>
      </c>
      <c r="C2448" t="s">
        <v>7</v>
      </c>
      <c r="D2448" t="s">
        <v>43</v>
      </c>
      <c r="E2448" t="s">
        <v>9</v>
      </c>
      <c r="F2448">
        <v>65</v>
      </c>
      <c r="G2448" t="s">
        <v>108</v>
      </c>
      <c r="H2448" t="s">
        <v>11</v>
      </c>
      <c r="I2448" t="s">
        <v>88</v>
      </c>
      <c r="J2448" t="s">
        <v>25</v>
      </c>
      <c r="K2448">
        <v>2.9</v>
      </c>
      <c r="L2448" t="s">
        <v>140</v>
      </c>
      <c r="M2448" t="s">
        <v>58</v>
      </c>
      <c r="N2448" t="s">
        <v>140</v>
      </c>
      <c r="O2448">
        <v>7</v>
      </c>
      <c r="P2448" t="s">
        <v>27</v>
      </c>
      <c r="Q2448" t="s">
        <v>76</v>
      </c>
      <c r="R2448" t="str" cm="1">
        <f t="array" ref="R2448">_xlfn.IFS(B2448&lt;31,"Young-Adult",B2448&lt;41,"Adult",B2448&lt;61,"Middle-aged",B2448&gt;=61,"Senior")</f>
        <v>Adult</v>
      </c>
      <c r="S2448" cm="1">
        <f t="array" ref="S2448">_xlfn.IFS(Q2448 ="Fortnightly",14,Q2448="Weekly",7,Q2448="Monthly",30,Q2448="Quarterly",90,Q2448="Bi-Weekly",14,Q2448="Annually",365,Q2448="Every 3 Months",90,TRUE,"NOT FOUND")</f>
        <v>30</v>
      </c>
    </row>
    <row r="2449" spans="1:19" x14ac:dyDescent="0.35">
      <c r="A2449">
        <v>2448</v>
      </c>
      <c r="B2449">
        <v>59</v>
      </c>
      <c r="C2449" t="s">
        <v>7</v>
      </c>
      <c r="D2449" t="s">
        <v>83</v>
      </c>
      <c r="E2449" t="s">
        <v>9</v>
      </c>
      <c r="F2449">
        <v>47</v>
      </c>
      <c r="G2449" t="s">
        <v>135</v>
      </c>
      <c r="H2449" t="s">
        <v>11</v>
      </c>
      <c r="I2449" t="s">
        <v>88</v>
      </c>
      <c r="J2449" t="s">
        <v>45</v>
      </c>
      <c r="K2449">
        <v>3.2</v>
      </c>
      <c r="L2449" t="s">
        <v>140</v>
      </c>
      <c r="M2449" t="s">
        <v>62</v>
      </c>
      <c r="N2449" t="s">
        <v>140</v>
      </c>
      <c r="O2449">
        <v>10</v>
      </c>
      <c r="P2449" t="s">
        <v>16</v>
      </c>
      <c r="Q2449" t="s">
        <v>17</v>
      </c>
      <c r="R2449" t="str" cm="1">
        <f t="array" ref="R2449">_xlfn.IFS(B2449&lt;31,"Young-Adult",B2449&lt;41,"Adult",B2449&lt;61,"Middle-aged",B2449&gt;=61,"Senior")</f>
        <v>Middle-aged</v>
      </c>
      <c r="S2449" cm="1">
        <f t="array" ref="S2449">_xlfn.IFS(Q2449 ="Fortnightly",14,Q2449="Weekly",7,Q2449="Monthly",30,Q2449="Quarterly",90,Q2449="Bi-Weekly",14,Q2449="Annually",365,Q2449="Every 3 Months",90,TRUE,"NOT FOUND")</f>
        <v>14</v>
      </c>
    </row>
    <row r="2450" spans="1:19" x14ac:dyDescent="0.35">
      <c r="A2450">
        <v>2449</v>
      </c>
      <c r="B2450">
        <v>54</v>
      </c>
      <c r="C2450" t="s">
        <v>7</v>
      </c>
      <c r="D2450" t="s">
        <v>112</v>
      </c>
      <c r="E2450" t="s">
        <v>55</v>
      </c>
      <c r="F2450">
        <v>25</v>
      </c>
      <c r="G2450" t="s">
        <v>110</v>
      </c>
      <c r="H2450" t="s">
        <v>24</v>
      </c>
      <c r="I2450" t="s">
        <v>71</v>
      </c>
      <c r="J2450" t="s">
        <v>45</v>
      </c>
      <c r="K2450">
        <v>3</v>
      </c>
      <c r="L2450" t="s">
        <v>140</v>
      </c>
      <c r="M2450" t="s">
        <v>26</v>
      </c>
      <c r="N2450" t="s">
        <v>140</v>
      </c>
      <c r="O2450">
        <v>38</v>
      </c>
      <c r="P2450" t="s">
        <v>34</v>
      </c>
      <c r="Q2450" t="s">
        <v>64</v>
      </c>
      <c r="R2450" t="str" cm="1">
        <f t="array" ref="R2450">_xlfn.IFS(B2450&lt;31,"Young-Adult",B2450&lt;41,"Adult",B2450&lt;61,"Middle-aged",B2450&gt;=61,"Senior")</f>
        <v>Middle-aged</v>
      </c>
      <c r="S2450" cm="1">
        <f t="array" ref="S2450">_xlfn.IFS(Q2450 ="Fortnightly",14,Q2450="Weekly",7,Q2450="Monthly",30,Q2450="Quarterly",90,Q2450="Bi-Weekly",14,Q2450="Annually",365,Q2450="Every 3 Months",90,TRUE,"NOT FOUND")</f>
        <v>14</v>
      </c>
    </row>
    <row r="2451" spans="1:19" x14ac:dyDescent="0.35">
      <c r="A2451">
        <v>2450</v>
      </c>
      <c r="B2451">
        <v>26</v>
      </c>
      <c r="C2451" t="s">
        <v>7</v>
      </c>
      <c r="D2451" t="s">
        <v>50</v>
      </c>
      <c r="E2451" t="s">
        <v>51</v>
      </c>
      <c r="F2451">
        <v>56</v>
      </c>
      <c r="G2451" t="s">
        <v>78</v>
      </c>
      <c r="H2451" t="s">
        <v>24</v>
      </c>
      <c r="I2451" t="s">
        <v>71</v>
      </c>
      <c r="J2451" t="s">
        <v>45</v>
      </c>
      <c r="K2451">
        <v>4.0999999999999996</v>
      </c>
      <c r="L2451" t="s">
        <v>140</v>
      </c>
      <c r="M2451" t="s">
        <v>15</v>
      </c>
      <c r="N2451" t="s">
        <v>140</v>
      </c>
      <c r="O2451">
        <v>31</v>
      </c>
      <c r="P2451" t="s">
        <v>16</v>
      </c>
      <c r="Q2451" t="s">
        <v>17</v>
      </c>
      <c r="R2451" t="str" cm="1">
        <f t="array" ref="R2451">_xlfn.IFS(B2451&lt;31,"Young-Adult",B2451&lt;41,"Adult",B2451&lt;61,"Middle-aged",B2451&gt;=61,"Senior")</f>
        <v>Young-Adult</v>
      </c>
      <c r="S2451" cm="1">
        <f t="array" ref="S2451">_xlfn.IFS(Q2451 ="Fortnightly",14,Q2451="Weekly",7,Q2451="Monthly",30,Q2451="Quarterly",90,Q2451="Bi-Weekly",14,Q2451="Annually",365,Q2451="Every 3 Months",90,TRUE,"NOT FOUND")</f>
        <v>14</v>
      </c>
    </row>
    <row r="2452" spans="1:19" x14ac:dyDescent="0.35">
      <c r="A2452">
        <v>2451</v>
      </c>
      <c r="B2452">
        <v>68</v>
      </c>
      <c r="C2452" t="s">
        <v>7</v>
      </c>
      <c r="D2452" t="s">
        <v>101</v>
      </c>
      <c r="E2452" t="s">
        <v>9</v>
      </c>
      <c r="F2452">
        <v>76</v>
      </c>
      <c r="G2452" t="s">
        <v>86</v>
      </c>
      <c r="H2452" t="s">
        <v>32</v>
      </c>
      <c r="I2452" t="s">
        <v>124</v>
      </c>
      <c r="J2452" t="s">
        <v>45</v>
      </c>
      <c r="K2452">
        <v>4.5</v>
      </c>
      <c r="L2452" t="s">
        <v>140</v>
      </c>
      <c r="M2452" t="s">
        <v>42</v>
      </c>
      <c r="N2452" t="s">
        <v>140</v>
      </c>
      <c r="O2452">
        <v>7</v>
      </c>
      <c r="P2452" t="s">
        <v>16</v>
      </c>
      <c r="Q2452" t="s">
        <v>46</v>
      </c>
      <c r="R2452" t="str" cm="1">
        <f t="array" ref="R2452">_xlfn.IFS(B2452&lt;31,"Young-Adult",B2452&lt;41,"Adult",B2452&lt;61,"Middle-aged",B2452&gt;=61,"Senior")</f>
        <v>Senior</v>
      </c>
      <c r="S2452" cm="1">
        <f t="array" ref="S2452">_xlfn.IFS(Q2452 ="Fortnightly",14,Q2452="Weekly",7,Q2452="Monthly",30,Q2452="Quarterly",90,Q2452="Bi-Weekly",14,Q2452="Annually",365,Q2452="Every 3 Months",90,TRUE,"NOT FOUND")</f>
        <v>90</v>
      </c>
    </row>
    <row r="2453" spans="1:19" x14ac:dyDescent="0.35">
      <c r="A2453">
        <v>2452</v>
      </c>
      <c r="B2453">
        <v>41</v>
      </c>
      <c r="C2453" t="s">
        <v>7</v>
      </c>
      <c r="D2453" t="s">
        <v>113</v>
      </c>
      <c r="E2453" t="s">
        <v>9</v>
      </c>
      <c r="F2453">
        <v>60</v>
      </c>
      <c r="G2453" t="s">
        <v>89</v>
      </c>
      <c r="H2453" t="s">
        <v>32</v>
      </c>
      <c r="I2453" t="s">
        <v>61</v>
      </c>
      <c r="J2453" t="s">
        <v>45</v>
      </c>
      <c r="K2453">
        <v>3.4</v>
      </c>
      <c r="L2453" t="s">
        <v>140</v>
      </c>
      <c r="M2453" t="s">
        <v>62</v>
      </c>
      <c r="N2453" t="s">
        <v>140</v>
      </c>
      <c r="O2453">
        <v>27</v>
      </c>
      <c r="P2453" t="s">
        <v>16</v>
      </c>
      <c r="Q2453" t="s">
        <v>76</v>
      </c>
      <c r="R2453" t="str" cm="1">
        <f t="array" ref="R2453">_xlfn.IFS(B2453&lt;31,"Young-Adult",B2453&lt;41,"Adult",B2453&lt;61,"Middle-aged",B2453&gt;=61,"Senior")</f>
        <v>Middle-aged</v>
      </c>
      <c r="S2453" cm="1">
        <f t="array" ref="S2453">_xlfn.IFS(Q2453 ="Fortnightly",14,Q2453="Weekly",7,Q2453="Monthly",30,Q2453="Quarterly",90,Q2453="Bi-Weekly",14,Q2453="Annually",365,Q2453="Every 3 Months",90,TRUE,"NOT FOUND")</f>
        <v>30</v>
      </c>
    </row>
    <row r="2454" spans="1:19" x14ac:dyDescent="0.35">
      <c r="A2454">
        <v>2453</v>
      </c>
      <c r="B2454">
        <v>68</v>
      </c>
      <c r="C2454" t="s">
        <v>7</v>
      </c>
      <c r="D2454" t="s">
        <v>43</v>
      </c>
      <c r="E2454" t="s">
        <v>9</v>
      </c>
      <c r="F2454">
        <v>67</v>
      </c>
      <c r="G2454" t="s">
        <v>72</v>
      </c>
      <c r="H2454" t="s">
        <v>11</v>
      </c>
      <c r="I2454" t="s">
        <v>61</v>
      </c>
      <c r="J2454" t="s">
        <v>13</v>
      </c>
      <c r="K2454">
        <v>4.0999999999999996</v>
      </c>
      <c r="L2454" t="s">
        <v>140</v>
      </c>
      <c r="M2454" t="s">
        <v>15</v>
      </c>
      <c r="N2454" t="s">
        <v>140</v>
      </c>
      <c r="O2454">
        <v>45</v>
      </c>
      <c r="P2454" t="s">
        <v>63</v>
      </c>
      <c r="Q2454" t="s">
        <v>85</v>
      </c>
      <c r="R2454" t="str" cm="1">
        <f t="array" ref="R2454">_xlfn.IFS(B2454&lt;31,"Young-Adult",B2454&lt;41,"Adult",B2454&lt;61,"Middle-aged",B2454&gt;=61,"Senior")</f>
        <v>Senior</v>
      </c>
      <c r="S2454" cm="1">
        <f t="array" ref="S2454">_xlfn.IFS(Q2454 ="Fortnightly",14,Q2454="Weekly",7,Q2454="Monthly",30,Q2454="Quarterly",90,Q2454="Bi-Weekly",14,Q2454="Annually",365,Q2454="Every 3 Months",90,TRUE,"NOT FOUND")</f>
        <v>90</v>
      </c>
    </row>
    <row r="2455" spans="1:19" x14ac:dyDescent="0.35">
      <c r="A2455">
        <v>2454</v>
      </c>
      <c r="B2455">
        <v>21</v>
      </c>
      <c r="C2455" t="s">
        <v>7</v>
      </c>
      <c r="D2455" t="s">
        <v>18</v>
      </c>
      <c r="E2455" t="s">
        <v>9</v>
      </c>
      <c r="F2455">
        <v>95</v>
      </c>
      <c r="G2455" t="s">
        <v>134</v>
      </c>
      <c r="H2455" t="s">
        <v>80</v>
      </c>
      <c r="I2455" t="s">
        <v>97</v>
      </c>
      <c r="J2455" t="s">
        <v>25</v>
      </c>
      <c r="K2455">
        <v>4.5999999999999996</v>
      </c>
      <c r="L2455" t="s">
        <v>140</v>
      </c>
      <c r="M2455" t="s">
        <v>62</v>
      </c>
      <c r="N2455" t="s">
        <v>140</v>
      </c>
      <c r="O2455">
        <v>13</v>
      </c>
      <c r="P2455" t="s">
        <v>21</v>
      </c>
      <c r="Q2455" t="s">
        <v>37</v>
      </c>
      <c r="R2455" t="str" cm="1">
        <f t="array" ref="R2455">_xlfn.IFS(B2455&lt;31,"Young-Adult",B2455&lt;41,"Adult",B2455&lt;61,"Middle-aged",B2455&gt;=61,"Senior")</f>
        <v>Young-Adult</v>
      </c>
      <c r="S2455" cm="1">
        <f t="array" ref="S2455">_xlfn.IFS(Q2455 ="Fortnightly",14,Q2455="Weekly",7,Q2455="Monthly",30,Q2455="Quarterly",90,Q2455="Bi-Weekly",14,Q2455="Annually",365,Q2455="Every 3 Months",90,TRUE,"NOT FOUND")</f>
        <v>365</v>
      </c>
    </row>
    <row r="2456" spans="1:19" x14ac:dyDescent="0.35">
      <c r="A2456">
        <v>2455</v>
      </c>
      <c r="B2456">
        <v>32</v>
      </c>
      <c r="C2456" t="s">
        <v>7</v>
      </c>
      <c r="D2456" t="s">
        <v>131</v>
      </c>
      <c r="E2456" t="s">
        <v>55</v>
      </c>
      <c r="F2456">
        <v>72</v>
      </c>
      <c r="G2456" t="s">
        <v>108</v>
      </c>
      <c r="H2456" t="s">
        <v>32</v>
      </c>
      <c r="I2456" t="s">
        <v>124</v>
      </c>
      <c r="J2456" t="s">
        <v>13</v>
      </c>
      <c r="K2456">
        <v>4.5999999999999996</v>
      </c>
      <c r="L2456" t="s">
        <v>140</v>
      </c>
      <c r="M2456" t="s">
        <v>15</v>
      </c>
      <c r="N2456" t="s">
        <v>140</v>
      </c>
      <c r="O2456">
        <v>33</v>
      </c>
      <c r="P2456" t="s">
        <v>16</v>
      </c>
      <c r="Q2456" t="s">
        <v>37</v>
      </c>
      <c r="R2456" t="str" cm="1">
        <f t="array" ref="R2456">_xlfn.IFS(B2456&lt;31,"Young-Adult",B2456&lt;41,"Adult",B2456&lt;61,"Middle-aged",B2456&gt;=61,"Senior")</f>
        <v>Adult</v>
      </c>
      <c r="S2456" cm="1">
        <f t="array" ref="S2456">_xlfn.IFS(Q2456 ="Fortnightly",14,Q2456="Weekly",7,Q2456="Monthly",30,Q2456="Quarterly",90,Q2456="Bi-Weekly",14,Q2456="Annually",365,Q2456="Every 3 Months",90,TRUE,"NOT FOUND")</f>
        <v>365</v>
      </c>
    </row>
    <row r="2457" spans="1:19" x14ac:dyDescent="0.35">
      <c r="A2457">
        <v>2456</v>
      </c>
      <c r="B2457">
        <v>20</v>
      </c>
      <c r="C2457" t="s">
        <v>7</v>
      </c>
      <c r="D2457" t="s">
        <v>121</v>
      </c>
      <c r="E2457" t="s">
        <v>55</v>
      </c>
      <c r="F2457">
        <v>98</v>
      </c>
      <c r="G2457" t="s">
        <v>108</v>
      </c>
      <c r="H2457" t="s">
        <v>11</v>
      </c>
      <c r="I2457" t="s">
        <v>81</v>
      </c>
      <c r="J2457" t="s">
        <v>25</v>
      </c>
      <c r="K2457">
        <v>3.4</v>
      </c>
      <c r="L2457" t="s">
        <v>140</v>
      </c>
      <c r="M2457" t="s">
        <v>15</v>
      </c>
      <c r="N2457" t="s">
        <v>140</v>
      </c>
      <c r="O2457">
        <v>25</v>
      </c>
      <c r="P2457" t="s">
        <v>21</v>
      </c>
      <c r="Q2457" t="s">
        <v>85</v>
      </c>
      <c r="R2457" t="str" cm="1">
        <f t="array" ref="R2457">_xlfn.IFS(B2457&lt;31,"Young-Adult",B2457&lt;41,"Adult",B2457&lt;61,"Middle-aged",B2457&gt;=61,"Senior")</f>
        <v>Young-Adult</v>
      </c>
      <c r="S2457" cm="1">
        <f t="array" ref="S2457">_xlfn.IFS(Q2457 ="Fortnightly",14,Q2457="Weekly",7,Q2457="Monthly",30,Q2457="Quarterly",90,Q2457="Bi-Weekly",14,Q2457="Annually",365,Q2457="Every 3 Months",90,TRUE,"NOT FOUND")</f>
        <v>90</v>
      </c>
    </row>
    <row r="2458" spans="1:19" x14ac:dyDescent="0.35">
      <c r="A2458">
        <v>2457</v>
      </c>
      <c r="B2458">
        <v>59</v>
      </c>
      <c r="C2458" t="s">
        <v>7</v>
      </c>
      <c r="D2458" t="s">
        <v>22</v>
      </c>
      <c r="E2458" t="s">
        <v>9</v>
      </c>
      <c r="F2458">
        <v>83</v>
      </c>
      <c r="G2458" t="s">
        <v>133</v>
      </c>
      <c r="H2458" t="s">
        <v>32</v>
      </c>
      <c r="I2458" t="s">
        <v>84</v>
      </c>
      <c r="J2458" t="s">
        <v>13</v>
      </c>
      <c r="K2458">
        <v>3.3</v>
      </c>
      <c r="L2458" t="s">
        <v>140</v>
      </c>
      <c r="M2458" t="s">
        <v>58</v>
      </c>
      <c r="N2458" t="s">
        <v>140</v>
      </c>
      <c r="O2458">
        <v>5</v>
      </c>
      <c r="P2458" t="s">
        <v>34</v>
      </c>
      <c r="Q2458" t="s">
        <v>76</v>
      </c>
      <c r="R2458" t="str" cm="1">
        <f t="array" ref="R2458">_xlfn.IFS(B2458&lt;31,"Young-Adult",B2458&lt;41,"Adult",B2458&lt;61,"Middle-aged",B2458&gt;=61,"Senior")</f>
        <v>Middle-aged</v>
      </c>
      <c r="S2458" cm="1">
        <f t="array" ref="S2458">_xlfn.IFS(Q2458 ="Fortnightly",14,Q2458="Weekly",7,Q2458="Monthly",30,Q2458="Quarterly",90,Q2458="Bi-Weekly",14,Q2458="Annually",365,Q2458="Every 3 Months",90,TRUE,"NOT FOUND")</f>
        <v>30</v>
      </c>
    </row>
    <row r="2459" spans="1:19" x14ac:dyDescent="0.35">
      <c r="A2459">
        <v>2458</v>
      </c>
      <c r="B2459">
        <v>53</v>
      </c>
      <c r="C2459" t="s">
        <v>7</v>
      </c>
      <c r="D2459" t="s">
        <v>54</v>
      </c>
      <c r="E2459" t="s">
        <v>55</v>
      </c>
      <c r="F2459">
        <v>37</v>
      </c>
      <c r="G2459" t="s">
        <v>67</v>
      </c>
      <c r="H2459" t="s">
        <v>32</v>
      </c>
      <c r="I2459" t="s">
        <v>20</v>
      </c>
      <c r="J2459" t="s">
        <v>45</v>
      </c>
      <c r="K2459">
        <v>3.6</v>
      </c>
      <c r="L2459" t="s">
        <v>140</v>
      </c>
      <c r="M2459" t="s">
        <v>58</v>
      </c>
      <c r="N2459" t="s">
        <v>140</v>
      </c>
      <c r="O2459">
        <v>23</v>
      </c>
      <c r="P2459" t="s">
        <v>21</v>
      </c>
      <c r="Q2459" t="s">
        <v>46</v>
      </c>
      <c r="R2459" t="str" cm="1">
        <f t="array" ref="R2459">_xlfn.IFS(B2459&lt;31,"Young-Adult",B2459&lt;41,"Adult",B2459&lt;61,"Middle-aged",B2459&gt;=61,"Senior")</f>
        <v>Middle-aged</v>
      </c>
      <c r="S2459" cm="1">
        <f t="array" ref="S2459">_xlfn.IFS(Q2459 ="Fortnightly",14,Q2459="Weekly",7,Q2459="Monthly",30,Q2459="Quarterly",90,Q2459="Bi-Weekly",14,Q2459="Annually",365,Q2459="Every 3 Months",90,TRUE,"NOT FOUND")</f>
        <v>90</v>
      </c>
    </row>
    <row r="2460" spans="1:19" x14ac:dyDescent="0.35">
      <c r="A2460">
        <v>2459</v>
      </c>
      <c r="B2460">
        <v>66</v>
      </c>
      <c r="C2460" t="s">
        <v>7</v>
      </c>
      <c r="D2460" t="s">
        <v>101</v>
      </c>
      <c r="E2460" t="s">
        <v>9</v>
      </c>
      <c r="F2460">
        <v>85</v>
      </c>
      <c r="G2460" t="s">
        <v>93</v>
      </c>
      <c r="H2460" t="s">
        <v>11</v>
      </c>
      <c r="I2460" t="s">
        <v>36</v>
      </c>
      <c r="J2460" t="s">
        <v>45</v>
      </c>
      <c r="K2460">
        <v>4.5999999999999996</v>
      </c>
      <c r="L2460" t="s">
        <v>140</v>
      </c>
      <c r="M2460" t="s">
        <v>26</v>
      </c>
      <c r="N2460" t="s">
        <v>140</v>
      </c>
      <c r="O2460">
        <v>17</v>
      </c>
      <c r="P2460" t="s">
        <v>63</v>
      </c>
      <c r="Q2460" t="s">
        <v>28</v>
      </c>
      <c r="R2460" t="str" cm="1">
        <f t="array" ref="R2460">_xlfn.IFS(B2460&lt;31,"Young-Adult",B2460&lt;41,"Adult",B2460&lt;61,"Middle-aged",B2460&gt;=61,"Senior")</f>
        <v>Senior</v>
      </c>
      <c r="S2460" cm="1">
        <f t="array" ref="S2460">_xlfn.IFS(Q2460 ="Fortnightly",14,Q2460="Weekly",7,Q2460="Monthly",30,Q2460="Quarterly",90,Q2460="Bi-Weekly",14,Q2460="Annually",365,Q2460="Every 3 Months",90,TRUE,"NOT FOUND")</f>
        <v>7</v>
      </c>
    </row>
    <row r="2461" spans="1:19" x14ac:dyDescent="0.35">
      <c r="A2461">
        <v>2460</v>
      </c>
      <c r="B2461">
        <v>47</v>
      </c>
      <c r="C2461" t="s">
        <v>7</v>
      </c>
      <c r="D2461" t="s">
        <v>113</v>
      </c>
      <c r="E2461" t="s">
        <v>9</v>
      </c>
      <c r="F2461">
        <v>36</v>
      </c>
      <c r="G2461" t="s">
        <v>56</v>
      </c>
      <c r="H2461" t="s">
        <v>11</v>
      </c>
      <c r="I2461" t="s">
        <v>71</v>
      </c>
      <c r="J2461" t="s">
        <v>45</v>
      </c>
      <c r="K2461">
        <v>4.3</v>
      </c>
      <c r="L2461" t="s">
        <v>140</v>
      </c>
      <c r="M2461" t="s">
        <v>58</v>
      </c>
      <c r="N2461" t="s">
        <v>140</v>
      </c>
      <c r="O2461">
        <v>14</v>
      </c>
      <c r="P2461" t="s">
        <v>21</v>
      </c>
      <c r="Q2461" t="s">
        <v>28</v>
      </c>
      <c r="R2461" t="str" cm="1">
        <f t="array" ref="R2461">_xlfn.IFS(B2461&lt;31,"Young-Adult",B2461&lt;41,"Adult",B2461&lt;61,"Middle-aged",B2461&gt;=61,"Senior")</f>
        <v>Middle-aged</v>
      </c>
      <c r="S2461" cm="1">
        <f t="array" ref="S2461">_xlfn.IFS(Q2461 ="Fortnightly",14,Q2461="Weekly",7,Q2461="Monthly",30,Q2461="Quarterly",90,Q2461="Bi-Weekly",14,Q2461="Annually",365,Q2461="Every 3 Months",90,TRUE,"NOT FOUND")</f>
        <v>7</v>
      </c>
    </row>
    <row r="2462" spans="1:19" x14ac:dyDescent="0.35">
      <c r="A2462">
        <v>2461</v>
      </c>
      <c r="B2462">
        <v>58</v>
      </c>
      <c r="C2462" t="s">
        <v>7</v>
      </c>
      <c r="D2462" t="s">
        <v>22</v>
      </c>
      <c r="E2462" t="s">
        <v>9</v>
      </c>
      <c r="F2462">
        <v>36</v>
      </c>
      <c r="G2462" t="s">
        <v>19</v>
      </c>
      <c r="H2462" t="s">
        <v>24</v>
      </c>
      <c r="I2462" t="s">
        <v>81</v>
      </c>
      <c r="J2462" t="s">
        <v>13</v>
      </c>
      <c r="K2462">
        <v>4</v>
      </c>
      <c r="L2462" t="s">
        <v>140</v>
      </c>
      <c r="M2462" t="s">
        <v>62</v>
      </c>
      <c r="N2462" t="s">
        <v>140</v>
      </c>
      <c r="O2462">
        <v>28</v>
      </c>
      <c r="P2462" t="s">
        <v>27</v>
      </c>
      <c r="Q2462" t="s">
        <v>37</v>
      </c>
      <c r="R2462" t="str" cm="1">
        <f t="array" ref="R2462">_xlfn.IFS(B2462&lt;31,"Young-Adult",B2462&lt;41,"Adult",B2462&lt;61,"Middle-aged",B2462&gt;=61,"Senior")</f>
        <v>Middle-aged</v>
      </c>
      <c r="S2462" cm="1">
        <f t="array" ref="S2462">_xlfn.IFS(Q2462 ="Fortnightly",14,Q2462="Weekly",7,Q2462="Monthly",30,Q2462="Quarterly",90,Q2462="Bi-Weekly",14,Q2462="Annually",365,Q2462="Every 3 Months",90,TRUE,"NOT FOUND")</f>
        <v>365</v>
      </c>
    </row>
    <row r="2463" spans="1:19" x14ac:dyDescent="0.35">
      <c r="A2463">
        <v>2462</v>
      </c>
      <c r="B2463">
        <v>28</v>
      </c>
      <c r="C2463" t="s">
        <v>7</v>
      </c>
      <c r="D2463" t="s">
        <v>107</v>
      </c>
      <c r="E2463" t="s">
        <v>55</v>
      </c>
      <c r="F2463">
        <v>86</v>
      </c>
      <c r="G2463" t="s">
        <v>126</v>
      </c>
      <c r="H2463" t="s">
        <v>11</v>
      </c>
      <c r="I2463" t="s">
        <v>96</v>
      </c>
      <c r="J2463" t="s">
        <v>41</v>
      </c>
      <c r="K2463">
        <v>4.8</v>
      </c>
      <c r="L2463" t="s">
        <v>140</v>
      </c>
      <c r="M2463" t="s">
        <v>33</v>
      </c>
      <c r="N2463" t="s">
        <v>140</v>
      </c>
      <c r="O2463">
        <v>19</v>
      </c>
      <c r="P2463" t="s">
        <v>27</v>
      </c>
      <c r="Q2463" t="s">
        <v>28</v>
      </c>
      <c r="R2463" t="str" cm="1">
        <f t="array" ref="R2463">_xlfn.IFS(B2463&lt;31,"Young-Adult",B2463&lt;41,"Adult",B2463&lt;61,"Middle-aged",B2463&gt;=61,"Senior")</f>
        <v>Young-Adult</v>
      </c>
      <c r="S2463" cm="1">
        <f t="array" ref="S2463">_xlfn.IFS(Q2463 ="Fortnightly",14,Q2463="Weekly",7,Q2463="Monthly",30,Q2463="Quarterly",90,Q2463="Bi-Weekly",14,Q2463="Annually",365,Q2463="Every 3 Months",90,TRUE,"NOT FOUND")</f>
        <v>7</v>
      </c>
    </row>
    <row r="2464" spans="1:19" x14ac:dyDescent="0.35">
      <c r="A2464">
        <v>2463</v>
      </c>
      <c r="B2464">
        <v>68</v>
      </c>
      <c r="C2464" t="s">
        <v>7</v>
      </c>
      <c r="D2464" t="s">
        <v>83</v>
      </c>
      <c r="E2464" t="s">
        <v>9</v>
      </c>
      <c r="F2464">
        <v>99</v>
      </c>
      <c r="G2464" t="s">
        <v>56</v>
      </c>
      <c r="H2464" t="s">
        <v>80</v>
      </c>
      <c r="I2464" t="s">
        <v>109</v>
      </c>
      <c r="J2464" t="s">
        <v>25</v>
      </c>
      <c r="K2464">
        <v>4.3</v>
      </c>
      <c r="L2464" t="s">
        <v>140</v>
      </c>
      <c r="M2464" t="s">
        <v>42</v>
      </c>
      <c r="N2464" t="s">
        <v>140</v>
      </c>
      <c r="O2464">
        <v>31</v>
      </c>
      <c r="P2464" t="s">
        <v>63</v>
      </c>
      <c r="Q2464" t="s">
        <v>64</v>
      </c>
      <c r="R2464" t="str" cm="1">
        <f t="array" ref="R2464">_xlfn.IFS(B2464&lt;31,"Young-Adult",B2464&lt;41,"Adult",B2464&lt;61,"Middle-aged",B2464&gt;=61,"Senior")</f>
        <v>Senior</v>
      </c>
      <c r="S2464" cm="1">
        <f t="array" ref="S2464">_xlfn.IFS(Q2464 ="Fortnightly",14,Q2464="Weekly",7,Q2464="Monthly",30,Q2464="Quarterly",90,Q2464="Bi-Weekly",14,Q2464="Annually",365,Q2464="Every 3 Months",90,TRUE,"NOT FOUND")</f>
        <v>14</v>
      </c>
    </row>
    <row r="2465" spans="1:19" x14ac:dyDescent="0.35">
      <c r="A2465">
        <v>2464</v>
      </c>
      <c r="B2465">
        <v>60</v>
      </c>
      <c r="C2465" t="s">
        <v>7</v>
      </c>
      <c r="D2465" t="s">
        <v>8</v>
      </c>
      <c r="E2465" t="s">
        <v>9</v>
      </c>
      <c r="F2465">
        <v>21</v>
      </c>
      <c r="G2465" t="s">
        <v>79</v>
      </c>
      <c r="H2465" t="s">
        <v>80</v>
      </c>
      <c r="I2465" t="s">
        <v>114</v>
      </c>
      <c r="J2465" t="s">
        <v>41</v>
      </c>
      <c r="K2465">
        <v>3.3</v>
      </c>
      <c r="L2465" t="s">
        <v>140</v>
      </c>
      <c r="M2465" t="s">
        <v>42</v>
      </c>
      <c r="N2465" t="s">
        <v>140</v>
      </c>
      <c r="O2465">
        <v>25</v>
      </c>
      <c r="P2465" t="s">
        <v>21</v>
      </c>
      <c r="Q2465" t="s">
        <v>64</v>
      </c>
      <c r="R2465" t="str" cm="1">
        <f t="array" ref="R2465">_xlfn.IFS(B2465&lt;31,"Young-Adult",B2465&lt;41,"Adult",B2465&lt;61,"Middle-aged",B2465&gt;=61,"Senior")</f>
        <v>Middle-aged</v>
      </c>
      <c r="S2465" cm="1">
        <f t="array" ref="S2465">_xlfn.IFS(Q2465 ="Fortnightly",14,Q2465="Weekly",7,Q2465="Monthly",30,Q2465="Quarterly",90,Q2465="Bi-Weekly",14,Q2465="Annually",365,Q2465="Every 3 Months",90,TRUE,"NOT FOUND")</f>
        <v>14</v>
      </c>
    </row>
    <row r="2466" spans="1:19" x14ac:dyDescent="0.35">
      <c r="A2466">
        <v>2465</v>
      </c>
      <c r="B2466">
        <v>47</v>
      </c>
      <c r="C2466" t="s">
        <v>7</v>
      </c>
      <c r="D2466" t="s">
        <v>90</v>
      </c>
      <c r="E2466" t="s">
        <v>51</v>
      </c>
      <c r="F2466">
        <v>84</v>
      </c>
      <c r="G2466" t="s">
        <v>65</v>
      </c>
      <c r="H2466" t="s">
        <v>11</v>
      </c>
      <c r="I2466" t="s">
        <v>73</v>
      </c>
      <c r="J2466" t="s">
        <v>13</v>
      </c>
      <c r="K2466">
        <v>2.8</v>
      </c>
      <c r="L2466" t="s">
        <v>140</v>
      </c>
      <c r="M2466" t="s">
        <v>15</v>
      </c>
      <c r="N2466" t="s">
        <v>140</v>
      </c>
      <c r="O2466">
        <v>4</v>
      </c>
      <c r="P2466" t="s">
        <v>21</v>
      </c>
      <c r="Q2466" t="s">
        <v>64</v>
      </c>
      <c r="R2466" t="str" cm="1">
        <f t="array" ref="R2466">_xlfn.IFS(B2466&lt;31,"Young-Adult",B2466&lt;41,"Adult",B2466&lt;61,"Middle-aged",B2466&gt;=61,"Senior")</f>
        <v>Middle-aged</v>
      </c>
      <c r="S2466" cm="1">
        <f t="array" ref="S2466">_xlfn.IFS(Q2466 ="Fortnightly",14,Q2466="Weekly",7,Q2466="Monthly",30,Q2466="Quarterly",90,Q2466="Bi-Weekly",14,Q2466="Annually",365,Q2466="Every 3 Months",90,TRUE,"NOT FOUND")</f>
        <v>14</v>
      </c>
    </row>
    <row r="2467" spans="1:19" x14ac:dyDescent="0.35">
      <c r="A2467">
        <v>2466</v>
      </c>
      <c r="B2467">
        <v>18</v>
      </c>
      <c r="C2467" t="s">
        <v>7</v>
      </c>
      <c r="D2467" t="s">
        <v>29</v>
      </c>
      <c r="E2467" t="s">
        <v>30</v>
      </c>
      <c r="F2467">
        <v>63</v>
      </c>
      <c r="G2467" t="s">
        <v>93</v>
      </c>
      <c r="H2467" t="s">
        <v>32</v>
      </c>
      <c r="I2467" t="s">
        <v>98</v>
      </c>
      <c r="J2467" t="s">
        <v>25</v>
      </c>
      <c r="K2467">
        <v>4.4000000000000004</v>
      </c>
      <c r="L2467" t="s">
        <v>140</v>
      </c>
      <c r="M2467" t="s">
        <v>26</v>
      </c>
      <c r="N2467" t="s">
        <v>140</v>
      </c>
      <c r="O2467">
        <v>20</v>
      </c>
      <c r="P2467" t="s">
        <v>63</v>
      </c>
      <c r="Q2467" t="s">
        <v>28</v>
      </c>
      <c r="R2467" t="str" cm="1">
        <f t="array" ref="R2467">_xlfn.IFS(B2467&lt;31,"Young-Adult",B2467&lt;41,"Adult",B2467&lt;61,"Middle-aged",B2467&gt;=61,"Senior")</f>
        <v>Young-Adult</v>
      </c>
      <c r="S2467" cm="1">
        <f t="array" ref="S2467">_xlfn.IFS(Q2467 ="Fortnightly",14,Q2467="Weekly",7,Q2467="Monthly",30,Q2467="Quarterly",90,Q2467="Bi-Weekly",14,Q2467="Annually",365,Q2467="Every 3 Months",90,TRUE,"NOT FOUND")</f>
        <v>7</v>
      </c>
    </row>
    <row r="2468" spans="1:19" x14ac:dyDescent="0.35">
      <c r="A2468">
        <v>2467</v>
      </c>
      <c r="B2468">
        <v>32</v>
      </c>
      <c r="C2468" t="s">
        <v>7</v>
      </c>
      <c r="D2468" t="s">
        <v>47</v>
      </c>
      <c r="E2468" t="s">
        <v>9</v>
      </c>
      <c r="F2468">
        <v>84</v>
      </c>
      <c r="G2468" t="s">
        <v>135</v>
      </c>
      <c r="H2468" t="s">
        <v>24</v>
      </c>
      <c r="I2468" t="s">
        <v>57</v>
      </c>
      <c r="J2468" t="s">
        <v>41</v>
      </c>
      <c r="K2468">
        <v>3.7</v>
      </c>
      <c r="L2468" t="s">
        <v>140</v>
      </c>
      <c r="M2468" t="s">
        <v>15</v>
      </c>
      <c r="N2468" t="s">
        <v>140</v>
      </c>
      <c r="O2468">
        <v>37</v>
      </c>
      <c r="P2468" t="s">
        <v>21</v>
      </c>
      <c r="Q2468" t="s">
        <v>37</v>
      </c>
      <c r="R2468" t="str" cm="1">
        <f t="array" ref="R2468">_xlfn.IFS(B2468&lt;31,"Young-Adult",B2468&lt;41,"Adult",B2468&lt;61,"Middle-aged",B2468&gt;=61,"Senior")</f>
        <v>Adult</v>
      </c>
      <c r="S2468" cm="1">
        <f t="array" ref="S2468">_xlfn.IFS(Q2468 ="Fortnightly",14,Q2468="Weekly",7,Q2468="Monthly",30,Q2468="Quarterly",90,Q2468="Bi-Weekly",14,Q2468="Annually",365,Q2468="Every 3 Months",90,TRUE,"NOT FOUND")</f>
        <v>365</v>
      </c>
    </row>
    <row r="2469" spans="1:19" x14ac:dyDescent="0.35">
      <c r="A2469">
        <v>2468</v>
      </c>
      <c r="B2469">
        <v>27</v>
      </c>
      <c r="C2469" t="s">
        <v>7</v>
      </c>
      <c r="D2469" t="s">
        <v>47</v>
      </c>
      <c r="E2469" t="s">
        <v>9</v>
      </c>
      <c r="F2469">
        <v>72</v>
      </c>
      <c r="G2469" t="s">
        <v>115</v>
      </c>
      <c r="H2469" t="s">
        <v>32</v>
      </c>
      <c r="I2469" t="s">
        <v>81</v>
      </c>
      <c r="J2469" t="s">
        <v>25</v>
      </c>
      <c r="K2469">
        <v>3.6</v>
      </c>
      <c r="L2469" t="s">
        <v>140</v>
      </c>
      <c r="M2469" t="s">
        <v>15</v>
      </c>
      <c r="N2469" t="s">
        <v>140</v>
      </c>
      <c r="O2469">
        <v>28</v>
      </c>
      <c r="P2469" t="s">
        <v>27</v>
      </c>
      <c r="Q2469" t="s">
        <v>37</v>
      </c>
      <c r="R2469" t="str" cm="1">
        <f t="array" ref="R2469">_xlfn.IFS(B2469&lt;31,"Young-Adult",B2469&lt;41,"Adult",B2469&lt;61,"Middle-aged",B2469&gt;=61,"Senior")</f>
        <v>Young-Adult</v>
      </c>
      <c r="S2469" cm="1">
        <f t="array" ref="S2469">_xlfn.IFS(Q2469 ="Fortnightly",14,Q2469="Weekly",7,Q2469="Monthly",30,Q2469="Quarterly",90,Q2469="Bi-Weekly",14,Q2469="Annually",365,Q2469="Every 3 Months",90,TRUE,"NOT FOUND")</f>
        <v>365</v>
      </c>
    </row>
    <row r="2470" spans="1:19" x14ac:dyDescent="0.35">
      <c r="A2470">
        <v>2469</v>
      </c>
      <c r="B2470">
        <v>65</v>
      </c>
      <c r="C2470" t="s">
        <v>7</v>
      </c>
      <c r="D2470" t="s">
        <v>75</v>
      </c>
      <c r="E2470" t="s">
        <v>9</v>
      </c>
      <c r="F2470">
        <v>21</v>
      </c>
      <c r="G2470" t="s">
        <v>127</v>
      </c>
      <c r="H2470" t="s">
        <v>11</v>
      </c>
      <c r="I2470" t="s">
        <v>97</v>
      </c>
      <c r="J2470" t="s">
        <v>13</v>
      </c>
      <c r="K2470">
        <v>3.7</v>
      </c>
      <c r="L2470" t="s">
        <v>140</v>
      </c>
      <c r="M2470" t="s">
        <v>58</v>
      </c>
      <c r="N2470" t="s">
        <v>140</v>
      </c>
      <c r="O2470">
        <v>6</v>
      </c>
      <c r="P2470" t="s">
        <v>16</v>
      </c>
      <c r="Q2470" t="s">
        <v>28</v>
      </c>
      <c r="R2470" t="str" cm="1">
        <f t="array" ref="R2470">_xlfn.IFS(B2470&lt;31,"Young-Adult",B2470&lt;41,"Adult",B2470&lt;61,"Middle-aged",B2470&gt;=61,"Senior")</f>
        <v>Senior</v>
      </c>
      <c r="S2470" cm="1">
        <f t="array" ref="S2470">_xlfn.IFS(Q2470 ="Fortnightly",14,Q2470="Weekly",7,Q2470="Monthly",30,Q2470="Quarterly",90,Q2470="Bi-Weekly",14,Q2470="Annually",365,Q2470="Every 3 Months",90,TRUE,"NOT FOUND")</f>
        <v>7</v>
      </c>
    </row>
    <row r="2471" spans="1:19" x14ac:dyDescent="0.35">
      <c r="A2471">
        <v>2470</v>
      </c>
      <c r="B2471">
        <v>68</v>
      </c>
      <c r="C2471" t="s">
        <v>7</v>
      </c>
      <c r="D2471" t="s">
        <v>29</v>
      </c>
      <c r="E2471" t="s">
        <v>30</v>
      </c>
      <c r="F2471">
        <v>92</v>
      </c>
      <c r="G2471" t="s">
        <v>116</v>
      </c>
      <c r="H2471" t="s">
        <v>32</v>
      </c>
      <c r="I2471" t="s">
        <v>122</v>
      </c>
      <c r="J2471" t="s">
        <v>45</v>
      </c>
      <c r="K2471">
        <v>5</v>
      </c>
      <c r="L2471" t="s">
        <v>140</v>
      </c>
      <c r="M2471" t="s">
        <v>42</v>
      </c>
      <c r="N2471" t="s">
        <v>140</v>
      </c>
      <c r="O2471">
        <v>27</v>
      </c>
      <c r="P2471" t="s">
        <v>34</v>
      </c>
      <c r="Q2471" t="s">
        <v>37</v>
      </c>
      <c r="R2471" t="str" cm="1">
        <f t="array" ref="R2471">_xlfn.IFS(B2471&lt;31,"Young-Adult",B2471&lt;41,"Adult",B2471&lt;61,"Middle-aged",B2471&gt;=61,"Senior")</f>
        <v>Senior</v>
      </c>
      <c r="S2471" cm="1">
        <f t="array" ref="S2471">_xlfn.IFS(Q2471 ="Fortnightly",14,Q2471="Weekly",7,Q2471="Monthly",30,Q2471="Quarterly",90,Q2471="Bi-Weekly",14,Q2471="Annually",365,Q2471="Every 3 Months",90,TRUE,"NOT FOUND")</f>
        <v>365</v>
      </c>
    </row>
    <row r="2472" spans="1:19" x14ac:dyDescent="0.35">
      <c r="A2472">
        <v>2471</v>
      </c>
      <c r="B2472">
        <v>55</v>
      </c>
      <c r="C2472" t="s">
        <v>7</v>
      </c>
      <c r="D2472" t="s">
        <v>8</v>
      </c>
      <c r="E2472" t="s">
        <v>9</v>
      </c>
      <c r="F2472">
        <v>72</v>
      </c>
      <c r="G2472" t="s">
        <v>105</v>
      </c>
      <c r="H2472" t="s">
        <v>80</v>
      </c>
      <c r="I2472" t="s">
        <v>57</v>
      </c>
      <c r="J2472" t="s">
        <v>45</v>
      </c>
      <c r="K2472">
        <v>2.7</v>
      </c>
      <c r="L2472" t="s">
        <v>140</v>
      </c>
      <c r="M2472" t="s">
        <v>33</v>
      </c>
      <c r="N2472" t="s">
        <v>140</v>
      </c>
      <c r="O2472">
        <v>29</v>
      </c>
      <c r="P2472" t="s">
        <v>27</v>
      </c>
      <c r="Q2472" t="s">
        <v>17</v>
      </c>
      <c r="R2472" t="str" cm="1">
        <f t="array" ref="R2472">_xlfn.IFS(B2472&lt;31,"Young-Adult",B2472&lt;41,"Adult",B2472&lt;61,"Middle-aged",B2472&gt;=61,"Senior")</f>
        <v>Middle-aged</v>
      </c>
      <c r="S2472" cm="1">
        <f t="array" ref="S2472">_xlfn.IFS(Q2472 ="Fortnightly",14,Q2472="Weekly",7,Q2472="Monthly",30,Q2472="Quarterly",90,Q2472="Bi-Weekly",14,Q2472="Annually",365,Q2472="Every 3 Months",90,TRUE,"NOT FOUND")</f>
        <v>14</v>
      </c>
    </row>
    <row r="2473" spans="1:19" x14ac:dyDescent="0.35">
      <c r="A2473">
        <v>2472</v>
      </c>
      <c r="B2473">
        <v>30</v>
      </c>
      <c r="C2473" t="s">
        <v>7</v>
      </c>
      <c r="D2473" t="s">
        <v>29</v>
      </c>
      <c r="E2473" t="s">
        <v>30</v>
      </c>
      <c r="F2473">
        <v>83</v>
      </c>
      <c r="G2473" t="s">
        <v>89</v>
      </c>
      <c r="H2473" t="s">
        <v>32</v>
      </c>
      <c r="I2473" t="s">
        <v>12</v>
      </c>
      <c r="J2473" t="s">
        <v>25</v>
      </c>
      <c r="K2473">
        <v>4.3</v>
      </c>
      <c r="L2473" t="s">
        <v>140</v>
      </c>
      <c r="M2473" t="s">
        <v>62</v>
      </c>
      <c r="N2473" t="s">
        <v>140</v>
      </c>
      <c r="O2473">
        <v>1</v>
      </c>
      <c r="P2473" t="s">
        <v>21</v>
      </c>
      <c r="Q2473" t="s">
        <v>37</v>
      </c>
      <c r="R2473" t="str" cm="1">
        <f t="array" ref="R2473">_xlfn.IFS(B2473&lt;31,"Young-Adult",B2473&lt;41,"Adult",B2473&lt;61,"Middle-aged",B2473&gt;=61,"Senior")</f>
        <v>Young-Adult</v>
      </c>
      <c r="S2473" cm="1">
        <f t="array" ref="S2473">_xlfn.IFS(Q2473 ="Fortnightly",14,Q2473="Weekly",7,Q2473="Monthly",30,Q2473="Quarterly",90,Q2473="Bi-Weekly",14,Q2473="Annually",365,Q2473="Every 3 Months",90,TRUE,"NOT FOUND")</f>
        <v>365</v>
      </c>
    </row>
    <row r="2474" spans="1:19" x14ac:dyDescent="0.35">
      <c r="A2474">
        <v>2473</v>
      </c>
      <c r="B2474">
        <v>24</v>
      </c>
      <c r="C2474" t="s">
        <v>7</v>
      </c>
      <c r="D2474" t="s">
        <v>43</v>
      </c>
      <c r="E2474" t="s">
        <v>9</v>
      </c>
      <c r="F2474">
        <v>73</v>
      </c>
      <c r="G2474" t="s">
        <v>128</v>
      </c>
      <c r="H2474" t="s">
        <v>32</v>
      </c>
      <c r="I2474" t="s">
        <v>88</v>
      </c>
      <c r="J2474" t="s">
        <v>41</v>
      </c>
      <c r="K2474">
        <v>4.0999999999999996</v>
      </c>
      <c r="L2474" t="s">
        <v>140</v>
      </c>
      <c r="M2474" t="s">
        <v>42</v>
      </c>
      <c r="N2474" t="s">
        <v>140</v>
      </c>
      <c r="O2474">
        <v>31</v>
      </c>
      <c r="P2474" t="s">
        <v>27</v>
      </c>
      <c r="Q2474" t="s">
        <v>37</v>
      </c>
      <c r="R2474" t="str" cm="1">
        <f t="array" ref="R2474">_xlfn.IFS(B2474&lt;31,"Young-Adult",B2474&lt;41,"Adult",B2474&lt;61,"Middle-aged",B2474&gt;=61,"Senior")</f>
        <v>Young-Adult</v>
      </c>
      <c r="S2474" cm="1">
        <f t="array" ref="S2474">_xlfn.IFS(Q2474 ="Fortnightly",14,Q2474="Weekly",7,Q2474="Monthly",30,Q2474="Quarterly",90,Q2474="Bi-Weekly",14,Q2474="Annually",365,Q2474="Every 3 Months",90,TRUE,"NOT FOUND")</f>
        <v>365</v>
      </c>
    </row>
    <row r="2475" spans="1:19" x14ac:dyDescent="0.35">
      <c r="A2475">
        <v>2474</v>
      </c>
      <c r="B2475">
        <v>57</v>
      </c>
      <c r="C2475" t="s">
        <v>7</v>
      </c>
      <c r="D2475" t="s">
        <v>113</v>
      </c>
      <c r="E2475" t="s">
        <v>9</v>
      </c>
      <c r="F2475">
        <v>98</v>
      </c>
      <c r="G2475" t="s">
        <v>60</v>
      </c>
      <c r="H2475" t="s">
        <v>32</v>
      </c>
      <c r="I2475" t="s">
        <v>96</v>
      </c>
      <c r="J2475" t="s">
        <v>13</v>
      </c>
      <c r="K2475">
        <v>2.6</v>
      </c>
      <c r="L2475" t="s">
        <v>140</v>
      </c>
      <c r="M2475" t="s">
        <v>33</v>
      </c>
      <c r="N2475" t="s">
        <v>140</v>
      </c>
      <c r="O2475">
        <v>28</v>
      </c>
      <c r="P2475" t="s">
        <v>21</v>
      </c>
      <c r="Q2475" t="s">
        <v>46</v>
      </c>
      <c r="R2475" t="str" cm="1">
        <f t="array" ref="R2475">_xlfn.IFS(B2475&lt;31,"Young-Adult",B2475&lt;41,"Adult",B2475&lt;61,"Middle-aged",B2475&gt;=61,"Senior")</f>
        <v>Middle-aged</v>
      </c>
      <c r="S2475" cm="1">
        <f t="array" ref="S2475">_xlfn.IFS(Q2475 ="Fortnightly",14,Q2475="Weekly",7,Q2475="Monthly",30,Q2475="Quarterly",90,Q2475="Bi-Weekly",14,Q2475="Annually",365,Q2475="Every 3 Months",90,TRUE,"NOT FOUND")</f>
        <v>90</v>
      </c>
    </row>
    <row r="2476" spans="1:19" x14ac:dyDescent="0.35">
      <c r="A2476">
        <v>2475</v>
      </c>
      <c r="B2476">
        <v>23</v>
      </c>
      <c r="C2476" t="s">
        <v>7</v>
      </c>
      <c r="D2476" t="s">
        <v>101</v>
      </c>
      <c r="E2476" t="s">
        <v>9</v>
      </c>
      <c r="F2476">
        <v>76</v>
      </c>
      <c r="G2476" t="s">
        <v>86</v>
      </c>
      <c r="H2476" t="s">
        <v>32</v>
      </c>
      <c r="I2476" t="s">
        <v>66</v>
      </c>
      <c r="J2476" t="s">
        <v>45</v>
      </c>
      <c r="K2476">
        <v>3.2</v>
      </c>
      <c r="L2476" t="s">
        <v>140</v>
      </c>
      <c r="M2476" t="s">
        <v>62</v>
      </c>
      <c r="N2476" t="s">
        <v>140</v>
      </c>
      <c r="O2476">
        <v>19</v>
      </c>
      <c r="P2476" t="s">
        <v>63</v>
      </c>
      <c r="Q2476" t="s">
        <v>46</v>
      </c>
      <c r="R2476" t="str" cm="1">
        <f t="array" ref="R2476">_xlfn.IFS(B2476&lt;31,"Young-Adult",B2476&lt;41,"Adult",B2476&lt;61,"Middle-aged",B2476&gt;=61,"Senior")</f>
        <v>Young-Adult</v>
      </c>
      <c r="S2476" cm="1">
        <f t="array" ref="S2476">_xlfn.IFS(Q2476 ="Fortnightly",14,Q2476="Weekly",7,Q2476="Monthly",30,Q2476="Quarterly",90,Q2476="Bi-Weekly",14,Q2476="Annually",365,Q2476="Every 3 Months",90,TRUE,"NOT FOUND")</f>
        <v>90</v>
      </c>
    </row>
    <row r="2477" spans="1:19" x14ac:dyDescent="0.35">
      <c r="A2477">
        <v>2476</v>
      </c>
      <c r="B2477">
        <v>69</v>
      </c>
      <c r="C2477" t="s">
        <v>7</v>
      </c>
      <c r="D2477" t="s">
        <v>69</v>
      </c>
      <c r="E2477" t="s">
        <v>9</v>
      </c>
      <c r="F2477">
        <v>43</v>
      </c>
      <c r="G2477" t="s">
        <v>87</v>
      </c>
      <c r="H2477" t="s">
        <v>24</v>
      </c>
      <c r="I2477" t="s">
        <v>81</v>
      </c>
      <c r="J2477" t="s">
        <v>41</v>
      </c>
      <c r="K2477">
        <v>3.5</v>
      </c>
      <c r="L2477" t="s">
        <v>140</v>
      </c>
      <c r="M2477" t="s">
        <v>33</v>
      </c>
      <c r="N2477" t="s">
        <v>140</v>
      </c>
      <c r="O2477">
        <v>36</v>
      </c>
      <c r="P2477" t="s">
        <v>16</v>
      </c>
      <c r="Q2477" t="s">
        <v>76</v>
      </c>
      <c r="R2477" t="str" cm="1">
        <f t="array" ref="R2477">_xlfn.IFS(B2477&lt;31,"Young-Adult",B2477&lt;41,"Adult",B2477&lt;61,"Middle-aged",B2477&gt;=61,"Senior")</f>
        <v>Senior</v>
      </c>
      <c r="S2477" cm="1">
        <f t="array" ref="S2477">_xlfn.IFS(Q2477 ="Fortnightly",14,Q2477="Weekly",7,Q2477="Monthly",30,Q2477="Quarterly",90,Q2477="Bi-Weekly",14,Q2477="Annually",365,Q2477="Every 3 Months",90,TRUE,"NOT FOUND")</f>
        <v>30</v>
      </c>
    </row>
    <row r="2478" spans="1:19" x14ac:dyDescent="0.35">
      <c r="A2478">
        <v>2477</v>
      </c>
      <c r="B2478">
        <v>60</v>
      </c>
      <c r="C2478" t="s">
        <v>7</v>
      </c>
      <c r="D2478" t="s">
        <v>112</v>
      </c>
      <c r="E2478" t="s">
        <v>55</v>
      </c>
      <c r="F2478">
        <v>60</v>
      </c>
      <c r="G2478" t="s">
        <v>100</v>
      </c>
      <c r="H2478" t="s">
        <v>32</v>
      </c>
      <c r="I2478" t="s">
        <v>36</v>
      </c>
      <c r="J2478" t="s">
        <v>41</v>
      </c>
      <c r="K2478">
        <v>3.7</v>
      </c>
      <c r="L2478" t="s">
        <v>140</v>
      </c>
      <c r="M2478" t="s">
        <v>33</v>
      </c>
      <c r="N2478" t="s">
        <v>140</v>
      </c>
      <c r="O2478">
        <v>28</v>
      </c>
      <c r="P2478" t="s">
        <v>21</v>
      </c>
      <c r="Q2478" t="s">
        <v>76</v>
      </c>
      <c r="R2478" t="str" cm="1">
        <f t="array" ref="R2478">_xlfn.IFS(B2478&lt;31,"Young-Adult",B2478&lt;41,"Adult",B2478&lt;61,"Middle-aged",B2478&gt;=61,"Senior")</f>
        <v>Middle-aged</v>
      </c>
      <c r="S2478" cm="1">
        <f t="array" ref="S2478">_xlfn.IFS(Q2478 ="Fortnightly",14,Q2478="Weekly",7,Q2478="Monthly",30,Q2478="Quarterly",90,Q2478="Bi-Weekly",14,Q2478="Annually",365,Q2478="Every 3 Months",90,TRUE,"NOT FOUND")</f>
        <v>30</v>
      </c>
    </row>
    <row r="2479" spans="1:19" x14ac:dyDescent="0.35">
      <c r="A2479">
        <v>2478</v>
      </c>
      <c r="B2479">
        <v>25</v>
      </c>
      <c r="C2479" t="s">
        <v>7</v>
      </c>
      <c r="D2479" t="s">
        <v>131</v>
      </c>
      <c r="E2479" t="s">
        <v>55</v>
      </c>
      <c r="F2479">
        <v>40</v>
      </c>
      <c r="G2479" t="s">
        <v>87</v>
      </c>
      <c r="H2479" t="s">
        <v>11</v>
      </c>
      <c r="I2479" t="s">
        <v>36</v>
      </c>
      <c r="J2479" t="s">
        <v>25</v>
      </c>
      <c r="K2479">
        <v>3.8</v>
      </c>
      <c r="L2479" t="s">
        <v>140</v>
      </c>
      <c r="M2479" t="s">
        <v>58</v>
      </c>
      <c r="N2479" t="s">
        <v>140</v>
      </c>
      <c r="O2479">
        <v>29</v>
      </c>
      <c r="P2479" t="s">
        <v>34</v>
      </c>
      <c r="Q2479" t="s">
        <v>28</v>
      </c>
      <c r="R2479" t="str" cm="1">
        <f t="array" ref="R2479">_xlfn.IFS(B2479&lt;31,"Young-Adult",B2479&lt;41,"Adult",B2479&lt;61,"Middle-aged",B2479&gt;=61,"Senior")</f>
        <v>Young-Adult</v>
      </c>
      <c r="S2479" cm="1">
        <f t="array" ref="S2479">_xlfn.IFS(Q2479 ="Fortnightly",14,Q2479="Weekly",7,Q2479="Monthly",30,Q2479="Quarterly",90,Q2479="Bi-Weekly",14,Q2479="Annually",365,Q2479="Every 3 Months",90,TRUE,"NOT FOUND")</f>
        <v>7</v>
      </c>
    </row>
    <row r="2480" spans="1:19" x14ac:dyDescent="0.35">
      <c r="A2480">
        <v>2479</v>
      </c>
      <c r="B2480">
        <v>18</v>
      </c>
      <c r="C2480" t="s">
        <v>7</v>
      </c>
      <c r="D2480" t="s">
        <v>113</v>
      </c>
      <c r="E2480" t="s">
        <v>9</v>
      </c>
      <c r="F2480">
        <v>93</v>
      </c>
      <c r="G2480" t="s">
        <v>117</v>
      </c>
      <c r="H2480" t="s">
        <v>24</v>
      </c>
      <c r="I2480" t="s">
        <v>20</v>
      </c>
      <c r="J2480" t="s">
        <v>13</v>
      </c>
      <c r="K2480">
        <v>4.8</v>
      </c>
      <c r="L2480" t="s">
        <v>140</v>
      </c>
      <c r="M2480" t="s">
        <v>58</v>
      </c>
      <c r="N2480" t="s">
        <v>140</v>
      </c>
      <c r="O2480">
        <v>9</v>
      </c>
      <c r="P2480" t="s">
        <v>63</v>
      </c>
      <c r="Q2480" t="s">
        <v>85</v>
      </c>
      <c r="R2480" t="str" cm="1">
        <f t="array" ref="R2480">_xlfn.IFS(B2480&lt;31,"Young-Adult",B2480&lt;41,"Adult",B2480&lt;61,"Middle-aged",B2480&gt;=61,"Senior")</f>
        <v>Young-Adult</v>
      </c>
      <c r="S2480" cm="1">
        <f t="array" ref="S2480">_xlfn.IFS(Q2480 ="Fortnightly",14,Q2480="Weekly",7,Q2480="Monthly",30,Q2480="Quarterly",90,Q2480="Bi-Weekly",14,Q2480="Annually",365,Q2480="Every 3 Months",90,TRUE,"NOT FOUND")</f>
        <v>90</v>
      </c>
    </row>
    <row r="2481" spans="1:19" x14ac:dyDescent="0.35">
      <c r="A2481">
        <v>2480</v>
      </c>
      <c r="B2481">
        <v>37</v>
      </c>
      <c r="C2481" t="s">
        <v>7</v>
      </c>
      <c r="D2481" t="s">
        <v>69</v>
      </c>
      <c r="E2481" t="s">
        <v>9</v>
      </c>
      <c r="F2481">
        <v>98</v>
      </c>
      <c r="G2481" t="s">
        <v>99</v>
      </c>
      <c r="H2481" t="s">
        <v>24</v>
      </c>
      <c r="I2481" t="s">
        <v>66</v>
      </c>
      <c r="J2481" t="s">
        <v>45</v>
      </c>
      <c r="K2481">
        <v>4.2</v>
      </c>
      <c r="L2481" t="s">
        <v>140</v>
      </c>
      <c r="M2481" t="s">
        <v>42</v>
      </c>
      <c r="N2481" t="s">
        <v>140</v>
      </c>
      <c r="O2481">
        <v>26</v>
      </c>
      <c r="P2481" t="s">
        <v>27</v>
      </c>
      <c r="Q2481" t="s">
        <v>85</v>
      </c>
      <c r="R2481" t="str" cm="1">
        <f t="array" ref="R2481">_xlfn.IFS(B2481&lt;31,"Young-Adult",B2481&lt;41,"Adult",B2481&lt;61,"Middle-aged",B2481&gt;=61,"Senior")</f>
        <v>Adult</v>
      </c>
      <c r="S2481" cm="1">
        <f t="array" ref="S2481">_xlfn.IFS(Q2481 ="Fortnightly",14,Q2481="Weekly",7,Q2481="Monthly",30,Q2481="Quarterly",90,Q2481="Bi-Weekly",14,Q2481="Annually",365,Q2481="Every 3 Months",90,TRUE,"NOT FOUND")</f>
        <v>90</v>
      </c>
    </row>
    <row r="2482" spans="1:19" x14ac:dyDescent="0.35">
      <c r="A2482">
        <v>2481</v>
      </c>
      <c r="B2482">
        <v>61</v>
      </c>
      <c r="C2482" t="s">
        <v>7</v>
      </c>
      <c r="D2482" t="s">
        <v>113</v>
      </c>
      <c r="E2482" t="s">
        <v>9</v>
      </c>
      <c r="F2482">
        <v>91</v>
      </c>
      <c r="G2482" t="s">
        <v>111</v>
      </c>
      <c r="H2482" t="s">
        <v>80</v>
      </c>
      <c r="I2482" t="s">
        <v>20</v>
      </c>
      <c r="J2482" t="s">
        <v>41</v>
      </c>
      <c r="K2482">
        <v>2.9</v>
      </c>
      <c r="L2482" t="s">
        <v>140</v>
      </c>
      <c r="M2482" t="s">
        <v>33</v>
      </c>
      <c r="N2482" t="s">
        <v>140</v>
      </c>
      <c r="O2482">
        <v>7</v>
      </c>
      <c r="P2482" t="s">
        <v>27</v>
      </c>
      <c r="Q2482" t="s">
        <v>17</v>
      </c>
      <c r="R2482" t="str" cm="1">
        <f t="array" ref="R2482">_xlfn.IFS(B2482&lt;31,"Young-Adult",B2482&lt;41,"Adult",B2482&lt;61,"Middle-aged",B2482&gt;=61,"Senior")</f>
        <v>Senior</v>
      </c>
      <c r="S2482" cm="1">
        <f t="array" ref="S2482">_xlfn.IFS(Q2482 ="Fortnightly",14,Q2482="Weekly",7,Q2482="Monthly",30,Q2482="Quarterly",90,Q2482="Bi-Weekly",14,Q2482="Annually",365,Q2482="Every 3 Months",90,TRUE,"NOT FOUND")</f>
        <v>14</v>
      </c>
    </row>
    <row r="2483" spans="1:19" x14ac:dyDescent="0.35">
      <c r="A2483">
        <v>2482</v>
      </c>
      <c r="B2483">
        <v>41</v>
      </c>
      <c r="C2483" t="s">
        <v>7</v>
      </c>
      <c r="D2483" t="s">
        <v>121</v>
      </c>
      <c r="E2483" t="s">
        <v>55</v>
      </c>
      <c r="F2483">
        <v>92</v>
      </c>
      <c r="G2483" t="s">
        <v>115</v>
      </c>
      <c r="H2483" t="s">
        <v>80</v>
      </c>
      <c r="I2483" t="s">
        <v>97</v>
      </c>
      <c r="J2483" t="s">
        <v>45</v>
      </c>
      <c r="K2483">
        <v>2.9</v>
      </c>
      <c r="L2483" t="s">
        <v>140</v>
      </c>
      <c r="M2483" t="s">
        <v>26</v>
      </c>
      <c r="N2483" t="s">
        <v>140</v>
      </c>
      <c r="O2483">
        <v>35</v>
      </c>
      <c r="P2483" t="s">
        <v>74</v>
      </c>
      <c r="Q2483" t="s">
        <v>28</v>
      </c>
      <c r="R2483" t="str" cm="1">
        <f t="array" ref="R2483">_xlfn.IFS(B2483&lt;31,"Young-Adult",B2483&lt;41,"Adult",B2483&lt;61,"Middle-aged",B2483&gt;=61,"Senior")</f>
        <v>Middle-aged</v>
      </c>
      <c r="S2483" cm="1">
        <f t="array" ref="S2483">_xlfn.IFS(Q2483 ="Fortnightly",14,Q2483="Weekly",7,Q2483="Monthly",30,Q2483="Quarterly",90,Q2483="Bi-Weekly",14,Q2483="Annually",365,Q2483="Every 3 Months",90,TRUE,"NOT FOUND")</f>
        <v>7</v>
      </c>
    </row>
    <row r="2484" spans="1:19" x14ac:dyDescent="0.35">
      <c r="A2484">
        <v>2483</v>
      </c>
      <c r="B2484">
        <v>69</v>
      </c>
      <c r="C2484" t="s">
        <v>7</v>
      </c>
      <c r="D2484" t="s">
        <v>54</v>
      </c>
      <c r="E2484" t="s">
        <v>55</v>
      </c>
      <c r="F2484">
        <v>87</v>
      </c>
      <c r="G2484" t="s">
        <v>105</v>
      </c>
      <c r="H2484" t="s">
        <v>24</v>
      </c>
      <c r="I2484" t="s">
        <v>88</v>
      </c>
      <c r="J2484" t="s">
        <v>13</v>
      </c>
      <c r="K2484">
        <v>4.8</v>
      </c>
      <c r="L2484" t="s">
        <v>140</v>
      </c>
      <c r="M2484" t="s">
        <v>33</v>
      </c>
      <c r="N2484" t="s">
        <v>140</v>
      </c>
      <c r="O2484">
        <v>46</v>
      </c>
      <c r="P2484" t="s">
        <v>27</v>
      </c>
      <c r="Q2484" t="s">
        <v>85</v>
      </c>
      <c r="R2484" t="str" cm="1">
        <f t="array" ref="R2484">_xlfn.IFS(B2484&lt;31,"Young-Adult",B2484&lt;41,"Adult",B2484&lt;61,"Middle-aged",B2484&gt;=61,"Senior")</f>
        <v>Senior</v>
      </c>
      <c r="S2484" cm="1">
        <f t="array" ref="S2484">_xlfn.IFS(Q2484 ="Fortnightly",14,Q2484="Weekly",7,Q2484="Monthly",30,Q2484="Quarterly",90,Q2484="Bi-Weekly",14,Q2484="Annually",365,Q2484="Every 3 Months",90,TRUE,"NOT FOUND")</f>
        <v>90</v>
      </c>
    </row>
    <row r="2485" spans="1:19" x14ac:dyDescent="0.35">
      <c r="A2485">
        <v>2484</v>
      </c>
      <c r="B2485">
        <v>32</v>
      </c>
      <c r="C2485" t="s">
        <v>7</v>
      </c>
      <c r="D2485" t="s">
        <v>75</v>
      </c>
      <c r="E2485" t="s">
        <v>9</v>
      </c>
      <c r="F2485">
        <v>96</v>
      </c>
      <c r="G2485" t="s">
        <v>105</v>
      </c>
      <c r="H2485" t="s">
        <v>24</v>
      </c>
      <c r="I2485" t="s">
        <v>73</v>
      </c>
      <c r="J2485" t="s">
        <v>45</v>
      </c>
      <c r="K2485">
        <v>2.9</v>
      </c>
      <c r="L2485" t="s">
        <v>140</v>
      </c>
      <c r="M2485" t="s">
        <v>42</v>
      </c>
      <c r="N2485" t="s">
        <v>140</v>
      </c>
      <c r="O2485">
        <v>8</v>
      </c>
      <c r="P2485" t="s">
        <v>74</v>
      </c>
      <c r="Q2485" t="s">
        <v>76</v>
      </c>
      <c r="R2485" t="str" cm="1">
        <f t="array" ref="R2485">_xlfn.IFS(B2485&lt;31,"Young-Adult",B2485&lt;41,"Adult",B2485&lt;61,"Middle-aged",B2485&gt;=61,"Senior")</f>
        <v>Adult</v>
      </c>
      <c r="S2485" cm="1">
        <f t="array" ref="S2485">_xlfn.IFS(Q2485 ="Fortnightly",14,Q2485="Weekly",7,Q2485="Monthly",30,Q2485="Quarterly",90,Q2485="Bi-Weekly",14,Q2485="Annually",365,Q2485="Every 3 Months",90,TRUE,"NOT FOUND")</f>
        <v>30</v>
      </c>
    </row>
    <row r="2486" spans="1:19" x14ac:dyDescent="0.35">
      <c r="A2486">
        <v>2485</v>
      </c>
      <c r="B2486">
        <v>60</v>
      </c>
      <c r="C2486" t="s">
        <v>7</v>
      </c>
      <c r="D2486" t="s">
        <v>92</v>
      </c>
      <c r="E2486" t="s">
        <v>9</v>
      </c>
      <c r="F2486">
        <v>97</v>
      </c>
      <c r="G2486" t="s">
        <v>70</v>
      </c>
      <c r="H2486" t="s">
        <v>32</v>
      </c>
      <c r="I2486" t="s">
        <v>84</v>
      </c>
      <c r="J2486" t="s">
        <v>41</v>
      </c>
      <c r="K2486">
        <v>4.8</v>
      </c>
      <c r="L2486" t="s">
        <v>140</v>
      </c>
      <c r="M2486" t="s">
        <v>58</v>
      </c>
      <c r="N2486" t="s">
        <v>140</v>
      </c>
      <c r="O2486">
        <v>50</v>
      </c>
      <c r="P2486" t="s">
        <v>21</v>
      </c>
      <c r="Q2486" t="s">
        <v>85</v>
      </c>
      <c r="R2486" t="str" cm="1">
        <f t="array" ref="R2486">_xlfn.IFS(B2486&lt;31,"Young-Adult",B2486&lt;41,"Adult",B2486&lt;61,"Middle-aged",B2486&gt;=61,"Senior")</f>
        <v>Middle-aged</v>
      </c>
      <c r="S2486" cm="1">
        <f t="array" ref="S2486">_xlfn.IFS(Q2486 ="Fortnightly",14,Q2486="Weekly",7,Q2486="Monthly",30,Q2486="Quarterly",90,Q2486="Bi-Weekly",14,Q2486="Annually",365,Q2486="Every 3 Months",90,TRUE,"NOT FOUND")</f>
        <v>90</v>
      </c>
    </row>
    <row r="2487" spans="1:19" x14ac:dyDescent="0.35">
      <c r="A2487">
        <v>2486</v>
      </c>
      <c r="B2487">
        <v>43</v>
      </c>
      <c r="C2487" t="s">
        <v>7</v>
      </c>
      <c r="D2487" t="s">
        <v>8</v>
      </c>
      <c r="E2487" t="s">
        <v>9</v>
      </c>
      <c r="F2487">
        <v>55</v>
      </c>
      <c r="G2487" t="s">
        <v>48</v>
      </c>
      <c r="H2487" t="s">
        <v>32</v>
      </c>
      <c r="I2487" t="s">
        <v>106</v>
      </c>
      <c r="J2487" t="s">
        <v>25</v>
      </c>
      <c r="K2487">
        <v>4.5999999999999996</v>
      </c>
      <c r="L2487" t="s">
        <v>140</v>
      </c>
      <c r="M2487" t="s">
        <v>58</v>
      </c>
      <c r="N2487" t="s">
        <v>140</v>
      </c>
      <c r="O2487">
        <v>37</v>
      </c>
      <c r="P2487" t="s">
        <v>63</v>
      </c>
      <c r="Q2487" t="s">
        <v>37</v>
      </c>
      <c r="R2487" t="str" cm="1">
        <f t="array" ref="R2487">_xlfn.IFS(B2487&lt;31,"Young-Adult",B2487&lt;41,"Adult",B2487&lt;61,"Middle-aged",B2487&gt;=61,"Senior")</f>
        <v>Middle-aged</v>
      </c>
      <c r="S2487" cm="1">
        <f t="array" ref="S2487">_xlfn.IFS(Q2487 ="Fortnightly",14,Q2487="Weekly",7,Q2487="Monthly",30,Q2487="Quarterly",90,Q2487="Bi-Weekly",14,Q2487="Annually",365,Q2487="Every 3 Months",90,TRUE,"NOT FOUND")</f>
        <v>365</v>
      </c>
    </row>
    <row r="2488" spans="1:19" x14ac:dyDescent="0.35">
      <c r="A2488">
        <v>2487</v>
      </c>
      <c r="B2488">
        <v>61</v>
      </c>
      <c r="C2488" t="s">
        <v>7</v>
      </c>
      <c r="D2488" t="s">
        <v>22</v>
      </c>
      <c r="E2488" t="s">
        <v>9</v>
      </c>
      <c r="F2488">
        <v>58</v>
      </c>
      <c r="G2488" t="s">
        <v>93</v>
      </c>
      <c r="H2488" t="s">
        <v>11</v>
      </c>
      <c r="I2488" t="s">
        <v>124</v>
      </c>
      <c r="J2488" t="s">
        <v>25</v>
      </c>
      <c r="K2488">
        <v>4.4000000000000004</v>
      </c>
      <c r="L2488" t="s">
        <v>140</v>
      </c>
      <c r="M2488" t="s">
        <v>62</v>
      </c>
      <c r="N2488" t="s">
        <v>140</v>
      </c>
      <c r="O2488">
        <v>6</v>
      </c>
      <c r="P2488" t="s">
        <v>27</v>
      </c>
      <c r="Q2488" t="s">
        <v>17</v>
      </c>
      <c r="R2488" t="str" cm="1">
        <f t="array" ref="R2488">_xlfn.IFS(B2488&lt;31,"Young-Adult",B2488&lt;41,"Adult",B2488&lt;61,"Middle-aged",B2488&gt;=61,"Senior")</f>
        <v>Senior</v>
      </c>
      <c r="S2488" cm="1">
        <f t="array" ref="S2488">_xlfn.IFS(Q2488 ="Fortnightly",14,Q2488="Weekly",7,Q2488="Monthly",30,Q2488="Quarterly",90,Q2488="Bi-Weekly",14,Q2488="Annually",365,Q2488="Every 3 Months",90,TRUE,"NOT FOUND")</f>
        <v>14</v>
      </c>
    </row>
    <row r="2489" spans="1:19" x14ac:dyDescent="0.35">
      <c r="A2489">
        <v>2488</v>
      </c>
      <c r="B2489">
        <v>57</v>
      </c>
      <c r="C2489" t="s">
        <v>7</v>
      </c>
      <c r="D2489" t="s">
        <v>125</v>
      </c>
      <c r="E2489" t="s">
        <v>30</v>
      </c>
      <c r="F2489">
        <v>21</v>
      </c>
      <c r="G2489" t="s">
        <v>44</v>
      </c>
      <c r="H2489" t="s">
        <v>11</v>
      </c>
      <c r="I2489" t="s">
        <v>71</v>
      </c>
      <c r="J2489" t="s">
        <v>25</v>
      </c>
      <c r="K2489">
        <v>3</v>
      </c>
      <c r="L2489" t="s">
        <v>140</v>
      </c>
      <c r="M2489" t="s">
        <v>33</v>
      </c>
      <c r="N2489" t="s">
        <v>140</v>
      </c>
      <c r="O2489">
        <v>16</v>
      </c>
      <c r="P2489" t="s">
        <v>34</v>
      </c>
      <c r="Q2489" t="s">
        <v>64</v>
      </c>
      <c r="R2489" t="str" cm="1">
        <f t="array" ref="R2489">_xlfn.IFS(B2489&lt;31,"Young-Adult",B2489&lt;41,"Adult",B2489&lt;61,"Middle-aged",B2489&gt;=61,"Senior")</f>
        <v>Middle-aged</v>
      </c>
      <c r="S2489" cm="1">
        <f t="array" ref="S2489">_xlfn.IFS(Q2489 ="Fortnightly",14,Q2489="Weekly",7,Q2489="Monthly",30,Q2489="Quarterly",90,Q2489="Bi-Weekly",14,Q2489="Annually",365,Q2489="Every 3 Months",90,TRUE,"NOT FOUND")</f>
        <v>14</v>
      </c>
    </row>
    <row r="2490" spans="1:19" x14ac:dyDescent="0.35">
      <c r="A2490">
        <v>2489</v>
      </c>
      <c r="B2490">
        <v>56</v>
      </c>
      <c r="C2490" t="s">
        <v>7</v>
      </c>
      <c r="D2490" t="s">
        <v>54</v>
      </c>
      <c r="E2490" t="s">
        <v>55</v>
      </c>
      <c r="F2490">
        <v>82</v>
      </c>
      <c r="G2490" t="s">
        <v>70</v>
      </c>
      <c r="H2490" t="s">
        <v>80</v>
      </c>
      <c r="I2490" t="s">
        <v>49</v>
      </c>
      <c r="J2490" t="s">
        <v>41</v>
      </c>
      <c r="K2490">
        <v>4.4000000000000004</v>
      </c>
      <c r="L2490" t="s">
        <v>140</v>
      </c>
      <c r="M2490" t="s">
        <v>15</v>
      </c>
      <c r="N2490" t="s">
        <v>140</v>
      </c>
      <c r="O2490">
        <v>30</v>
      </c>
      <c r="P2490" t="s">
        <v>34</v>
      </c>
      <c r="Q2490" t="s">
        <v>76</v>
      </c>
      <c r="R2490" t="str" cm="1">
        <f t="array" ref="R2490">_xlfn.IFS(B2490&lt;31,"Young-Adult",B2490&lt;41,"Adult",B2490&lt;61,"Middle-aged",B2490&gt;=61,"Senior")</f>
        <v>Middle-aged</v>
      </c>
      <c r="S2490" cm="1">
        <f t="array" ref="S2490">_xlfn.IFS(Q2490 ="Fortnightly",14,Q2490="Weekly",7,Q2490="Monthly",30,Q2490="Quarterly",90,Q2490="Bi-Weekly",14,Q2490="Annually",365,Q2490="Every 3 Months",90,TRUE,"NOT FOUND")</f>
        <v>30</v>
      </c>
    </row>
    <row r="2491" spans="1:19" x14ac:dyDescent="0.35">
      <c r="A2491">
        <v>2490</v>
      </c>
      <c r="B2491">
        <v>66</v>
      </c>
      <c r="C2491" t="s">
        <v>7</v>
      </c>
      <c r="D2491" t="s">
        <v>50</v>
      </c>
      <c r="E2491" t="s">
        <v>51</v>
      </c>
      <c r="F2491">
        <v>34</v>
      </c>
      <c r="G2491" t="s">
        <v>135</v>
      </c>
      <c r="H2491" t="s">
        <v>32</v>
      </c>
      <c r="I2491" t="s">
        <v>84</v>
      </c>
      <c r="J2491" t="s">
        <v>13</v>
      </c>
      <c r="K2491">
        <v>3.9</v>
      </c>
      <c r="L2491" t="s">
        <v>140</v>
      </c>
      <c r="M2491" t="s">
        <v>15</v>
      </c>
      <c r="N2491" t="s">
        <v>140</v>
      </c>
      <c r="O2491">
        <v>50</v>
      </c>
      <c r="P2491" t="s">
        <v>16</v>
      </c>
      <c r="Q2491" t="s">
        <v>46</v>
      </c>
      <c r="R2491" t="str" cm="1">
        <f t="array" ref="R2491">_xlfn.IFS(B2491&lt;31,"Young-Adult",B2491&lt;41,"Adult",B2491&lt;61,"Middle-aged",B2491&gt;=61,"Senior")</f>
        <v>Senior</v>
      </c>
      <c r="S2491" cm="1">
        <f t="array" ref="S2491">_xlfn.IFS(Q2491 ="Fortnightly",14,Q2491="Weekly",7,Q2491="Monthly",30,Q2491="Quarterly",90,Q2491="Bi-Weekly",14,Q2491="Annually",365,Q2491="Every 3 Months",90,TRUE,"NOT FOUND")</f>
        <v>90</v>
      </c>
    </row>
    <row r="2492" spans="1:19" x14ac:dyDescent="0.35">
      <c r="A2492">
        <v>2491</v>
      </c>
      <c r="B2492">
        <v>52</v>
      </c>
      <c r="C2492" t="s">
        <v>7</v>
      </c>
      <c r="D2492" t="s">
        <v>8</v>
      </c>
      <c r="E2492" t="s">
        <v>9</v>
      </c>
      <c r="F2492">
        <v>78</v>
      </c>
      <c r="G2492" t="s">
        <v>44</v>
      </c>
      <c r="H2492" t="s">
        <v>32</v>
      </c>
      <c r="I2492" t="s">
        <v>12</v>
      </c>
      <c r="J2492" t="s">
        <v>25</v>
      </c>
      <c r="K2492">
        <v>4</v>
      </c>
      <c r="L2492" t="s">
        <v>140</v>
      </c>
      <c r="M2492" t="s">
        <v>26</v>
      </c>
      <c r="N2492" t="s">
        <v>140</v>
      </c>
      <c r="O2492">
        <v>5</v>
      </c>
      <c r="P2492" t="s">
        <v>21</v>
      </c>
      <c r="Q2492" t="s">
        <v>85</v>
      </c>
      <c r="R2492" t="str" cm="1">
        <f t="array" ref="R2492">_xlfn.IFS(B2492&lt;31,"Young-Adult",B2492&lt;41,"Adult",B2492&lt;61,"Middle-aged",B2492&gt;=61,"Senior")</f>
        <v>Middle-aged</v>
      </c>
      <c r="S2492" cm="1">
        <f t="array" ref="S2492">_xlfn.IFS(Q2492 ="Fortnightly",14,Q2492="Weekly",7,Q2492="Monthly",30,Q2492="Quarterly",90,Q2492="Bi-Weekly",14,Q2492="Annually",365,Q2492="Every 3 Months",90,TRUE,"NOT FOUND")</f>
        <v>90</v>
      </c>
    </row>
    <row r="2493" spans="1:19" x14ac:dyDescent="0.35">
      <c r="A2493">
        <v>2492</v>
      </c>
      <c r="B2493">
        <v>63</v>
      </c>
      <c r="C2493" t="s">
        <v>7</v>
      </c>
      <c r="D2493" t="s">
        <v>54</v>
      </c>
      <c r="E2493" t="s">
        <v>55</v>
      </c>
      <c r="F2493">
        <v>47</v>
      </c>
      <c r="G2493" t="s">
        <v>86</v>
      </c>
      <c r="H2493" t="s">
        <v>32</v>
      </c>
      <c r="I2493" t="s">
        <v>124</v>
      </c>
      <c r="J2493" t="s">
        <v>25</v>
      </c>
      <c r="K2493">
        <v>2.5</v>
      </c>
      <c r="L2493" t="s">
        <v>140</v>
      </c>
      <c r="M2493" t="s">
        <v>15</v>
      </c>
      <c r="N2493" t="s">
        <v>140</v>
      </c>
      <c r="O2493">
        <v>15</v>
      </c>
      <c r="P2493" t="s">
        <v>63</v>
      </c>
      <c r="Q2493" t="s">
        <v>76</v>
      </c>
      <c r="R2493" t="str" cm="1">
        <f t="array" ref="R2493">_xlfn.IFS(B2493&lt;31,"Young-Adult",B2493&lt;41,"Adult",B2493&lt;61,"Middle-aged",B2493&gt;=61,"Senior")</f>
        <v>Senior</v>
      </c>
      <c r="S2493" cm="1">
        <f t="array" ref="S2493">_xlfn.IFS(Q2493 ="Fortnightly",14,Q2493="Weekly",7,Q2493="Monthly",30,Q2493="Quarterly",90,Q2493="Bi-Weekly",14,Q2493="Annually",365,Q2493="Every 3 Months",90,TRUE,"NOT FOUND")</f>
        <v>30</v>
      </c>
    </row>
    <row r="2494" spans="1:19" x14ac:dyDescent="0.35">
      <c r="A2494">
        <v>2493</v>
      </c>
      <c r="B2494">
        <v>50</v>
      </c>
      <c r="C2494" t="s">
        <v>7</v>
      </c>
      <c r="D2494" t="s">
        <v>77</v>
      </c>
      <c r="E2494" t="s">
        <v>55</v>
      </c>
      <c r="F2494">
        <v>96</v>
      </c>
      <c r="G2494" t="s">
        <v>135</v>
      </c>
      <c r="H2494" t="s">
        <v>24</v>
      </c>
      <c r="I2494" t="s">
        <v>53</v>
      </c>
      <c r="J2494" t="s">
        <v>41</v>
      </c>
      <c r="K2494">
        <v>4.0999999999999996</v>
      </c>
      <c r="L2494" t="s">
        <v>140</v>
      </c>
      <c r="M2494" t="s">
        <v>33</v>
      </c>
      <c r="N2494" t="s">
        <v>140</v>
      </c>
      <c r="O2494">
        <v>34</v>
      </c>
      <c r="P2494" t="s">
        <v>63</v>
      </c>
      <c r="Q2494" t="s">
        <v>64</v>
      </c>
      <c r="R2494" t="str" cm="1">
        <f t="array" ref="R2494">_xlfn.IFS(B2494&lt;31,"Young-Adult",B2494&lt;41,"Adult",B2494&lt;61,"Middle-aged",B2494&gt;=61,"Senior")</f>
        <v>Middle-aged</v>
      </c>
      <c r="S2494" cm="1">
        <f t="array" ref="S2494">_xlfn.IFS(Q2494 ="Fortnightly",14,Q2494="Weekly",7,Q2494="Monthly",30,Q2494="Quarterly",90,Q2494="Bi-Weekly",14,Q2494="Annually",365,Q2494="Every 3 Months",90,TRUE,"NOT FOUND")</f>
        <v>14</v>
      </c>
    </row>
    <row r="2495" spans="1:19" x14ac:dyDescent="0.35">
      <c r="A2495">
        <v>2494</v>
      </c>
      <c r="B2495">
        <v>21</v>
      </c>
      <c r="C2495" t="s">
        <v>7</v>
      </c>
      <c r="D2495" t="s">
        <v>113</v>
      </c>
      <c r="E2495" t="s">
        <v>9</v>
      </c>
      <c r="F2495">
        <v>23</v>
      </c>
      <c r="G2495" t="s">
        <v>19</v>
      </c>
      <c r="H2495" t="s">
        <v>24</v>
      </c>
      <c r="I2495" t="s">
        <v>106</v>
      </c>
      <c r="J2495" t="s">
        <v>45</v>
      </c>
      <c r="K2495">
        <v>4.8</v>
      </c>
      <c r="L2495" t="s">
        <v>140</v>
      </c>
      <c r="M2495" t="s">
        <v>58</v>
      </c>
      <c r="N2495" t="s">
        <v>140</v>
      </c>
      <c r="O2495">
        <v>6</v>
      </c>
      <c r="P2495" t="s">
        <v>16</v>
      </c>
      <c r="Q2495" t="s">
        <v>85</v>
      </c>
      <c r="R2495" t="str" cm="1">
        <f t="array" ref="R2495">_xlfn.IFS(B2495&lt;31,"Young-Adult",B2495&lt;41,"Adult",B2495&lt;61,"Middle-aged",B2495&gt;=61,"Senior")</f>
        <v>Young-Adult</v>
      </c>
      <c r="S2495" cm="1">
        <f t="array" ref="S2495">_xlfn.IFS(Q2495 ="Fortnightly",14,Q2495="Weekly",7,Q2495="Monthly",30,Q2495="Quarterly",90,Q2495="Bi-Weekly",14,Q2495="Annually",365,Q2495="Every 3 Months",90,TRUE,"NOT FOUND")</f>
        <v>90</v>
      </c>
    </row>
    <row r="2496" spans="1:19" x14ac:dyDescent="0.35">
      <c r="A2496">
        <v>2495</v>
      </c>
      <c r="B2496">
        <v>42</v>
      </c>
      <c r="C2496" t="s">
        <v>7</v>
      </c>
      <c r="D2496" t="s">
        <v>59</v>
      </c>
      <c r="E2496" t="s">
        <v>30</v>
      </c>
      <c r="F2496">
        <v>27</v>
      </c>
      <c r="G2496" t="s">
        <v>89</v>
      </c>
      <c r="H2496" t="s">
        <v>24</v>
      </c>
      <c r="I2496" t="s">
        <v>88</v>
      </c>
      <c r="J2496" t="s">
        <v>13</v>
      </c>
      <c r="K2496">
        <v>2.6</v>
      </c>
      <c r="L2496" t="s">
        <v>140</v>
      </c>
      <c r="M2496" t="s">
        <v>62</v>
      </c>
      <c r="N2496" t="s">
        <v>140</v>
      </c>
      <c r="O2496">
        <v>26</v>
      </c>
      <c r="P2496" t="s">
        <v>74</v>
      </c>
      <c r="Q2496" t="s">
        <v>37</v>
      </c>
      <c r="R2496" t="str" cm="1">
        <f t="array" ref="R2496">_xlfn.IFS(B2496&lt;31,"Young-Adult",B2496&lt;41,"Adult",B2496&lt;61,"Middle-aged",B2496&gt;=61,"Senior")</f>
        <v>Middle-aged</v>
      </c>
      <c r="S2496" cm="1">
        <f t="array" ref="S2496">_xlfn.IFS(Q2496 ="Fortnightly",14,Q2496="Weekly",7,Q2496="Monthly",30,Q2496="Quarterly",90,Q2496="Bi-Weekly",14,Q2496="Annually",365,Q2496="Every 3 Months",90,TRUE,"NOT FOUND")</f>
        <v>365</v>
      </c>
    </row>
    <row r="2497" spans="1:19" x14ac:dyDescent="0.35">
      <c r="A2497">
        <v>2496</v>
      </c>
      <c r="B2497">
        <v>40</v>
      </c>
      <c r="C2497" t="s">
        <v>7</v>
      </c>
      <c r="D2497" t="s">
        <v>120</v>
      </c>
      <c r="E2497" t="s">
        <v>55</v>
      </c>
      <c r="F2497">
        <v>37</v>
      </c>
      <c r="G2497" t="s">
        <v>133</v>
      </c>
      <c r="H2497" t="s">
        <v>80</v>
      </c>
      <c r="I2497" t="s">
        <v>109</v>
      </c>
      <c r="J2497" t="s">
        <v>25</v>
      </c>
      <c r="K2497">
        <v>3.1</v>
      </c>
      <c r="L2497" t="s">
        <v>140</v>
      </c>
      <c r="M2497" t="s">
        <v>26</v>
      </c>
      <c r="N2497" t="s">
        <v>140</v>
      </c>
      <c r="O2497">
        <v>34</v>
      </c>
      <c r="P2497" t="s">
        <v>27</v>
      </c>
      <c r="Q2497" t="s">
        <v>85</v>
      </c>
      <c r="R2497" t="str" cm="1">
        <f t="array" ref="R2497">_xlfn.IFS(B2497&lt;31,"Young-Adult",B2497&lt;41,"Adult",B2497&lt;61,"Middle-aged",B2497&gt;=61,"Senior")</f>
        <v>Adult</v>
      </c>
      <c r="S2497" cm="1">
        <f t="array" ref="S2497">_xlfn.IFS(Q2497 ="Fortnightly",14,Q2497="Weekly",7,Q2497="Monthly",30,Q2497="Quarterly",90,Q2497="Bi-Weekly",14,Q2497="Annually",365,Q2497="Every 3 Months",90,TRUE,"NOT FOUND")</f>
        <v>90</v>
      </c>
    </row>
    <row r="2498" spans="1:19" x14ac:dyDescent="0.35">
      <c r="A2498">
        <v>2497</v>
      </c>
      <c r="B2498">
        <v>67</v>
      </c>
      <c r="C2498" t="s">
        <v>7</v>
      </c>
      <c r="D2498" t="s">
        <v>107</v>
      </c>
      <c r="E2498" t="s">
        <v>55</v>
      </c>
      <c r="F2498">
        <v>79</v>
      </c>
      <c r="G2498" t="s">
        <v>103</v>
      </c>
      <c r="H2498" t="s">
        <v>24</v>
      </c>
      <c r="I2498" t="s">
        <v>122</v>
      </c>
      <c r="J2498" t="s">
        <v>41</v>
      </c>
      <c r="K2498">
        <v>3.2</v>
      </c>
      <c r="L2498" t="s">
        <v>140</v>
      </c>
      <c r="M2498" t="s">
        <v>62</v>
      </c>
      <c r="N2498" t="s">
        <v>140</v>
      </c>
      <c r="O2498">
        <v>37</v>
      </c>
      <c r="P2498" t="s">
        <v>27</v>
      </c>
      <c r="Q2498" t="s">
        <v>28</v>
      </c>
      <c r="R2498" t="str" cm="1">
        <f t="array" ref="R2498">_xlfn.IFS(B2498&lt;31,"Young-Adult",B2498&lt;41,"Adult",B2498&lt;61,"Middle-aged",B2498&gt;=61,"Senior")</f>
        <v>Senior</v>
      </c>
      <c r="S2498" cm="1">
        <f t="array" ref="S2498">_xlfn.IFS(Q2498 ="Fortnightly",14,Q2498="Weekly",7,Q2498="Monthly",30,Q2498="Quarterly",90,Q2498="Bi-Weekly",14,Q2498="Annually",365,Q2498="Every 3 Months",90,TRUE,"NOT FOUND")</f>
        <v>7</v>
      </c>
    </row>
    <row r="2499" spans="1:19" x14ac:dyDescent="0.35">
      <c r="A2499">
        <v>2498</v>
      </c>
      <c r="B2499">
        <v>35</v>
      </c>
      <c r="C2499" t="s">
        <v>7</v>
      </c>
      <c r="D2499" t="s">
        <v>120</v>
      </c>
      <c r="E2499" t="s">
        <v>55</v>
      </c>
      <c r="F2499">
        <v>40</v>
      </c>
      <c r="G2499" t="s">
        <v>100</v>
      </c>
      <c r="H2499" t="s">
        <v>32</v>
      </c>
      <c r="I2499" t="s">
        <v>71</v>
      </c>
      <c r="J2499" t="s">
        <v>41</v>
      </c>
      <c r="K2499">
        <v>4.2</v>
      </c>
      <c r="L2499" t="s">
        <v>140</v>
      </c>
      <c r="M2499" t="s">
        <v>42</v>
      </c>
      <c r="N2499" t="s">
        <v>140</v>
      </c>
      <c r="O2499">
        <v>28</v>
      </c>
      <c r="P2499" t="s">
        <v>63</v>
      </c>
      <c r="Q2499" t="s">
        <v>37</v>
      </c>
      <c r="R2499" t="str" cm="1">
        <f t="array" ref="R2499">_xlfn.IFS(B2499&lt;31,"Young-Adult",B2499&lt;41,"Adult",B2499&lt;61,"Middle-aged",B2499&gt;=61,"Senior")</f>
        <v>Adult</v>
      </c>
      <c r="S2499" cm="1">
        <f t="array" ref="S2499">_xlfn.IFS(Q2499 ="Fortnightly",14,Q2499="Weekly",7,Q2499="Monthly",30,Q2499="Quarterly",90,Q2499="Bi-Weekly",14,Q2499="Annually",365,Q2499="Every 3 Months",90,TRUE,"NOT FOUND")</f>
        <v>365</v>
      </c>
    </row>
    <row r="2500" spans="1:19" x14ac:dyDescent="0.35">
      <c r="A2500">
        <v>2499</v>
      </c>
      <c r="B2500">
        <v>18</v>
      </c>
      <c r="C2500" t="s">
        <v>7</v>
      </c>
      <c r="D2500" t="s">
        <v>50</v>
      </c>
      <c r="E2500" t="s">
        <v>51</v>
      </c>
      <c r="F2500">
        <v>39</v>
      </c>
      <c r="G2500" t="s">
        <v>23</v>
      </c>
      <c r="H2500" t="s">
        <v>24</v>
      </c>
      <c r="I2500" t="s">
        <v>84</v>
      </c>
      <c r="J2500" t="s">
        <v>45</v>
      </c>
      <c r="K2500">
        <v>2.6</v>
      </c>
      <c r="L2500" t="s">
        <v>140</v>
      </c>
      <c r="M2500" t="s">
        <v>33</v>
      </c>
      <c r="N2500" t="s">
        <v>140</v>
      </c>
      <c r="O2500">
        <v>38</v>
      </c>
      <c r="P2500" t="s">
        <v>21</v>
      </c>
      <c r="Q2500" t="s">
        <v>17</v>
      </c>
      <c r="R2500" t="str" cm="1">
        <f t="array" ref="R2500">_xlfn.IFS(B2500&lt;31,"Young-Adult",B2500&lt;41,"Adult",B2500&lt;61,"Middle-aged",B2500&gt;=61,"Senior")</f>
        <v>Young-Adult</v>
      </c>
      <c r="S2500" cm="1">
        <f t="array" ref="S2500">_xlfn.IFS(Q2500 ="Fortnightly",14,Q2500="Weekly",7,Q2500="Monthly",30,Q2500="Quarterly",90,Q2500="Bi-Weekly",14,Q2500="Annually",365,Q2500="Every 3 Months",90,TRUE,"NOT FOUND")</f>
        <v>14</v>
      </c>
    </row>
    <row r="2501" spans="1:19" x14ac:dyDescent="0.35">
      <c r="A2501">
        <v>2500</v>
      </c>
      <c r="B2501">
        <v>52</v>
      </c>
      <c r="C2501" t="s">
        <v>7</v>
      </c>
      <c r="D2501" t="s">
        <v>92</v>
      </c>
      <c r="E2501" t="s">
        <v>9</v>
      </c>
      <c r="F2501">
        <v>73</v>
      </c>
      <c r="G2501" t="s">
        <v>48</v>
      </c>
      <c r="H2501" t="s">
        <v>11</v>
      </c>
      <c r="I2501" t="s">
        <v>57</v>
      </c>
      <c r="J2501" t="s">
        <v>41</v>
      </c>
      <c r="K2501">
        <v>3.1</v>
      </c>
      <c r="L2501" t="s">
        <v>140</v>
      </c>
      <c r="M2501" t="s">
        <v>33</v>
      </c>
      <c r="N2501" t="s">
        <v>140</v>
      </c>
      <c r="O2501">
        <v>2</v>
      </c>
      <c r="P2501" t="s">
        <v>21</v>
      </c>
      <c r="Q2501" t="s">
        <v>46</v>
      </c>
      <c r="R2501" t="str" cm="1">
        <f t="array" ref="R2501">_xlfn.IFS(B2501&lt;31,"Young-Adult",B2501&lt;41,"Adult",B2501&lt;61,"Middle-aged",B2501&gt;=61,"Senior")</f>
        <v>Middle-aged</v>
      </c>
      <c r="S2501" cm="1">
        <f t="array" ref="S2501">_xlfn.IFS(Q2501 ="Fortnightly",14,Q2501="Weekly",7,Q2501="Monthly",30,Q2501="Quarterly",90,Q2501="Bi-Weekly",14,Q2501="Annually",365,Q2501="Every 3 Months",90,TRUE,"NOT FOUND")</f>
        <v>90</v>
      </c>
    </row>
    <row r="2502" spans="1:19" x14ac:dyDescent="0.35">
      <c r="A2502">
        <v>2501</v>
      </c>
      <c r="B2502">
        <v>59</v>
      </c>
      <c r="C2502" t="s">
        <v>7</v>
      </c>
      <c r="D2502" t="s">
        <v>131</v>
      </c>
      <c r="E2502" t="s">
        <v>55</v>
      </c>
      <c r="F2502">
        <v>84</v>
      </c>
      <c r="G2502" t="s">
        <v>23</v>
      </c>
      <c r="H2502" t="s">
        <v>32</v>
      </c>
      <c r="I2502" t="s">
        <v>71</v>
      </c>
      <c r="J2502" t="s">
        <v>45</v>
      </c>
      <c r="K2502">
        <v>2.9</v>
      </c>
      <c r="L2502" t="s">
        <v>140</v>
      </c>
      <c r="M2502" t="s">
        <v>62</v>
      </c>
      <c r="N2502" t="s">
        <v>140</v>
      </c>
      <c r="O2502">
        <v>32</v>
      </c>
      <c r="P2502" t="s">
        <v>21</v>
      </c>
      <c r="Q2502" t="s">
        <v>64</v>
      </c>
      <c r="R2502" t="str" cm="1">
        <f t="array" ref="R2502">_xlfn.IFS(B2502&lt;31,"Young-Adult",B2502&lt;41,"Adult",B2502&lt;61,"Middle-aged",B2502&gt;=61,"Senior")</f>
        <v>Middle-aged</v>
      </c>
      <c r="S2502" cm="1">
        <f t="array" ref="S2502">_xlfn.IFS(Q2502 ="Fortnightly",14,Q2502="Weekly",7,Q2502="Monthly",30,Q2502="Quarterly",90,Q2502="Bi-Weekly",14,Q2502="Annually",365,Q2502="Every 3 Months",90,TRUE,"NOT FOUND")</f>
        <v>14</v>
      </c>
    </row>
    <row r="2503" spans="1:19" x14ac:dyDescent="0.35">
      <c r="A2503">
        <v>2502</v>
      </c>
      <c r="B2503">
        <v>49</v>
      </c>
      <c r="C2503" t="s">
        <v>7</v>
      </c>
      <c r="D2503" t="s">
        <v>47</v>
      </c>
      <c r="E2503" t="s">
        <v>9</v>
      </c>
      <c r="F2503">
        <v>94</v>
      </c>
      <c r="G2503" t="s">
        <v>52</v>
      </c>
      <c r="H2503" t="s">
        <v>32</v>
      </c>
      <c r="I2503" t="s">
        <v>71</v>
      </c>
      <c r="J2503" t="s">
        <v>45</v>
      </c>
      <c r="K2503">
        <v>4.5999999999999996</v>
      </c>
      <c r="L2503" t="s">
        <v>140</v>
      </c>
      <c r="M2503" t="s">
        <v>26</v>
      </c>
      <c r="N2503" t="s">
        <v>140</v>
      </c>
      <c r="O2503">
        <v>30</v>
      </c>
      <c r="P2503" t="s">
        <v>16</v>
      </c>
      <c r="Q2503" t="s">
        <v>64</v>
      </c>
      <c r="R2503" t="str" cm="1">
        <f t="array" ref="R2503">_xlfn.IFS(B2503&lt;31,"Young-Adult",B2503&lt;41,"Adult",B2503&lt;61,"Middle-aged",B2503&gt;=61,"Senior")</f>
        <v>Middle-aged</v>
      </c>
      <c r="S2503" cm="1">
        <f t="array" ref="S2503">_xlfn.IFS(Q2503 ="Fortnightly",14,Q2503="Weekly",7,Q2503="Monthly",30,Q2503="Quarterly",90,Q2503="Bi-Weekly",14,Q2503="Annually",365,Q2503="Every 3 Months",90,TRUE,"NOT FOUND")</f>
        <v>14</v>
      </c>
    </row>
    <row r="2504" spans="1:19" x14ac:dyDescent="0.35">
      <c r="A2504">
        <v>2503</v>
      </c>
      <c r="B2504">
        <v>46</v>
      </c>
      <c r="C2504" t="s">
        <v>7</v>
      </c>
      <c r="D2504" t="s">
        <v>75</v>
      </c>
      <c r="E2504" t="s">
        <v>9</v>
      </c>
      <c r="F2504">
        <v>47</v>
      </c>
      <c r="G2504" t="s">
        <v>123</v>
      </c>
      <c r="H2504" t="s">
        <v>11</v>
      </c>
      <c r="I2504" t="s">
        <v>57</v>
      </c>
      <c r="J2504" t="s">
        <v>25</v>
      </c>
      <c r="K2504">
        <v>4.0999999999999996</v>
      </c>
      <c r="L2504" t="s">
        <v>140</v>
      </c>
      <c r="M2504" t="s">
        <v>42</v>
      </c>
      <c r="N2504" t="s">
        <v>140</v>
      </c>
      <c r="O2504">
        <v>17</v>
      </c>
      <c r="P2504" t="s">
        <v>34</v>
      </c>
      <c r="Q2504" t="s">
        <v>85</v>
      </c>
      <c r="R2504" t="str" cm="1">
        <f t="array" ref="R2504">_xlfn.IFS(B2504&lt;31,"Young-Adult",B2504&lt;41,"Adult",B2504&lt;61,"Middle-aged",B2504&gt;=61,"Senior")</f>
        <v>Middle-aged</v>
      </c>
      <c r="S2504" cm="1">
        <f t="array" ref="S2504">_xlfn.IFS(Q2504 ="Fortnightly",14,Q2504="Weekly",7,Q2504="Monthly",30,Q2504="Quarterly",90,Q2504="Bi-Weekly",14,Q2504="Annually",365,Q2504="Every 3 Months",90,TRUE,"NOT FOUND")</f>
        <v>90</v>
      </c>
    </row>
    <row r="2505" spans="1:19" x14ac:dyDescent="0.35">
      <c r="A2505">
        <v>2504</v>
      </c>
      <c r="B2505">
        <v>69</v>
      </c>
      <c r="C2505" t="s">
        <v>7</v>
      </c>
      <c r="D2505" t="s">
        <v>125</v>
      </c>
      <c r="E2505" t="s">
        <v>30</v>
      </c>
      <c r="F2505">
        <v>77</v>
      </c>
      <c r="G2505" t="s">
        <v>111</v>
      </c>
      <c r="H2505" t="s">
        <v>32</v>
      </c>
      <c r="I2505" t="s">
        <v>71</v>
      </c>
      <c r="J2505" t="s">
        <v>41</v>
      </c>
      <c r="K2505">
        <v>2.5</v>
      </c>
      <c r="L2505" t="s">
        <v>140</v>
      </c>
      <c r="M2505" t="s">
        <v>62</v>
      </c>
      <c r="N2505" t="s">
        <v>140</v>
      </c>
      <c r="O2505">
        <v>5</v>
      </c>
      <c r="P2505" t="s">
        <v>74</v>
      </c>
      <c r="Q2505" t="s">
        <v>64</v>
      </c>
      <c r="R2505" t="str" cm="1">
        <f t="array" ref="R2505">_xlfn.IFS(B2505&lt;31,"Young-Adult",B2505&lt;41,"Adult",B2505&lt;61,"Middle-aged",B2505&gt;=61,"Senior")</f>
        <v>Senior</v>
      </c>
      <c r="S2505" cm="1">
        <f t="array" ref="S2505">_xlfn.IFS(Q2505 ="Fortnightly",14,Q2505="Weekly",7,Q2505="Monthly",30,Q2505="Quarterly",90,Q2505="Bi-Weekly",14,Q2505="Annually",365,Q2505="Every 3 Months",90,TRUE,"NOT FOUND")</f>
        <v>14</v>
      </c>
    </row>
    <row r="2506" spans="1:19" x14ac:dyDescent="0.35">
      <c r="A2506">
        <v>2505</v>
      </c>
      <c r="B2506">
        <v>56</v>
      </c>
      <c r="C2506" t="s">
        <v>7</v>
      </c>
      <c r="D2506" t="s">
        <v>47</v>
      </c>
      <c r="E2506" t="s">
        <v>9</v>
      </c>
      <c r="F2506">
        <v>94</v>
      </c>
      <c r="G2506" t="s">
        <v>31</v>
      </c>
      <c r="H2506" t="s">
        <v>32</v>
      </c>
      <c r="I2506" t="s">
        <v>36</v>
      </c>
      <c r="J2506" t="s">
        <v>13</v>
      </c>
      <c r="K2506">
        <v>4</v>
      </c>
      <c r="L2506" t="s">
        <v>140</v>
      </c>
      <c r="M2506" t="s">
        <v>62</v>
      </c>
      <c r="N2506" t="s">
        <v>140</v>
      </c>
      <c r="O2506">
        <v>31</v>
      </c>
      <c r="P2506" t="s">
        <v>21</v>
      </c>
      <c r="Q2506" t="s">
        <v>64</v>
      </c>
      <c r="R2506" t="str" cm="1">
        <f t="array" ref="R2506">_xlfn.IFS(B2506&lt;31,"Young-Adult",B2506&lt;41,"Adult",B2506&lt;61,"Middle-aged",B2506&gt;=61,"Senior")</f>
        <v>Middle-aged</v>
      </c>
      <c r="S2506" cm="1">
        <f t="array" ref="S2506">_xlfn.IFS(Q2506 ="Fortnightly",14,Q2506="Weekly",7,Q2506="Monthly",30,Q2506="Quarterly",90,Q2506="Bi-Weekly",14,Q2506="Annually",365,Q2506="Every 3 Months",90,TRUE,"NOT FOUND")</f>
        <v>14</v>
      </c>
    </row>
    <row r="2507" spans="1:19" x14ac:dyDescent="0.35">
      <c r="A2507">
        <v>2506</v>
      </c>
      <c r="B2507">
        <v>27</v>
      </c>
      <c r="C2507" t="s">
        <v>7</v>
      </c>
      <c r="D2507" t="s">
        <v>54</v>
      </c>
      <c r="E2507" t="s">
        <v>55</v>
      </c>
      <c r="F2507">
        <v>75</v>
      </c>
      <c r="G2507" t="s">
        <v>103</v>
      </c>
      <c r="H2507" t="s">
        <v>32</v>
      </c>
      <c r="I2507" t="s">
        <v>97</v>
      </c>
      <c r="J2507" t="s">
        <v>41</v>
      </c>
      <c r="K2507">
        <v>3.5</v>
      </c>
      <c r="L2507" t="s">
        <v>140</v>
      </c>
      <c r="M2507" t="s">
        <v>15</v>
      </c>
      <c r="N2507" t="s">
        <v>140</v>
      </c>
      <c r="O2507">
        <v>43</v>
      </c>
      <c r="P2507" t="s">
        <v>34</v>
      </c>
      <c r="Q2507" t="s">
        <v>46</v>
      </c>
      <c r="R2507" t="str" cm="1">
        <f t="array" ref="R2507">_xlfn.IFS(B2507&lt;31,"Young-Adult",B2507&lt;41,"Adult",B2507&lt;61,"Middle-aged",B2507&gt;=61,"Senior")</f>
        <v>Young-Adult</v>
      </c>
      <c r="S2507" cm="1">
        <f t="array" ref="S2507">_xlfn.IFS(Q2507 ="Fortnightly",14,Q2507="Weekly",7,Q2507="Monthly",30,Q2507="Quarterly",90,Q2507="Bi-Weekly",14,Q2507="Annually",365,Q2507="Every 3 Months",90,TRUE,"NOT FOUND")</f>
        <v>90</v>
      </c>
    </row>
    <row r="2508" spans="1:19" x14ac:dyDescent="0.35">
      <c r="A2508">
        <v>2507</v>
      </c>
      <c r="B2508">
        <v>57</v>
      </c>
      <c r="C2508" t="s">
        <v>7</v>
      </c>
      <c r="D2508" t="s">
        <v>69</v>
      </c>
      <c r="E2508" t="s">
        <v>9</v>
      </c>
      <c r="F2508">
        <v>82</v>
      </c>
      <c r="G2508" t="s">
        <v>72</v>
      </c>
      <c r="H2508" t="s">
        <v>80</v>
      </c>
      <c r="I2508" t="s">
        <v>109</v>
      </c>
      <c r="J2508" t="s">
        <v>25</v>
      </c>
      <c r="K2508">
        <v>4.4000000000000004</v>
      </c>
      <c r="L2508" t="s">
        <v>140</v>
      </c>
      <c r="M2508" t="s">
        <v>26</v>
      </c>
      <c r="N2508" t="s">
        <v>140</v>
      </c>
      <c r="O2508">
        <v>19</v>
      </c>
      <c r="P2508" t="s">
        <v>16</v>
      </c>
      <c r="Q2508" t="s">
        <v>37</v>
      </c>
      <c r="R2508" t="str" cm="1">
        <f t="array" ref="R2508">_xlfn.IFS(B2508&lt;31,"Young-Adult",B2508&lt;41,"Adult",B2508&lt;61,"Middle-aged",B2508&gt;=61,"Senior")</f>
        <v>Middle-aged</v>
      </c>
      <c r="S2508" cm="1">
        <f t="array" ref="S2508">_xlfn.IFS(Q2508 ="Fortnightly",14,Q2508="Weekly",7,Q2508="Monthly",30,Q2508="Quarterly",90,Q2508="Bi-Weekly",14,Q2508="Annually",365,Q2508="Every 3 Months",90,TRUE,"NOT FOUND")</f>
        <v>365</v>
      </c>
    </row>
    <row r="2509" spans="1:19" x14ac:dyDescent="0.35">
      <c r="A2509">
        <v>2508</v>
      </c>
      <c r="B2509">
        <v>58</v>
      </c>
      <c r="C2509" t="s">
        <v>7</v>
      </c>
      <c r="D2509" t="s">
        <v>59</v>
      </c>
      <c r="E2509" t="s">
        <v>30</v>
      </c>
      <c r="F2509">
        <v>36</v>
      </c>
      <c r="G2509" t="s">
        <v>48</v>
      </c>
      <c r="H2509" t="s">
        <v>32</v>
      </c>
      <c r="I2509" t="s">
        <v>97</v>
      </c>
      <c r="J2509" t="s">
        <v>45</v>
      </c>
      <c r="K2509">
        <v>2.9</v>
      </c>
      <c r="L2509" t="s">
        <v>140</v>
      </c>
      <c r="M2509" t="s">
        <v>62</v>
      </c>
      <c r="N2509" t="s">
        <v>140</v>
      </c>
      <c r="O2509">
        <v>32</v>
      </c>
      <c r="P2509" t="s">
        <v>27</v>
      </c>
      <c r="Q2509" t="s">
        <v>85</v>
      </c>
      <c r="R2509" t="str" cm="1">
        <f t="array" ref="R2509">_xlfn.IFS(B2509&lt;31,"Young-Adult",B2509&lt;41,"Adult",B2509&lt;61,"Middle-aged",B2509&gt;=61,"Senior")</f>
        <v>Middle-aged</v>
      </c>
      <c r="S2509" cm="1">
        <f t="array" ref="S2509">_xlfn.IFS(Q2509 ="Fortnightly",14,Q2509="Weekly",7,Q2509="Monthly",30,Q2509="Quarterly",90,Q2509="Bi-Weekly",14,Q2509="Annually",365,Q2509="Every 3 Months",90,TRUE,"NOT FOUND")</f>
        <v>90</v>
      </c>
    </row>
    <row r="2510" spans="1:19" x14ac:dyDescent="0.35">
      <c r="A2510">
        <v>2509</v>
      </c>
      <c r="B2510">
        <v>23</v>
      </c>
      <c r="C2510" t="s">
        <v>7</v>
      </c>
      <c r="D2510" t="s">
        <v>38</v>
      </c>
      <c r="E2510" t="s">
        <v>30</v>
      </c>
      <c r="F2510">
        <v>90</v>
      </c>
      <c r="G2510" t="s">
        <v>87</v>
      </c>
      <c r="H2510" t="s">
        <v>80</v>
      </c>
      <c r="I2510" t="s">
        <v>114</v>
      </c>
      <c r="J2510" t="s">
        <v>25</v>
      </c>
      <c r="K2510">
        <v>3.1</v>
      </c>
      <c r="L2510" t="s">
        <v>140</v>
      </c>
      <c r="M2510" t="s">
        <v>58</v>
      </c>
      <c r="N2510" t="s">
        <v>140</v>
      </c>
      <c r="O2510">
        <v>5</v>
      </c>
      <c r="P2510" t="s">
        <v>74</v>
      </c>
      <c r="Q2510" t="s">
        <v>64</v>
      </c>
      <c r="R2510" t="str" cm="1">
        <f t="array" ref="R2510">_xlfn.IFS(B2510&lt;31,"Young-Adult",B2510&lt;41,"Adult",B2510&lt;61,"Middle-aged",B2510&gt;=61,"Senior")</f>
        <v>Young-Adult</v>
      </c>
      <c r="S2510" cm="1">
        <f t="array" ref="S2510">_xlfn.IFS(Q2510 ="Fortnightly",14,Q2510="Weekly",7,Q2510="Monthly",30,Q2510="Quarterly",90,Q2510="Bi-Weekly",14,Q2510="Annually",365,Q2510="Every 3 Months",90,TRUE,"NOT FOUND")</f>
        <v>14</v>
      </c>
    </row>
    <row r="2511" spans="1:19" x14ac:dyDescent="0.35">
      <c r="A2511">
        <v>2510</v>
      </c>
      <c r="B2511">
        <v>19</v>
      </c>
      <c r="C2511" t="s">
        <v>7</v>
      </c>
      <c r="D2511" t="s">
        <v>113</v>
      </c>
      <c r="E2511" t="s">
        <v>9</v>
      </c>
      <c r="F2511">
        <v>48</v>
      </c>
      <c r="G2511" t="s">
        <v>137</v>
      </c>
      <c r="H2511" t="s">
        <v>32</v>
      </c>
      <c r="I2511" t="s">
        <v>82</v>
      </c>
      <c r="J2511" t="s">
        <v>25</v>
      </c>
      <c r="K2511">
        <v>4.4000000000000004</v>
      </c>
      <c r="L2511" t="s">
        <v>140</v>
      </c>
      <c r="M2511" t="s">
        <v>26</v>
      </c>
      <c r="N2511" t="s">
        <v>140</v>
      </c>
      <c r="O2511">
        <v>9</v>
      </c>
      <c r="P2511" t="s">
        <v>63</v>
      </c>
      <c r="Q2511" t="s">
        <v>46</v>
      </c>
      <c r="R2511" t="str" cm="1">
        <f t="array" ref="R2511">_xlfn.IFS(B2511&lt;31,"Young-Adult",B2511&lt;41,"Adult",B2511&lt;61,"Middle-aged",B2511&gt;=61,"Senior")</f>
        <v>Young-Adult</v>
      </c>
      <c r="S2511" cm="1">
        <f t="array" ref="S2511">_xlfn.IFS(Q2511 ="Fortnightly",14,Q2511="Weekly",7,Q2511="Monthly",30,Q2511="Quarterly",90,Q2511="Bi-Weekly",14,Q2511="Annually",365,Q2511="Every 3 Months",90,TRUE,"NOT FOUND")</f>
        <v>90</v>
      </c>
    </row>
    <row r="2512" spans="1:19" x14ac:dyDescent="0.35">
      <c r="A2512">
        <v>2511</v>
      </c>
      <c r="B2512">
        <v>40</v>
      </c>
      <c r="C2512" t="s">
        <v>7</v>
      </c>
      <c r="D2512" t="s">
        <v>90</v>
      </c>
      <c r="E2512" t="s">
        <v>51</v>
      </c>
      <c r="F2512">
        <v>42</v>
      </c>
      <c r="G2512" t="s">
        <v>135</v>
      </c>
      <c r="H2512" t="s">
        <v>11</v>
      </c>
      <c r="I2512" t="s">
        <v>61</v>
      </c>
      <c r="J2512" t="s">
        <v>13</v>
      </c>
      <c r="K2512">
        <v>4.4000000000000004</v>
      </c>
      <c r="L2512" t="s">
        <v>140</v>
      </c>
      <c r="M2512" t="s">
        <v>42</v>
      </c>
      <c r="N2512" t="s">
        <v>140</v>
      </c>
      <c r="O2512">
        <v>48</v>
      </c>
      <c r="P2512" t="s">
        <v>27</v>
      </c>
      <c r="Q2512" t="s">
        <v>28</v>
      </c>
      <c r="R2512" t="str" cm="1">
        <f t="array" ref="R2512">_xlfn.IFS(B2512&lt;31,"Young-Adult",B2512&lt;41,"Adult",B2512&lt;61,"Middle-aged",B2512&gt;=61,"Senior")</f>
        <v>Adult</v>
      </c>
      <c r="S2512" cm="1">
        <f t="array" ref="S2512">_xlfn.IFS(Q2512 ="Fortnightly",14,Q2512="Weekly",7,Q2512="Monthly",30,Q2512="Quarterly",90,Q2512="Bi-Weekly",14,Q2512="Annually",365,Q2512="Every 3 Months",90,TRUE,"NOT FOUND")</f>
        <v>7</v>
      </c>
    </row>
    <row r="2513" spans="1:19" x14ac:dyDescent="0.35">
      <c r="A2513">
        <v>2512</v>
      </c>
      <c r="B2513">
        <v>54</v>
      </c>
      <c r="C2513" t="s">
        <v>7</v>
      </c>
      <c r="D2513" t="s">
        <v>120</v>
      </c>
      <c r="E2513" t="s">
        <v>55</v>
      </c>
      <c r="F2513">
        <v>33</v>
      </c>
      <c r="G2513" t="s">
        <v>123</v>
      </c>
      <c r="H2513" t="s">
        <v>32</v>
      </c>
      <c r="I2513" t="s">
        <v>97</v>
      </c>
      <c r="J2513" t="s">
        <v>41</v>
      </c>
      <c r="K2513">
        <v>2.7</v>
      </c>
      <c r="L2513" t="s">
        <v>140</v>
      </c>
      <c r="M2513" t="s">
        <v>62</v>
      </c>
      <c r="N2513" t="s">
        <v>140</v>
      </c>
      <c r="O2513">
        <v>1</v>
      </c>
      <c r="P2513" t="s">
        <v>34</v>
      </c>
      <c r="Q2513" t="s">
        <v>46</v>
      </c>
      <c r="R2513" t="str" cm="1">
        <f t="array" ref="R2513">_xlfn.IFS(B2513&lt;31,"Young-Adult",B2513&lt;41,"Adult",B2513&lt;61,"Middle-aged",B2513&gt;=61,"Senior")</f>
        <v>Middle-aged</v>
      </c>
      <c r="S2513" cm="1">
        <f t="array" ref="S2513">_xlfn.IFS(Q2513 ="Fortnightly",14,Q2513="Weekly",7,Q2513="Monthly",30,Q2513="Quarterly",90,Q2513="Bi-Weekly",14,Q2513="Annually",365,Q2513="Every 3 Months",90,TRUE,"NOT FOUND")</f>
        <v>90</v>
      </c>
    </row>
    <row r="2514" spans="1:19" x14ac:dyDescent="0.35">
      <c r="A2514">
        <v>2513</v>
      </c>
      <c r="B2514">
        <v>50</v>
      </c>
      <c r="C2514" t="s">
        <v>7</v>
      </c>
      <c r="D2514" t="s">
        <v>113</v>
      </c>
      <c r="E2514" t="s">
        <v>9</v>
      </c>
      <c r="F2514">
        <v>63</v>
      </c>
      <c r="G2514" t="s">
        <v>102</v>
      </c>
      <c r="H2514" t="s">
        <v>32</v>
      </c>
      <c r="I2514" t="s">
        <v>84</v>
      </c>
      <c r="J2514" t="s">
        <v>41</v>
      </c>
      <c r="K2514">
        <v>4.9000000000000004</v>
      </c>
      <c r="L2514" t="s">
        <v>140</v>
      </c>
      <c r="M2514" t="s">
        <v>26</v>
      </c>
      <c r="N2514" t="s">
        <v>140</v>
      </c>
      <c r="O2514">
        <v>20</v>
      </c>
      <c r="P2514" t="s">
        <v>27</v>
      </c>
      <c r="Q2514" t="s">
        <v>76</v>
      </c>
      <c r="R2514" t="str" cm="1">
        <f t="array" ref="R2514">_xlfn.IFS(B2514&lt;31,"Young-Adult",B2514&lt;41,"Adult",B2514&lt;61,"Middle-aged",B2514&gt;=61,"Senior")</f>
        <v>Middle-aged</v>
      </c>
      <c r="S2514" cm="1">
        <f t="array" ref="S2514">_xlfn.IFS(Q2514 ="Fortnightly",14,Q2514="Weekly",7,Q2514="Monthly",30,Q2514="Quarterly",90,Q2514="Bi-Weekly",14,Q2514="Annually",365,Q2514="Every 3 Months",90,TRUE,"NOT FOUND")</f>
        <v>30</v>
      </c>
    </row>
    <row r="2515" spans="1:19" x14ac:dyDescent="0.35">
      <c r="A2515">
        <v>2514</v>
      </c>
      <c r="B2515">
        <v>69</v>
      </c>
      <c r="C2515" t="s">
        <v>7</v>
      </c>
      <c r="D2515" t="s">
        <v>54</v>
      </c>
      <c r="E2515" t="s">
        <v>55</v>
      </c>
      <c r="F2515">
        <v>53</v>
      </c>
      <c r="G2515" t="s">
        <v>137</v>
      </c>
      <c r="H2515" t="s">
        <v>11</v>
      </c>
      <c r="I2515" t="s">
        <v>73</v>
      </c>
      <c r="J2515" t="s">
        <v>13</v>
      </c>
      <c r="K2515">
        <v>3.5</v>
      </c>
      <c r="L2515" t="s">
        <v>140</v>
      </c>
      <c r="M2515" t="s">
        <v>58</v>
      </c>
      <c r="N2515" t="s">
        <v>140</v>
      </c>
      <c r="O2515">
        <v>42</v>
      </c>
      <c r="P2515" t="s">
        <v>21</v>
      </c>
      <c r="Q2515" t="s">
        <v>37</v>
      </c>
      <c r="R2515" t="str" cm="1">
        <f t="array" ref="R2515">_xlfn.IFS(B2515&lt;31,"Young-Adult",B2515&lt;41,"Adult",B2515&lt;61,"Middle-aged",B2515&gt;=61,"Senior")</f>
        <v>Senior</v>
      </c>
      <c r="S2515" cm="1">
        <f t="array" ref="S2515">_xlfn.IFS(Q2515 ="Fortnightly",14,Q2515="Weekly",7,Q2515="Monthly",30,Q2515="Quarterly",90,Q2515="Bi-Weekly",14,Q2515="Annually",365,Q2515="Every 3 Months",90,TRUE,"NOT FOUND")</f>
        <v>365</v>
      </c>
    </row>
    <row r="2516" spans="1:19" x14ac:dyDescent="0.35">
      <c r="A2516">
        <v>2515</v>
      </c>
      <c r="B2516">
        <v>42</v>
      </c>
      <c r="C2516" t="s">
        <v>7</v>
      </c>
      <c r="D2516" t="s">
        <v>112</v>
      </c>
      <c r="E2516" t="s">
        <v>55</v>
      </c>
      <c r="F2516">
        <v>37</v>
      </c>
      <c r="G2516" t="s">
        <v>108</v>
      </c>
      <c r="H2516" t="s">
        <v>11</v>
      </c>
      <c r="I2516" t="s">
        <v>73</v>
      </c>
      <c r="J2516" t="s">
        <v>25</v>
      </c>
      <c r="K2516">
        <v>4.8</v>
      </c>
      <c r="L2516" t="s">
        <v>140</v>
      </c>
      <c r="M2516" t="s">
        <v>26</v>
      </c>
      <c r="N2516" t="s">
        <v>140</v>
      </c>
      <c r="O2516">
        <v>45</v>
      </c>
      <c r="P2516" t="s">
        <v>34</v>
      </c>
      <c r="Q2516" t="s">
        <v>64</v>
      </c>
      <c r="R2516" t="str" cm="1">
        <f t="array" ref="R2516">_xlfn.IFS(B2516&lt;31,"Young-Adult",B2516&lt;41,"Adult",B2516&lt;61,"Middle-aged",B2516&gt;=61,"Senior")</f>
        <v>Middle-aged</v>
      </c>
      <c r="S2516" cm="1">
        <f t="array" ref="S2516">_xlfn.IFS(Q2516 ="Fortnightly",14,Q2516="Weekly",7,Q2516="Monthly",30,Q2516="Quarterly",90,Q2516="Bi-Weekly",14,Q2516="Annually",365,Q2516="Every 3 Months",90,TRUE,"NOT FOUND")</f>
        <v>14</v>
      </c>
    </row>
    <row r="2517" spans="1:19" x14ac:dyDescent="0.35">
      <c r="A2517">
        <v>2516</v>
      </c>
      <c r="B2517">
        <v>37</v>
      </c>
      <c r="C2517" t="s">
        <v>7</v>
      </c>
      <c r="D2517" t="s">
        <v>8</v>
      </c>
      <c r="E2517" t="s">
        <v>9</v>
      </c>
      <c r="F2517">
        <v>92</v>
      </c>
      <c r="G2517" t="s">
        <v>99</v>
      </c>
      <c r="H2517" t="s">
        <v>32</v>
      </c>
      <c r="I2517" t="s">
        <v>124</v>
      </c>
      <c r="J2517" t="s">
        <v>41</v>
      </c>
      <c r="K2517">
        <v>4.2</v>
      </c>
      <c r="L2517" t="s">
        <v>140</v>
      </c>
      <c r="M2517" t="s">
        <v>58</v>
      </c>
      <c r="N2517" t="s">
        <v>140</v>
      </c>
      <c r="O2517">
        <v>41</v>
      </c>
      <c r="P2517" t="s">
        <v>21</v>
      </c>
      <c r="Q2517" t="s">
        <v>76</v>
      </c>
      <c r="R2517" t="str" cm="1">
        <f t="array" ref="R2517">_xlfn.IFS(B2517&lt;31,"Young-Adult",B2517&lt;41,"Adult",B2517&lt;61,"Middle-aged",B2517&gt;=61,"Senior")</f>
        <v>Adult</v>
      </c>
      <c r="S2517" cm="1">
        <f t="array" ref="S2517">_xlfn.IFS(Q2517 ="Fortnightly",14,Q2517="Weekly",7,Q2517="Monthly",30,Q2517="Quarterly",90,Q2517="Bi-Weekly",14,Q2517="Annually",365,Q2517="Every 3 Months",90,TRUE,"NOT FOUND")</f>
        <v>30</v>
      </c>
    </row>
    <row r="2518" spans="1:19" x14ac:dyDescent="0.35">
      <c r="A2518">
        <v>2517</v>
      </c>
      <c r="B2518">
        <v>46</v>
      </c>
      <c r="C2518" t="s">
        <v>7</v>
      </c>
      <c r="D2518" t="s">
        <v>47</v>
      </c>
      <c r="E2518" t="s">
        <v>9</v>
      </c>
      <c r="F2518">
        <v>73</v>
      </c>
      <c r="G2518" t="s">
        <v>128</v>
      </c>
      <c r="H2518" t="s">
        <v>80</v>
      </c>
      <c r="I2518" t="s">
        <v>98</v>
      </c>
      <c r="J2518" t="s">
        <v>25</v>
      </c>
      <c r="K2518">
        <v>4.5999999999999996</v>
      </c>
      <c r="L2518" t="s">
        <v>140</v>
      </c>
      <c r="M2518" t="s">
        <v>42</v>
      </c>
      <c r="N2518" t="s">
        <v>140</v>
      </c>
      <c r="O2518">
        <v>36</v>
      </c>
      <c r="P2518" t="s">
        <v>74</v>
      </c>
      <c r="Q2518" t="s">
        <v>46</v>
      </c>
      <c r="R2518" t="str" cm="1">
        <f t="array" ref="R2518">_xlfn.IFS(B2518&lt;31,"Young-Adult",B2518&lt;41,"Adult",B2518&lt;61,"Middle-aged",B2518&gt;=61,"Senior")</f>
        <v>Middle-aged</v>
      </c>
      <c r="S2518" cm="1">
        <f t="array" ref="S2518">_xlfn.IFS(Q2518 ="Fortnightly",14,Q2518="Weekly",7,Q2518="Monthly",30,Q2518="Quarterly",90,Q2518="Bi-Weekly",14,Q2518="Annually",365,Q2518="Every 3 Months",90,TRUE,"NOT FOUND")</f>
        <v>90</v>
      </c>
    </row>
    <row r="2519" spans="1:19" x14ac:dyDescent="0.35">
      <c r="A2519">
        <v>2518</v>
      </c>
      <c r="B2519">
        <v>64</v>
      </c>
      <c r="C2519" t="s">
        <v>7</v>
      </c>
      <c r="D2519" t="s">
        <v>43</v>
      </c>
      <c r="E2519" t="s">
        <v>9</v>
      </c>
      <c r="F2519">
        <v>38</v>
      </c>
      <c r="G2519" t="s">
        <v>39</v>
      </c>
      <c r="H2519" t="s">
        <v>11</v>
      </c>
      <c r="I2519" t="s">
        <v>109</v>
      </c>
      <c r="J2519" t="s">
        <v>25</v>
      </c>
      <c r="K2519">
        <v>2.9</v>
      </c>
      <c r="L2519" t="s">
        <v>140</v>
      </c>
      <c r="M2519" t="s">
        <v>42</v>
      </c>
      <c r="N2519" t="s">
        <v>140</v>
      </c>
      <c r="O2519">
        <v>10</v>
      </c>
      <c r="P2519" t="s">
        <v>16</v>
      </c>
      <c r="Q2519" t="s">
        <v>37</v>
      </c>
      <c r="R2519" t="str" cm="1">
        <f t="array" ref="R2519">_xlfn.IFS(B2519&lt;31,"Young-Adult",B2519&lt;41,"Adult",B2519&lt;61,"Middle-aged",B2519&gt;=61,"Senior")</f>
        <v>Senior</v>
      </c>
      <c r="S2519" cm="1">
        <f t="array" ref="S2519">_xlfn.IFS(Q2519 ="Fortnightly",14,Q2519="Weekly",7,Q2519="Monthly",30,Q2519="Quarterly",90,Q2519="Bi-Weekly",14,Q2519="Annually",365,Q2519="Every 3 Months",90,TRUE,"NOT FOUND")</f>
        <v>365</v>
      </c>
    </row>
    <row r="2520" spans="1:19" x14ac:dyDescent="0.35">
      <c r="A2520">
        <v>2519</v>
      </c>
      <c r="B2520">
        <v>20</v>
      </c>
      <c r="C2520" t="s">
        <v>7</v>
      </c>
      <c r="D2520" t="s">
        <v>125</v>
      </c>
      <c r="E2520" t="s">
        <v>30</v>
      </c>
      <c r="F2520">
        <v>51</v>
      </c>
      <c r="G2520" t="s">
        <v>19</v>
      </c>
      <c r="H2520" t="s">
        <v>80</v>
      </c>
      <c r="I2520" t="s">
        <v>132</v>
      </c>
      <c r="J2520" t="s">
        <v>45</v>
      </c>
      <c r="K2520">
        <v>4</v>
      </c>
      <c r="L2520" t="s">
        <v>140</v>
      </c>
      <c r="M2520" t="s">
        <v>62</v>
      </c>
      <c r="N2520" t="s">
        <v>140</v>
      </c>
      <c r="O2520">
        <v>31</v>
      </c>
      <c r="P2520" t="s">
        <v>16</v>
      </c>
      <c r="Q2520" t="s">
        <v>37</v>
      </c>
      <c r="R2520" t="str" cm="1">
        <f t="array" ref="R2520">_xlfn.IFS(B2520&lt;31,"Young-Adult",B2520&lt;41,"Adult",B2520&lt;61,"Middle-aged",B2520&gt;=61,"Senior")</f>
        <v>Young-Adult</v>
      </c>
      <c r="S2520" cm="1">
        <f t="array" ref="S2520">_xlfn.IFS(Q2520 ="Fortnightly",14,Q2520="Weekly",7,Q2520="Monthly",30,Q2520="Quarterly",90,Q2520="Bi-Weekly",14,Q2520="Annually",365,Q2520="Every 3 Months",90,TRUE,"NOT FOUND")</f>
        <v>365</v>
      </c>
    </row>
    <row r="2521" spans="1:19" x14ac:dyDescent="0.35">
      <c r="A2521">
        <v>2520</v>
      </c>
      <c r="B2521">
        <v>40</v>
      </c>
      <c r="C2521" t="s">
        <v>7</v>
      </c>
      <c r="D2521" t="s">
        <v>90</v>
      </c>
      <c r="E2521" t="s">
        <v>51</v>
      </c>
      <c r="F2521">
        <v>90</v>
      </c>
      <c r="G2521" t="s">
        <v>139</v>
      </c>
      <c r="H2521" t="s">
        <v>11</v>
      </c>
      <c r="I2521" t="s">
        <v>124</v>
      </c>
      <c r="J2521" t="s">
        <v>25</v>
      </c>
      <c r="K2521">
        <v>4.9000000000000004</v>
      </c>
      <c r="L2521" t="s">
        <v>140</v>
      </c>
      <c r="M2521" t="s">
        <v>42</v>
      </c>
      <c r="N2521" t="s">
        <v>140</v>
      </c>
      <c r="O2521">
        <v>21</v>
      </c>
      <c r="P2521" t="s">
        <v>27</v>
      </c>
      <c r="Q2521" t="s">
        <v>46</v>
      </c>
      <c r="R2521" t="str" cm="1">
        <f t="array" ref="R2521">_xlfn.IFS(B2521&lt;31,"Young-Adult",B2521&lt;41,"Adult",B2521&lt;61,"Middle-aged",B2521&gt;=61,"Senior")</f>
        <v>Adult</v>
      </c>
      <c r="S2521" cm="1">
        <f t="array" ref="S2521">_xlfn.IFS(Q2521 ="Fortnightly",14,Q2521="Weekly",7,Q2521="Monthly",30,Q2521="Quarterly",90,Q2521="Bi-Weekly",14,Q2521="Annually",365,Q2521="Every 3 Months",90,TRUE,"NOT FOUND")</f>
        <v>90</v>
      </c>
    </row>
    <row r="2522" spans="1:19" x14ac:dyDescent="0.35">
      <c r="A2522">
        <v>2521</v>
      </c>
      <c r="B2522">
        <v>64</v>
      </c>
      <c r="C2522" t="s">
        <v>7</v>
      </c>
      <c r="D2522" t="s">
        <v>90</v>
      </c>
      <c r="E2522" t="s">
        <v>51</v>
      </c>
      <c r="F2522">
        <v>56</v>
      </c>
      <c r="G2522" t="s">
        <v>103</v>
      </c>
      <c r="H2522" t="s">
        <v>11</v>
      </c>
      <c r="I2522" t="s">
        <v>124</v>
      </c>
      <c r="J2522" t="s">
        <v>41</v>
      </c>
      <c r="K2522">
        <v>3.1</v>
      </c>
      <c r="L2522" t="s">
        <v>140</v>
      </c>
      <c r="M2522" t="s">
        <v>33</v>
      </c>
      <c r="N2522" t="s">
        <v>140</v>
      </c>
      <c r="O2522">
        <v>16</v>
      </c>
      <c r="P2522" t="s">
        <v>21</v>
      </c>
      <c r="Q2522" t="s">
        <v>85</v>
      </c>
      <c r="R2522" t="str" cm="1">
        <f t="array" ref="R2522">_xlfn.IFS(B2522&lt;31,"Young-Adult",B2522&lt;41,"Adult",B2522&lt;61,"Middle-aged",B2522&gt;=61,"Senior")</f>
        <v>Senior</v>
      </c>
      <c r="S2522" cm="1">
        <f t="array" ref="S2522">_xlfn.IFS(Q2522 ="Fortnightly",14,Q2522="Weekly",7,Q2522="Monthly",30,Q2522="Quarterly",90,Q2522="Bi-Weekly",14,Q2522="Annually",365,Q2522="Every 3 Months",90,TRUE,"NOT FOUND")</f>
        <v>90</v>
      </c>
    </row>
    <row r="2523" spans="1:19" x14ac:dyDescent="0.35">
      <c r="A2523">
        <v>2522</v>
      </c>
      <c r="B2523">
        <v>29</v>
      </c>
      <c r="C2523" t="s">
        <v>7</v>
      </c>
      <c r="D2523" t="s">
        <v>54</v>
      </c>
      <c r="E2523" t="s">
        <v>55</v>
      </c>
      <c r="F2523">
        <v>33</v>
      </c>
      <c r="G2523" t="s">
        <v>136</v>
      </c>
      <c r="H2523" t="s">
        <v>32</v>
      </c>
      <c r="I2523" t="s">
        <v>124</v>
      </c>
      <c r="J2523" t="s">
        <v>45</v>
      </c>
      <c r="K2523">
        <v>4.4000000000000004</v>
      </c>
      <c r="L2523" t="s">
        <v>140</v>
      </c>
      <c r="M2523" t="s">
        <v>42</v>
      </c>
      <c r="N2523" t="s">
        <v>140</v>
      </c>
      <c r="O2523">
        <v>18</v>
      </c>
      <c r="P2523" t="s">
        <v>34</v>
      </c>
      <c r="Q2523" t="s">
        <v>85</v>
      </c>
      <c r="R2523" t="str" cm="1">
        <f t="array" ref="R2523">_xlfn.IFS(B2523&lt;31,"Young-Adult",B2523&lt;41,"Adult",B2523&lt;61,"Middle-aged",B2523&gt;=61,"Senior")</f>
        <v>Young-Adult</v>
      </c>
      <c r="S2523" cm="1">
        <f t="array" ref="S2523">_xlfn.IFS(Q2523 ="Fortnightly",14,Q2523="Weekly",7,Q2523="Monthly",30,Q2523="Quarterly",90,Q2523="Bi-Weekly",14,Q2523="Annually",365,Q2523="Every 3 Months",90,TRUE,"NOT FOUND")</f>
        <v>90</v>
      </c>
    </row>
    <row r="2524" spans="1:19" x14ac:dyDescent="0.35">
      <c r="A2524">
        <v>2523</v>
      </c>
      <c r="B2524">
        <v>20</v>
      </c>
      <c r="C2524" t="s">
        <v>7</v>
      </c>
      <c r="D2524" t="s">
        <v>121</v>
      </c>
      <c r="E2524" t="s">
        <v>55</v>
      </c>
      <c r="F2524">
        <v>53</v>
      </c>
      <c r="G2524" t="s">
        <v>23</v>
      </c>
      <c r="H2524" t="s">
        <v>24</v>
      </c>
      <c r="I2524" t="s">
        <v>66</v>
      </c>
      <c r="J2524" t="s">
        <v>13</v>
      </c>
      <c r="K2524">
        <v>2.5</v>
      </c>
      <c r="L2524" t="s">
        <v>140</v>
      </c>
      <c r="M2524" t="s">
        <v>58</v>
      </c>
      <c r="N2524" t="s">
        <v>140</v>
      </c>
      <c r="O2524">
        <v>20</v>
      </c>
      <c r="P2524" t="s">
        <v>74</v>
      </c>
      <c r="Q2524" t="s">
        <v>28</v>
      </c>
      <c r="R2524" t="str" cm="1">
        <f t="array" ref="R2524">_xlfn.IFS(B2524&lt;31,"Young-Adult",B2524&lt;41,"Adult",B2524&lt;61,"Middle-aged",B2524&gt;=61,"Senior")</f>
        <v>Young-Adult</v>
      </c>
      <c r="S2524" cm="1">
        <f t="array" ref="S2524">_xlfn.IFS(Q2524 ="Fortnightly",14,Q2524="Weekly",7,Q2524="Monthly",30,Q2524="Quarterly",90,Q2524="Bi-Weekly",14,Q2524="Annually",365,Q2524="Every 3 Months",90,TRUE,"NOT FOUND")</f>
        <v>7</v>
      </c>
    </row>
    <row r="2525" spans="1:19" x14ac:dyDescent="0.35">
      <c r="A2525">
        <v>2524</v>
      </c>
      <c r="B2525">
        <v>43</v>
      </c>
      <c r="C2525" t="s">
        <v>7</v>
      </c>
      <c r="D2525" t="s">
        <v>54</v>
      </c>
      <c r="E2525" t="s">
        <v>55</v>
      </c>
      <c r="F2525">
        <v>24</v>
      </c>
      <c r="G2525" t="s">
        <v>115</v>
      </c>
      <c r="H2525" t="s">
        <v>24</v>
      </c>
      <c r="I2525" t="s">
        <v>97</v>
      </c>
      <c r="J2525" t="s">
        <v>25</v>
      </c>
      <c r="K2525">
        <v>3.4</v>
      </c>
      <c r="L2525" t="s">
        <v>140</v>
      </c>
      <c r="M2525" t="s">
        <v>15</v>
      </c>
      <c r="N2525" t="s">
        <v>140</v>
      </c>
      <c r="O2525">
        <v>21</v>
      </c>
      <c r="P2525" t="s">
        <v>63</v>
      </c>
      <c r="Q2525" t="s">
        <v>37</v>
      </c>
      <c r="R2525" t="str" cm="1">
        <f t="array" ref="R2525">_xlfn.IFS(B2525&lt;31,"Young-Adult",B2525&lt;41,"Adult",B2525&lt;61,"Middle-aged",B2525&gt;=61,"Senior")</f>
        <v>Middle-aged</v>
      </c>
      <c r="S2525" cm="1">
        <f t="array" ref="S2525">_xlfn.IFS(Q2525 ="Fortnightly",14,Q2525="Weekly",7,Q2525="Monthly",30,Q2525="Quarterly",90,Q2525="Bi-Weekly",14,Q2525="Annually",365,Q2525="Every 3 Months",90,TRUE,"NOT FOUND")</f>
        <v>365</v>
      </c>
    </row>
    <row r="2526" spans="1:19" x14ac:dyDescent="0.35">
      <c r="A2526">
        <v>2525</v>
      </c>
      <c r="B2526">
        <v>60</v>
      </c>
      <c r="C2526" t="s">
        <v>7</v>
      </c>
      <c r="D2526" t="s">
        <v>50</v>
      </c>
      <c r="E2526" t="s">
        <v>51</v>
      </c>
      <c r="F2526">
        <v>59</v>
      </c>
      <c r="G2526" t="s">
        <v>99</v>
      </c>
      <c r="H2526" t="s">
        <v>32</v>
      </c>
      <c r="I2526" t="s">
        <v>61</v>
      </c>
      <c r="J2526" t="s">
        <v>25</v>
      </c>
      <c r="K2526">
        <v>3.7</v>
      </c>
      <c r="L2526" t="s">
        <v>140</v>
      </c>
      <c r="M2526" t="s">
        <v>15</v>
      </c>
      <c r="N2526" t="s">
        <v>140</v>
      </c>
      <c r="O2526">
        <v>23</v>
      </c>
      <c r="P2526" t="s">
        <v>27</v>
      </c>
      <c r="Q2526" t="s">
        <v>46</v>
      </c>
      <c r="R2526" t="str" cm="1">
        <f t="array" ref="R2526">_xlfn.IFS(B2526&lt;31,"Young-Adult",B2526&lt;41,"Adult",B2526&lt;61,"Middle-aged",B2526&gt;=61,"Senior")</f>
        <v>Middle-aged</v>
      </c>
      <c r="S2526" cm="1">
        <f t="array" ref="S2526">_xlfn.IFS(Q2526 ="Fortnightly",14,Q2526="Weekly",7,Q2526="Monthly",30,Q2526="Quarterly",90,Q2526="Bi-Weekly",14,Q2526="Annually",365,Q2526="Every 3 Months",90,TRUE,"NOT FOUND")</f>
        <v>90</v>
      </c>
    </row>
    <row r="2527" spans="1:19" x14ac:dyDescent="0.35">
      <c r="A2527">
        <v>2526</v>
      </c>
      <c r="B2527">
        <v>39</v>
      </c>
      <c r="C2527" t="s">
        <v>7</v>
      </c>
      <c r="D2527" t="s">
        <v>18</v>
      </c>
      <c r="E2527" t="s">
        <v>9</v>
      </c>
      <c r="F2527">
        <v>72</v>
      </c>
      <c r="G2527" t="s">
        <v>10</v>
      </c>
      <c r="H2527" t="s">
        <v>32</v>
      </c>
      <c r="I2527" t="s">
        <v>61</v>
      </c>
      <c r="J2527" t="s">
        <v>13</v>
      </c>
      <c r="K2527">
        <v>4.2</v>
      </c>
      <c r="L2527" t="s">
        <v>140</v>
      </c>
      <c r="M2527" t="s">
        <v>42</v>
      </c>
      <c r="N2527" t="s">
        <v>140</v>
      </c>
      <c r="O2527">
        <v>20</v>
      </c>
      <c r="P2527" t="s">
        <v>34</v>
      </c>
      <c r="Q2527" t="s">
        <v>28</v>
      </c>
      <c r="R2527" t="str" cm="1">
        <f t="array" ref="R2527">_xlfn.IFS(B2527&lt;31,"Young-Adult",B2527&lt;41,"Adult",B2527&lt;61,"Middle-aged",B2527&gt;=61,"Senior")</f>
        <v>Adult</v>
      </c>
      <c r="S2527" cm="1">
        <f t="array" ref="S2527">_xlfn.IFS(Q2527 ="Fortnightly",14,Q2527="Weekly",7,Q2527="Monthly",30,Q2527="Quarterly",90,Q2527="Bi-Weekly",14,Q2527="Annually",365,Q2527="Every 3 Months",90,TRUE,"NOT FOUND")</f>
        <v>7</v>
      </c>
    </row>
    <row r="2528" spans="1:19" x14ac:dyDescent="0.35">
      <c r="A2528">
        <v>2527</v>
      </c>
      <c r="B2528">
        <v>47</v>
      </c>
      <c r="C2528" t="s">
        <v>7</v>
      </c>
      <c r="D2528" t="s">
        <v>47</v>
      </c>
      <c r="E2528" t="s">
        <v>9</v>
      </c>
      <c r="F2528">
        <v>28</v>
      </c>
      <c r="G2528" t="s">
        <v>31</v>
      </c>
      <c r="H2528" t="s">
        <v>24</v>
      </c>
      <c r="I2528" t="s">
        <v>88</v>
      </c>
      <c r="J2528" t="s">
        <v>25</v>
      </c>
      <c r="K2528">
        <v>3.4</v>
      </c>
      <c r="L2528" t="s">
        <v>140</v>
      </c>
      <c r="M2528" t="s">
        <v>15</v>
      </c>
      <c r="N2528" t="s">
        <v>140</v>
      </c>
      <c r="O2528">
        <v>30</v>
      </c>
      <c r="P2528" t="s">
        <v>34</v>
      </c>
      <c r="Q2528" t="s">
        <v>64</v>
      </c>
      <c r="R2528" t="str" cm="1">
        <f t="array" ref="R2528">_xlfn.IFS(B2528&lt;31,"Young-Adult",B2528&lt;41,"Adult",B2528&lt;61,"Middle-aged",B2528&gt;=61,"Senior")</f>
        <v>Middle-aged</v>
      </c>
      <c r="S2528" cm="1">
        <f t="array" ref="S2528">_xlfn.IFS(Q2528 ="Fortnightly",14,Q2528="Weekly",7,Q2528="Monthly",30,Q2528="Quarterly",90,Q2528="Bi-Weekly",14,Q2528="Annually",365,Q2528="Every 3 Months",90,TRUE,"NOT FOUND")</f>
        <v>14</v>
      </c>
    </row>
    <row r="2529" spans="1:19" x14ac:dyDescent="0.35">
      <c r="A2529">
        <v>2528</v>
      </c>
      <c r="B2529">
        <v>19</v>
      </c>
      <c r="C2529" t="s">
        <v>7</v>
      </c>
      <c r="D2529" t="s">
        <v>83</v>
      </c>
      <c r="E2529" t="s">
        <v>9</v>
      </c>
      <c r="F2529">
        <v>36</v>
      </c>
      <c r="G2529" t="s">
        <v>103</v>
      </c>
      <c r="H2529" t="s">
        <v>32</v>
      </c>
      <c r="I2529" t="s">
        <v>68</v>
      </c>
      <c r="J2529" t="s">
        <v>45</v>
      </c>
      <c r="K2529">
        <v>3.6</v>
      </c>
      <c r="L2529" t="s">
        <v>140</v>
      </c>
      <c r="M2529" t="s">
        <v>15</v>
      </c>
      <c r="N2529" t="s">
        <v>140</v>
      </c>
      <c r="O2529">
        <v>33</v>
      </c>
      <c r="P2529" t="s">
        <v>63</v>
      </c>
      <c r="Q2529" t="s">
        <v>85</v>
      </c>
      <c r="R2529" t="str" cm="1">
        <f t="array" ref="R2529">_xlfn.IFS(B2529&lt;31,"Young-Adult",B2529&lt;41,"Adult",B2529&lt;61,"Middle-aged",B2529&gt;=61,"Senior")</f>
        <v>Young-Adult</v>
      </c>
      <c r="S2529" cm="1">
        <f t="array" ref="S2529">_xlfn.IFS(Q2529 ="Fortnightly",14,Q2529="Weekly",7,Q2529="Monthly",30,Q2529="Quarterly",90,Q2529="Bi-Weekly",14,Q2529="Annually",365,Q2529="Every 3 Months",90,TRUE,"NOT FOUND")</f>
        <v>90</v>
      </c>
    </row>
    <row r="2530" spans="1:19" x14ac:dyDescent="0.35">
      <c r="A2530">
        <v>2529</v>
      </c>
      <c r="B2530">
        <v>52</v>
      </c>
      <c r="C2530" t="s">
        <v>7</v>
      </c>
      <c r="D2530" t="s">
        <v>94</v>
      </c>
      <c r="E2530" t="s">
        <v>55</v>
      </c>
      <c r="F2530">
        <v>47</v>
      </c>
      <c r="G2530" t="s">
        <v>78</v>
      </c>
      <c r="H2530" t="s">
        <v>24</v>
      </c>
      <c r="I2530" t="s">
        <v>88</v>
      </c>
      <c r="J2530" t="s">
        <v>45</v>
      </c>
      <c r="K2530">
        <v>4.7</v>
      </c>
      <c r="L2530" t="s">
        <v>140</v>
      </c>
      <c r="M2530" t="s">
        <v>58</v>
      </c>
      <c r="N2530" t="s">
        <v>140</v>
      </c>
      <c r="O2530">
        <v>31</v>
      </c>
      <c r="P2530" t="s">
        <v>74</v>
      </c>
      <c r="Q2530" t="s">
        <v>76</v>
      </c>
      <c r="R2530" t="str" cm="1">
        <f t="array" ref="R2530">_xlfn.IFS(B2530&lt;31,"Young-Adult",B2530&lt;41,"Adult",B2530&lt;61,"Middle-aged",B2530&gt;=61,"Senior")</f>
        <v>Middle-aged</v>
      </c>
      <c r="S2530" cm="1">
        <f t="array" ref="S2530">_xlfn.IFS(Q2530 ="Fortnightly",14,Q2530="Weekly",7,Q2530="Monthly",30,Q2530="Quarterly",90,Q2530="Bi-Weekly",14,Q2530="Annually",365,Q2530="Every 3 Months",90,TRUE,"NOT FOUND")</f>
        <v>30</v>
      </c>
    </row>
    <row r="2531" spans="1:19" x14ac:dyDescent="0.35">
      <c r="A2531">
        <v>2530</v>
      </c>
      <c r="B2531">
        <v>34</v>
      </c>
      <c r="C2531" t="s">
        <v>7</v>
      </c>
      <c r="D2531" t="s">
        <v>131</v>
      </c>
      <c r="E2531" t="s">
        <v>55</v>
      </c>
      <c r="F2531">
        <v>62</v>
      </c>
      <c r="G2531" t="s">
        <v>110</v>
      </c>
      <c r="H2531" t="s">
        <v>32</v>
      </c>
      <c r="I2531" t="s">
        <v>124</v>
      </c>
      <c r="J2531" t="s">
        <v>25</v>
      </c>
      <c r="K2531">
        <v>4.7</v>
      </c>
      <c r="L2531" t="s">
        <v>140</v>
      </c>
      <c r="M2531" t="s">
        <v>33</v>
      </c>
      <c r="N2531" t="s">
        <v>140</v>
      </c>
      <c r="O2531">
        <v>48</v>
      </c>
      <c r="P2531" t="s">
        <v>63</v>
      </c>
      <c r="Q2531" t="s">
        <v>76</v>
      </c>
      <c r="R2531" t="str" cm="1">
        <f t="array" ref="R2531">_xlfn.IFS(B2531&lt;31,"Young-Adult",B2531&lt;41,"Adult",B2531&lt;61,"Middle-aged",B2531&gt;=61,"Senior")</f>
        <v>Adult</v>
      </c>
      <c r="S2531" cm="1">
        <f t="array" ref="S2531">_xlfn.IFS(Q2531 ="Fortnightly",14,Q2531="Weekly",7,Q2531="Monthly",30,Q2531="Quarterly",90,Q2531="Bi-Weekly",14,Q2531="Annually",365,Q2531="Every 3 Months",90,TRUE,"NOT FOUND")</f>
        <v>30</v>
      </c>
    </row>
    <row r="2532" spans="1:19" x14ac:dyDescent="0.35">
      <c r="A2532">
        <v>2531</v>
      </c>
      <c r="B2532">
        <v>25</v>
      </c>
      <c r="C2532" t="s">
        <v>7</v>
      </c>
      <c r="D2532" t="s">
        <v>75</v>
      </c>
      <c r="E2532" t="s">
        <v>9</v>
      </c>
      <c r="F2532">
        <v>98</v>
      </c>
      <c r="G2532" t="s">
        <v>23</v>
      </c>
      <c r="H2532" t="s">
        <v>24</v>
      </c>
      <c r="I2532" t="s">
        <v>97</v>
      </c>
      <c r="J2532" t="s">
        <v>25</v>
      </c>
      <c r="K2532">
        <v>3.6</v>
      </c>
      <c r="L2532" t="s">
        <v>140</v>
      </c>
      <c r="M2532" t="s">
        <v>26</v>
      </c>
      <c r="N2532" t="s">
        <v>140</v>
      </c>
      <c r="O2532">
        <v>28</v>
      </c>
      <c r="P2532" t="s">
        <v>74</v>
      </c>
      <c r="Q2532" t="s">
        <v>28</v>
      </c>
      <c r="R2532" t="str" cm="1">
        <f t="array" ref="R2532">_xlfn.IFS(B2532&lt;31,"Young-Adult",B2532&lt;41,"Adult",B2532&lt;61,"Middle-aged",B2532&gt;=61,"Senior")</f>
        <v>Young-Adult</v>
      </c>
      <c r="S2532" cm="1">
        <f t="array" ref="S2532">_xlfn.IFS(Q2532 ="Fortnightly",14,Q2532="Weekly",7,Q2532="Monthly",30,Q2532="Quarterly",90,Q2532="Bi-Weekly",14,Q2532="Annually",365,Q2532="Every 3 Months",90,TRUE,"NOT FOUND")</f>
        <v>7</v>
      </c>
    </row>
    <row r="2533" spans="1:19" x14ac:dyDescent="0.35">
      <c r="A2533">
        <v>2532</v>
      </c>
      <c r="B2533">
        <v>43</v>
      </c>
      <c r="C2533" t="s">
        <v>7</v>
      </c>
      <c r="D2533" t="s">
        <v>29</v>
      </c>
      <c r="E2533" t="s">
        <v>30</v>
      </c>
      <c r="F2533">
        <v>28</v>
      </c>
      <c r="G2533" t="s">
        <v>93</v>
      </c>
      <c r="H2533" t="s">
        <v>32</v>
      </c>
      <c r="I2533" t="s">
        <v>71</v>
      </c>
      <c r="J2533" t="s">
        <v>41</v>
      </c>
      <c r="K2533">
        <v>4.5999999999999996</v>
      </c>
      <c r="L2533" t="s">
        <v>140</v>
      </c>
      <c r="M2533" t="s">
        <v>26</v>
      </c>
      <c r="N2533" t="s">
        <v>140</v>
      </c>
      <c r="O2533">
        <v>7</v>
      </c>
      <c r="P2533" t="s">
        <v>21</v>
      </c>
      <c r="Q2533" t="s">
        <v>85</v>
      </c>
      <c r="R2533" t="str" cm="1">
        <f t="array" ref="R2533">_xlfn.IFS(B2533&lt;31,"Young-Adult",B2533&lt;41,"Adult",B2533&lt;61,"Middle-aged",B2533&gt;=61,"Senior")</f>
        <v>Middle-aged</v>
      </c>
      <c r="S2533" cm="1">
        <f t="array" ref="S2533">_xlfn.IFS(Q2533 ="Fortnightly",14,Q2533="Weekly",7,Q2533="Monthly",30,Q2533="Quarterly",90,Q2533="Bi-Weekly",14,Q2533="Annually",365,Q2533="Every 3 Months",90,TRUE,"NOT FOUND")</f>
        <v>90</v>
      </c>
    </row>
    <row r="2534" spans="1:19" x14ac:dyDescent="0.35">
      <c r="A2534">
        <v>2533</v>
      </c>
      <c r="B2534">
        <v>55</v>
      </c>
      <c r="C2534" t="s">
        <v>7</v>
      </c>
      <c r="D2534" t="s">
        <v>113</v>
      </c>
      <c r="E2534" t="s">
        <v>9</v>
      </c>
      <c r="F2534">
        <v>86</v>
      </c>
      <c r="G2534" t="s">
        <v>133</v>
      </c>
      <c r="H2534" t="s">
        <v>24</v>
      </c>
      <c r="I2534" t="s">
        <v>49</v>
      </c>
      <c r="J2534" t="s">
        <v>41</v>
      </c>
      <c r="K2534">
        <v>2.6</v>
      </c>
      <c r="L2534" t="s">
        <v>140</v>
      </c>
      <c r="M2534" t="s">
        <v>33</v>
      </c>
      <c r="N2534" t="s">
        <v>140</v>
      </c>
      <c r="O2534">
        <v>4</v>
      </c>
      <c r="P2534" t="s">
        <v>74</v>
      </c>
      <c r="Q2534" t="s">
        <v>28</v>
      </c>
      <c r="R2534" t="str" cm="1">
        <f t="array" ref="R2534">_xlfn.IFS(B2534&lt;31,"Young-Adult",B2534&lt;41,"Adult",B2534&lt;61,"Middle-aged",B2534&gt;=61,"Senior")</f>
        <v>Middle-aged</v>
      </c>
      <c r="S2534" cm="1">
        <f t="array" ref="S2534">_xlfn.IFS(Q2534 ="Fortnightly",14,Q2534="Weekly",7,Q2534="Monthly",30,Q2534="Quarterly",90,Q2534="Bi-Weekly",14,Q2534="Annually",365,Q2534="Every 3 Months",90,TRUE,"NOT FOUND")</f>
        <v>7</v>
      </c>
    </row>
    <row r="2535" spans="1:19" x14ac:dyDescent="0.35">
      <c r="A2535">
        <v>2534</v>
      </c>
      <c r="B2535">
        <v>66</v>
      </c>
      <c r="C2535" t="s">
        <v>7</v>
      </c>
      <c r="D2535" t="s">
        <v>94</v>
      </c>
      <c r="E2535" t="s">
        <v>55</v>
      </c>
      <c r="F2535">
        <v>46</v>
      </c>
      <c r="G2535" t="s">
        <v>126</v>
      </c>
      <c r="H2535" t="s">
        <v>24</v>
      </c>
      <c r="I2535" t="s">
        <v>132</v>
      </c>
      <c r="J2535" t="s">
        <v>41</v>
      </c>
      <c r="K2535">
        <v>3.1</v>
      </c>
      <c r="L2535" t="s">
        <v>140</v>
      </c>
      <c r="M2535" t="s">
        <v>42</v>
      </c>
      <c r="N2535" t="s">
        <v>140</v>
      </c>
      <c r="O2535">
        <v>49</v>
      </c>
      <c r="P2535" t="s">
        <v>21</v>
      </c>
      <c r="Q2535" t="s">
        <v>64</v>
      </c>
      <c r="R2535" t="str" cm="1">
        <f t="array" ref="R2535">_xlfn.IFS(B2535&lt;31,"Young-Adult",B2535&lt;41,"Adult",B2535&lt;61,"Middle-aged",B2535&gt;=61,"Senior")</f>
        <v>Senior</v>
      </c>
      <c r="S2535" cm="1">
        <f t="array" ref="S2535">_xlfn.IFS(Q2535 ="Fortnightly",14,Q2535="Weekly",7,Q2535="Monthly",30,Q2535="Quarterly",90,Q2535="Bi-Weekly",14,Q2535="Annually",365,Q2535="Every 3 Months",90,TRUE,"NOT FOUND")</f>
        <v>14</v>
      </c>
    </row>
    <row r="2536" spans="1:19" x14ac:dyDescent="0.35">
      <c r="A2536">
        <v>2535</v>
      </c>
      <c r="B2536">
        <v>41</v>
      </c>
      <c r="C2536" t="s">
        <v>7</v>
      </c>
      <c r="D2536" t="s">
        <v>77</v>
      </c>
      <c r="E2536" t="s">
        <v>55</v>
      </c>
      <c r="F2536">
        <v>42</v>
      </c>
      <c r="G2536" t="s">
        <v>129</v>
      </c>
      <c r="H2536" t="s">
        <v>80</v>
      </c>
      <c r="I2536" t="s">
        <v>96</v>
      </c>
      <c r="J2536" t="s">
        <v>45</v>
      </c>
      <c r="K2536">
        <v>3.2</v>
      </c>
      <c r="L2536" t="s">
        <v>140</v>
      </c>
      <c r="M2536" t="s">
        <v>26</v>
      </c>
      <c r="N2536" t="s">
        <v>140</v>
      </c>
      <c r="O2536">
        <v>22</v>
      </c>
      <c r="P2536" t="s">
        <v>21</v>
      </c>
      <c r="Q2536" t="s">
        <v>28</v>
      </c>
      <c r="R2536" t="str" cm="1">
        <f t="array" ref="R2536">_xlfn.IFS(B2536&lt;31,"Young-Adult",B2536&lt;41,"Adult",B2536&lt;61,"Middle-aged",B2536&gt;=61,"Senior")</f>
        <v>Middle-aged</v>
      </c>
      <c r="S2536" cm="1">
        <f t="array" ref="S2536">_xlfn.IFS(Q2536 ="Fortnightly",14,Q2536="Weekly",7,Q2536="Monthly",30,Q2536="Quarterly",90,Q2536="Bi-Weekly",14,Q2536="Annually",365,Q2536="Every 3 Months",90,TRUE,"NOT FOUND")</f>
        <v>7</v>
      </c>
    </row>
    <row r="2537" spans="1:19" x14ac:dyDescent="0.35">
      <c r="A2537">
        <v>2536</v>
      </c>
      <c r="B2537">
        <v>47</v>
      </c>
      <c r="C2537" t="s">
        <v>7</v>
      </c>
      <c r="D2537" t="s">
        <v>50</v>
      </c>
      <c r="E2537" t="s">
        <v>51</v>
      </c>
      <c r="F2537">
        <v>80</v>
      </c>
      <c r="G2537" t="s">
        <v>117</v>
      </c>
      <c r="H2537" t="s">
        <v>24</v>
      </c>
      <c r="I2537" t="s">
        <v>61</v>
      </c>
      <c r="J2537" t="s">
        <v>13</v>
      </c>
      <c r="K2537">
        <v>3.9</v>
      </c>
      <c r="L2537" t="s">
        <v>140</v>
      </c>
      <c r="M2537" t="s">
        <v>15</v>
      </c>
      <c r="N2537" t="s">
        <v>140</v>
      </c>
      <c r="O2537">
        <v>39</v>
      </c>
      <c r="P2537" t="s">
        <v>63</v>
      </c>
      <c r="Q2537" t="s">
        <v>17</v>
      </c>
      <c r="R2537" t="str" cm="1">
        <f t="array" ref="R2537">_xlfn.IFS(B2537&lt;31,"Young-Adult",B2537&lt;41,"Adult",B2537&lt;61,"Middle-aged",B2537&gt;=61,"Senior")</f>
        <v>Middle-aged</v>
      </c>
      <c r="S2537" cm="1">
        <f t="array" ref="S2537">_xlfn.IFS(Q2537 ="Fortnightly",14,Q2537="Weekly",7,Q2537="Monthly",30,Q2537="Quarterly",90,Q2537="Bi-Weekly",14,Q2537="Annually",365,Q2537="Every 3 Months",90,TRUE,"NOT FOUND")</f>
        <v>14</v>
      </c>
    </row>
    <row r="2538" spans="1:19" x14ac:dyDescent="0.35">
      <c r="A2538">
        <v>2537</v>
      </c>
      <c r="B2538">
        <v>51</v>
      </c>
      <c r="C2538" t="s">
        <v>7</v>
      </c>
      <c r="D2538" t="s">
        <v>121</v>
      </c>
      <c r="E2538" t="s">
        <v>55</v>
      </c>
      <c r="F2538">
        <v>39</v>
      </c>
      <c r="G2538" t="s">
        <v>89</v>
      </c>
      <c r="H2538" t="s">
        <v>11</v>
      </c>
      <c r="I2538" t="s">
        <v>12</v>
      </c>
      <c r="J2538" t="s">
        <v>25</v>
      </c>
      <c r="K2538">
        <v>4.9000000000000004</v>
      </c>
      <c r="L2538" t="s">
        <v>140</v>
      </c>
      <c r="M2538" t="s">
        <v>15</v>
      </c>
      <c r="N2538" t="s">
        <v>140</v>
      </c>
      <c r="O2538">
        <v>45</v>
      </c>
      <c r="P2538" t="s">
        <v>34</v>
      </c>
      <c r="Q2538" t="s">
        <v>85</v>
      </c>
      <c r="R2538" t="str" cm="1">
        <f t="array" ref="R2538">_xlfn.IFS(B2538&lt;31,"Young-Adult",B2538&lt;41,"Adult",B2538&lt;61,"Middle-aged",B2538&gt;=61,"Senior")</f>
        <v>Middle-aged</v>
      </c>
      <c r="S2538" cm="1">
        <f t="array" ref="S2538">_xlfn.IFS(Q2538 ="Fortnightly",14,Q2538="Weekly",7,Q2538="Monthly",30,Q2538="Quarterly",90,Q2538="Bi-Weekly",14,Q2538="Annually",365,Q2538="Every 3 Months",90,TRUE,"NOT FOUND")</f>
        <v>90</v>
      </c>
    </row>
    <row r="2539" spans="1:19" x14ac:dyDescent="0.35">
      <c r="A2539">
        <v>2538</v>
      </c>
      <c r="B2539">
        <v>44</v>
      </c>
      <c r="C2539" t="s">
        <v>7</v>
      </c>
      <c r="D2539" t="s">
        <v>50</v>
      </c>
      <c r="E2539" t="s">
        <v>51</v>
      </c>
      <c r="F2539">
        <v>49</v>
      </c>
      <c r="G2539" t="s">
        <v>19</v>
      </c>
      <c r="H2539" t="s">
        <v>32</v>
      </c>
      <c r="I2539" t="s">
        <v>61</v>
      </c>
      <c r="J2539" t="s">
        <v>41</v>
      </c>
      <c r="K2539">
        <v>4.0999999999999996</v>
      </c>
      <c r="L2539" t="s">
        <v>140</v>
      </c>
      <c r="M2539" t="s">
        <v>58</v>
      </c>
      <c r="N2539" t="s">
        <v>140</v>
      </c>
      <c r="O2539">
        <v>30</v>
      </c>
      <c r="P2539" t="s">
        <v>34</v>
      </c>
      <c r="Q2539" t="s">
        <v>17</v>
      </c>
      <c r="R2539" t="str" cm="1">
        <f t="array" ref="R2539">_xlfn.IFS(B2539&lt;31,"Young-Adult",B2539&lt;41,"Adult",B2539&lt;61,"Middle-aged",B2539&gt;=61,"Senior")</f>
        <v>Middle-aged</v>
      </c>
      <c r="S2539" cm="1">
        <f t="array" ref="S2539">_xlfn.IFS(Q2539 ="Fortnightly",14,Q2539="Weekly",7,Q2539="Monthly",30,Q2539="Quarterly",90,Q2539="Bi-Weekly",14,Q2539="Annually",365,Q2539="Every 3 Months",90,TRUE,"NOT FOUND")</f>
        <v>14</v>
      </c>
    </row>
    <row r="2540" spans="1:19" x14ac:dyDescent="0.35">
      <c r="A2540">
        <v>2539</v>
      </c>
      <c r="B2540">
        <v>18</v>
      </c>
      <c r="C2540" t="s">
        <v>7</v>
      </c>
      <c r="D2540" t="s">
        <v>107</v>
      </c>
      <c r="E2540" t="s">
        <v>55</v>
      </c>
      <c r="F2540">
        <v>32</v>
      </c>
      <c r="G2540" t="s">
        <v>115</v>
      </c>
      <c r="H2540" t="s">
        <v>32</v>
      </c>
      <c r="I2540" t="s">
        <v>53</v>
      </c>
      <c r="J2540" t="s">
        <v>41</v>
      </c>
      <c r="K2540">
        <v>4.2</v>
      </c>
      <c r="L2540" t="s">
        <v>140</v>
      </c>
      <c r="M2540" t="s">
        <v>33</v>
      </c>
      <c r="N2540" t="s">
        <v>140</v>
      </c>
      <c r="O2540">
        <v>33</v>
      </c>
      <c r="P2540" t="s">
        <v>27</v>
      </c>
      <c r="Q2540" t="s">
        <v>64</v>
      </c>
      <c r="R2540" t="str" cm="1">
        <f t="array" ref="R2540">_xlfn.IFS(B2540&lt;31,"Young-Adult",B2540&lt;41,"Adult",B2540&lt;61,"Middle-aged",B2540&gt;=61,"Senior")</f>
        <v>Young-Adult</v>
      </c>
      <c r="S2540" cm="1">
        <f t="array" ref="S2540">_xlfn.IFS(Q2540 ="Fortnightly",14,Q2540="Weekly",7,Q2540="Monthly",30,Q2540="Quarterly",90,Q2540="Bi-Weekly",14,Q2540="Annually",365,Q2540="Every 3 Months",90,TRUE,"NOT FOUND")</f>
        <v>14</v>
      </c>
    </row>
    <row r="2541" spans="1:19" x14ac:dyDescent="0.35">
      <c r="A2541">
        <v>2540</v>
      </c>
      <c r="B2541">
        <v>33</v>
      </c>
      <c r="C2541" t="s">
        <v>7</v>
      </c>
      <c r="D2541" t="s">
        <v>29</v>
      </c>
      <c r="E2541" t="s">
        <v>30</v>
      </c>
      <c r="F2541">
        <v>73</v>
      </c>
      <c r="G2541" t="s">
        <v>23</v>
      </c>
      <c r="H2541" t="s">
        <v>32</v>
      </c>
      <c r="I2541" t="s">
        <v>61</v>
      </c>
      <c r="J2541" t="s">
        <v>45</v>
      </c>
      <c r="K2541">
        <v>4.0999999999999996</v>
      </c>
      <c r="L2541" t="s">
        <v>140</v>
      </c>
      <c r="M2541" t="s">
        <v>33</v>
      </c>
      <c r="N2541" t="s">
        <v>140</v>
      </c>
      <c r="O2541">
        <v>24</v>
      </c>
      <c r="P2541" t="s">
        <v>21</v>
      </c>
      <c r="Q2541" t="s">
        <v>64</v>
      </c>
      <c r="R2541" t="str" cm="1">
        <f t="array" ref="R2541">_xlfn.IFS(B2541&lt;31,"Young-Adult",B2541&lt;41,"Adult",B2541&lt;61,"Middle-aged",B2541&gt;=61,"Senior")</f>
        <v>Adult</v>
      </c>
      <c r="S2541" cm="1">
        <f t="array" ref="S2541">_xlfn.IFS(Q2541 ="Fortnightly",14,Q2541="Weekly",7,Q2541="Monthly",30,Q2541="Quarterly",90,Q2541="Bi-Weekly",14,Q2541="Annually",365,Q2541="Every 3 Months",90,TRUE,"NOT FOUND")</f>
        <v>14</v>
      </c>
    </row>
    <row r="2542" spans="1:19" x14ac:dyDescent="0.35">
      <c r="A2542">
        <v>2541</v>
      </c>
      <c r="B2542">
        <v>24</v>
      </c>
      <c r="C2542" t="s">
        <v>7</v>
      </c>
      <c r="D2542" t="s">
        <v>121</v>
      </c>
      <c r="E2542" t="s">
        <v>55</v>
      </c>
      <c r="F2542">
        <v>42</v>
      </c>
      <c r="G2542" t="s">
        <v>115</v>
      </c>
      <c r="H2542" t="s">
        <v>32</v>
      </c>
      <c r="I2542" t="s">
        <v>49</v>
      </c>
      <c r="J2542" t="s">
        <v>41</v>
      </c>
      <c r="K2542">
        <v>3.9</v>
      </c>
      <c r="L2542" t="s">
        <v>140</v>
      </c>
      <c r="M2542" t="s">
        <v>26</v>
      </c>
      <c r="N2542" t="s">
        <v>140</v>
      </c>
      <c r="O2542">
        <v>11</v>
      </c>
      <c r="P2542" t="s">
        <v>74</v>
      </c>
      <c r="Q2542" t="s">
        <v>46</v>
      </c>
      <c r="R2542" t="str" cm="1">
        <f t="array" ref="R2542">_xlfn.IFS(B2542&lt;31,"Young-Adult",B2542&lt;41,"Adult",B2542&lt;61,"Middle-aged",B2542&gt;=61,"Senior")</f>
        <v>Young-Adult</v>
      </c>
      <c r="S2542" cm="1">
        <f t="array" ref="S2542">_xlfn.IFS(Q2542 ="Fortnightly",14,Q2542="Weekly",7,Q2542="Monthly",30,Q2542="Quarterly",90,Q2542="Bi-Weekly",14,Q2542="Annually",365,Q2542="Every 3 Months",90,TRUE,"NOT FOUND")</f>
        <v>90</v>
      </c>
    </row>
    <row r="2543" spans="1:19" x14ac:dyDescent="0.35">
      <c r="A2543">
        <v>2542</v>
      </c>
      <c r="B2543">
        <v>33</v>
      </c>
      <c r="C2543" t="s">
        <v>7</v>
      </c>
      <c r="D2543" t="s">
        <v>107</v>
      </c>
      <c r="E2543" t="s">
        <v>55</v>
      </c>
      <c r="F2543">
        <v>58</v>
      </c>
      <c r="G2543" t="s">
        <v>137</v>
      </c>
      <c r="H2543" t="s">
        <v>32</v>
      </c>
      <c r="I2543" t="s">
        <v>53</v>
      </c>
      <c r="J2543" t="s">
        <v>25</v>
      </c>
      <c r="K2543">
        <v>2.7</v>
      </c>
      <c r="L2543" t="s">
        <v>140</v>
      </c>
      <c r="M2543" t="s">
        <v>33</v>
      </c>
      <c r="N2543" t="s">
        <v>140</v>
      </c>
      <c r="O2543">
        <v>13</v>
      </c>
      <c r="P2543" t="s">
        <v>16</v>
      </c>
      <c r="Q2543" t="s">
        <v>85</v>
      </c>
      <c r="R2543" t="str" cm="1">
        <f t="array" ref="R2543">_xlfn.IFS(B2543&lt;31,"Young-Adult",B2543&lt;41,"Adult",B2543&lt;61,"Middle-aged",B2543&gt;=61,"Senior")</f>
        <v>Adult</v>
      </c>
      <c r="S2543" cm="1">
        <f t="array" ref="S2543">_xlfn.IFS(Q2543 ="Fortnightly",14,Q2543="Weekly",7,Q2543="Monthly",30,Q2543="Quarterly",90,Q2543="Bi-Weekly",14,Q2543="Annually",365,Q2543="Every 3 Months",90,TRUE,"NOT FOUND")</f>
        <v>90</v>
      </c>
    </row>
    <row r="2544" spans="1:19" x14ac:dyDescent="0.35">
      <c r="A2544">
        <v>2543</v>
      </c>
      <c r="B2544">
        <v>61</v>
      </c>
      <c r="C2544" t="s">
        <v>7</v>
      </c>
      <c r="D2544" t="s">
        <v>94</v>
      </c>
      <c r="E2544" t="s">
        <v>55</v>
      </c>
      <c r="F2544">
        <v>22</v>
      </c>
      <c r="G2544" t="s">
        <v>60</v>
      </c>
      <c r="H2544" t="s">
        <v>32</v>
      </c>
      <c r="I2544" t="s">
        <v>40</v>
      </c>
      <c r="J2544" t="s">
        <v>13</v>
      </c>
      <c r="K2544">
        <v>3.7</v>
      </c>
      <c r="L2544" t="s">
        <v>140</v>
      </c>
      <c r="M2544" t="s">
        <v>15</v>
      </c>
      <c r="N2544" t="s">
        <v>140</v>
      </c>
      <c r="O2544">
        <v>27</v>
      </c>
      <c r="P2544" t="s">
        <v>34</v>
      </c>
      <c r="Q2544" t="s">
        <v>37</v>
      </c>
      <c r="R2544" t="str" cm="1">
        <f t="array" ref="R2544">_xlfn.IFS(B2544&lt;31,"Young-Adult",B2544&lt;41,"Adult",B2544&lt;61,"Middle-aged",B2544&gt;=61,"Senior")</f>
        <v>Senior</v>
      </c>
      <c r="S2544" cm="1">
        <f t="array" ref="S2544">_xlfn.IFS(Q2544 ="Fortnightly",14,Q2544="Weekly",7,Q2544="Monthly",30,Q2544="Quarterly",90,Q2544="Bi-Weekly",14,Q2544="Annually",365,Q2544="Every 3 Months",90,TRUE,"NOT FOUND")</f>
        <v>365</v>
      </c>
    </row>
    <row r="2545" spans="1:19" x14ac:dyDescent="0.35">
      <c r="A2545">
        <v>2544</v>
      </c>
      <c r="B2545">
        <v>27</v>
      </c>
      <c r="C2545" t="s">
        <v>7</v>
      </c>
      <c r="D2545" t="s">
        <v>107</v>
      </c>
      <c r="E2545" t="s">
        <v>55</v>
      </c>
      <c r="F2545">
        <v>56</v>
      </c>
      <c r="G2545" t="s">
        <v>52</v>
      </c>
      <c r="H2545" t="s">
        <v>11</v>
      </c>
      <c r="I2545" t="s">
        <v>88</v>
      </c>
      <c r="J2545" t="s">
        <v>25</v>
      </c>
      <c r="K2545">
        <v>2.7</v>
      </c>
      <c r="L2545" t="s">
        <v>140</v>
      </c>
      <c r="M2545" t="s">
        <v>33</v>
      </c>
      <c r="N2545" t="s">
        <v>140</v>
      </c>
      <c r="O2545">
        <v>30</v>
      </c>
      <c r="P2545" t="s">
        <v>34</v>
      </c>
      <c r="Q2545" t="s">
        <v>64</v>
      </c>
      <c r="R2545" t="str" cm="1">
        <f t="array" ref="R2545">_xlfn.IFS(B2545&lt;31,"Young-Adult",B2545&lt;41,"Adult",B2545&lt;61,"Middle-aged",B2545&gt;=61,"Senior")</f>
        <v>Young-Adult</v>
      </c>
      <c r="S2545" cm="1">
        <f t="array" ref="S2545">_xlfn.IFS(Q2545 ="Fortnightly",14,Q2545="Weekly",7,Q2545="Monthly",30,Q2545="Quarterly",90,Q2545="Bi-Weekly",14,Q2545="Annually",365,Q2545="Every 3 Months",90,TRUE,"NOT FOUND")</f>
        <v>14</v>
      </c>
    </row>
    <row r="2546" spans="1:19" x14ac:dyDescent="0.35">
      <c r="A2546">
        <v>2545</v>
      </c>
      <c r="B2546">
        <v>46</v>
      </c>
      <c r="C2546" t="s">
        <v>7</v>
      </c>
      <c r="D2546" t="s">
        <v>83</v>
      </c>
      <c r="E2546" t="s">
        <v>9</v>
      </c>
      <c r="F2546">
        <v>70</v>
      </c>
      <c r="G2546" t="s">
        <v>67</v>
      </c>
      <c r="H2546" t="s">
        <v>32</v>
      </c>
      <c r="I2546" t="s">
        <v>96</v>
      </c>
      <c r="J2546" t="s">
        <v>25</v>
      </c>
      <c r="K2546">
        <v>2.5</v>
      </c>
      <c r="L2546" t="s">
        <v>140</v>
      </c>
      <c r="M2546" t="s">
        <v>33</v>
      </c>
      <c r="N2546" t="s">
        <v>140</v>
      </c>
      <c r="O2546">
        <v>39</v>
      </c>
      <c r="P2546" t="s">
        <v>16</v>
      </c>
      <c r="Q2546" t="s">
        <v>46</v>
      </c>
      <c r="R2546" t="str" cm="1">
        <f t="array" ref="R2546">_xlfn.IFS(B2546&lt;31,"Young-Adult",B2546&lt;41,"Adult",B2546&lt;61,"Middle-aged",B2546&gt;=61,"Senior")</f>
        <v>Middle-aged</v>
      </c>
      <c r="S2546" cm="1">
        <f t="array" ref="S2546">_xlfn.IFS(Q2546 ="Fortnightly",14,Q2546="Weekly",7,Q2546="Monthly",30,Q2546="Quarterly",90,Q2546="Bi-Weekly",14,Q2546="Annually",365,Q2546="Every 3 Months",90,TRUE,"NOT FOUND")</f>
        <v>90</v>
      </c>
    </row>
    <row r="2547" spans="1:19" x14ac:dyDescent="0.35">
      <c r="A2547">
        <v>2546</v>
      </c>
      <c r="B2547">
        <v>38</v>
      </c>
      <c r="C2547" t="s">
        <v>7</v>
      </c>
      <c r="D2547" t="s">
        <v>59</v>
      </c>
      <c r="E2547" t="s">
        <v>30</v>
      </c>
      <c r="F2547">
        <v>50</v>
      </c>
      <c r="G2547" t="s">
        <v>93</v>
      </c>
      <c r="H2547" t="s">
        <v>11</v>
      </c>
      <c r="I2547" t="s">
        <v>66</v>
      </c>
      <c r="J2547" t="s">
        <v>25</v>
      </c>
      <c r="K2547">
        <v>3.9</v>
      </c>
      <c r="L2547" t="s">
        <v>140</v>
      </c>
      <c r="M2547" t="s">
        <v>26</v>
      </c>
      <c r="N2547" t="s">
        <v>140</v>
      </c>
      <c r="O2547">
        <v>10</v>
      </c>
      <c r="P2547" t="s">
        <v>74</v>
      </c>
      <c r="Q2547" t="s">
        <v>37</v>
      </c>
      <c r="R2547" t="str" cm="1">
        <f t="array" ref="R2547">_xlfn.IFS(B2547&lt;31,"Young-Adult",B2547&lt;41,"Adult",B2547&lt;61,"Middle-aged",B2547&gt;=61,"Senior")</f>
        <v>Adult</v>
      </c>
      <c r="S2547" cm="1">
        <f t="array" ref="S2547">_xlfn.IFS(Q2547 ="Fortnightly",14,Q2547="Weekly",7,Q2547="Monthly",30,Q2547="Quarterly",90,Q2547="Bi-Weekly",14,Q2547="Annually",365,Q2547="Every 3 Months",90,TRUE,"NOT FOUND")</f>
        <v>365</v>
      </c>
    </row>
    <row r="2548" spans="1:19" x14ac:dyDescent="0.35">
      <c r="A2548">
        <v>2547</v>
      </c>
      <c r="B2548">
        <v>63</v>
      </c>
      <c r="C2548" t="s">
        <v>7</v>
      </c>
      <c r="D2548" t="s">
        <v>125</v>
      </c>
      <c r="E2548" t="s">
        <v>30</v>
      </c>
      <c r="F2548">
        <v>21</v>
      </c>
      <c r="G2548" t="s">
        <v>93</v>
      </c>
      <c r="H2548" t="s">
        <v>11</v>
      </c>
      <c r="I2548" t="s">
        <v>12</v>
      </c>
      <c r="J2548" t="s">
        <v>41</v>
      </c>
      <c r="K2548">
        <v>3</v>
      </c>
      <c r="L2548" t="s">
        <v>140</v>
      </c>
      <c r="M2548" t="s">
        <v>15</v>
      </c>
      <c r="N2548" t="s">
        <v>140</v>
      </c>
      <c r="O2548">
        <v>4</v>
      </c>
      <c r="P2548" t="s">
        <v>27</v>
      </c>
      <c r="Q2548" t="s">
        <v>46</v>
      </c>
      <c r="R2548" t="str" cm="1">
        <f t="array" ref="R2548">_xlfn.IFS(B2548&lt;31,"Young-Adult",B2548&lt;41,"Adult",B2548&lt;61,"Middle-aged",B2548&gt;=61,"Senior")</f>
        <v>Senior</v>
      </c>
      <c r="S2548" cm="1">
        <f t="array" ref="S2548">_xlfn.IFS(Q2548 ="Fortnightly",14,Q2548="Weekly",7,Q2548="Monthly",30,Q2548="Quarterly",90,Q2548="Bi-Weekly",14,Q2548="Annually",365,Q2548="Every 3 Months",90,TRUE,"NOT FOUND")</f>
        <v>90</v>
      </c>
    </row>
    <row r="2549" spans="1:19" x14ac:dyDescent="0.35">
      <c r="A2549">
        <v>2548</v>
      </c>
      <c r="B2549">
        <v>47</v>
      </c>
      <c r="C2549" t="s">
        <v>7</v>
      </c>
      <c r="D2549" t="s">
        <v>90</v>
      </c>
      <c r="E2549" t="s">
        <v>51</v>
      </c>
      <c r="F2549">
        <v>97</v>
      </c>
      <c r="G2549" t="s">
        <v>79</v>
      </c>
      <c r="H2549" t="s">
        <v>32</v>
      </c>
      <c r="I2549" t="s">
        <v>106</v>
      </c>
      <c r="J2549" t="s">
        <v>41</v>
      </c>
      <c r="K2549">
        <v>3.2</v>
      </c>
      <c r="L2549" t="s">
        <v>140</v>
      </c>
      <c r="M2549" t="s">
        <v>58</v>
      </c>
      <c r="N2549" t="s">
        <v>140</v>
      </c>
      <c r="O2549">
        <v>16</v>
      </c>
      <c r="P2549" t="s">
        <v>21</v>
      </c>
      <c r="Q2549" t="s">
        <v>28</v>
      </c>
      <c r="R2549" t="str" cm="1">
        <f t="array" ref="R2549">_xlfn.IFS(B2549&lt;31,"Young-Adult",B2549&lt;41,"Adult",B2549&lt;61,"Middle-aged",B2549&gt;=61,"Senior")</f>
        <v>Middle-aged</v>
      </c>
      <c r="S2549" cm="1">
        <f t="array" ref="S2549">_xlfn.IFS(Q2549 ="Fortnightly",14,Q2549="Weekly",7,Q2549="Monthly",30,Q2549="Quarterly",90,Q2549="Bi-Weekly",14,Q2549="Annually",365,Q2549="Every 3 Months",90,TRUE,"NOT FOUND")</f>
        <v>7</v>
      </c>
    </row>
    <row r="2550" spans="1:19" x14ac:dyDescent="0.35">
      <c r="A2550">
        <v>2549</v>
      </c>
      <c r="B2550">
        <v>42</v>
      </c>
      <c r="C2550" t="s">
        <v>7</v>
      </c>
      <c r="D2550" t="s">
        <v>120</v>
      </c>
      <c r="E2550" t="s">
        <v>55</v>
      </c>
      <c r="F2550">
        <v>63</v>
      </c>
      <c r="G2550" t="s">
        <v>93</v>
      </c>
      <c r="H2550" t="s">
        <v>11</v>
      </c>
      <c r="I2550" t="s">
        <v>57</v>
      </c>
      <c r="J2550" t="s">
        <v>13</v>
      </c>
      <c r="K2550">
        <v>3.8</v>
      </c>
      <c r="L2550" t="s">
        <v>140</v>
      </c>
      <c r="M2550" t="s">
        <v>42</v>
      </c>
      <c r="N2550" t="s">
        <v>140</v>
      </c>
      <c r="O2550">
        <v>34</v>
      </c>
      <c r="P2550" t="s">
        <v>27</v>
      </c>
      <c r="Q2550" t="s">
        <v>76</v>
      </c>
      <c r="R2550" t="str" cm="1">
        <f t="array" ref="R2550">_xlfn.IFS(B2550&lt;31,"Young-Adult",B2550&lt;41,"Adult",B2550&lt;61,"Middle-aged",B2550&gt;=61,"Senior")</f>
        <v>Middle-aged</v>
      </c>
      <c r="S2550" cm="1">
        <f t="array" ref="S2550">_xlfn.IFS(Q2550 ="Fortnightly",14,Q2550="Weekly",7,Q2550="Monthly",30,Q2550="Quarterly",90,Q2550="Bi-Weekly",14,Q2550="Annually",365,Q2550="Every 3 Months",90,TRUE,"NOT FOUND")</f>
        <v>30</v>
      </c>
    </row>
    <row r="2551" spans="1:19" x14ac:dyDescent="0.35">
      <c r="A2551">
        <v>2550</v>
      </c>
      <c r="B2551">
        <v>41</v>
      </c>
      <c r="C2551" t="s">
        <v>7</v>
      </c>
      <c r="D2551" t="s">
        <v>90</v>
      </c>
      <c r="E2551" t="s">
        <v>51</v>
      </c>
      <c r="F2551">
        <v>60</v>
      </c>
      <c r="G2551" t="s">
        <v>129</v>
      </c>
      <c r="H2551" t="s">
        <v>32</v>
      </c>
      <c r="I2551" t="s">
        <v>96</v>
      </c>
      <c r="J2551" t="s">
        <v>45</v>
      </c>
      <c r="K2551">
        <v>2.7</v>
      </c>
      <c r="L2551" t="s">
        <v>140</v>
      </c>
      <c r="M2551" t="s">
        <v>42</v>
      </c>
      <c r="N2551" t="s">
        <v>140</v>
      </c>
      <c r="O2551">
        <v>11</v>
      </c>
      <c r="P2551" t="s">
        <v>74</v>
      </c>
      <c r="Q2551" t="s">
        <v>85</v>
      </c>
      <c r="R2551" t="str" cm="1">
        <f t="array" ref="R2551">_xlfn.IFS(B2551&lt;31,"Young-Adult",B2551&lt;41,"Adult",B2551&lt;61,"Middle-aged",B2551&gt;=61,"Senior")</f>
        <v>Middle-aged</v>
      </c>
      <c r="S2551" cm="1">
        <f t="array" ref="S2551">_xlfn.IFS(Q2551 ="Fortnightly",14,Q2551="Weekly",7,Q2551="Monthly",30,Q2551="Quarterly",90,Q2551="Bi-Weekly",14,Q2551="Annually",365,Q2551="Every 3 Months",90,TRUE,"NOT FOUND")</f>
        <v>90</v>
      </c>
    </row>
    <row r="2552" spans="1:19" x14ac:dyDescent="0.35">
      <c r="A2552">
        <v>2551</v>
      </c>
      <c r="B2552">
        <v>53</v>
      </c>
      <c r="C2552" t="s">
        <v>7</v>
      </c>
      <c r="D2552" t="s">
        <v>125</v>
      </c>
      <c r="E2552" t="s">
        <v>30</v>
      </c>
      <c r="F2552">
        <v>52</v>
      </c>
      <c r="G2552" t="s">
        <v>70</v>
      </c>
      <c r="H2552" t="s">
        <v>80</v>
      </c>
      <c r="I2552" t="s">
        <v>88</v>
      </c>
      <c r="J2552" t="s">
        <v>45</v>
      </c>
      <c r="K2552">
        <v>3</v>
      </c>
      <c r="L2552" t="s">
        <v>140</v>
      </c>
      <c r="M2552" t="s">
        <v>62</v>
      </c>
      <c r="N2552" t="s">
        <v>140</v>
      </c>
      <c r="O2552">
        <v>30</v>
      </c>
      <c r="P2552" t="s">
        <v>74</v>
      </c>
      <c r="Q2552" t="s">
        <v>17</v>
      </c>
      <c r="R2552" t="str" cm="1">
        <f t="array" ref="R2552">_xlfn.IFS(B2552&lt;31,"Young-Adult",B2552&lt;41,"Adult",B2552&lt;61,"Middle-aged",B2552&gt;=61,"Senior")</f>
        <v>Middle-aged</v>
      </c>
      <c r="S2552" cm="1">
        <f t="array" ref="S2552">_xlfn.IFS(Q2552 ="Fortnightly",14,Q2552="Weekly",7,Q2552="Monthly",30,Q2552="Quarterly",90,Q2552="Bi-Weekly",14,Q2552="Annually",365,Q2552="Every 3 Months",90,TRUE,"NOT FOUND")</f>
        <v>14</v>
      </c>
    </row>
    <row r="2553" spans="1:19" x14ac:dyDescent="0.35">
      <c r="A2553">
        <v>2552</v>
      </c>
      <c r="B2553">
        <v>29</v>
      </c>
      <c r="C2553" t="s">
        <v>7</v>
      </c>
      <c r="D2553" t="s">
        <v>59</v>
      </c>
      <c r="E2553" t="s">
        <v>30</v>
      </c>
      <c r="F2553">
        <v>32</v>
      </c>
      <c r="G2553" t="s">
        <v>136</v>
      </c>
      <c r="H2553" t="s">
        <v>32</v>
      </c>
      <c r="I2553" t="s">
        <v>20</v>
      </c>
      <c r="J2553" t="s">
        <v>13</v>
      </c>
      <c r="K2553">
        <v>4.0999999999999996</v>
      </c>
      <c r="L2553" t="s">
        <v>140</v>
      </c>
      <c r="M2553" t="s">
        <v>33</v>
      </c>
      <c r="N2553" t="s">
        <v>140</v>
      </c>
      <c r="O2553">
        <v>40</v>
      </c>
      <c r="P2553" t="s">
        <v>74</v>
      </c>
      <c r="Q2553" t="s">
        <v>37</v>
      </c>
      <c r="R2553" t="str" cm="1">
        <f t="array" ref="R2553">_xlfn.IFS(B2553&lt;31,"Young-Adult",B2553&lt;41,"Adult",B2553&lt;61,"Middle-aged",B2553&gt;=61,"Senior")</f>
        <v>Young-Adult</v>
      </c>
      <c r="S2553" cm="1">
        <f t="array" ref="S2553">_xlfn.IFS(Q2553 ="Fortnightly",14,Q2553="Weekly",7,Q2553="Monthly",30,Q2553="Quarterly",90,Q2553="Bi-Weekly",14,Q2553="Annually",365,Q2553="Every 3 Months",90,TRUE,"NOT FOUND")</f>
        <v>365</v>
      </c>
    </row>
    <row r="2554" spans="1:19" x14ac:dyDescent="0.35">
      <c r="A2554">
        <v>2553</v>
      </c>
      <c r="B2554">
        <v>61</v>
      </c>
      <c r="C2554" t="s">
        <v>7</v>
      </c>
      <c r="D2554" t="s">
        <v>121</v>
      </c>
      <c r="E2554" t="s">
        <v>55</v>
      </c>
      <c r="F2554">
        <v>48</v>
      </c>
      <c r="G2554" t="s">
        <v>116</v>
      </c>
      <c r="H2554" t="s">
        <v>80</v>
      </c>
      <c r="I2554" t="s">
        <v>61</v>
      </c>
      <c r="J2554" t="s">
        <v>25</v>
      </c>
      <c r="K2554">
        <v>3.2</v>
      </c>
      <c r="L2554" t="s">
        <v>140</v>
      </c>
      <c r="M2554" t="s">
        <v>58</v>
      </c>
      <c r="N2554" t="s">
        <v>140</v>
      </c>
      <c r="O2554">
        <v>13</v>
      </c>
      <c r="P2554" t="s">
        <v>27</v>
      </c>
      <c r="Q2554" t="s">
        <v>37</v>
      </c>
      <c r="R2554" t="str" cm="1">
        <f t="array" ref="R2554">_xlfn.IFS(B2554&lt;31,"Young-Adult",B2554&lt;41,"Adult",B2554&lt;61,"Middle-aged",B2554&gt;=61,"Senior")</f>
        <v>Senior</v>
      </c>
      <c r="S2554" cm="1">
        <f t="array" ref="S2554">_xlfn.IFS(Q2554 ="Fortnightly",14,Q2554="Weekly",7,Q2554="Monthly",30,Q2554="Quarterly",90,Q2554="Bi-Weekly",14,Q2554="Annually",365,Q2554="Every 3 Months",90,TRUE,"NOT FOUND")</f>
        <v>365</v>
      </c>
    </row>
    <row r="2555" spans="1:19" x14ac:dyDescent="0.35">
      <c r="A2555">
        <v>2554</v>
      </c>
      <c r="B2555">
        <v>69</v>
      </c>
      <c r="C2555" t="s">
        <v>7</v>
      </c>
      <c r="D2555" t="s">
        <v>94</v>
      </c>
      <c r="E2555" t="s">
        <v>55</v>
      </c>
      <c r="F2555">
        <v>25</v>
      </c>
      <c r="G2555" t="s">
        <v>117</v>
      </c>
      <c r="H2555" t="s">
        <v>32</v>
      </c>
      <c r="I2555" t="s">
        <v>20</v>
      </c>
      <c r="J2555" t="s">
        <v>41</v>
      </c>
      <c r="K2555">
        <v>4.5</v>
      </c>
      <c r="L2555" t="s">
        <v>140</v>
      </c>
      <c r="M2555" t="s">
        <v>62</v>
      </c>
      <c r="N2555" t="s">
        <v>140</v>
      </c>
      <c r="O2555">
        <v>28</v>
      </c>
      <c r="P2555" t="s">
        <v>16</v>
      </c>
      <c r="Q2555" t="s">
        <v>85</v>
      </c>
      <c r="R2555" t="str" cm="1">
        <f t="array" ref="R2555">_xlfn.IFS(B2555&lt;31,"Young-Adult",B2555&lt;41,"Adult",B2555&lt;61,"Middle-aged",B2555&gt;=61,"Senior")</f>
        <v>Senior</v>
      </c>
      <c r="S2555" cm="1">
        <f t="array" ref="S2555">_xlfn.IFS(Q2555 ="Fortnightly",14,Q2555="Weekly",7,Q2555="Monthly",30,Q2555="Quarterly",90,Q2555="Bi-Weekly",14,Q2555="Annually",365,Q2555="Every 3 Months",90,TRUE,"NOT FOUND")</f>
        <v>90</v>
      </c>
    </row>
    <row r="2556" spans="1:19" x14ac:dyDescent="0.35">
      <c r="A2556">
        <v>2555</v>
      </c>
      <c r="B2556">
        <v>51</v>
      </c>
      <c r="C2556" t="s">
        <v>7</v>
      </c>
      <c r="D2556" t="s">
        <v>94</v>
      </c>
      <c r="E2556" t="s">
        <v>55</v>
      </c>
      <c r="F2556">
        <v>68</v>
      </c>
      <c r="G2556" t="s">
        <v>99</v>
      </c>
      <c r="H2556" t="s">
        <v>32</v>
      </c>
      <c r="I2556" t="s">
        <v>12</v>
      </c>
      <c r="J2556" t="s">
        <v>41</v>
      </c>
      <c r="K2556">
        <v>4.3</v>
      </c>
      <c r="L2556" t="s">
        <v>140</v>
      </c>
      <c r="M2556" t="s">
        <v>62</v>
      </c>
      <c r="N2556" t="s">
        <v>140</v>
      </c>
      <c r="O2556">
        <v>49</v>
      </c>
      <c r="P2556" t="s">
        <v>74</v>
      </c>
      <c r="Q2556" t="s">
        <v>64</v>
      </c>
      <c r="R2556" t="str" cm="1">
        <f t="array" ref="R2556">_xlfn.IFS(B2556&lt;31,"Young-Adult",B2556&lt;41,"Adult",B2556&lt;61,"Middle-aged",B2556&gt;=61,"Senior")</f>
        <v>Middle-aged</v>
      </c>
      <c r="S2556" cm="1">
        <f t="array" ref="S2556">_xlfn.IFS(Q2556 ="Fortnightly",14,Q2556="Weekly",7,Q2556="Monthly",30,Q2556="Quarterly",90,Q2556="Bi-Weekly",14,Q2556="Annually",365,Q2556="Every 3 Months",90,TRUE,"NOT FOUND")</f>
        <v>14</v>
      </c>
    </row>
    <row r="2557" spans="1:19" x14ac:dyDescent="0.35">
      <c r="A2557">
        <v>2556</v>
      </c>
      <c r="B2557">
        <v>24</v>
      </c>
      <c r="C2557" t="s">
        <v>7</v>
      </c>
      <c r="D2557" t="s">
        <v>83</v>
      </c>
      <c r="E2557" t="s">
        <v>9</v>
      </c>
      <c r="F2557">
        <v>74</v>
      </c>
      <c r="G2557" t="s">
        <v>123</v>
      </c>
      <c r="H2557" t="s">
        <v>32</v>
      </c>
      <c r="I2557" t="s">
        <v>12</v>
      </c>
      <c r="J2557" t="s">
        <v>45</v>
      </c>
      <c r="K2557">
        <v>3.5</v>
      </c>
      <c r="L2557" t="s">
        <v>140</v>
      </c>
      <c r="M2557" t="s">
        <v>42</v>
      </c>
      <c r="N2557" t="s">
        <v>140</v>
      </c>
      <c r="O2557">
        <v>23</v>
      </c>
      <c r="P2557" t="s">
        <v>27</v>
      </c>
      <c r="Q2557" t="s">
        <v>28</v>
      </c>
      <c r="R2557" t="str" cm="1">
        <f t="array" ref="R2557">_xlfn.IFS(B2557&lt;31,"Young-Adult",B2557&lt;41,"Adult",B2557&lt;61,"Middle-aged",B2557&gt;=61,"Senior")</f>
        <v>Young-Adult</v>
      </c>
      <c r="S2557" cm="1">
        <f t="array" ref="S2557">_xlfn.IFS(Q2557 ="Fortnightly",14,Q2557="Weekly",7,Q2557="Monthly",30,Q2557="Quarterly",90,Q2557="Bi-Weekly",14,Q2557="Annually",365,Q2557="Every 3 Months",90,TRUE,"NOT FOUND")</f>
        <v>7</v>
      </c>
    </row>
    <row r="2558" spans="1:19" x14ac:dyDescent="0.35">
      <c r="A2558">
        <v>2557</v>
      </c>
      <c r="B2558">
        <v>24</v>
      </c>
      <c r="C2558" t="s">
        <v>7</v>
      </c>
      <c r="D2558" t="s">
        <v>101</v>
      </c>
      <c r="E2558" t="s">
        <v>9</v>
      </c>
      <c r="F2558">
        <v>88</v>
      </c>
      <c r="G2558" t="s">
        <v>44</v>
      </c>
      <c r="H2558" t="s">
        <v>80</v>
      </c>
      <c r="I2558" t="s">
        <v>124</v>
      </c>
      <c r="J2558" t="s">
        <v>45</v>
      </c>
      <c r="K2558">
        <v>3.1</v>
      </c>
      <c r="L2558" t="s">
        <v>140</v>
      </c>
      <c r="M2558" t="s">
        <v>42</v>
      </c>
      <c r="N2558" t="s">
        <v>140</v>
      </c>
      <c r="O2558">
        <v>4</v>
      </c>
      <c r="P2558" t="s">
        <v>63</v>
      </c>
      <c r="Q2558" t="s">
        <v>46</v>
      </c>
      <c r="R2558" t="str" cm="1">
        <f t="array" ref="R2558">_xlfn.IFS(B2558&lt;31,"Young-Adult",B2558&lt;41,"Adult",B2558&lt;61,"Middle-aged",B2558&gt;=61,"Senior")</f>
        <v>Young-Adult</v>
      </c>
      <c r="S2558" cm="1">
        <f t="array" ref="S2558">_xlfn.IFS(Q2558 ="Fortnightly",14,Q2558="Weekly",7,Q2558="Monthly",30,Q2558="Quarterly",90,Q2558="Bi-Weekly",14,Q2558="Annually",365,Q2558="Every 3 Months",90,TRUE,"NOT FOUND")</f>
        <v>90</v>
      </c>
    </row>
    <row r="2559" spans="1:19" x14ac:dyDescent="0.35">
      <c r="A2559">
        <v>2558</v>
      </c>
      <c r="B2559">
        <v>70</v>
      </c>
      <c r="C2559" t="s">
        <v>7</v>
      </c>
      <c r="D2559" t="s">
        <v>47</v>
      </c>
      <c r="E2559" t="s">
        <v>9</v>
      </c>
      <c r="F2559">
        <v>23</v>
      </c>
      <c r="G2559" t="s">
        <v>89</v>
      </c>
      <c r="H2559" t="s">
        <v>11</v>
      </c>
      <c r="I2559" t="s">
        <v>97</v>
      </c>
      <c r="J2559" t="s">
        <v>25</v>
      </c>
      <c r="K2559">
        <v>3.9</v>
      </c>
      <c r="L2559" t="s">
        <v>140</v>
      </c>
      <c r="M2559" t="s">
        <v>42</v>
      </c>
      <c r="N2559" t="s">
        <v>140</v>
      </c>
      <c r="O2559">
        <v>17</v>
      </c>
      <c r="P2559" t="s">
        <v>34</v>
      </c>
      <c r="Q2559" t="s">
        <v>17</v>
      </c>
      <c r="R2559" t="str" cm="1">
        <f t="array" ref="R2559">_xlfn.IFS(B2559&lt;31,"Young-Adult",B2559&lt;41,"Adult",B2559&lt;61,"Middle-aged",B2559&gt;=61,"Senior")</f>
        <v>Senior</v>
      </c>
      <c r="S2559" cm="1">
        <f t="array" ref="S2559">_xlfn.IFS(Q2559 ="Fortnightly",14,Q2559="Weekly",7,Q2559="Monthly",30,Q2559="Quarterly",90,Q2559="Bi-Weekly",14,Q2559="Annually",365,Q2559="Every 3 Months",90,TRUE,"NOT FOUND")</f>
        <v>14</v>
      </c>
    </row>
    <row r="2560" spans="1:19" x14ac:dyDescent="0.35">
      <c r="A2560">
        <v>2559</v>
      </c>
      <c r="B2560">
        <v>49</v>
      </c>
      <c r="C2560" t="s">
        <v>7</v>
      </c>
      <c r="D2560" t="s">
        <v>92</v>
      </c>
      <c r="E2560" t="s">
        <v>9</v>
      </c>
      <c r="F2560">
        <v>32</v>
      </c>
      <c r="G2560" t="s">
        <v>87</v>
      </c>
      <c r="H2560" t="s">
        <v>32</v>
      </c>
      <c r="I2560" t="s">
        <v>53</v>
      </c>
      <c r="J2560" t="s">
        <v>45</v>
      </c>
      <c r="K2560">
        <v>2.7</v>
      </c>
      <c r="L2560" t="s">
        <v>140</v>
      </c>
      <c r="M2560" t="s">
        <v>15</v>
      </c>
      <c r="N2560" t="s">
        <v>140</v>
      </c>
      <c r="O2560">
        <v>24</v>
      </c>
      <c r="P2560" t="s">
        <v>34</v>
      </c>
      <c r="Q2560" t="s">
        <v>17</v>
      </c>
      <c r="R2560" t="str" cm="1">
        <f t="array" ref="R2560">_xlfn.IFS(B2560&lt;31,"Young-Adult",B2560&lt;41,"Adult",B2560&lt;61,"Middle-aged",B2560&gt;=61,"Senior")</f>
        <v>Middle-aged</v>
      </c>
      <c r="S2560" cm="1">
        <f t="array" ref="S2560">_xlfn.IFS(Q2560 ="Fortnightly",14,Q2560="Weekly",7,Q2560="Monthly",30,Q2560="Quarterly",90,Q2560="Bi-Weekly",14,Q2560="Annually",365,Q2560="Every 3 Months",90,TRUE,"NOT FOUND")</f>
        <v>14</v>
      </c>
    </row>
    <row r="2561" spans="1:19" x14ac:dyDescent="0.35">
      <c r="A2561">
        <v>2560</v>
      </c>
      <c r="B2561">
        <v>48</v>
      </c>
      <c r="C2561" t="s">
        <v>7</v>
      </c>
      <c r="D2561" t="s">
        <v>121</v>
      </c>
      <c r="E2561" t="s">
        <v>55</v>
      </c>
      <c r="F2561">
        <v>71</v>
      </c>
      <c r="G2561" t="s">
        <v>79</v>
      </c>
      <c r="H2561" t="s">
        <v>24</v>
      </c>
      <c r="I2561" t="s">
        <v>84</v>
      </c>
      <c r="J2561" t="s">
        <v>13</v>
      </c>
      <c r="K2561">
        <v>4</v>
      </c>
      <c r="L2561" t="s">
        <v>140</v>
      </c>
      <c r="M2561" t="s">
        <v>26</v>
      </c>
      <c r="N2561" t="s">
        <v>140</v>
      </c>
      <c r="O2561">
        <v>21</v>
      </c>
      <c r="P2561" t="s">
        <v>74</v>
      </c>
      <c r="Q2561" t="s">
        <v>85</v>
      </c>
      <c r="R2561" t="str" cm="1">
        <f t="array" ref="R2561">_xlfn.IFS(B2561&lt;31,"Young-Adult",B2561&lt;41,"Adult",B2561&lt;61,"Middle-aged",B2561&gt;=61,"Senior")</f>
        <v>Middle-aged</v>
      </c>
      <c r="S2561" cm="1">
        <f t="array" ref="S2561">_xlfn.IFS(Q2561 ="Fortnightly",14,Q2561="Weekly",7,Q2561="Monthly",30,Q2561="Quarterly",90,Q2561="Bi-Weekly",14,Q2561="Annually",365,Q2561="Every 3 Months",90,TRUE,"NOT FOUND")</f>
        <v>90</v>
      </c>
    </row>
    <row r="2562" spans="1:19" x14ac:dyDescent="0.35">
      <c r="A2562">
        <v>2561</v>
      </c>
      <c r="B2562">
        <v>58</v>
      </c>
      <c r="C2562" t="s">
        <v>7</v>
      </c>
      <c r="D2562" t="s">
        <v>125</v>
      </c>
      <c r="E2562" t="s">
        <v>30</v>
      </c>
      <c r="F2562">
        <v>62</v>
      </c>
      <c r="G2562" t="s">
        <v>87</v>
      </c>
      <c r="H2562" t="s">
        <v>32</v>
      </c>
      <c r="I2562" t="s">
        <v>71</v>
      </c>
      <c r="J2562" t="s">
        <v>25</v>
      </c>
      <c r="K2562">
        <v>2.7</v>
      </c>
      <c r="L2562" t="s">
        <v>140</v>
      </c>
      <c r="M2562" t="s">
        <v>33</v>
      </c>
      <c r="N2562" t="s">
        <v>140</v>
      </c>
      <c r="O2562">
        <v>17</v>
      </c>
      <c r="P2562" t="s">
        <v>74</v>
      </c>
      <c r="Q2562" t="s">
        <v>64</v>
      </c>
      <c r="R2562" t="str" cm="1">
        <f t="array" ref="R2562">_xlfn.IFS(B2562&lt;31,"Young-Adult",B2562&lt;41,"Adult",B2562&lt;61,"Middle-aged",B2562&gt;=61,"Senior")</f>
        <v>Middle-aged</v>
      </c>
      <c r="S2562" cm="1">
        <f t="array" ref="S2562">_xlfn.IFS(Q2562 ="Fortnightly",14,Q2562="Weekly",7,Q2562="Monthly",30,Q2562="Quarterly",90,Q2562="Bi-Weekly",14,Q2562="Annually",365,Q2562="Every 3 Months",90,TRUE,"NOT FOUND")</f>
        <v>14</v>
      </c>
    </row>
    <row r="2563" spans="1:19" x14ac:dyDescent="0.35">
      <c r="A2563">
        <v>2562</v>
      </c>
      <c r="B2563">
        <v>32</v>
      </c>
      <c r="C2563" t="s">
        <v>7</v>
      </c>
      <c r="D2563" t="s">
        <v>92</v>
      </c>
      <c r="E2563" t="s">
        <v>9</v>
      </c>
      <c r="F2563">
        <v>20</v>
      </c>
      <c r="G2563" t="s">
        <v>72</v>
      </c>
      <c r="H2563" t="s">
        <v>11</v>
      </c>
      <c r="I2563" t="s">
        <v>124</v>
      </c>
      <c r="J2563" t="s">
        <v>25</v>
      </c>
      <c r="K2563">
        <v>2.7</v>
      </c>
      <c r="L2563" t="s">
        <v>140</v>
      </c>
      <c r="M2563" t="s">
        <v>26</v>
      </c>
      <c r="N2563" t="s">
        <v>140</v>
      </c>
      <c r="O2563">
        <v>22</v>
      </c>
      <c r="P2563" t="s">
        <v>74</v>
      </c>
      <c r="Q2563" t="s">
        <v>46</v>
      </c>
      <c r="R2563" t="str" cm="1">
        <f t="array" ref="R2563">_xlfn.IFS(B2563&lt;31,"Young-Adult",B2563&lt;41,"Adult",B2563&lt;61,"Middle-aged",B2563&gt;=61,"Senior")</f>
        <v>Adult</v>
      </c>
      <c r="S2563" cm="1">
        <f t="array" ref="S2563">_xlfn.IFS(Q2563 ="Fortnightly",14,Q2563="Weekly",7,Q2563="Monthly",30,Q2563="Quarterly",90,Q2563="Bi-Weekly",14,Q2563="Annually",365,Q2563="Every 3 Months",90,TRUE,"NOT FOUND")</f>
        <v>90</v>
      </c>
    </row>
    <row r="2564" spans="1:19" x14ac:dyDescent="0.35">
      <c r="A2564">
        <v>2563</v>
      </c>
      <c r="B2564">
        <v>57</v>
      </c>
      <c r="C2564" t="s">
        <v>7</v>
      </c>
      <c r="D2564" t="s">
        <v>47</v>
      </c>
      <c r="E2564" t="s">
        <v>9</v>
      </c>
      <c r="F2564">
        <v>62</v>
      </c>
      <c r="G2564" t="s">
        <v>105</v>
      </c>
      <c r="H2564" t="s">
        <v>80</v>
      </c>
      <c r="I2564" t="s">
        <v>122</v>
      </c>
      <c r="J2564" t="s">
        <v>25</v>
      </c>
      <c r="K2564">
        <v>4.7</v>
      </c>
      <c r="L2564" t="s">
        <v>140</v>
      </c>
      <c r="M2564" t="s">
        <v>42</v>
      </c>
      <c r="N2564" t="s">
        <v>140</v>
      </c>
      <c r="O2564">
        <v>27</v>
      </c>
      <c r="P2564" t="s">
        <v>21</v>
      </c>
      <c r="Q2564" t="s">
        <v>17</v>
      </c>
      <c r="R2564" t="str" cm="1">
        <f t="array" ref="R2564">_xlfn.IFS(B2564&lt;31,"Young-Adult",B2564&lt;41,"Adult",B2564&lt;61,"Middle-aged",B2564&gt;=61,"Senior")</f>
        <v>Middle-aged</v>
      </c>
      <c r="S2564" cm="1">
        <f t="array" ref="S2564">_xlfn.IFS(Q2564 ="Fortnightly",14,Q2564="Weekly",7,Q2564="Monthly",30,Q2564="Quarterly",90,Q2564="Bi-Weekly",14,Q2564="Annually",365,Q2564="Every 3 Months",90,TRUE,"NOT FOUND")</f>
        <v>14</v>
      </c>
    </row>
    <row r="2565" spans="1:19" x14ac:dyDescent="0.35">
      <c r="A2565">
        <v>2564</v>
      </c>
      <c r="B2565">
        <v>69</v>
      </c>
      <c r="C2565" t="s">
        <v>7</v>
      </c>
      <c r="D2565" t="s">
        <v>120</v>
      </c>
      <c r="E2565" t="s">
        <v>55</v>
      </c>
      <c r="F2565">
        <v>81</v>
      </c>
      <c r="G2565" t="s">
        <v>23</v>
      </c>
      <c r="H2565" t="s">
        <v>80</v>
      </c>
      <c r="I2565" t="s">
        <v>12</v>
      </c>
      <c r="J2565" t="s">
        <v>13</v>
      </c>
      <c r="K2565">
        <v>4.5</v>
      </c>
      <c r="L2565" t="s">
        <v>140</v>
      </c>
      <c r="M2565" t="s">
        <v>42</v>
      </c>
      <c r="N2565" t="s">
        <v>140</v>
      </c>
      <c r="O2565">
        <v>1</v>
      </c>
      <c r="P2565" t="s">
        <v>16</v>
      </c>
      <c r="Q2565" t="s">
        <v>85</v>
      </c>
      <c r="R2565" t="str" cm="1">
        <f t="array" ref="R2565">_xlfn.IFS(B2565&lt;31,"Young-Adult",B2565&lt;41,"Adult",B2565&lt;61,"Middle-aged",B2565&gt;=61,"Senior")</f>
        <v>Senior</v>
      </c>
      <c r="S2565" cm="1">
        <f t="array" ref="S2565">_xlfn.IFS(Q2565 ="Fortnightly",14,Q2565="Weekly",7,Q2565="Monthly",30,Q2565="Quarterly",90,Q2565="Bi-Weekly",14,Q2565="Annually",365,Q2565="Every 3 Months",90,TRUE,"NOT FOUND")</f>
        <v>90</v>
      </c>
    </row>
    <row r="2566" spans="1:19" x14ac:dyDescent="0.35">
      <c r="A2566">
        <v>2565</v>
      </c>
      <c r="B2566">
        <v>42</v>
      </c>
      <c r="C2566" t="s">
        <v>7</v>
      </c>
      <c r="D2566" t="s">
        <v>107</v>
      </c>
      <c r="E2566" t="s">
        <v>55</v>
      </c>
      <c r="F2566">
        <v>90</v>
      </c>
      <c r="G2566" t="s">
        <v>10</v>
      </c>
      <c r="H2566" t="s">
        <v>11</v>
      </c>
      <c r="I2566" t="s">
        <v>114</v>
      </c>
      <c r="J2566" t="s">
        <v>13</v>
      </c>
      <c r="K2566">
        <v>3</v>
      </c>
      <c r="L2566" t="s">
        <v>140</v>
      </c>
      <c r="M2566" t="s">
        <v>58</v>
      </c>
      <c r="N2566" t="s">
        <v>140</v>
      </c>
      <c r="O2566">
        <v>27</v>
      </c>
      <c r="P2566" t="s">
        <v>63</v>
      </c>
      <c r="Q2566" t="s">
        <v>28</v>
      </c>
      <c r="R2566" t="str" cm="1">
        <f t="array" ref="R2566">_xlfn.IFS(B2566&lt;31,"Young-Adult",B2566&lt;41,"Adult",B2566&lt;61,"Middle-aged",B2566&gt;=61,"Senior")</f>
        <v>Middle-aged</v>
      </c>
      <c r="S2566" cm="1">
        <f t="array" ref="S2566">_xlfn.IFS(Q2566 ="Fortnightly",14,Q2566="Weekly",7,Q2566="Monthly",30,Q2566="Quarterly",90,Q2566="Bi-Weekly",14,Q2566="Annually",365,Q2566="Every 3 Months",90,TRUE,"NOT FOUND")</f>
        <v>7</v>
      </c>
    </row>
    <row r="2567" spans="1:19" x14ac:dyDescent="0.35">
      <c r="A2567">
        <v>2566</v>
      </c>
      <c r="B2567">
        <v>30</v>
      </c>
      <c r="C2567" t="s">
        <v>7</v>
      </c>
      <c r="D2567" t="s">
        <v>113</v>
      </c>
      <c r="E2567" t="s">
        <v>9</v>
      </c>
      <c r="F2567">
        <v>43</v>
      </c>
      <c r="G2567" t="s">
        <v>117</v>
      </c>
      <c r="H2567" t="s">
        <v>24</v>
      </c>
      <c r="I2567" t="s">
        <v>114</v>
      </c>
      <c r="J2567" t="s">
        <v>45</v>
      </c>
      <c r="K2567">
        <v>3.6</v>
      </c>
      <c r="L2567" t="s">
        <v>140</v>
      </c>
      <c r="M2567" t="s">
        <v>62</v>
      </c>
      <c r="N2567" t="s">
        <v>140</v>
      </c>
      <c r="O2567">
        <v>8</v>
      </c>
      <c r="P2567" t="s">
        <v>16</v>
      </c>
      <c r="Q2567" t="s">
        <v>46</v>
      </c>
      <c r="R2567" t="str" cm="1">
        <f t="array" ref="R2567">_xlfn.IFS(B2567&lt;31,"Young-Adult",B2567&lt;41,"Adult",B2567&lt;61,"Middle-aged",B2567&gt;=61,"Senior")</f>
        <v>Young-Adult</v>
      </c>
      <c r="S2567" cm="1">
        <f t="array" ref="S2567">_xlfn.IFS(Q2567 ="Fortnightly",14,Q2567="Weekly",7,Q2567="Monthly",30,Q2567="Quarterly",90,Q2567="Bi-Weekly",14,Q2567="Annually",365,Q2567="Every 3 Months",90,TRUE,"NOT FOUND")</f>
        <v>90</v>
      </c>
    </row>
    <row r="2568" spans="1:19" x14ac:dyDescent="0.35">
      <c r="A2568">
        <v>2567</v>
      </c>
      <c r="B2568">
        <v>35</v>
      </c>
      <c r="C2568" t="s">
        <v>7</v>
      </c>
      <c r="D2568" t="s">
        <v>54</v>
      </c>
      <c r="E2568" t="s">
        <v>55</v>
      </c>
      <c r="F2568">
        <v>38</v>
      </c>
      <c r="G2568" t="s">
        <v>56</v>
      </c>
      <c r="H2568" t="s">
        <v>24</v>
      </c>
      <c r="I2568" t="s">
        <v>122</v>
      </c>
      <c r="J2568" t="s">
        <v>45</v>
      </c>
      <c r="K2568">
        <v>3.3</v>
      </c>
      <c r="L2568" t="s">
        <v>140</v>
      </c>
      <c r="M2568" t="s">
        <v>42</v>
      </c>
      <c r="N2568" t="s">
        <v>140</v>
      </c>
      <c r="O2568">
        <v>43</v>
      </c>
      <c r="P2568" t="s">
        <v>34</v>
      </c>
      <c r="Q2568" t="s">
        <v>46</v>
      </c>
      <c r="R2568" t="str" cm="1">
        <f t="array" ref="R2568">_xlfn.IFS(B2568&lt;31,"Young-Adult",B2568&lt;41,"Adult",B2568&lt;61,"Middle-aged",B2568&gt;=61,"Senior")</f>
        <v>Adult</v>
      </c>
      <c r="S2568" cm="1">
        <f t="array" ref="S2568">_xlfn.IFS(Q2568 ="Fortnightly",14,Q2568="Weekly",7,Q2568="Monthly",30,Q2568="Quarterly",90,Q2568="Bi-Weekly",14,Q2568="Annually",365,Q2568="Every 3 Months",90,TRUE,"NOT FOUND")</f>
        <v>90</v>
      </c>
    </row>
    <row r="2569" spans="1:19" x14ac:dyDescent="0.35">
      <c r="A2569">
        <v>2568</v>
      </c>
      <c r="B2569">
        <v>19</v>
      </c>
      <c r="C2569" t="s">
        <v>7</v>
      </c>
      <c r="D2569" t="s">
        <v>77</v>
      </c>
      <c r="E2569" t="s">
        <v>55</v>
      </c>
      <c r="F2569">
        <v>25</v>
      </c>
      <c r="G2569" t="s">
        <v>139</v>
      </c>
      <c r="H2569" t="s">
        <v>80</v>
      </c>
      <c r="I2569" t="s">
        <v>68</v>
      </c>
      <c r="J2569" t="s">
        <v>25</v>
      </c>
      <c r="K2569">
        <v>4.3</v>
      </c>
      <c r="L2569" t="s">
        <v>140</v>
      </c>
      <c r="M2569" t="s">
        <v>62</v>
      </c>
      <c r="N2569" t="s">
        <v>140</v>
      </c>
      <c r="O2569">
        <v>24</v>
      </c>
      <c r="P2569" t="s">
        <v>21</v>
      </c>
      <c r="Q2569" t="s">
        <v>17</v>
      </c>
      <c r="R2569" t="str" cm="1">
        <f t="array" ref="R2569">_xlfn.IFS(B2569&lt;31,"Young-Adult",B2569&lt;41,"Adult",B2569&lt;61,"Middle-aged",B2569&gt;=61,"Senior")</f>
        <v>Young-Adult</v>
      </c>
      <c r="S2569" cm="1">
        <f t="array" ref="S2569">_xlfn.IFS(Q2569 ="Fortnightly",14,Q2569="Weekly",7,Q2569="Monthly",30,Q2569="Quarterly",90,Q2569="Bi-Weekly",14,Q2569="Annually",365,Q2569="Every 3 Months",90,TRUE,"NOT FOUND")</f>
        <v>14</v>
      </c>
    </row>
    <row r="2570" spans="1:19" x14ac:dyDescent="0.35">
      <c r="A2570">
        <v>2569</v>
      </c>
      <c r="B2570">
        <v>52</v>
      </c>
      <c r="C2570" t="s">
        <v>7</v>
      </c>
      <c r="D2570" t="s">
        <v>101</v>
      </c>
      <c r="E2570" t="s">
        <v>9</v>
      </c>
      <c r="F2570">
        <v>98</v>
      </c>
      <c r="G2570" t="s">
        <v>93</v>
      </c>
      <c r="H2570" t="s">
        <v>80</v>
      </c>
      <c r="I2570" t="s">
        <v>84</v>
      </c>
      <c r="J2570" t="s">
        <v>13</v>
      </c>
      <c r="K2570">
        <v>4.3</v>
      </c>
      <c r="L2570" t="s">
        <v>140</v>
      </c>
      <c r="M2570" t="s">
        <v>15</v>
      </c>
      <c r="N2570" t="s">
        <v>140</v>
      </c>
      <c r="O2570">
        <v>29</v>
      </c>
      <c r="P2570" t="s">
        <v>34</v>
      </c>
      <c r="Q2570" t="s">
        <v>17</v>
      </c>
      <c r="R2570" t="str" cm="1">
        <f t="array" ref="R2570">_xlfn.IFS(B2570&lt;31,"Young-Adult",B2570&lt;41,"Adult",B2570&lt;61,"Middle-aged",B2570&gt;=61,"Senior")</f>
        <v>Middle-aged</v>
      </c>
      <c r="S2570" cm="1">
        <f t="array" ref="S2570">_xlfn.IFS(Q2570 ="Fortnightly",14,Q2570="Weekly",7,Q2570="Monthly",30,Q2570="Quarterly",90,Q2570="Bi-Weekly",14,Q2570="Annually",365,Q2570="Every 3 Months",90,TRUE,"NOT FOUND")</f>
        <v>14</v>
      </c>
    </row>
    <row r="2571" spans="1:19" x14ac:dyDescent="0.35">
      <c r="A2571">
        <v>2570</v>
      </c>
      <c r="B2571">
        <v>42</v>
      </c>
      <c r="C2571" t="s">
        <v>7</v>
      </c>
      <c r="D2571" t="s">
        <v>69</v>
      </c>
      <c r="E2571" t="s">
        <v>9</v>
      </c>
      <c r="F2571">
        <v>75</v>
      </c>
      <c r="G2571" t="s">
        <v>72</v>
      </c>
      <c r="H2571" t="s">
        <v>32</v>
      </c>
      <c r="I2571" t="s">
        <v>49</v>
      </c>
      <c r="J2571" t="s">
        <v>25</v>
      </c>
      <c r="K2571">
        <v>4.8</v>
      </c>
      <c r="L2571" t="s">
        <v>140</v>
      </c>
      <c r="M2571" t="s">
        <v>26</v>
      </c>
      <c r="N2571" t="s">
        <v>140</v>
      </c>
      <c r="O2571">
        <v>10</v>
      </c>
      <c r="P2571" t="s">
        <v>63</v>
      </c>
      <c r="Q2571" t="s">
        <v>64</v>
      </c>
      <c r="R2571" t="str" cm="1">
        <f t="array" ref="R2571">_xlfn.IFS(B2571&lt;31,"Young-Adult",B2571&lt;41,"Adult",B2571&lt;61,"Middle-aged",B2571&gt;=61,"Senior")</f>
        <v>Middle-aged</v>
      </c>
      <c r="S2571" cm="1">
        <f t="array" ref="S2571">_xlfn.IFS(Q2571 ="Fortnightly",14,Q2571="Weekly",7,Q2571="Monthly",30,Q2571="Quarterly",90,Q2571="Bi-Weekly",14,Q2571="Annually",365,Q2571="Every 3 Months",90,TRUE,"NOT FOUND")</f>
        <v>14</v>
      </c>
    </row>
    <row r="2572" spans="1:19" x14ac:dyDescent="0.35">
      <c r="A2572">
        <v>2571</v>
      </c>
      <c r="B2572">
        <v>36</v>
      </c>
      <c r="C2572" t="s">
        <v>7</v>
      </c>
      <c r="D2572" t="s">
        <v>38</v>
      </c>
      <c r="E2572" t="s">
        <v>30</v>
      </c>
      <c r="F2572">
        <v>27</v>
      </c>
      <c r="G2572" t="s">
        <v>118</v>
      </c>
      <c r="H2572" t="s">
        <v>80</v>
      </c>
      <c r="I2572" t="s">
        <v>66</v>
      </c>
      <c r="J2572" t="s">
        <v>25</v>
      </c>
      <c r="K2572">
        <v>4</v>
      </c>
      <c r="L2572" t="s">
        <v>140</v>
      </c>
      <c r="M2572" t="s">
        <v>62</v>
      </c>
      <c r="N2572" t="s">
        <v>140</v>
      </c>
      <c r="O2572">
        <v>12</v>
      </c>
      <c r="P2572" t="s">
        <v>34</v>
      </c>
      <c r="Q2572" t="s">
        <v>17</v>
      </c>
      <c r="R2572" t="str" cm="1">
        <f t="array" ref="R2572">_xlfn.IFS(B2572&lt;31,"Young-Adult",B2572&lt;41,"Adult",B2572&lt;61,"Middle-aged",B2572&gt;=61,"Senior")</f>
        <v>Adult</v>
      </c>
      <c r="S2572" cm="1">
        <f t="array" ref="S2572">_xlfn.IFS(Q2572 ="Fortnightly",14,Q2572="Weekly",7,Q2572="Monthly",30,Q2572="Quarterly",90,Q2572="Bi-Weekly",14,Q2572="Annually",365,Q2572="Every 3 Months",90,TRUE,"NOT FOUND")</f>
        <v>14</v>
      </c>
    </row>
    <row r="2573" spans="1:19" x14ac:dyDescent="0.35">
      <c r="A2573">
        <v>2572</v>
      </c>
      <c r="B2573">
        <v>45</v>
      </c>
      <c r="C2573" t="s">
        <v>7</v>
      </c>
      <c r="D2573" t="s">
        <v>77</v>
      </c>
      <c r="E2573" t="s">
        <v>55</v>
      </c>
      <c r="F2573">
        <v>27</v>
      </c>
      <c r="G2573" t="s">
        <v>79</v>
      </c>
      <c r="H2573" t="s">
        <v>11</v>
      </c>
      <c r="I2573" t="s">
        <v>82</v>
      </c>
      <c r="J2573" t="s">
        <v>13</v>
      </c>
      <c r="K2573">
        <v>3.5</v>
      </c>
      <c r="L2573" t="s">
        <v>140</v>
      </c>
      <c r="M2573" t="s">
        <v>42</v>
      </c>
      <c r="N2573" t="s">
        <v>140</v>
      </c>
      <c r="O2573">
        <v>48</v>
      </c>
      <c r="P2573" t="s">
        <v>21</v>
      </c>
      <c r="Q2573" t="s">
        <v>17</v>
      </c>
      <c r="R2573" t="str" cm="1">
        <f t="array" ref="R2573">_xlfn.IFS(B2573&lt;31,"Young-Adult",B2573&lt;41,"Adult",B2573&lt;61,"Middle-aged",B2573&gt;=61,"Senior")</f>
        <v>Middle-aged</v>
      </c>
      <c r="S2573" cm="1">
        <f t="array" ref="S2573">_xlfn.IFS(Q2573 ="Fortnightly",14,Q2573="Weekly",7,Q2573="Monthly",30,Q2573="Quarterly",90,Q2573="Bi-Weekly",14,Q2573="Annually",365,Q2573="Every 3 Months",90,TRUE,"NOT FOUND")</f>
        <v>14</v>
      </c>
    </row>
    <row r="2574" spans="1:19" x14ac:dyDescent="0.35">
      <c r="A2574">
        <v>2573</v>
      </c>
      <c r="B2574">
        <v>54</v>
      </c>
      <c r="C2574" t="s">
        <v>7</v>
      </c>
      <c r="D2574" t="s">
        <v>8</v>
      </c>
      <c r="E2574" t="s">
        <v>9</v>
      </c>
      <c r="F2574">
        <v>42</v>
      </c>
      <c r="G2574" t="s">
        <v>137</v>
      </c>
      <c r="H2574" t="s">
        <v>32</v>
      </c>
      <c r="I2574" t="s">
        <v>53</v>
      </c>
      <c r="J2574" t="s">
        <v>45</v>
      </c>
      <c r="K2574">
        <v>3.9</v>
      </c>
      <c r="L2574" t="s">
        <v>140</v>
      </c>
      <c r="M2574" t="s">
        <v>33</v>
      </c>
      <c r="N2574" t="s">
        <v>140</v>
      </c>
      <c r="O2574">
        <v>40</v>
      </c>
      <c r="P2574" t="s">
        <v>63</v>
      </c>
      <c r="Q2574" t="s">
        <v>46</v>
      </c>
      <c r="R2574" t="str" cm="1">
        <f t="array" ref="R2574">_xlfn.IFS(B2574&lt;31,"Young-Adult",B2574&lt;41,"Adult",B2574&lt;61,"Middle-aged",B2574&gt;=61,"Senior")</f>
        <v>Middle-aged</v>
      </c>
      <c r="S2574" cm="1">
        <f t="array" ref="S2574">_xlfn.IFS(Q2574 ="Fortnightly",14,Q2574="Weekly",7,Q2574="Monthly",30,Q2574="Quarterly",90,Q2574="Bi-Weekly",14,Q2574="Annually",365,Q2574="Every 3 Months",90,TRUE,"NOT FOUND")</f>
        <v>90</v>
      </c>
    </row>
    <row r="2575" spans="1:19" x14ac:dyDescent="0.35">
      <c r="A2575">
        <v>2574</v>
      </c>
      <c r="B2575">
        <v>54</v>
      </c>
      <c r="C2575" t="s">
        <v>7</v>
      </c>
      <c r="D2575" t="s">
        <v>101</v>
      </c>
      <c r="E2575" t="s">
        <v>9</v>
      </c>
      <c r="F2575">
        <v>90</v>
      </c>
      <c r="G2575" t="s">
        <v>118</v>
      </c>
      <c r="H2575" t="s">
        <v>32</v>
      </c>
      <c r="I2575" t="s">
        <v>96</v>
      </c>
      <c r="J2575" t="s">
        <v>41</v>
      </c>
      <c r="K2575">
        <v>4.4000000000000004</v>
      </c>
      <c r="L2575" t="s">
        <v>140</v>
      </c>
      <c r="M2575" t="s">
        <v>62</v>
      </c>
      <c r="N2575" t="s">
        <v>140</v>
      </c>
      <c r="O2575">
        <v>1</v>
      </c>
      <c r="P2575" t="s">
        <v>63</v>
      </c>
      <c r="Q2575" t="s">
        <v>37</v>
      </c>
      <c r="R2575" t="str" cm="1">
        <f t="array" ref="R2575">_xlfn.IFS(B2575&lt;31,"Young-Adult",B2575&lt;41,"Adult",B2575&lt;61,"Middle-aged",B2575&gt;=61,"Senior")</f>
        <v>Middle-aged</v>
      </c>
      <c r="S2575" cm="1">
        <f t="array" ref="S2575">_xlfn.IFS(Q2575 ="Fortnightly",14,Q2575="Weekly",7,Q2575="Monthly",30,Q2575="Quarterly",90,Q2575="Bi-Weekly",14,Q2575="Annually",365,Q2575="Every 3 Months",90,TRUE,"NOT FOUND")</f>
        <v>365</v>
      </c>
    </row>
    <row r="2576" spans="1:19" x14ac:dyDescent="0.35">
      <c r="A2576">
        <v>2575</v>
      </c>
      <c r="B2576">
        <v>27</v>
      </c>
      <c r="C2576" t="s">
        <v>7</v>
      </c>
      <c r="D2576" t="s">
        <v>112</v>
      </c>
      <c r="E2576" t="s">
        <v>55</v>
      </c>
      <c r="F2576">
        <v>63</v>
      </c>
      <c r="G2576" t="s">
        <v>91</v>
      </c>
      <c r="H2576" t="s">
        <v>32</v>
      </c>
      <c r="I2576" t="s">
        <v>98</v>
      </c>
      <c r="J2576" t="s">
        <v>41</v>
      </c>
      <c r="K2576">
        <v>4.5999999999999996</v>
      </c>
      <c r="L2576" t="s">
        <v>140</v>
      </c>
      <c r="M2576" t="s">
        <v>58</v>
      </c>
      <c r="N2576" t="s">
        <v>140</v>
      </c>
      <c r="O2576">
        <v>26</v>
      </c>
      <c r="P2576" t="s">
        <v>27</v>
      </c>
      <c r="Q2576" t="s">
        <v>17</v>
      </c>
      <c r="R2576" t="str" cm="1">
        <f t="array" ref="R2576">_xlfn.IFS(B2576&lt;31,"Young-Adult",B2576&lt;41,"Adult",B2576&lt;61,"Middle-aged",B2576&gt;=61,"Senior")</f>
        <v>Young-Adult</v>
      </c>
      <c r="S2576" cm="1">
        <f t="array" ref="S2576">_xlfn.IFS(Q2576 ="Fortnightly",14,Q2576="Weekly",7,Q2576="Monthly",30,Q2576="Quarterly",90,Q2576="Bi-Weekly",14,Q2576="Annually",365,Q2576="Every 3 Months",90,TRUE,"NOT FOUND")</f>
        <v>14</v>
      </c>
    </row>
    <row r="2577" spans="1:19" x14ac:dyDescent="0.35">
      <c r="A2577">
        <v>2576</v>
      </c>
      <c r="B2577">
        <v>53</v>
      </c>
      <c r="C2577" t="s">
        <v>7</v>
      </c>
      <c r="D2577" t="s">
        <v>47</v>
      </c>
      <c r="E2577" t="s">
        <v>9</v>
      </c>
      <c r="F2577">
        <v>96</v>
      </c>
      <c r="G2577" t="s">
        <v>136</v>
      </c>
      <c r="H2577" t="s">
        <v>32</v>
      </c>
      <c r="I2577" t="s">
        <v>53</v>
      </c>
      <c r="J2577" t="s">
        <v>45</v>
      </c>
      <c r="K2577">
        <v>4</v>
      </c>
      <c r="L2577" t="s">
        <v>140</v>
      </c>
      <c r="M2577" t="s">
        <v>15</v>
      </c>
      <c r="N2577" t="s">
        <v>140</v>
      </c>
      <c r="O2577">
        <v>9</v>
      </c>
      <c r="P2577" t="s">
        <v>34</v>
      </c>
      <c r="Q2577" t="s">
        <v>37</v>
      </c>
      <c r="R2577" t="str" cm="1">
        <f t="array" ref="R2577">_xlfn.IFS(B2577&lt;31,"Young-Adult",B2577&lt;41,"Adult",B2577&lt;61,"Middle-aged",B2577&gt;=61,"Senior")</f>
        <v>Middle-aged</v>
      </c>
      <c r="S2577" cm="1">
        <f t="array" ref="S2577">_xlfn.IFS(Q2577 ="Fortnightly",14,Q2577="Weekly",7,Q2577="Monthly",30,Q2577="Quarterly",90,Q2577="Bi-Weekly",14,Q2577="Annually",365,Q2577="Every 3 Months",90,TRUE,"NOT FOUND")</f>
        <v>365</v>
      </c>
    </row>
    <row r="2578" spans="1:19" x14ac:dyDescent="0.35">
      <c r="A2578">
        <v>2577</v>
      </c>
      <c r="B2578">
        <v>20</v>
      </c>
      <c r="C2578" t="s">
        <v>7</v>
      </c>
      <c r="D2578" t="s">
        <v>92</v>
      </c>
      <c r="E2578" t="s">
        <v>9</v>
      </c>
      <c r="F2578">
        <v>40</v>
      </c>
      <c r="G2578" t="s">
        <v>70</v>
      </c>
      <c r="H2578" t="s">
        <v>32</v>
      </c>
      <c r="I2578" t="s">
        <v>53</v>
      </c>
      <c r="J2578" t="s">
        <v>13</v>
      </c>
      <c r="K2578">
        <v>4.2</v>
      </c>
      <c r="L2578" t="s">
        <v>140</v>
      </c>
      <c r="M2578" t="s">
        <v>26</v>
      </c>
      <c r="N2578" t="s">
        <v>140</v>
      </c>
      <c r="O2578">
        <v>19</v>
      </c>
      <c r="P2578" t="s">
        <v>74</v>
      </c>
      <c r="Q2578" t="s">
        <v>46</v>
      </c>
      <c r="R2578" t="str" cm="1">
        <f t="array" ref="R2578">_xlfn.IFS(B2578&lt;31,"Young-Adult",B2578&lt;41,"Adult",B2578&lt;61,"Middle-aged",B2578&gt;=61,"Senior")</f>
        <v>Young-Adult</v>
      </c>
      <c r="S2578" cm="1">
        <f t="array" ref="S2578">_xlfn.IFS(Q2578 ="Fortnightly",14,Q2578="Weekly",7,Q2578="Monthly",30,Q2578="Quarterly",90,Q2578="Bi-Weekly",14,Q2578="Annually",365,Q2578="Every 3 Months",90,TRUE,"NOT FOUND")</f>
        <v>90</v>
      </c>
    </row>
    <row r="2579" spans="1:19" x14ac:dyDescent="0.35">
      <c r="A2579">
        <v>2578</v>
      </c>
      <c r="B2579">
        <v>52</v>
      </c>
      <c r="C2579" t="s">
        <v>7</v>
      </c>
      <c r="D2579" t="s">
        <v>113</v>
      </c>
      <c r="E2579" t="s">
        <v>9</v>
      </c>
      <c r="F2579">
        <v>39</v>
      </c>
      <c r="G2579" t="s">
        <v>136</v>
      </c>
      <c r="H2579" t="s">
        <v>11</v>
      </c>
      <c r="I2579" t="s">
        <v>82</v>
      </c>
      <c r="J2579" t="s">
        <v>45</v>
      </c>
      <c r="K2579">
        <v>4.5</v>
      </c>
      <c r="L2579" t="s">
        <v>140</v>
      </c>
      <c r="M2579" t="s">
        <v>33</v>
      </c>
      <c r="N2579" t="s">
        <v>140</v>
      </c>
      <c r="O2579">
        <v>37</v>
      </c>
      <c r="P2579" t="s">
        <v>63</v>
      </c>
      <c r="Q2579" t="s">
        <v>76</v>
      </c>
      <c r="R2579" t="str" cm="1">
        <f t="array" ref="R2579">_xlfn.IFS(B2579&lt;31,"Young-Adult",B2579&lt;41,"Adult",B2579&lt;61,"Middle-aged",B2579&gt;=61,"Senior")</f>
        <v>Middle-aged</v>
      </c>
      <c r="S2579" cm="1">
        <f t="array" ref="S2579">_xlfn.IFS(Q2579 ="Fortnightly",14,Q2579="Weekly",7,Q2579="Monthly",30,Q2579="Quarterly",90,Q2579="Bi-Weekly",14,Q2579="Annually",365,Q2579="Every 3 Months",90,TRUE,"NOT FOUND")</f>
        <v>30</v>
      </c>
    </row>
    <row r="2580" spans="1:19" x14ac:dyDescent="0.35">
      <c r="A2580">
        <v>2579</v>
      </c>
      <c r="B2580">
        <v>54</v>
      </c>
      <c r="C2580" t="s">
        <v>7</v>
      </c>
      <c r="D2580" t="s">
        <v>77</v>
      </c>
      <c r="E2580" t="s">
        <v>55</v>
      </c>
      <c r="F2580">
        <v>48</v>
      </c>
      <c r="G2580" t="s">
        <v>117</v>
      </c>
      <c r="H2580" t="s">
        <v>32</v>
      </c>
      <c r="I2580" t="s">
        <v>61</v>
      </c>
      <c r="J2580" t="s">
        <v>45</v>
      </c>
      <c r="K2580">
        <v>3.9</v>
      </c>
      <c r="L2580" t="s">
        <v>140</v>
      </c>
      <c r="M2580" t="s">
        <v>26</v>
      </c>
      <c r="N2580" t="s">
        <v>140</v>
      </c>
      <c r="O2580">
        <v>3</v>
      </c>
      <c r="P2580" t="s">
        <v>21</v>
      </c>
      <c r="Q2580" t="s">
        <v>46</v>
      </c>
      <c r="R2580" t="str" cm="1">
        <f t="array" ref="R2580">_xlfn.IFS(B2580&lt;31,"Young-Adult",B2580&lt;41,"Adult",B2580&lt;61,"Middle-aged",B2580&gt;=61,"Senior")</f>
        <v>Middle-aged</v>
      </c>
      <c r="S2580" cm="1">
        <f t="array" ref="S2580">_xlfn.IFS(Q2580 ="Fortnightly",14,Q2580="Weekly",7,Q2580="Monthly",30,Q2580="Quarterly",90,Q2580="Bi-Weekly",14,Q2580="Annually",365,Q2580="Every 3 Months",90,TRUE,"NOT FOUND")</f>
        <v>90</v>
      </c>
    </row>
    <row r="2581" spans="1:19" x14ac:dyDescent="0.35">
      <c r="A2581">
        <v>2580</v>
      </c>
      <c r="B2581">
        <v>65</v>
      </c>
      <c r="C2581" t="s">
        <v>7</v>
      </c>
      <c r="D2581" t="s">
        <v>8</v>
      </c>
      <c r="E2581" t="s">
        <v>9</v>
      </c>
      <c r="F2581">
        <v>20</v>
      </c>
      <c r="G2581" t="s">
        <v>136</v>
      </c>
      <c r="H2581" t="s">
        <v>32</v>
      </c>
      <c r="I2581" t="s">
        <v>61</v>
      </c>
      <c r="J2581" t="s">
        <v>41</v>
      </c>
      <c r="K2581">
        <v>3.7</v>
      </c>
      <c r="L2581" t="s">
        <v>140</v>
      </c>
      <c r="M2581" t="s">
        <v>15</v>
      </c>
      <c r="N2581" t="s">
        <v>140</v>
      </c>
      <c r="O2581">
        <v>40</v>
      </c>
      <c r="P2581" t="s">
        <v>16</v>
      </c>
      <c r="Q2581" t="s">
        <v>28</v>
      </c>
      <c r="R2581" t="str" cm="1">
        <f t="array" ref="R2581">_xlfn.IFS(B2581&lt;31,"Young-Adult",B2581&lt;41,"Adult",B2581&lt;61,"Middle-aged",B2581&gt;=61,"Senior")</f>
        <v>Senior</v>
      </c>
      <c r="S2581" cm="1">
        <f t="array" ref="S2581">_xlfn.IFS(Q2581 ="Fortnightly",14,Q2581="Weekly",7,Q2581="Monthly",30,Q2581="Quarterly",90,Q2581="Bi-Weekly",14,Q2581="Annually",365,Q2581="Every 3 Months",90,TRUE,"NOT FOUND")</f>
        <v>7</v>
      </c>
    </row>
    <row r="2582" spans="1:19" x14ac:dyDescent="0.35">
      <c r="A2582">
        <v>2581</v>
      </c>
      <c r="B2582">
        <v>43</v>
      </c>
      <c r="C2582" t="s">
        <v>7</v>
      </c>
      <c r="D2582" t="s">
        <v>22</v>
      </c>
      <c r="E2582" t="s">
        <v>9</v>
      </c>
      <c r="F2582">
        <v>29</v>
      </c>
      <c r="G2582" t="s">
        <v>23</v>
      </c>
      <c r="H2582" t="s">
        <v>24</v>
      </c>
      <c r="I2582" t="s">
        <v>36</v>
      </c>
      <c r="J2582" t="s">
        <v>41</v>
      </c>
      <c r="K2582">
        <v>3.6</v>
      </c>
      <c r="L2582" t="s">
        <v>140</v>
      </c>
      <c r="M2582" t="s">
        <v>62</v>
      </c>
      <c r="N2582" t="s">
        <v>140</v>
      </c>
      <c r="O2582">
        <v>13</v>
      </c>
      <c r="P2582" t="s">
        <v>63</v>
      </c>
      <c r="Q2582" t="s">
        <v>46</v>
      </c>
      <c r="R2582" t="str" cm="1">
        <f t="array" ref="R2582">_xlfn.IFS(B2582&lt;31,"Young-Adult",B2582&lt;41,"Adult",B2582&lt;61,"Middle-aged",B2582&gt;=61,"Senior")</f>
        <v>Middle-aged</v>
      </c>
      <c r="S2582" cm="1">
        <f t="array" ref="S2582">_xlfn.IFS(Q2582 ="Fortnightly",14,Q2582="Weekly",7,Q2582="Monthly",30,Q2582="Quarterly",90,Q2582="Bi-Weekly",14,Q2582="Annually",365,Q2582="Every 3 Months",90,TRUE,"NOT FOUND")</f>
        <v>90</v>
      </c>
    </row>
    <row r="2583" spans="1:19" x14ac:dyDescent="0.35">
      <c r="A2583">
        <v>2582</v>
      </c>
      <c r="B2583">
        <v>57</v>
      </c>
      <c r="C2583" t="s">
        <v>7</v>
      </c>
      <c r="D2583" t="s">
        <v>69</v>
      </c>
      <c r="E2583" t="s">
        <v>9</v>
      </c>
      <c r="F2583">
        <v>81</v>
      </c>
      <c r="G2583" t="s">
        <v>39</v>
      </c>
      <c r="H2583" t="s">
        <v>32</v>
      </c>
      <c r="I2583" t="s">
        <v>68</v>
      </c>
      <c r="J2583" t="s">
        <v>13</v>
      </c>
      <c r="K2583">
        <v>4.7</v>
      </c>
      <c r="L2583" t="s">
        <v>140</v>
      </c>
      <c r="M2583" t="s">
        <v>15</v>
      </c>
      <c r="N2583" t="s">
        <v>140</v>
      </c>
      <c r="O2583">
        <v>48</v>
      </c>
      <c r="P2583" t="s">
        <v>27</v>
      </c>
      <c r="Q2583" t="s">
        <v>76</v>
      </c>
      <c r="R2583" t="str" cm="1">
        <f t="array" ref="R2583">_xlfn.IFS(B2583&lt;31,"Young-Adult",B2583&lt;41,"Adult",B2583&lt;61,"Middle-aged",B2583&gt;=61,"Senior")</f>
        <v>Middle-aged</v>
      </c>
      <c r="S2583" cm="1">
        <f t="array" ref="S2583">_xlfn.IFS(Q2583 ="Fortnightly",14,Q2583="Weekly",7,Q2583="Monthly",30,Q2583="Quarterly",90,Q2583="Bi-Weekly",14,Q2583="Annually",365,Q2583="Every 3 Months",90,TRUE,"NOT FOUND")</f>
        <v>30</v>
      </c>
    </row>
    <row r="2584" spans="1:19" x14ac:dyDescent="0.35">
      <c r="A2584">
        <v>2583</v>
      </c>
      <c r="B2584">
        <v>19</v>
      </c>
      <c r="C2584" t="s">
        <v>7</v>
      </c>
      <c r="D2584" t="s">
        <v>69</v>
      </c>
      <c r="E2584" t="s">
        <v>9</v>
      </c>
      <c r="F2584">
        <v>98</v>
      </c>
      <c r="G2584" t="s">
        <v>135</v>
      </c>
      <c r="H2584" t="s">
        <v>24</v>
      </c>
      <c r="I2584" t="s">
        <v>114</v>
      </c>
      <c r="J2584" t="s">
        <v>45</v>
      </c>
      <c r="K2584">
        <v>3.6</v>
      </c>
      <c r="L2584" t="s">
        <v>140</v>
      </c>
      <c r="M2584" t="s">
        <v>58</v>
      </c>
      <c r="N2584" t="s">
        <v>140</v>
      </c>
      <c r="O2584">
        <v>4</v>
      </c>
      <c r="P2584" t="s">
        <v>16</v>
      </c>
      <c r="Q2584" t="s">
        <v>85</v>
      </c>
      <c r="R2584" t="str" cm="1">
        <f t="array" ref="R2584">_xlfn.IFS(B2584&lt;31,"Young-Adult",B2584&lt;41,"Adult",B2584&lt;61,"Middle-aged",B2584&gt;=61,"Senior")</f>
        <v>Young-Adult</v>
      </c>
      <c r="S2584" cm="1">
        <f t="array" ref="S2584">_xlfn.IFS(Q2584 ="Fortnightly",14,Q2584="Weekly",7,Q2584="Monthly",30,Q2584="Quarterly",90,Q2584="Bi-Weekly",14,Q2584="Annually",365,Q2584="Every 3 Months",90,TRUE,"NOT FOUND")</f>
        <v>90</v>
      </c>
    </row>
    <row r="2585" spans="1:19" x14ac:dyDescent="0.35">
      <c r="A2585">
        <v>2584</v>
      </c>
      <c r="B2585">
        <v>69</v>
      </c>
      <c r="C2585" t="s">
        <v>7</v>
      </c>
      <c r="D2585" t="s">
        <v>22</v>
      </c>
      <c r="E2585" t="s">
        <v>9</v>
      </c>
      <c r="F2585">
        <v>93</v>
      </c>
      <c r="G2585" t="s">
        <v>89</v>
      </c>
      <c r="H2585" t="s">
        <v>32</v>
      </c>
      <c r="I2585" t="s">
        <v>81</v>
      </c>
      <c r="J2585" t="s">
        <v>45</v>
      </c>
      <c r="K2585">
        <v>2.5</v>
      </c>
      <c r="L2585" t="s">
        <v>140</v>
      </c>
      <c r="M2585" t="s">
        <v>33</v>
      </c>
      <c r="N2585" t="s">
        <v>140</v>
      </c>
      <c r="O2585">
        <v>9</v>
      </c>
      <c r="P2585" t="s">
        <v>21</v>
      </c>
      <c r="Q2585" t="s">
        <v>28</v>
      </c>
      <c r="R2585" t="str" cm="1">
        <f t="array" ref="R2585">_xlfn.IFS(B2585&lt;31,"Young-Adult",B2585&lt;41,"Adult",B2585&lt;61,"Middle-aged",B2585&gt;=61,"Senior")</f>
        <v>Senior</v>
      </c>
      <c r="S2585" cm="1">
        <f t="array" ref="S2585">_xlfn.IFS(Q2585 ="Fortnightly",14,Q2585="Weekly",7,Q2585="Monthly",30,Q2585="Quarterly",90,Q2585="Bi-Weekly",14,Q2585="Annually",365,Q2585="Every 3 Months",90,TRUE,"NOT FOUND")</f>
        <v>7</v>
      </c>
    </row>
    <row r="2586" spans="1:19" x14ac:dyDescent="0.35">
      <c r="A2586">
        <v>2585</v>
      </c>
      <c r="B2586">
        <v>26</v>
      </c>
      <c r="C2586" t="s">
        <v>7</v>
      </c>
      <c r="D2586" t="s">
        <v>113</v>
      </c>
      <c r="E2586" t="s">
        <v>9</v>
      </c>
      <c r="F2586">
        <v>30</v>
      </c>
      <c r="G2586" t="s">
        <v>91</v>
      </c>
      <c r="H2586" t="s">
        <v>11</v>
      </c>
      <c r="I2586" t="s">
        <v>132</v>
      </c>
      <c r="J2586" t="s">
        <v>41</v>
      </c>
      <c r="K2586">
        <v>2.9</v>
      </c>
      <c r="L2586" t="s">
        <v>140</v>
      </c>
      <c r="M2586" t="s">
        <v>62</v>
      </c>
      <c r="N2586" t="s">
        <v>140</v>
      </c>
      <c r="O2586">
        <v>26</v>
      </c>
      <c r="P2586" t="s">
        <v>63</v>
      </c>
      <c r="Q2586" t="s">
        <v>64</v>
      </c>
      <c r="R2586" t="str" cm="1">
        <f t="array" ref="R2586">_xlfn.IFS(B2586&lt;31,"Young-Adult",B2586&lt;41,"Adult",B2586&lt;61,"Middle-aged",B2586&gt;=61,"Senior")</f>
        <v>Young-Adult</v>
      </c>
      <c r="S2586" cm="1">
        <f t="array" ref="S2586">_xlfn.IFS(Q2586 ="Fortnightly",14,Q2586="Weekly",7,Q2586="Monthly",30,Q2586="Quarterly",90,Q2586="Bi-Weekly",14,Q2586="Annually",365,Q2586="Every 3 Months",90,TRUE,"NOT FOUND")</f>
        <v>14</v>
      </c>
    </row>
    <row r="2587" spans="1:19" x14ac:dyDescent="0.35">
      <c r="A2587">
        <v>2586</v>
      </c>
      <c r="B2587">
        <v>57</v>
      </c>
      <c r="C2587" t="s">
        <v>7</v>
      </c>
      <c r="D2587" t="s">
        <v>77</v>
      </c>
      <c r="E2587" t="s">
        <v>55</v>
      </c>
      <c r="F2587">
        <v>37</v>
      </c>
      <c r="G2587" t="s">
        <v>138</v>
      </c>
      <c r="H2587" t="s">
        <v>11</v>
      </c>
      <c r="I2587" t="s">
        <v>20</v>
      </c>
      <c r="J2587" t="s">
        <v>45</v>
      </c>
      <c r="K2587">
        <v>4.4000000000000004</v>
      </c>
      <c r="L2587" t="s">
        <v>140</v>
      </c>
      <c r="M2587" t="s">
        <v>26</v>
      </c>
      <c r="N2587" t="s">
        <v>140</v>
      </c>
      <c r="O2587">
        <v>19</v>
      </c>
      <c r="P2587" t="s">
        <v>74</v>
      </c>
      <c r="Q2587" t="s">
        <v>28</v>
      </c>
      <c r="R2587" t="str" cm="1">
        <f t="array" ref="R2587">_xlfn.IFS(B2587&lt;31,"Young-Adult",B2587&lt;41,"Adult",B2587&lt;61,"Middle-aged",B2587&gt;=61,"Senior")</f>
        <v>Middle-aged</v>
      </c>
      <c r="S2587" cm="1">
        <f t="array" ref="S2587">_xlfn.IFS(Q2587 ="Fortnightly",14,Q2587="Weekly",7,Q2587="Monthly",30,Q2587="Quarterly",90,Q2587="Bi-Weekly",14,Q2587="Annually",365,Q2587="Every 3 Months",90,TRUE,"NOT FOUND")</f>
        <v>7</v>
      </c>
    </row>
    <row r="2588" spans="1:19" x14ac:dyDescent="0.35">
      <c r="A2588">
        <v>2587</v>
      </c>
      <c r="B2588">
        <v>20</v>
      </c>
      <c r="C2588" t="s">
        <v>7</v>
      </c>
      <c r="D2588" t="s">
        <v>50</v>
      </c>
      <c r="E2588" t="s">
        <v>51</v>
      </c>
      <c r="F2588">
        <v>28</v>
      </c>
      <c r="G2588" t="s">
        <v>19</v>
      </c>
      <c r="H2588" t="s">
        <v>11</v>
      </c>
      <c r="I2588" t="s">
        <v>122</v>
      </c>
      <c r="J2588" t="s">
        <v>13</v>
      </c>
      <c r="K2588">
        <v>4.5999999999999996</v>
      </c>
      <c r="L2588" t="s">
        <v>140</v>
      </c>
      <c r="M2588" t="s">
        <v>15</v>
      </c>
      <c r="N2588" t="s">
        <v>140</v>
      </c>
      <c r="O2588">
        <v>1</v>
      </c>
      <c r="P2588" t="s">
        <v>27</v>
      </c>
      <c r="Q2588" t="s">
        <v>85</v>
      </c>
      <c r="R2588" t="str" cm="1">
        <f t="array" ref="R2588">_xlfn.IFS(B2588&lt;31,"Young-Adult",B2588&lt;41,"Adult",B2588&lt;61,"Middle-aged",B2588&gt;=61,"Senior")</f>
        <v>Young-Adult</v>
      </c>
      <c r="S2588" cm="1">
        <f t="array" ref="S2588">_xlfn.IFS(Q2588 ="Fortnightly",14,Q2588="Weekly",7,Q2588="Monthly",30,Q2588="Quarterly",90,Q2588="Bi-Weekly",14,Q2588="Annually",365,Q2588="Every 3 Months",90,TRUE,"NOT FOUND")</f>
        <v>90</v>
      </c>
    </row>
    <row r="2589" spans="1:19" x14ac:dyDescent="0.35">
      <c r="A2589">
        <v>2588</v>
      </c>
      <c r="B2589">
        <v>55</v>
      </c>
      <c r="C2589" t="s">
        <v>7</v>
      </c>
      <c r="D2589" t="s">
        <v>107</v>
      </c>
      <c r="E2589" t="s">
        <v>55</v>
      </c>
      <c r="F2589">
        <v>29</v>
      </c>
      <c r="G2589" t="s">
        <v>127</v>
      </c>
      <c r="H2589" t="s">
        <v>32</v>
      </c>
      <c r="I2589" t="s">
        <v>61</v>
      </c>
      <c r="J2589" t="s">
        <v>13</v>
      </c>
      <c r="K2589">
        <v>3.7</v>
      </c>
      <c r="L2589" t="s">
        <v>140</v>
      </c>
      <c r="M2589" t="s">
        <v>15</v>
      </c>
      <c r="N2589" t="s">
        <v>140</v>
      </c>
      <c r="O2589">
        <v>29</v>
      </c>
      <c r="P2589" t="s">
        <v>34</v>
      </c>
      <c r="Q2589" t="s">
        <v>85</v>
      </c>
      <c r="R2589" t="str" cm="1">
        <f t="array" ref="R2589">_xlfn.IFS(B2589&lt;31,"Young-Adult",B2589&lt;41,"Adult",B2589&lt;61,"Middle-aged",B2589&gt;=61,"Senior")</f>
        <v>Middle-aged</v>
      </c>
      <c r="S2589" cm="1">
        <f t="array" ref="S2589">_xlfn.IFS(Q2589 ="Fortnightly",14,Q2589="Weekly",7,Q2589="Monthly",30,Q2589="Quarterly",90,Q2589="Bi-Weekly",14,Q2589="Annually",365,Q2589="Every 3 Months",90,TRUE,"NOT FOUND")</f>
        <v>90</v>
      </c>
    </row>
    <row r="2590" spans="1:19" x14ac:dyDescent="0.35">
      <c r="A2590">
        <v>2589</v>
      </c>
      <c r="B2590">
        <v>44</v>
      </c>
      <c r="C2590" t="s">
        <v>7</v>
      </c>
      <c r="D2590" t="s">
        <v>120</v>
      </c>
      <c r="E2590" t="s">
        <v>55</v>
      </c>
      <c r="F2590">
        <v>49</v>
      </c>
      <c r="G2590" t="s">
        <v>67</v>
      </c>
      <c r="H2590" t="s">
        <v>32</v>
      </c>
      <c r="I2590" t="s">
        <v>88</v>
      </c>
      <c r="J2590" t="s">
        <v>41</v>
      </c>
      <c r="K2590">
        <v>3.2</v>
      </c>
      <c r="L2590" t="s">
        <v>140</v>
      </c>
      <c r="M2590" t="s">
        <v>26</v>
      </c>
      <c r="N2590" t="s">
        <v>140</v>
      </c>
      <c r="O2590">
        <v>38</v>
      </c>
      <c r="P2590" t="s">
        <v>16</v>
      </c>
      <c r="Q2590" t="s">
        <v>64</v>
      </c>
      <c r="R2590" t="str" cm="1">
        <f t="array" ref="R2590">_xlfn.IFS(B2590&lt;31,"Young-Adult",B2590&lt;41,"Adult",B2590&lt;61,"Middle-aged",B2590&gt;=61,"Senior")</f>
        <v>Middle-aged</v>
      </c>
      <c r="S2590" cm="1">
        <f t="array" ref="S2590">_xlfn.IFS(Q2590 ="Fortnightly",14,Q2590="Weekly",7,Q2590="Monthly",30,Q2590="Quarterly",90,Q2590="Bi-Weekly",14,Q2590="Annually",365,Q2590="Every 3 Months",90,TRUE,"NOT FOUND")</f>
        <v>14</v>
      </c>
    </row>
    <row r="2591" spans="1:19" x14ac:dyDescent="0.35">
      <c r="A2591">
        <v>2590</v>
      </c>
      <c r="B2591">
        <v>52</v>
      </c>
      <c r="C2591" t="s">
        <v>7</v>
      </c>
      <c r="D2591" t="s">
        <v>83</v>
      </c>
      <c r="E2591" t="s">
        <v>9</v>
      </c>
      <c r="F2591">
        <v>53</v>
      </c>
      <c r="G2591" t="s">
        <v>102</v>
      </c>
      <c r="H2591" t="s">
        <v>32</v>
      </c>
      <c r="I2591" t="s">
        <v>53</v>
      </c>
      <c r="J2591" t="s">
        <v>13</v>
      </c>
      <c r="K2591">
        <v>4.9000000000000004</v>
      </c>
      <c r="L2591" t="s">
        <v>140</v>
      </c>
      <c r="M2591" t="s">
        <v>58</v>
      </c>
      <c r="N2591" t="s">
        <v>140</v>
      </c>
      <c r="O2591">
        <v>31</v>
      </c>
      <c r="P2591" t="s">
        <v>34</v>
      </c>
      <c r="Q2591" t="s">
        <v>37</v>
      </c>
      <c r="R2591" t="str" cm="1">
        <f t="array" ref="R2591">_xlfn.IFS(B2591&lt;31,"Young-Adult",B2591&lt;41,"Adult",B2591&lt;61,"Middle-aged",B2591&gt;=61,"Senior")</f>
        <v>Middle-aged</v>
      </c>
      <c r="S2591" cm="1">
        <f t="array" ref="S2591">_xlfn.IFS(Q2591 ="Fortnightly",14,Q2591="Weekly",7,Q2591="Monthly",30,Q2591="Quarterly",90,Q2591="Bi-Weekly",14,Q2591="Annually",365,Q2591="Every 3 Months",90,TRUE,"NOT FOUND")</f>
        <v>365</v>
      </c>
    </row>
    <row r="2592" spans="1:19" x14ac:dyDescent="0.35">
      <c r="A2592">
        <v>2591</v>
      </c>
      <c r="B2592">
        <v>57</v>
      </c>
      <c r="C2592" t="s">
        <v>7</v>
      </c>
      <c r="D2592" t="s">
        <v>131</v>
      </c>
      <c r="E2592" t="s">
        <v>55</v>
      </c>
      <c r="F2592">
        <v>66</v>
      </c>
      <c r="G2592" t="s">
        <v>87</v>
      </c>
      <c r="H2592" t="s">
        <v>32</v>
      </c>
      <c r="I2592" t="s">
        <v>36</v>
      </c>
      <c r="J2592" t="s">
        <v>41</v>
      </c>
      <c r="K2592">
        <v>5</v>
      </c>
      <c r="L2592" t="s">
        <v>140</v>
      </c>
      <c r="M2592" t="s">
        <v>26</v>
      </c>
      <c r="N2592" t="s">
        <v>140</v>
      </c>
      <c r="O2592">
        <v>35</v>
      </c>
      <c r="P2592" t="s">
        <v>16</v>
      </c>
      <c r="Q2592" t="s">
        <v>37</v>
      </c>
      <c r="R2592" t="str" cm="1">
        <f t="array" ref="R2592">_xlfn.IFS(B2592&lt;31,"Young-Adult",B2592&lt;41,"Adult",B2592&lt;61,"Middle-aged",B2592&gt;=61,"Senior")</f>
        <v>Middle-aged</v>
      </c>
      <c r="S2592" cm="1">
        <f t="array" ref="S2592">_xlfn.IFS(Q2592 ="Fortnightly",14,Q2592="Weekly",7,Q2592="Monthly",30,Q2592="Quarterly",90,Q2592="Bi-Weekly",14,Q2592="Annually",365,Q2592="Every 3 Months",90,TRUE,"NOT FOUND")</f>
        <v>365</v>
      </c>
    </row>
    <row r="2593" spans="1:19" x14ac:dyDescent="0.35">
      <c r="A2593">
        <v>2592</v>
      </c>
      <c r="B2593">
        <v>40</v>
      </c>
      <c r="C2593" t="s">
        <v>7</v>
      </c>
      <c r="D2593" t="s">
        <v>90</v>
      </c>
      <c r="E2593" t="s">
        <v>51</v>
      </c>
      <c r="F2593">
        <v>61</v>
      </c>
      <c r="G2593" t="s">
        <v>118</v>
      </c>
      <c r="H2593" t="s">
        <v>24</v>
      </c>
      <c r="I2593" t="s">
        <v>66</v>
      </c>
      <c r="J2593" t="s">
        <v>25</v>
      </c>
      <c r="K2593">
        <v>3.3</v>
      </c>
      <c r="L2593" t="s">
        <v>140</v>
      </c>
      <c r="M2593" t="s">
        <v>15</v>
      </c>
      <c r="N2593" t="s">
        <v>140</v>
      </c>
      <c r="O2593">
        <v>40</v>
      </c>
      <c r="P2593" t="s">
        <v>21</v>
      </c>
      <c r="Q2593" t="s">
        <v>46</v>
      </c>
      <c r="R2593" t="str" cm="1">
        <f t="array" ref="R2593">_xlfn.IFS(B2593&lt;31,"Young-Adult",B2593&lt;41,"Adult",B2593&lt;61,"Middle-aged",B2593&gt;=61,"Senior")</f>
        <v>Adult</v>
      </c>
      <c r="S2593" cm="1">
        <f t="array" ref="S2593">_xlfn.IFS(Q2593 ="Fortnightly",14,Q2593="Weekly",7,Q2593="Monthly",30,Q2593="Quarterly",90,Q2593="Bi-Weekly",14,Q2593="Annually",365,Q2593="Every 3 Months",90,TRUE,"NOT FOUND")</f>
        <v>90</v>
      </c>
    </row>
    <row r="2594" spans="1:19" x14ac:dyDescent="0.35">
      <c r="A2594">
        <v>2593</v>
      </c>
      <c r="B2594">
        <v>23</v>
      </c>
      <c r="C2594" t="s">
        <v>7</v>
      </c>
      <c r="D2594" t="s">
        <v>47</v>
      </c>
      <c r="E2594" t="s">
        <v>9</v>
      </c>
      <c r="F2594">
        <v>23</v>
      </c>
      <c r="G2594" t="s">
        <v>134</v>
      </c>
      <c r="H2594" t="s">
        <v>80</v>
      </c>
      <c r="I2594" t="s">
        <v>88</v>
      </c>
      <c r="J2594" t="s">
        <v>41</v>
      </c>
      <c r="K2594">
        <v>4.4000000000000004</v>
      </c>
      <c r="L2594" t="s">
        <v>140</v>
      </c>
      <c r="M2594" t="s">
        <v>62</v>
      </c>
      <c r="N2594" t="s">
        <v>140</v>
      </c>
      <c r="O2594">
        <v>13</v>
      </c>
      <c r="P2594" t="s">
        <v>16</v>
      </c>
      <c r="Q2594" t="s">
        <v>46</v>
      </c>
      <c r="R2594" t="str" cm="1">
        <f t="array" ref="R2594">_xlfn.IFS(B2594&lt;31,"Young-Adult",B2594&lt;41,"Adult",B2594&lt;61,"Middle-aged",B2594&gt;=61,"Senior")</f>
        <v>Young-Adult</v>
      </c>
      <c r="S2594" cm="1">
        <f t="array" ref="S2594">_xlfn.IFS(Q2594 ="Fortnightly",14,Q2594="Weekly",7,Q2594="Monthly",30,Q2594="Quarterly",90,Q2594="Bi-Weekly",14,Q2594="Annually",365,Q2594="Every 3 Months",90,TRUE,"NOT FOUND")</f>
        <v>90</v>
      </c>
    </row>
    <row r="2595" spans="1:19" x14ac:dyDescent="0.35">
      <c r="A2595">
        <v>2594</v>
      </c>
      <c r="B2595">
        <v>36</v>
      </c>
      <c r="C2595" t="s">
        <v>7</v>
      </c>
      <c r="D2595" t="s">
        <v>83</v>
      </c>
      <c r="E2595" t="s">
        <v>9</v>
      </c>
      <c r="F2595">
        <v>36</v>
      </c>
      <c r="G2595" t="s">
        <v>100</v>
      </c>
      <c r="H2595" t="s">
        <v>24</v>
      </c>
      <c r="I2595" t="s">
        <v>114</v>
      </c>
      <c r="J2595" t="s">
        <v>45</v>
      </c>
      <c r="K2595">
        <v>4.7</v>
      </c>
      <c r="L2595" t="s">
        <v>140</v>
      </c>
      <c r="M2595" t="s">
        <v>62</v>
      </c>
      <c r="N2595" t="s">
        <v>140</v>
      </c>
      <c r="O2595">
        <v>9</v>
      </c>
      <c r="P2595" t="s">
        <v>63</v>
      </c>
      <c r="Q2595" t="s">
        <v>85</v>
      </c>
      <c r="R2595" t="str" cm="1">
        <f t="array" ref="R2595">_xlfn.IFS(B2595&lt;31,"Young-Adult",B2595&lt;41,"Adult",B2595&lt;61,"Middle-aged",B2595&gt;=61,"Senior")</f>
        <v>Adult</v>
      </c>
      <c r="S2595" cm="1">
        <f t="array" ref="S2595">_xlfn.IFS(Q2595 ="Fortnightly",14,Q2595="Weekly",7,Q2595="Monthly",30,Q2595="Quarterly",90,Q2595="Bi-Weekly",14,Q2595="Annually",365,Q2595="Every 3 Months",90,TRUE,"NOT FOUND")</f>
        <v>90</v>
      </c>
    </row>
    <row r="2596" spans="1:19" x14ac:dyDescent="0.35">
      <c r="A2596">
        <v>2595</v>
      </c>
      <c r="B2596">
        <v>59</v>
      </c>
      <c r="C2596" t="s">
        <v>7</v>
      </c>
      <c r="D2596" t="s">
        <v>75</v>
      </c>
      <c r="E2596" t="s">
        <v>9</v>
      </c>
      <c r="F2596">
        <v>81</v>
      </c>
      <c r="G2596" t="s">
        <v>44</v>
      </c>
      <c r="H2596" t="s">
        <v>11</v>
      </c>
      <c r="I2596" t="s">
        <v>114</v>
      </c>
      <c r="J2596" t="s">
        <v>45</v>
      </c>
      <c r="K2596">
        <v>3.6</v>
      </c>
      <c r="L2596" t="s">
        <v>140</v>
      </c>
      <c r="M2596" t="s">
        <v>26</v>
      </c>
      <c r="N2596" t="s">
        <v>140</v>
      </c>
      <c r="O2596">
        <v>25</v>
      </c>
      <c r="P2596" t="s">
        <v>21</v>
      </c>
      <c r="Q2596" t="s">
        <v>85</v>
      </c>
      <c r="R2596" t="str" cm="1">
        <f t="array" ref="R2596">_xlfn.IFS(B2596&lt;31,"Young-Adult",B2596&lt;41,"Adult",B2596&lt;61,"Middle-aged",B2596&gt;=61,"Senior")</f>
        <v>Middle-aged</v>
      </c>
      <c r="S2596" cm="1">
        <f t="array" ref="S2596">_xlfn.IFS(Q2596 ="Fortnightly",14,Q2596="Weekly",7,Q2596="Monthly",30,Q2596="Quarterly",90,Q2596="Bi-Weekly",14,Q2596="Annually",365,Q2596="Every 3 Months",90,TRUE,"NOT FOUND")</f>
        <v>90</v>
      </c>
    </row>
    <row r="2597" spans="1:19" x14ac:dyDescent="0.35">
      <c r="A2597">
        <v>2596</v>
      </c>
      <c r="B2597">
        <v>29</v>
      </c>
      <c r="C2597" t="s">
        <v>7</v>
      </c>
      <c r="D2597" t="s">
        <v>8</v>
      </c>
      <c r="E2597" t="s">
        <v>9</v>
      </c>
      <c r="F2597">
        <v>56</v>
      </c>
      <c r="G2597" t="s">
        <v>134</v>
      </c>
      <c r="H2597" t="s">
        <v>80</v>
      </c>
      <c r="I2597" t="s">
        <v>20</v>
      </c>
      <c r="J2597" t="s">
        <v>41</v>
      </c>
      <c r="K2597">
        <v>3.2</v>
      </c>
      <c r="L2597" t="s">
        <v>140</v>
      </c>
      <c r="M2597" t="s">
        <v>26</v>
      </c>
      <c r="N2597" t="s">
        <v>140</v>
      </c>
      <c r="O2597">
        <v>3</v>
      </c>
      <c r="P2597" t="s">
        <v>63</v>
      </c>
      <c r="Q2597" t="s">
        <v>64</v>
      </c>
      <c r="R2597" t="str" cm="1">
        <f t="array" ref="R2597">_xlfn.IFS(B2597&lt;31,"Young-Adult",B2597&lt;41,"Adult",B2597&lt;61,"Middle-aged",B2597&gt;=61,"Senior")</f>
        <v>Young-Adult</v>
      </c>
      <c r="S2597" cm="1">
        <f t="array" ref="S2597">_xlfn.IFS(Q2597 ="Fortnightly",14,Q2597="Weekly",7,Q2597="Monthly",30,Q2597="Quarterly",90,Q2597="Bi-Weekly",14,Q2597="Annually",365,Q2597="Every 3 Months",90,TRUE,"NOT FOUND")</f>
        <v>14</v>
      </c>
    </row>
    <row r="2598" spans="1:19" x14ac:dyDescent="0.35">
      <c r="A2598">
        <v>2597</v>
      </c>
      <c r="B2598">
        <v>63</v>
      </c>
      <c r="C2598" t="s">
        <v>7</v>
      </c>
      <c r="D2598" t="s">
        <v>43</v>
      </c>
      <c r="E2598" t="s">
        <v>9</v>
      </c>
      <c r="F2598">
        <v>78</v>
      </c>
      <c r="G2598" t="s">
        <v>48</v>
      </c>
      <c r="H2598" t="s">
        <v>11</v>
      </c>
      <c r="I2598" t="s">
        <v>82</v>
      </c>
      <c r="J2598" t="s">
        <v>25</v>
      </c>
      <c r="K2598">
        <v>3</v>
      </c>
      <c r="L2598" t="s">
        <v>140</v>
      </c>
      <c r="M2598" t="s">
        <v>33</v>
      </c>
      <c r="N2598" t="s">
        <v>140</v>
      </c>
      <c r="O2598">
        <v>35</v>
      </c>
      <c r="P2598" t="s">
        <v>27</v>
      </c>
      <c r="Q2598" t="s">
        <v>76</v>
      </c>
      <c r="R2598" t="str" cm="1">
        <f t="array" ref="R2598">_xlfn.IFS(B2598&lt;31,"Young-Adult",B2598&lt;41,"Adult",B2598&lt;61,"Middle-aged",B2598&gt;=61,"Senior")</f>
        <v>Senior</v>
      </c>
      <c r="S2598" cm="1">
        <f t="array" ref="S2598">_xlfn.IFS(Q2598 ="Fortnightly",14,Q2598="Weekly",7,Q2598="Monthly",30,Q2598="Quarterly",90,Q2598="Bi-Weekly",14,Q2598="Annually",365,Q2598="Every 3 Months",90,TRUE,"NOT FOUND")</f>
        <v>30</v>
      </c>
    </row>
    <row r="2599" spans="1:19" x14ac:dyDescent="0.35">
      <c r="A2599">
        <v>2598</v>
      </c>
      <c r="B2599">
        <v>60</v>
      </c>
      <c r="C2599" t="s">
        <v>7</v>
      </c>
      <c r="D2599" t="s">
        <v>94</v>
      </c>
      <c r="E2599" t="s">
        <v>55</v>
      </c>
      <c r="F2599">
        <v>25</v>
      </c>
      <c r="G2599" t="s">
        <v>78</v>
      </c>
      <c r="H2599" t="s">
        <v>80</v>
      </c>
      <c r="I2599" t="s">
        <v>73</v>
      </c>
      <c r="J2599" t="s">
        <v>41</v>
      </c>
      <c r="K2599">
        <v>4.4000000000000004</v>
      </c>
      <c r="L2599" t="s">
        <v>140</v>
      </c>
      <c r="M2599" t="s">
        <v>62</v>
      </c>
      <c r="N2599" t="s">
        <v>140</v>
      </c>
      <c r="O2599">
        <v>13</v>
      </c>
      <c r="P2599" t="s">
        <v>16</v>
      </c>
      <c r="Q2599" t="s">
        <v>64</v>
      </c>
      <c r="R2599" t="str" cm="1">
        <f t="array" ref="R2599">_xlfn.IFS(B2599&lt;31,"Young-Adult",B2599&lt;41,"Adult",B2599&lt;61,"Middle-aged",B2599&gt;=61,"Senior")</f>
        <v>Middle-aged</v>
      </c>
      <c r="S2599" cm="1">
        <f t="array" ref="S2599">_xlfn.IFS(Q2599 ="Fortnightly",14,Q2599="Weekly",7,Q2599="Monthly",30,Q2599="Quarterly",90,Q2599="Bi-Weekly",14,Q2599="Annually",365,Q2599="Every 3 Months",90,TRUE,"NOT FOUND")</f>
        <v>14</v>
      </c>
    </row>
    <row r="2600" spans="1:19" x14ac:dyDescent="0.35">
      <c r="A2600">
        <v>2599</v>
      </c>
      <c r="B2600">
        <v>64</v>
      </c>
      <c r="C2600" t="s">
        <v>7</v>
      </c>
      <c r="D2600" t="s">
        <v>120</v>
      </c>
      <c r="E2600" t="s">
        <v>55</v>
      </c>
      <c r="F2600">
        <v>86</v>
      </c>
      <c r="G2600" t="s">
        <v>95</v>
      </c>
      <c r="H2600" t="s">
        <v>80</v>
      </c>
      <c r="I2600" t="s">
        <v>66</v>
      </c>
      <c r="J2600" t="s">
        <v>45</v>
      </c>
      <c r="K2600">
        <v>3.3</v>
      </c>
      <c r="L2600" t="s">
        <v>140</v>
      </c>
      <c r="M2600" t="s">
        <v>15</v>
      </c>
      <c r="N2600" t="s">
        <v>140</v>
      </c>
      <c r="O2600">
        <v>31</v>
      </c>
      <c r="P2600" t="s">
        <v>74</v>
      </c>
      <c r="Q2600" t="s">
        <v>37</v>
      </c>
      <c r="R2600" t="str" cm="1">
        <f t="array" ref="R2600">_xlfn.IFS(B2600&lt;31,"Young-Adult",B2600&lt;41,"Adult",B2600&lt;61,"Middle-aged",B2600&gt;=61,"Senior")</f>
        <v>Senior</v>
      </c>
      <c r="S2600" cm="1">
        <f t="array" ref="S2600">_xlfn.IFS(Q2600 ="Fortnightly",14,Q2600="Weekly",7,Q2600="Monthly",30,Q2600="Quarterly",90,Q2600="Bi-Weekly",14,Q2600="Annually",365,Q2600="Every 3 Months",90,TRUE,"NOT FOUND")</f>
        <v>365</v>
      </c>
    </row>
    <row r="2601" spans="1:19" x14ac:dyDescent="0.35">
      <c r="A2601">
        <v>2600</v>
      </c>
      <c r="B2601">
        <v>63</v>
      </c>
      <c r="C2601" t="s">
        <v>7</v>
      </c>
      <c r="D2601" t="s">
        <v>94</v>
      </c>
      <c r="E2601" t="s">
        <v>55</v>
      </c>
      <c r="F2601">
        <v>99</v>
      </c>
      <c r="G2601" t="s">
        <v>117</v>
      </c>
      <c r="H2601" t="s">
        <v>32</v>
      </c>
      <c r="I2601" t="s">
        <v>68</v>
      </c>
      <c r="J2601" t="s">
        <v>13</v>
      </c>
      <c r="K2601">
        <v>3.4</v>
      </c>
      <c r="L2601" t="s">
        <v>140</v>
      </c>
      <c r="M2601" t="s">
        <v>15</v>
      </c>
      <c r="N2601" t="s">
        <v>140</v>
      </c>
      <c r="O2601">
        <v>48</v>
      </c>
      <c r="P2601" t="s">
        <v>27</v>
      </c>
      <c r="Q2601" t="s">
        <v>76</v>
      </c>
      <c r="R2601" t="str" cm="1">
        <f t="array" ref="R2601">_xlfn.IFS(B2601&lt;31,"Young-Adult",B2601&lt;41,"Adult",B2601&lt;61,"Middle-aged",B2601&gt;=61,"Senior")</f>
        <v>Senior</v>
      </c>
      <c r="S2601" cm="1">
        <f t="array" ref="S2601">_xlfn.IFS(Q2601 ="Fortnightly",14,Q2601="Weekly",7,Q2601="Monthly",30,Q2601="Quarterly",90,Q2601="Bi-Weekly",14,Q2601="Annually",365,Q2601="Every 3 Months",90,TRUE,"NOT FOUND")</f>
        <v>30</v>
      </c>
    </row>
    <row r="2602" spans="1:19" x14ac:dyDescent="0.35">
      <c r="A2602">
        <v>2601</v>
      </c>
      <c r="B2602">
        <v>21</v>
      </c>
      <c r="C2602" t="s">
        <v>7</v>
      </c>
      <c r="D2602" t="s">
        <v>121</v>
      </c>
      <c r="E2602" t="s">
        <v>55</v>
      </c>
      <c r="F2602">
        <v>83</v>
      </c>
      <c r="G2602" t="s">
        <v>72</v>
      </c>
      <c r="H2602" t="s">
        <v>32</v>
      </c>
      <c r="I2602" t="s">
        <v>12</v>
      </c>
      <c r="J2602" t="s">
        <v>45</v>
      </c>
      <c r="K2602">
        <v>3.9</v>
      </c>
      <c r="L2602" t="s">
        <v>140</v>
      </c>
      <c r="M2602" t="s">
        <v>15</v>
      </c>
      <c r="N2602" t="s">
        <v>140</v>
      </c>
      <c r="O2602">
        <v>6</v>
      </c>
      <c r="P2602" t="s">
        <v>63</v>
      </c>
      <c r="Q2602" t="s">
        <v>64</v>
      </c>
      <c r="R2602" t="str" cm="1">
        <f t="array" ref="R2602">_xlfn.IFS(B2602&lt;31,"Young-Adult",B2602&lt;41,"Adult",B2602&lt;61,"Middle-aged",B2602&gt;=61,"Senior")</f>
        <v>Young-Adult</v>
      </c>
      <c r="S2602" cm="1">
        <f t="array" ref="S2602">_xlfn.IFS(Q2602 ="Fortnightly",14,Q2602="Weekly",7,Q2602="Monthly",30,Q2602="Quarterly",90,Q2602="Bi-Weekly",14,Q2602="Annually",365,Q2602="Every 3 Months",90,TRUE,"NOT FOUND")</f>
        <v>14</v>
      </c>
    </row>
    <row r="2603" spans="1:19" x14ac:dyDescent="0.35">
      <c r="A2603">
        <v>2602</v>
      </c>
      <c r="B2603">
        <v>61</v>
      </c>
      <c r="C2603" t="s">
        <v>7</v>
      </c>
      <c r="D2603" t="s">
        <v>69</v>
      </c>
      <c r="E2603" t="s">
        <v>9</v>
      </c>
      <c r="F2603">
        <v>33</v>
      </c>
      <c r="G2603" t="s">
        <v>79</v>
      </c>
      <c r="H2603" t="s">
        <v>11</v>
      </c>
      <c r="I2603" t="s">
        <v>109</v>
      </c>
      <c r="J2603" t="s">
        <v>13</v>
      </c>
      <c r="K2603">
        <v>2.9</v>
      </c>
      <c r="L2603" t="s">
        <v>140</v>
      </c>
      <c r="M2603" t="s">
        <v>62</v>
      </c>
      <c r="N2603" t="s">
        <v>140</v>
      </c>
      <c r="O2603">
        <v>43</v>
      </c>
      <c r="P2603" t="s">
        <v>21</v>
      </c>
      <c r="Q2603" t="s">
        <v>76</v>
      </c>
      <c r="R2603" t="str" cm="1">
        <f t="array" ref="R2603">_xlfn.IFS(B2603&lt;31,"Young-Adult",B2603&lt;41,"Adult",B2603&lt;61,"Middle-aged",B2603&gt;=61,"Senior")</f>
        <v>Senior</v>
      </c>
      <c r="S2603" cm="1">
        <f t="array" ref="S2603">_xlfn.IFS(Q2603 ="Fortnightly",14,Q2603="Weekly",7,Q2603="Monthly",30,Q2603="Quarterly",90,Q2603="Bi-Weekly",14,Q2603="Annually",365,Q2603="Every 3 Months",90,TRUE,"NOT FOUND")</f>
        <v>30</v>
      </c>
    </row>
    <row r="2604" spans="1:19" x14ac:dyDescent="0.35">
      <c r="A2604">
        <v>2603</v>
      </c>
      <c r="B2604">
        <v>65</v>
      </c>
      <c r="C2604" t="s">
        <v>7</v>
      </c>
      <c r="D2604" t="s">
        <v>50</v>
      </c>
      <c r="E2604" t="s">
        <v>51</v>
      </c>
      <c r="F2604">
        <v>44</v>
      </c>
      <c r="G2604" t="s">
        <v>119</v>
      </c>
      <c r="H2604" t="s">
        <v>32</v>
      </c>
      <c r="I2604" t="s">
        <v>82</v>
      </c>
      <c r="J2604" t="s">
        <v>45</v>
      </c>
      <c r="K2604">
        <v>2.9</v>
      </c>
      <c r="L2604" t="s">
        <v>140</v>
      </c>
      <c r="M2604" t="s">
        <v>26</v>
      </c>
      <c r="N2604" t="s">
        <v>140</v>
      </c>
      <c r="O2604">
        <v>1</v>
      </c>
      <c r="P2604" t="s">
        <v>16</v>
      </c>
      <c r="Q2604" t="s">
        <v>46</v>
      </c>
      <c r="R2604" t="str" cm="1">
        <f t="array" ref="R2604">_xlfn.IFS(B2604&lt;31,"Young-Adult",B2604&lt;41,"Adult",B2604&lt;61,"Middle-aged",B2604&gt;=61,"Senior")</f>
        <v>Senior</v>
      </c>
      <c r="S2604" cm="1">
        <f t="array" ref="S2604">_xlfn.IFS(Q2604 ="Fortnightly",14,Q2604="Weekly",7,Q2604="Monthly",30,Q2604="Quarterly",90,Q2604="Bi-Weekly",14,Q2604="Annually",365,Q2604="Every 3 Months",90,TRUE,"NOT FOUND")</f>
        <v>90</v>
      </c>
    </row>
    <row r="2605" spans="1:19" x14ac:dyDescent="0.35">
      <c r="A2605">
        <v>2604</v>
      </c>
      <c r="B2605">
        <v>69</v>
      </c>
      <c r="C2605" t="s">
        <v>7</v>
      </c>
      <c r="D2605" t="s">
        <v>69</v>
      </c>
      <c r="E2605" t="s">
        <v>9</v>
      </c>
      <c r="F2605">
        <v>58</v>
      </c>
      <c r="G2605" t="s">
        <v>137</v>
      </c>
      <c r="H2605" t="s">
        <v>32</v>
      </c>
      <c r="I2605" t="s">
        <v>73</v>
      </c>
      <c r="J2605" t="s">
        <v>25</v>
      </c>
      <c r="K2605">
        <v>2.7</v>
      </c>
      <c r="L2605" t="s">
        <v>140</v>
      </c>
      <c r="M2605" t="s">
        <v>58</v>
      </c>
      <c r="N2605" t="s">
        <v>140</v>
      </c>
      <c r="O2605">
        <v>8</v>
      </c>
      <c r="P2605" t="s">
        <v>21</v>
      </c>
      <c r="Q2605" t="s">
        <v>37</v>
      </c>
      <c r="R2605" t="str" cm="1">
        <f t="array" ref="R2605">_xlfn.IFS(B2605&lt;31,"Young-Adult",B2605&lt;41,"Adult",B2605&lt;61,"Middle-aged",B2605&gt;=61,"Senior")</f>
        <v>Senior</v>
      </c>
      <c r="S2605" cm="1">
        <f t="array" ref="S2605">_xlfn.IFS(Q2605 ="Fortnightly",14,Q2605="Weekly",7,Q2605="Monthly",30,Q2605="Quarterly",90,Q2605="Bi-Weekly",14,Q2605="Annually",365,Q2605="Every 3 Months",90,TRUE,"NOT FOUND")</f>
        <v>365</v>
      </c>
    </row>
    <row r="2606" spans="1:19" x14ac:dyDescent="0.35">
      <c r="A2606">
        <v>2605</v>
      </c>
      <c r="B2606">
        <v>47</v>
      </c>
      <c r="C2606" t="s">
        <v>7</v>
      </c>
      <c r="D2606" t="s">
        <v>18</v>
      </c>
      <c r="E2606" t="s">
        <v>9</v>
      </c>
      <c r="F2606">
        <v>54</v>
      </c>
      <c r="G2606" t="s">
        <v>100</v>
      </c>
      <c r="H2606" t="s">
        <v>32</v>
      </c>
      <c r="I2606" t="s">
        <v>106</v>
      </c>
      <c r="J2606" t="s">
        <v>25</v>
      </c>
      <c r="K2606">
        <v>3.4</v>
      </c>
      <c r="L2606" t="s">
        <v>140</v>
      </c>
      <c r="M2606" t="s">
        <v>62</v>
      </c>
      <c r="N2606" t="s">
        <v>140</v>
      </c>
      <c r="O2606">
        <v>6</v>
      </c>
      <c r="P2606" t="s">
        <v>74</v>
      </c>
      <c r="Q2606" t="s">
        <v>28</v>
      </c>
      <c r="R2606" t="str" cm="1">
        <f t="array" ref="R2606">_xlfn.IFS(B2606&lt;31,"Young-Adult",B2606&lt;41,"Adult",B2606&lt;61,"Middle-aged",B2606&gt;=61,"Senior")</f>
        <v>Middle-aged</v>
      </c>
      <c r="S2606" cm="1">
        <f t="array" ref="S2606">_xlfn.IFS(Q2606 ="Fortnightly",14,Q2606="Weekly",7,Q2606="Monthly",30,Q2606="Quarterly",90,Q2606="Bi-Weekly",14,Q2606="Annually",365,Q2606="Every 3 Months",90,TRUE,"NOT FOUND")</f>
        <v>7</v>
      </c>
    </row>
    <row r="2607" spans="1:19" x14ac:dyDescent="0.35">
      <c r="A2607">
        <v>2606</v>
      </c>
      <c r="B2607">
        <v>41</v>
      </c>
      <c r="C2607" t="s">
        <v>7</v>
      </c>
      <c r="D2607" t="s">
        <v>92</v>
      </c>
      <c r="E2607" t="s">
        <v>9</v>
      </c>
      <c r="F2607">
        <v>93</v>
      </c>
      <c r="G2607" t="s">
        <v>95</v>
      </c>
      <c r="H2607" t="s">
        <v>32</v>
      </c>
      <c r="I2607" t="s">
        <v>40</v>
      </c>
      <c r="J2607" t="s">
        <v>25</v>
      </c>
      <c r="K2607">
        <v>3.7</v>
      </c>
      <c r="L2607" t="s">
        <v>140</v>
      </c>
      <c r="M2607" t="s">
        <v>58</v>
      </c>
      <c r="N2607" t="s">
        <v>140</v>
      </c>
      <c r="O2607">
        <v>32</v>
      </c>
      <c r="P2607" t="s">
        <v>16</v>
      </c>
      <c r="Q2607" t="s">
        <v>17</v>
      </c>
      <c r="R2607" t="str" cm="1">
        <f t="array" ref="R2607">_xlfn.IFS(B2607&lt;31,"Young-Adult",B2607&lt;41,"Adult",B2607&lt;61,"Middle-aged",B2607&gt;=61,"Senior")</f>
        <v>Middle-aged</v>
      </c>
      <c r="S2607" cm="1">
        <f t="array" ref="S2607">_xlfn.IFS(Q2607 ="Fortnightly",14,Q2607="Weekly",7,Q2607="Monthly",30,Q2607="Quarterly",90,Q2607="Bi-Weekly",14,Q2607="Annually",365,Q2607="Every 3 Months",90,TRUE,"NOT FOUND")</f>
        <v>14</v>
      </c>
    </row>
    <row r="2608" spans="1:19" x14ac:dyDescent="0.35">
      <c r="A2608">
        <v>2607</v>
      </c>
      <c r="B2608">
        <v>68</v>
      </c>
      <c r="C2608" t="s">
        <v>7</v>
      </c>
      <c r="D2608" t="s">
        <v>59</v>
      </c>
      <c r="E2608" t="s">
        <v>30</v>
      </c>
      <c r="F2608">
        <v>98</v>
      </c>
      <c r="G2608" t="s">
        <v>95</v>
      </c>
      <c r="H2608" t="s">
        <v>11</v>
      </c>
      <c r="I2608" t="s">
        <v>36</v>
      </c>
      <c r="J2608" t="s">
        <v>25</v>
      </c>
      <c r="K2608">
        <v>4.7</v>
      </c>
      <c r="L2608" t="s">
        <v>140</v>
      </c>
      <c r="M2608" t="s">
        <v>42</v>
      </c>
      <c r="N2608" t="s">
        <v>140</v>
      </c>
      <c r="O2608">
        <v>46</v>
      </c>
      <c r="P2608" t="s">
        <v>63</v>
      </c>
      <c r="Q2608" t="s">
        <v>64</v>
      </c>
      <c r="R2608" t="str" cm="1">
        <f t="array" ref="R2608">_xlfn.IFS(B2608&lt;31,"Young-Adult",B2608&lt;41,"Adult",B2608&lt;61,"Middle-aged",B2608&gt;=61,"Senior")</f>
        <v>Senior</v>
      </c>
      <c r="S2608" cm="1">
        <f t="array" ref="S2608">_xlfn.IFS(Q2608 ="Fortnightly",14,Q2608="Weekly",7,Q2608="Monthly",30,Q2608="Quarterly",90,Q2608="Bi-Weekly",14,Q2608="Annually",365,Q2608="Every 3 Months",90,TRUE,"NOT FOUND")</f>
        <v>14</v>
      </c>
    </row>
    <row r="2609" spans="1:19" x14ac:dyDescent="0.35">
      <c r="A2609">
        <v>2608</v>
      </c>
      <c r="B2609">
        <v>41</v>
      </c>
      <c r="C2609" t="s">
        <v>7</v>
      </c>
      <c r="D2609" t="s">
        <v>59</v>
      </c>
      <c r="E2609" t="s">
        <v>30</v>
      </c>
      <c r="F2609">
        <v>36</v>
      </c>
      <c r="G2609" t="s">
        <v>89</v>
      </c>
      <c r="H2609" t="s">
        <v>80</v>
      </c>
      <c r="I2609" t="s">
        <v>73</v>
      </c>
      <c r="J2609" t="s">
        <v>25</v>
      </c>
      <c r="K2609">
        <v>3.1</v>
      </c>
      <c r="L2609" t="s">
        <v>140</v>
      </c>
      <c r="M2609" t="s">
        <v>15</v>
      </c>
      <c r="N2609" t="s">
        <v>140</v>
      </c>
      <c r="O2609">
        <v>38</v>
      </c>
      <c r="P2609" t="s">
        <v>34</v>
      </c>
      <c r="Q2609" t="s">
        <v>85</v>
      </c>
      <c r="R2609" t="str" cm="1">
        <f t="array" ref="R2609">_xlfn.IFS(B2609&lt;31,"Young-Adult",B2609&lt;41,"Adult",B2609&lt;61,"Middle-aged",B2609&gt;=61,"Senior")</f>
        <v>Middle-aged</v>
      </c>
      <c r="S2609" cm="1">
        <f t="array" ref="S2609">_xlfn.IFS(Q2609 ="Fortnightly",14,Q2609="Weekly",7,Q2609="Monthly",30,Q2609="Quarterly",90,Q2609="Bi-Weekly",14,Q2609="Annually",365,Q2609="Every 3 Months",90,TRUE,"NOT FOUND")</f>
        <v>90</v>
      </c>
    </row>
    <row r="2610" spans="1:19" x14ac:dyDescent="0.35">
      <c r="A2610">
        <v>2609</v>
      </c>
      <c r="B2610">
        <v>42</v>
      </c>
      <c r="C2610" t="s">
        <v>7</v>
      </c>
      <c r="D2610" t="s">
        <v>90</v>
      </c>
      <c r="E2610" t="s">
        <v>51</v>
      </c>
      <c r="F2610">
        <v>68</v>
      </c>
      <c r="G2610" t="s">
        <v>79</v>
      </c>
      <c r="H2610" t="s">
        <v>11</v>
      </c>
      <c r="I2610" t="s">
        <v>109</v>
      </c>
      <c r="J2610" t="s">
        <v>45</v>
      </c>
      <c r="K2610">
        <v>4.2</v>
      </c>
      <c r="L2610" t="s">
        <v>140</v>
      </c>
      <c r="M2610" t="s">
        <v>58</v>
      </c>
      <c r="N2610" t="s">
        <v>140</v>
      </c>
      <c r="O2610">
        <v>48</v>
      </c>
      <c r="P2610" t="s">
        <v>27</v>
      </c>
      <c r="Q2610" t="s">
        <v>17</v>
      </c>
      <c r="R2610" t="str" cm="1">
        <f t="array" ref="R2610">_xlfn.IFS(B2610&lt;31,"Young-Adult",B2610&lt;41,"Adult",B2610&lt;61,"Middle-aged",B2610&gt;=61,"Senior")</f>
        <v>Middle-aged</v>
      </c>
      <c r="S2610" cm="1">
        <f t="array" ref="S2610">_xlfn.IFS(Q2610 ="Fortnightly",14,Q2610="Weekly",7,Q2610="Monthly",30,Q2610="Quarterly",90,Q2610="Bi-Weekly",14,Q2610="Annually",365,Q2610="Every 3 Months",90,TRUE,"NOT FOUND")</f>
        <v>14</v>
      </c>
    </row>
    <row r="2611" spans="1:19" x14ac:dyDescent="0.35">
      <c r="A2611">
        <v>2610</v>
      </c>
      <c r="B2611">
        <v>66</v>
      </c>
      <c r="C2611" t="s">
        <v>7</v>
      </c>
      <c r="D2611" t="s">
        <v>120</v>
      </c>
      <c r="E2611" t="s">
        <v>55</v>
      </c>
      <c r="F2611">
        <v>95</v>
      </c>
      <c r="G2611" t="s">
        <v>60</v>
      </c>
      <c r="H2611" t="s">
        <v>32</v>
      </c>
      <c r="I2611" t="s">
        <v>82</v>
      </c>
      <c r="J2611" t="s">
        <v>41</v>
      </c>
      <c r="K2611">
        <v>3</v>
      </c>
      <c r="L2611" t="s">
        <v>140</v>
      </c>
      <c r="M2611" t="s">
        <v>62</v>
      </c>
      <c r="N2611" t="s">
        <v>140</v>
      </c>
      <c r="O2611">
        <v>18</v>
      </c>
      <c r="P2611" t="s">
        <v>74</v>
      </c>
      <c r="Q2611" t="s">
        <v>64</v>
      </c>
      <c r="R2611" t="str" cm="1">
        <f t="array" ref="R2611">_xlfn.IFS(B2611&lt;31,"Young-Adult",B2611&lt;41,"Adult",B2611&lt;61,"Middle-aged",B2611&gt;=61,"Senior")</f>
        <v>Senior</v>
      </c>
      <c r="S2611" cm="1">
        <f t="array" ref="S2611">_xlfn.IFS(Q2611 ="Fortnightly",14,Q2611="Weekly",7,Q2611="Monthly",30,Q2611="Quarterly",90,Q2611="Bi-Weekly",14,Q2611="Annually",365,Q2611="Every 3 Months",90,TRUE,"NOT FOUND")</f>
        <v>14</v>
      </c>
    </row>
    <row r="2612" spans="1:19" x14ac:dyDescent="0.35">
      <c r="A2612">
        <v>2611</v>
      </c>
      <c r="B2612">
        <v>66</v>
      </c>
      <c r="C2612" t="s">
        <v>7</v>
      </c>
      <c r="D2612" t="s">
        <v>22</v>
      </c>
      <c r="E2612" t="s">
        <v>9</v>
      </c>
      <c r="F2612">
        <v>93</v>
      </c>
      <c r="G2612" t="s">
        <v>52</v>
      </c>
      <c r="H2612" t="s">
        <v>32</v>
      </c>
      <c r="I2612" t="s">
        <v>71</v>
      </c>
      <c r="J2612" t="s">
        <v>25</v>
      </c>
      <c r="K2612">
        <v>3.1</v>
      </c>
      <c r="L2612" t="s">
        <v>140</v>
      </c>
      <c r="M2612" t="s">
        <v>15</v>
      </c>
      <c r="N2612" t="s">
        <v>140</v>
      </c>
      <c r="O2612">
        <v>25</v>
      </c>
      <c r="P2612" t="s">
        <v>21</v>
      </c>
      <c r="Q2612" t="s">
        <v>46</v>
      </c>
      <c r="R2612" t="str" cm="1">
        <f t="array" ref="R2612">_xlfn.IFS(B2612&lt;31,"Young-Adult",B2612&lt;41,"Adult",B2612&lt;61,"Middle-aged",B2612&gt;=61,"Senior")</f>
        <v>Senior</v>
      </c>
      <c r="S2612" cm="1">
        <f t="array" ref="S2612">_xlfn.IFS(Q2612 ="Fortnightly",14,Q2612="Weekly",7,Q2612="Monthly",30,Q2612="Quarterly",90,Q2612="Bi-Weekly",14,Q2612="Annually",365,Q2612="Every 3 Months",90,TRUE,"NOT FOUND")</f>
        <v>90</v>
      </c>
    </row>
    <row r="2613" spans="1:19" x14ac:dyDescent="0.35">
      <c r="A2613">
        <v>2612</v>
      </c>
      <c r="B2613">
        <v>33</v>
      </c>
      <c r="C2613" t="s">
        <v>7</v>
      </c>
      <c r="D2613" t="s">
        <v>90</v>
      </c>
      <c r="E2613" t="s">
        <v>51</v>
      </c>
      <c r="F2613">
        <v>99</v>
      </c>
      <c r="G2613" t="s">
        <v>139</v>
      </c>
      <c r="H2613" t="s">
        <v>11</v>
      </c>
      <c r="I2613" t="s">
        <v>20</v>
      </c>
      <c r="J2613" t="s">
        <v>45</v>
      </c>
      <c r="K2613">
        <v>4.2</v>
      </c>
      <c r="L2613" t="s">
        <v>140</v>
      </c>
      <c r="M2613" t="s">
        <v>58</v>
      </c>
      <c r="N2613" t="s">
        <v>140</v>
      </c>
      <c r="O2613">
        <v>4</v>
      </c>
      <c r="P2613" t="s">
        <v>21</v>
      </c>
      <c r="Q2613" t="s">
        <v>17</v>
      </c>
      <c r="R2613" t="str" cm="1">
        <f t="array" ref="R2613">_xlfn.IFS(B2613&lt;31,"Young-Adult",B2613&lt;41,"Adult",B2613&lt;61,"Middle-aged",B2613&gt;=61,"Senior")</f>
        <v>Adult</v>
      </c>
      <c r="S2613" cm="1">
        <f t="array" ref="S2613">_xlfn.IFS(Q2613 ="Fortnightly",14,Q2613="Weekly",7,Q2613="Monthly",30,Q2613="Quarterly",90,Q2613="Bi-Weekly",14,Q2613="Annually",365,Q2613="Every 3 Months",90,TRUE,"NOT FOUND")</f>
        <v>14</v>
      </c>
    </row>
    <row r="2614" spans="1:19" x14ac:dyDescent="0.35">
      <c r="A2614">
        <v>2613</v>
      </c>
      <c r="B2614">
        <v>55</v>
      </c>
      <c r="C2614" t="s">
        <v>7</v>
      </c>
      <c r="D2614" t="s">
        <v>77</v>
      </c>
      <c r="E2614" t="s">
        <v>55</v>
      </c>
      <c r="F2614">
        <v>22</v>
      </c>
      <c r="G2614" t="s">
        <v>48</v>
      </c>
      <c r="H2614" t="s">
        <v>32</v>
      </c>
      <c r="I2614" t="s">
        <v>36</v>
      </c>
      <c r="J2614" t="s">
        <v>13</v>
      </c>
      <c r="K2614">
        <v>3.8</v>
      </c>
      <c r="L2614" t="s">
        <v>140</v>
      </c>
      <c r="M2614" t="s">
        <v>33</v>
      </c>
      <c r="N2614" t="s">
        <v>140</v>
      </c>
      <c r="O2614">
        <v>27</v>
      </c>
      <c r="P2614" t="s">
        <v>16</v>
      </c>
      <c r="Q2614" t="s">
        <v>46</v>
      </c>
      <c r="R2614" t="str" cm="1">
        <f t="array" ref="R2614">_xlfn.IFS(B2614&lt;31,"Young-Adult",B2614&lt;41,"Adult",B2614&lt;61,"Middle-aged",B2614&gt;=61,"Senior")</f>
        <v>Middle-aged</v>
      </c>
      <c r="S2614" cm="1">
        <f t="array" ref="S2614">_xlfn.IFS(Q2614 ="Fortnightly",14,Q2614="Weekly",7,Q2614="Monthly",30,Q2614="Quarterly",90,Q2614="Bi-Weekly",14,Q2614="Annually",365,Q2614="Every 3 Months",90,TRUE,"NOT FOUND")</f>
        <v>90</v>
      </c>
    </row>
    <row r="2615" spans="1:19" x14ac:dyDescent="0.35">
      <c r="A2615">
        <v>2614</v>
      </c>
      <c r="B2615">
        <v>58</v>
      </c>
      <c r="C2615" t="s">
        <v>7</v>
      </c>
      <c r="D2615" t="s">
        <v>131</v>
      </c>
      <c r="E2615" t="s">
        <v>55</v>
      </c>
      <c r="F2615">
        <v>88</v>
      </c>
      <c r="G2615" t="s">
        <v>135</v>
      </c>
      <c r="H2615" t="s">
        <v>32</v>
      </c>
      <c r="I2615" t="s">
        <v>68</v>
      </c>
      <c r="J2615" t="s">
        <v>45</v>
      </c>
      <c r="K2615">
        <v>2.9</v>
      </c>
      <c r="L2615" t="s">
        <v>140</v>
      </c>
      <c r="M2615" t="s">
        <v>15</v>
      </c>
      <c r="N2615" t="s">
        <v>140</v>
      </c>
      <c r="O2615">
        <v>14</v>
      </c>
      <c r="P2615" t="s">
        <v>63</v>
      </c>
      <c r="Q2615" t="s">
        <v>76</v>
      </c>
      <c r="R2615" t="str" cm="1">
        <f t="array" ref="R2615">_xlfn.IFS(B2615&lt;31,"Young-Adult",B2615&lt;41,"Adult",B2615&lt;61,"Middle-aged",B2615&gt;=61,"Senior")</f>
        <v>Middle-aged</v>
      </c>
      <c r="S2615" cm="1">
        <f t="array" ref="S2615">_xlfn.IFS(Q2615 ="Fortnightly",14,Q2615="Weekly",7,Q2615="Monthly",30,Q2615="Quarterly",90,Q2615="Bi-Weekly",14,Q2615="Annually",365,Q2615="Every 3 Months",90,TRUE,"NOT FOUND")</f>
        <v>30</v>
      </c>
    </row>
    <row r="2616" spans="1:19" x14ac:dyDescent="0.35">
      <c r="A2616">
        <v>2615</v>
      </c>
      <c r="B2616">
        <v>18</v>
      </c>
      <c r="C2616" t="s">
        <v>7</v>
      </c>
      <c r="D2616" t="s">
        <v>90</v>
      </c>
      <c r="E2616" t="s">
        <v>51</v>
      </c>
      <c r="F2616">
        <v>65</v>
      </c>
      <c r="G2616" t="s">
        <v>102</v>
      </c>
      <c r="H2616" t="s">
        <v>32</v>
      </c>
      <c r="I2616" t="s">
        <v>36</v>
      </c>
      <c r="J2616" t="s">
        <v>25</v>
      </c>
      <c r="K2616">
        <v>4.2</v>
      </c>
      <c r="L2616" t="s">
        <v>140</v>
      </c>
      <c r="M2616" t="s">
        <v>15</v>
      </c>
      <c r="N2616" t="s">
        <v>140</v>
      </c>
      <c r="O2616">
        <v>36</v>
      </c>
      <c r="P2616" t="s">
        <v>63</v>
      </c>
      <c r="Q2616" t="s">
        <v>17</v>
      </c>
      <c r="R2616" t="str" cm="1">
        <f t="array" ref="R2616">_xlfn.IFS(B2616&lt;31,"Young-Adult",B2616&lt;41,"Adult",B2616&lt;61,"Middle-aged",B2616&gt;=61,"Senior")</f>
        <v>Young-Adult</v>
      </c>
      <c r="S2616" cm="1">
        <f t="array" ref="S2616">_xlfn.IFS(Q2616 ="Fortnightly",14,Q2616="Weekly",7,Q2616="Monthly",30,Q2616="Quarterly",90,Q2616="Bi-Weekly",14,Q2616="Annually",365,Q2616="Every 3 Months",90,TRUE,"NOT FOUND")</f>
        <v>14</v>
      </c>
    </row>
    <row r="2617" spans="1:19" x14ac:dyDescent="0.35">
      <c r="A2617">
        <v>2616</v>
      </c>
      <c r="B2617">
        <v>49</v>
      </c>
      <c r="C2617" t="s">
        <v>7</v>
      </c>
      <c r="D2617" t="s">
        <v>101</v>
      </c>
      <c r="E2617" t="s">
        <v>9</v>
      </c>
      <c r="F2617">
        <v>62</v>
      </c>
      <c r="G2617" t="s">
        <v>105</v>
      </c>
      <c r="H2617" t="s">
        <v>32</v>
      </c>
      <c r="I2617" t="s">
        <v>20</v>
      </c>
      <c r="J2617" t="s">
        <v>45</v>
      </c>
      <c r="K2617">
        <v>3.1</v>
      </c>
      <c r="L2617" t="s">
        <v>140</v>
      </c>
      <c r="M2617" t="s">
        <v>58</v>
      </c>
      <c r="N2617" t="s">
        <v>140</v>
      </c>
      <c r="O2617">
        <v>6</v>
      </c>
      <c r="P2617" t="s">
        <v>74</v>
      </c>
      <c r="Q2617" t="s">
        <v>46</v>
      </c>
      <c r="R2617" t="str" cm="1">
        <f t="array" ref="R2617">_xlfn.IFS(B2617&lt;31,"Young-Adult",B2617&lt;41,"Adult",B2617&lt;61,"Middle-aged",B2617&gt;=61,"Senior")</f>
        <v>Middle-aged</v>
      </c>
      <c r="S2617" cm="1">
        <f t="array" ref="S2617">_xlfn.IFS(Q2617 ="Fortnightly",14,Q2617="Weekly",7,Q2617="Monthly",30,Q2617="Quarterly",90,Q2617="Bi-Weekly",14,Q2617="Annually",365,Q2617="Every 3 Months",90,TRUE,"NOT FOUND")</f>
        <v>90</v>
      </c>
    </row>
    <row r="2618" spans="1:19" x14ac:dyDescent="0.35">
      <c r="A2618">
        <v>2617</v>
      </c>
      <c r="B2618">
        <v>61</v>
      </c>
      <c r="C2618" t="s">
        <v>7</v>
      </c>
      <c r="D2618" t="s">
        <v>29</v>
      </c>
      <c r="E2618" t="s">
        <v>30</v>
      </c>
      <c r="F2618">
        <v>55</v>
      </c>
      <c r="G2618" t="s">
        <v>130</v>
      </c>
      <c r="H2618" t="s">
        <v>80</v>
      </c>
      <c r="I2618" t="s">
        <v>61</v>
      </c>
      <c r="J2618" t="s">
        <v>25</v>
      </c>
      <c r="K2618">
        <v>3.6</v>
      </c>
      <c r="L2618" t="s">
        <v>140</v>
      </c>
      <c r="M2618" t="s">
        <v>15</v>
      </c>
      <c r="N2618" t="s">
        <v>140</v>
      </c>
      <c r="O2618">
        <v>46</v>
      </c>
      <c r="P2618" t="s">
        <v>21</v>
      </c>
      <c r="Q2618" t="s">
        <v>37</v>
      </c>
      <c r="R2618" t="str" cm="1">
        <f t="array" ref="R2618">_xlfn.IFS(B2618&lt;31,"Young-Adult",B2618&lt;41,"Adult",B2618&lt;61,"Middle-aged",B2618&gt;=61,"Senior")</f>
        <v>Senior</v>
      </c>
      <c r="S2618" cm="1">
        <f t="array" ref="S2618">_xlfn.IFS(Q2618 ="Fortnightly",14,Q2618="Weekly",7,Q2618="Monthly",30,Q2618="Quarterly",90,Q2618="Bi-Weekly",14,Q2618="Annually",365,Q2618="Every 3 Months",90,TRUE,"NOT FOUND")</f>
        <v>365</v>
      </c>
    </row>
    <row r="2619" spans="1:19" x14ac:dyDescent="0.35">
      <c r="A2619">
        <v>2618</v>
      </c>
      <c r="B2619">
        <v>31</v>
      </c>
      <c r="C2619" t="s">
        <v>7</v>
      </c>
      <c r="D2619" t="s">
        <v>47</v>
      </c>
      <c r="E2619" t="s">
        <v>9</v>
      </c>
      <c r="F2619">
        <v>97</v>
      </c>
      <c r="G2619" t="s">
        <v>123</v>
      </c>
      <c r="H2619" t="s">
        <v>24</v>
      </c>
      <c r="I2619" t="s">
        <v>20</v>
      </c>
      <c r="J2619" t="s">
        <v>25</v>
      </c>
      <c r="K2619">
        <v>4.8</v>
      </c>
      <c r="L2619" t="s">
        <v>140</v>
      </c>
      <c r="M2619" t="s">
        <v>42</v>
      </c>
      <c r="N2619" t="s">
        <v>140</v>
      </c>
      <c r="O2619">
        <v>29</v>
      </c>
      <c r="P2619" t="s">
        <v>63</v>
      </c>
      <c r="Q2619" t="s">
        <v>37</v>
      </c>
      <c r="R2619" t="str" cm="1">
        <f t="array" ref="R2619">_xlfn.IFS(B2619&lt;31,"Young-Adult",B2619&lt;41,"Adult",B2619&lt;61,"Middle-aged",B2619&gt;=61,"Senior")</f>
        <v>Adult</v>
      </c>
      <c r="S2619" cm="1">
        <f t="array" ref="S2619">_xlfn.IFS(Q2619 ="Fortnightly",14,Q2619="Weekly",7,Q2619="Monthly",30,Q2619="Quarterly",90,Q2619="Bi-Weekly",14,Q2619="Annually",365,Q2619="Every 3 Months",90,TRUE,"NOT FOUND")</f>
        <v>365</v>
      </c>
    </row>
    <row r="2620" spans="1:19" x14ac:dyDescent="0.35">
      <c r="A2620">
        <v>2619</v>
      </c>
      <c r="B2620">
        <v>70</v>
      </c>
      <c r="C2620" t="s">
        <v>7</v>
      </c>
      <c r="D2620" t="s">
        <v>54</v>
      </c>
      <c r="E2620" t="s">
        <v>55</v>
      </c>
      <c r="F2620">
        <v>77</v>
      </c>
      <c r="G2620" t="s">
        <v>48</v>
      </c>
      <c r="H2620" t="s">
        <v>11</v>
      </c>
      <c r="I2620" t="s">
        <v>98</v>
      </c>
      <c r="J2620" t="s">
        <v>45</v>
      </c>
      <c r="K2620">
        <v>4.0999999999999996</v>
      </c>
      <c r="L2620" t="s">
        <v>140</v>
      </c>
      <c r="M2620" t="s">
        <v>15</v>
      </c>
      <c r="N2620" t="s">
        <v>140</v>
      </c>
      <c r="O2620">
        <v>12</v>
      </c>
      <c r="P2620" t="s">
        <v>16</v>
      </c>
      <c r="Q2620" t="s">
        <v>76</v>
      </c>
      <c r="R2620" t="str" cm="1">
        <f t="array" ref="R2620">_xlfn.IFS(B2620&lt;31,"Young-Adult",B2620&lt;41,"Adult",B2620&lt;61,"Middle-aged",B2620&gt;=61,"Senior")</f>
        <v>Senior</v>
      </c>
      <c r="S2620" cm="1">
        <f t="array" ref="S2620">_xlfn.IFS(Q2620 ="Fortnightly",14,Q2620="Weekly",7,Q2620="Monthly",30,Q2620="Quarterly",90,Q2620="Bi-Weekly",14,Q2620="Annually",365,Q2620="Every 3 Months",90,TRUE,"NOT FOUND")</f>
        <v>30</v>
      </c>
    </row>
    <row r="2621" spans="1:19" x14ac:dyDescent="0.35">
      <c r="A2621">
        <v>2620</v>
      </c>
      <c r="B2621">
        <v>68</v>
      </c>
      <c r="C2621" t="s">
        <v>7</v>
      </c>
      <c r="D2621" t="s">
        <v>83</v>
      </c>
      <c r="E2621" t="s">
        <v>9</v>
      </c>
      <c r="F2621">
        <v>40</v>
      </c>
      <c r="G2621" t="s">
        <v>127</v>
      </c>
      <c r="H2621" t="s">
        <v>11</v>
      </c>
      <c r="I2621" t="s">
        <v>114</v>
      </c>
      <c r="J2621" t="s">
        <v>13</v>
      </c>
      <c r="K2621">
        <v>3.9</v>
      </c>
      <c r="L2621" t="s">
        <v>140</v>
      </c>
      <c r="M2621" t="s">
        <v>26</v>
      </c>
      <c r="N2621" t="s">
        <v>140</v>
      </c>
      <c r="O2621">
        <v>47</v>
      </c>
      <c r="P2621" t="s">
        <v>27</v>
      </c>
      <c r="Q2621" t="s">
        <v>28</v>
      </c>
      <c r="R2621" t="str" cm="1">
        <f t="array" ref="R2621">_xlfn.IFS(B2621&lt;31,"Young-Adult",B2621&lt;41,"Adult",B2621&lt;61,"Middle-aged",B2621&gt;=61,"Senior")</f>
        <v>Senior</v>
      </c>
      <c r="S2621" cm="1">
        <f t="array" ref="S2621">_xlfn.IFS(Q2621 ="Fortnightly",14,Q2621="Weekly",7,Q2621="Monthly",30,Q2621="Quarterly",90,Q2621="Bi-Weekly",14,Q2621="Annually",365,Q2621="Every 3 Months",90,TRUE,"NOT FOUND")</f>
        <v>7</v>
      </c>
    </row>
    <row r="2622" spans="1:19" x14ac:dyDescent="0.35">
      <c r="A2622">
        <v>2621</v>
      </c>
      <c r="B2622">
        <v>27</v>
      </c>
      <c r="C2622" t="s">
        <v>7</v>
      </c>
      <c r="D2622" t="s">
        <v>8</v>
      </c>
      <c r="E2622" t="s">
        <v>9</v>
      </c>
      <c r="F2622">
        <v>23</v>
      </c>
      <c r="G2622" t="s">
        <v>111</v>
      </c>
      <c r="H2622" t="s">
        <v>24</v>
      </c>
      <c r="I2622" t="s">
        <v>81</v>
      </c>
      <c r="J2622" t="s">
        <v>13</v>
      </c>
      <c r="K2622">
        <v>3</v>
      </c>
      <c r="L2622" t="s">
        <v>140</v>
      </c>
      <c r="M2622" t="s">
        <v>42</v>
      </c>
      <c r="N2622" t="s">
        <v>140</v>
      </c>
      <c r="O2622">
        <v>28</v>
      </c>
      <c r="P2622" t="s">
        <v>74</v>
      </c>
      <c r="Q2622" t="s">
        <v>37</v>
      </c>
      <c r="R2622" t="str" cm="1">
        <f t="array" ref="R2622">_xlfn.IFS(B2622&lt;31,"Young-Adult",B2622&lt;41,"Adult",B2622&lt;61,"Middle-aged",B2622&gt;=61,"Senior")</f>
        <v>Young-Adult</v>
      </c>
      <c r="S2622" cm="1">
        <f t="array" ref="S2622">_xlfn.IFS(Q2622 ="Fortnightly",14,Q2622="Weekly",7,Q2622="Monthly",30,Q2622="Quarterly",90,Q2622="Bi-Weekly",14,Q2622="Annually",365,Q2622="Every 3 Months",90,TRUE,"NOT FOUND")</f>
        <v>365</v>
      </c>
    </row>
    <row r="2623" spans="1:19" x14ac:dyDescent="0.35">
      <c r="A2623">
        <v>2622</v>
      </c>
      <c r="B2623">
        <v>48</v>
      </c>
      <c r="C2623" t="s">
        <v>7</v>
      </c>
      <c r="D2623" t="s">
        <v>59</v>
      </c>
      <c r="E2623" t="s">
        <v>30</v>
      </c>
      <c r="F2623">
        <v>46</v>
      </c>
      <c r="G2623" t="s">
        <v>19</v>
      </c>
      <c r="H2623" t="s">
        <v>32</v>
      </c>
      <c r="I2623" t="s">
        <v>106</v>
      </c>
      <c r="J2623" t="s">
        <v>13</v>
      </c>
      <c r="K2623">
        <v>3</v>
      </c>
      <c r="L2623" t="s">
        <v>140</v>
      </c>
      <c r="M2623" t="s">
        <v>15</v>
      </c>
      <c r="N2623" t="s">
        <v>140</v>
      </c>
      <c r="O2623">
        <v>21</v>
      </c>
      <c r="P2623" t="s">
        <v>63</v>
      </c>
      <c r="Q2623" t="s">
        <v>37</v>
      </c>
      <c r="R2623" t="str" cm="1">
        <f t="array" ref="R2623">_xlfn.IFS(B2623&lt;31,"Young-Adult",B2623&lt;41,"Adult",B2623&lt;61,"Middle-aged",B2623&gt;=61,"Senior")</f>
        <v>Middle-aged</v>
      </c>
      <c r="S2623" cm="1">
        <f t="array" ref="S2623">_xlfn.IFS(Q2623 ="Fortnightly",14,Q2623="Weekly",7,Q2623="Monthly",30,Q2623="Quarterly",90,Q2623="Bi-Weekly",14,Q2623="Annually",365,Q2623="Every 3 Months",90,TRUE,"NOT FOUND")</f>
        <v>365</v>
      </c>
    </row>
    <row r="2624" spans="1:19" x14ac:dyDescent="0.35">
      <c r="A2624">
        <v>2623</v>
      </c>
      <c r="B2624">
        <v>63</v>
      </c>
      <c r="C2624" t="s">
        <v>7</v>
      </c>
      <c r="D2624" t="s">
        <v>120</v>
      </c>
      <c r="E2624" t="s">
        <v>55</v>
      </c>
      <c r="F2624">
        <v>75</v>
      </c>
      <c r="G2624" t="s">
        <v>70</v>
      </c>
      <c r="H2624" t="s">
        <v>32</v>
      </c>
      <c r="I2624" t="s">
        <v>122</v>
      </c>
      <c r="J2624" t="s">
        <v>25</v>
      </c>
      <c r="K2624">
        <v>4.9000000000000004</v>
      </c>
      <c r="L2624" t="s">
        <v>140</v>
      </c>
      <c r="M2624" t="s">
        <v>58</v>
      </c>
      <c r="N2624" t="s">
        <v>140</v>
      </c>
      <c r="O2624">
        <v>15</v>
      </c>
      <c r="P2624" t="s">
        <v>27</v>
      </c>
      <c r="Q2624" t="s">
        <v>37</v>
      </c>
      <c r="R2624" t="str" cm="1">
        <f t="array" ref="R2624">_xlfn.IFS(B2624&lt;31,"Young-Adult",B2624&lt;41,"Adult",B2624&lt;61,"Middle-aged",B2624&gt;=61,"Senior")</f>
        <v>Senior</v>
      </c>
      <c r="S2624" cm="1">
        <f t="array" ref="S2624">_xlfn.IFS(Q2624 ="Fortnightly",14,Q2624="Weekly",7,Q2624="Monthly",30,Q2624="Quarterly",90,Q2624="Bi-Weekly",14,Q2624="Annually",365,Q2624="Every 3 Months",90,TRUE,"NOT FOUND")</f>
        <v>365</v>
      </c>
    </row>
    <row r="2625" spans="1:19" x14ac:dyDescent="0.35">
      <c r="A2625">
        <v>2624</v>
      </c>
      <c r="B2625">
        <v>49</v>
      </c>
      <c r="C2625" t="s">
        <v>7</v>
      </c>
      <c r="D2625" t="s">
        <v>59</v>
      </c>
      <c r="E2625" t="s">
        <v>30</v>
      </c>
      <c r="F2625">
        <v>76</v>
      </c>
      <c r="G2625" t="s">
        <v>23</v>
      </c>
      <c r="H2625" t="s">
        <v>32</v>
      </c>
      <c r="I2625" t="s">
        <v>68</v>
      </c>
      <c r="J2625" t="s">
        <v>45</v>
      </c>
      <c r="K2625">
        <v>4.8</v>
      </c>
      <c r="L2625" t="s">
        <v>140</v>
      </c>
      <c r="M2625" t="s">
        <v>33</v>
      </c>
      <c r="N2625" t="s">
        <v>140</v>
      </c>
      <c r="O2625">
        <v>38</v>
      </c>
      <c r="P2625" t="s">
        <v>21</v>
      </c>
      <c r="Q2625" t="s">
        <v>37</v>
      </c>
      <c r="R2625" t="str" cm="1">
        <f t="array" ref="R2625">_xlfn.IFS(B2625&lt;31,"Young-Adult",B2625&lt;41,"Adult",B2625&lt;61,"Middle-aged",B2625&gt;=61,"Senior")</f>
        <v>Middle-aged</v>
      </c>
      <c r="S2625" cm="1">
        <f t="array" ref="S2625">_xlfn.IFS(Q2625 ="Fortnightly",14,Q2625="Weekly",7,Q2625="Monthly",30,Q2625="Quarterly",90,Q2625="Bi-Weekly",14,Q2625="Annually",365,Q2625="Every 3 Months",90,TRUE,"NOT FOUND")</f>
        <v>365</v>
      </c>
    </row>
    <row r="2626" spans="1:19" x14ac:dyDescent="0.35">
      <c r="A2626">
        <v>2625</v>
      </c>
      <c r="B2626">
        <v>19</v>
      </c>
      <c r="C2626" t="s">
        <v>7</v>
      </c>
      <c r="D2626" t="s">
        <v>69</v>
      </c>
      <c r="E2626" t="s">
        <v>9</v>
      </c>
      <c r="F2626">
        <v>59</v>
      </c>
      <c r="G2626" t="s">
        <v>135</v>
      </c>
      <c r="H2626" t="s">
        <v>32</v>
      </c>
      <c r="I2626" t="s">
        <v>114</v>
      </c>
      <c r="J2626" t="s">
        <v>41</v>
      </c>
      <c r="K2626">
        <v>3.3</v>
      </c>
      <c r="L2626" t="s">
        <v>140</v>
      </c>
      <c r="M2626" t="s">
        <v>42</v>
      </c>
      <c r="N2626" t="s">
        <v>140</v>
      </c>
      <c r="O2626">
        <v>19</v>
      </c>
      <c r="P2626" t="s">
        <v>27</v>
      </c>
      <c r="Q2626" t="s">
        <v>37</v>
      </c>
      <c r="R2626" t="str" cm="1">
        <f t="array" ref="R2626">_xlfn.IFS(B2626&lt;31,"Young-Adult",B2626&lt;41,"Adult",B2626&lt;61,"Middle-aged",B2626&gt;=61,"Senior")</f>
        <v>Young-Adult</v>
      </c>
      <c r="S2626" cm="1">
        <f t="array" ref="S2626">_xlfn.IFS(Q2626 ="Fortnightly",14,Q2626="Weekly",7,Q2626="Monthly",30,Q2626="Quarterly",90,Q2626="Bi-Weekly",14,Q2626="Annually",365,Q2626="Every 3 Months",90,TRUE,"NOT FOUND")</f>
        <v>365</v>
      </c>
    </row>
    <row r="2627" spans="1:19" x14ac:dyDescent="0.35">
      <c r="A2627">
        <v>2626</v>
      </c>
      <c r="B2627">
        <v>30</v>
      </c>
      <c r="C2627" t="s">
        <v>7</v>
      </c>
      <c r="D2627" t="s">
        <v>75</v>
      </c>
      <c r="E2627" t="s">
        <v>9</v>
      </c>
      <c r="F2627">
        <v>51</v>
      </c>
      <c r="G2627" t="s">
        <v>100</v>
      </c>
      <c r="H2627" t="s">
        <v>11</v>
      </c>
      <c r="I2627" t="s">
        <v>97</v>
      </c>
      <c r="J2627" t="s">
        <v>41</v>
      </c>
      <c r="K2627">
        <v>2.7</v>
      </c>
      <c r="L2627" t="s">
        <v>140</v>
      </c>
      <c r="M2627" t="s">
        <v>42</v>
      </c>
      <c r="N2627" t="s">
        <v>140</v>
      </c>
      <c r="O2627">
        <v>31</v>
      </c>
      <c r="P2627" t="s">
        <v>27</v>
      </c>
      <c r="Q2627" t="s">
        <v>28</v>
      </c>
      <c r="R2627" t="str" cm="1">
        <f t="array" ref="R2627">_xlfn.IFS(B2627&lt;31,"Young-Adult",B2627&lt;41,"Adult",B2627&lt;61,"Middle-aged",B2627&gt;=61,"Senior")</f>
        <v>Young-Adult</v>
      </c>
      <c r="S2627" cm="1">
        <f t="array" ref="S2627">_xlfn.IFS(Q2627 ="Fortnightly",14,Q2627="Weekly",7,Q2627="Monthly",30,Q2627="Quarterly",90,Q2627="Bi-Weekly",14,Q2627="Annually",365,Q2627="Every 3 Months",90,TRUE,"NOT FOUND")</f>
        <v>7</v>
      </c>
    </row>
    <row r="2628" spans="1:19" x14ac:dyDescent="0.35">
      <c r="A2628">
        <v>2627</v>
      </c>
      <c r="B2628">
        <v>50</v>
      </c>
      <c r="C2628" t="s">
        <v>7</v>
      </c>
      <c r="D2628" t="s">
        <v>90</v>
      </c>
      <c r="E2628" t="s">
        <v>51</v>
      </c>
      <c r="F2628">
        <v>46</v>
      </c>
      <c r="G2628" t="s">
        <v>31</v>
      </c>
      <c r="H2628" t="s">
        <v>80</v>
      </c>
      <c r="I2628" t="s">
        <v>53</v>
      </c>
      <c r="J2628" t="s">
        <v>45</v>
      </c>
      <c r="K2628">
        <v>4.2</v>
      </c>
      <c r="L2628" t="s">
        <v>140</v>
      </c>
      <c r="M2628" t="s">
        <v>15</v>
      </c>
      <c r="N2628" t="s">
        <v>140</v>
      </c>
      <c r="O2628">
        <v>30</v>
      </c>
      <c r="P2628" t="s">
        <v>27</v>
      </c>
      <c r="Q2628" t="s">
        <v>85</v>
      </c>
      <c r="R2628" t="str" cm="1">
        <f t="array" ref="R2628">_xlfn.IFS(B2628&lt;31,"Young-Adult",B2628&lt;41,"Adult",B2628&lt;61,"Middle-aged",B2628&gt;=61,"Senior")</f>
        <v>Middle-aged</v>
      </c>
      <c r="S2628" cm="1">
        <f t="array" ref="S2628">_xlfn.IFS(Q2628 ="Fortnightly",14,Q2628="Weekly",7,Q2628="Monthly",30,Q2628="Quarterly",90,Q2628="Bi-Weekly",14,Q2628="Annually",365,Q2628="Every 3 Months",90,TRUE,"NOT FOUND")</f>
        <v>90</v>
      </c>
    </row>
    <row r="2629" spans="1:19" x14ac:dyDescent="0.35">
      <c r="A2629">
        <v>2628</v>
      </c>
      <c r="B2629">
        <v>66</v>
      </c>
      <c r="C2629" t="s">
        <v>7</v>
      </c>
      <c r="D2629" t="s">
        <v>43</v>
      </c>
      <c r="E2629" t="s">
        <v>9</v>
      </c>
      <c r="F2629">
        <v>26</v>
      </c>
      <c r="G2629" t="s">
        <v>56</v>
      </c>
      <c r="H2629" t="s">
        <v>11</v>
      </c>
      <c r="I2629" t="s">
        <v>53</v>
      </c>
      <c r="J2629" t="s">
        <v>45</v>
      </c>
      <c r="K2629">
        <v>3.6</v>
      </c>
      <c r="L2629" t="s">
        <v>140</v>
      </c>
      <c r="M2629" t="s">
        <v>33</v>
      </c>
      <c r="N2629" t="s">
        <v>140</v>
      </c>
      <c r="O2629">
        <v>40</v>
      </c>
      <c r="P2629" t="s">
        <v>63</v>
      </c>
      <c r="Q2629" t="s">
        <v>46</v>
      </c>
      <c r="R2629" t="str" cm="1">
        <f t="array" ref="R2629">_xlfn.IFS(B2629&lt;31,"Young-Adult",B2629&lt;41,"Adult",B2629&lt;61,"Middle-aged",B2629&gt;=61,"Senior")</f>
        <v>Senior</v>
      </c>
      <c r="S2629" cm="1">
        <f t="array" ref="S2629">_xlfn.IFS(Q2629 ="Fortnightly",14,Q2629="Weekly",7,Q2629="Monthly",30,Q2629="Quarterly",90,Q2629="Bi-Weekly",14,Q2629="Annually",365,Q2629="Every 3 Months",90,TRUE,"NOT FOUND")</f>
        <v>90</v>
      </c>
    </row>
    <row r="2630" spans="1:19" x14ac:dyDescent="0.35">
      <c r="A2630">
        <v>2629</v>
      </c>
      <c r="B2630">
        <v>25</v>
      </c>
      <c r="C2630" t="s">
        <v>7</v>
      </c>
      <c r="D2630" t="s">
        <v>92</v>
      </c>
      <c r="E2630" t="s">
        <v>9</v>
      </c>
      <c r="F2630">
        <v>51</v>
      </c>
      <c r="G2630" t="s">
        <v>39</v>
      </c>
      <c r="H2630" t="s">
        <v>32</v>
      </c>
      <c r="I2630" t="s">
        <v>53</v>
      </c>
      <c r="J2630" t="s">
        <v>41</v>
      </c>
      <c r="K2630">
        <v>3.8</v>
      </c>
      <c r="L2630" t="s">
        <v>140</v>
      </c>
      <c r="M2630" t="s">
        <v>33</v>
      </c>
      <c r="N2630" t="s">
        <v>140</v>
      </c>
      <c r="O2630">
        <v>42</v>
      </c>
      <c r="P2630" t="s">
        <v>27</v>
      </c>
      <c r="Q2630" t="s">
        <v>64</v>
      </c>
      <c r="R2630" t="str" cm="1">
        <f t="array" ref="R2630">_xlfn.IFS(B2630&lt;31,"Young-Adult",B2630&lt;41,"Adult",B2630&lt;61,"Middle-aged",B2630&gt;=61,"Senior")</f>
        <v>Young-Adult</v>
      </c>
      <c r="S2630" cm="1">
        <f t="array" ref="S2630">_xlfn.IFS(Q2630 ="Fortnightly",14,Q2630="Weekly",7,Q2630="Monthly",30,Q2630="Quarterly",90,Q2630="Bi-Weekly",14,Q2630="Annually",365,Q2630="Every 3 Months",90,TRUE,"NOT FOUND")</f>
        <v>14</v>
      </c>
    </row>
    <row r="2631" spans="1:19" x14ac:dyDescent="0.35">
      <c r="A2631">
        <v>2630</v>
      </c>
      <c r="B2631">
        <v>61</v>
      </c>
      <c r="C2631" t="s">
        <v>7</v>
      </c>
      <c r="D2631" t="s">
        <v>107</v>
      </c>
      <c r="E2631" t="s">
        <v>55</v>
      </c>
      <c r="F2631">
        <v>44</v>
      </c>
      <c r="G2631" t="s">
        <v>70</v>
      </c>
      <c r="H2631" t="s">
        <v>32</v>
      </c>
      <c r="I2631" t="s">
        <v>88</v>
      </c>
      <c r="J2631" t="s">
        <v>13</v>
      </c>
      <c r="K2631">
        <v>3.8</v>
      </c>
      <c r="L2631" t="s">
        <v>140</v>
      </c>
      <c r="M2631" t="s">
        <v>26</v>
      </c>
      <c r="N2631" t="s">
        <v>140</v>
      </c>
      <c r="O2631">
        <v>25</v>
      </c>
      <c r="P2631" t="s">
        <v>16</v>
      </c>
      <c r="Q2631" t="s">
        <v>37</v>
      </c>
      <c r="R2631" t="str" cm="1">
        <f t="array" ref="R2631">_xlfn.IFS(B2631&lt;31,"Young-Adult",B2631&lt;41,"Adult",B2631&lt;61,"Middle-aged",B2631&gt;=61,"Senior")</f>
        <v>Senior</v>
      </c>
      <c r="S2631" cm="1">
        <f t="array" ref="S2631">_xlfn.IFS(Q2631 ="Fortnightly",14,Q2631="Weekly",7,Q2631="Monthly",30,Q2631="Quarterly",90,Q2631="Bi-Weekly",14,Q2631="Annually",365,Q2631="Every 3 Months",90,TRUE,"NOT FOUND")</f>
        <v>365</v>
      </c>
    </row>
    <row r="2632" spans="1:19" x14ac:dyDescent="0.35">
      <c r="A2632">
        <v>2631</v>
      </c>
      <c r="B2632">
        <v>29</v>
      </c>
      <c r="C2632" t="s">
        <v>7</v>
      </c>
      <c r="D2632" t="s">
        <v>75</v>
      </c>
      <c r="E2632" t="s">
        <v>9</v>
      </c>
      <c r="F2632">
        <v>82</v>
      </c>
      <c r="G2632" t="s">
        <v>19</v>
      </c>
      <c r="H2632" t="s">
        <v>24</v>
      </c>
      <c r="I2632" t="s">
        <v>57</v>
      </c>
      <c r="J2632" t="s">
        <v>25</v>
      </c>
      <c r="K2632">
        <v>4.2</v>
      </c>
      <c r="L2632" t="s">
        <v>140</v>
      </c>
      <c r="M2632" t="s">
        <v>26</v>
      </c>
      <c r="N2632" t="s">
        <v>140</v>
      </c>
      <c r="O2632">
        <v>20</v>
      </c>
      <c r="P2632" t="s">
        <v>21</v>
      </c>
      <c r="Q2632" t="s">
        <v>46</v>
      </c>
      <c r="R2632" t="str" cm="1">
        <f t="array" ref="R2632">_xlfn.IFS(B2632&lt;31,"Young-Adult",B2632&lt;41,"Adult",B2632&lt;61,"Middle-aged",B2632&gt;=61,"Senior")</f>
        <v>Young-Adult</v>
      </c>
      <c r="S2632" cm="1">
        <f t="array" ref="S2632">_xlfn.IFS(Q2632 ="Fortnightly",14,Q2632="Weekly",7,Q2632="Monthly",30,Q2632="Quarterly",90,Q2632="Bi-Weekly",14,Q2632="Annually",365,Q2632="Every 3 Months",90,TRUE,"NOT FOUND")</f>
        <v>90</v>
      </c>
    </row>
    <row r="2633" spans="1:19" x14ac:dyDescent="0.35">
      <c r="A2633">
        <v>2632</v>
      </c>
      <c r="B2633">
        <v>53</v>
      </c>
      <c r="C2633" t="s">
        <v>7</v>
      </c>
      <c r="D2633" t="s">
        <v>75</v>
      </c>
      <c r="E2633" t="s">
        <v>9</v>
      </c>
      <c r="F2633">
        <v>44</v>
      </c>
      <c r="G2633" t="s">
        <v>127</v>
      </c>
      <c r="H2633" t="s">
        <v>24</v>
      </c>
      <c r="I2633" t="s">
        <v>71</v>
      </c>
      <c r="J2633" t="s">
        <v>41</v>
      </c>
      <c r="K2633">
        <v>2.7</v>
      </c>
      <c r="L2633" t="s">
        <v>140</v>
      </c>
      <c r="M2633" t="s">
        <v>15</v>
      </c>
      <c r="N2633" t="s">
        <v>140</v>
      </c>
      <c r="O2633">
        <v>3</v>
      </c>
      <c r="P2633" t="s">
        <v>21</v>
      </c>
      <c r="Q2633" t="s">
        <v>28</v>
      </c>
      <c r="R2633" t="str" cm="1">
        <f t="array" ref="R2633">_xlfn.IFS(B2633&lt;31,"Young-Adult",B2633&lt;41,"Adult",B2633&lt;61,"Middle-aged",B2633&gt;=61,"Senior")</f>
        <v>Middle-aged</v>
      </c>
      <c r="S2633" cm="1">
        <f t="array" ref="S2633">_xlfn.IFS(Q2633 ="Fortnightly",14,Q2633="Weekly",7,Q2633="Monthly",30,Q2633="Quarterly",90,Q2633="Bi-Weekly",14,Q2633="Annually",365,Q2633="Every 3 Months",90,TRUE,"NOT FOUND")</f>
        <v>7</v>
      </c>
    </row>
    <row r="2634" spans="1:19" x14ac:dyDescent="0.35">
      <c r="A2634">
        <v>2633</v>
      </c>
      <c r="B2634">
        <v>24</v>
      </c>
      <c r="C2634" t="s">
        <v>7</v>
      </c>
      <c r="D2634" t="s">
        <v>107</v>
      </c>
      <c r="E2634" t="s">
        <v>55</v>
      </c>
      <c r="F2634">
        <v>27</v>
      </c>
      <c r="G2634" t="s">
        <v>108</v>
      </c>
      <c r="H2634" t="s">
        <v>32</v>
      </c>
      <c r="I2634" t="s">
        <v>82</v>
      </c>
      <c r="J2634" t="s">
        <v>45</v>
      </c>
      <c r="K2634">
        <v>5</v>
      </c>
      <c r="L2634" t="s">
        <v>140</v>
      </c>
      <c r="M2634" t="s">
        <v>33</v>
      </c>
      <c r="N2634" t="s">
        <v>140</v>
      </c>
      <c r="O2634">
        <v>14</v>
      </c>
      <c r="P2634" t="s">
        <v>21</v>
      </c>
      <c r="Q2634" t="s">
        <v>37</v>
      </c>
      <c r="R2634" t="str" cm="1">
        <f t="array" ref="R2634">_xlfn.IFS(B2634&lt;31,"Young-Adult",B2634&lt;41,"Adult",B2634&lt;61,"Middle-aged",B2634&gt;=61,"Senior")</f>
        <v>Young-Adult</v>
      </c>
      <c r="S2634" cm="1">
        <f t="array" ref="S2634">_xlfn.IFS(Q2634 ="Fortnightly",14,Q2634="Weekly",7,Q2634="Monthly",30,Q2634="Quarterly",90,Q2634="Bi-Weekly",14,Q2634="Annually",365,Q2634="Every 3 Months",90,TRUE,"NOT FOUND")</f>
        <v>365</v>
      </c>
    </row>
    <row r="2635" spans="1:19" x14ac:dyDescent="0.35">
      <c r="A2635">
        <v>2634</v>
      </c>
      <c r="B2635">
        <v>51</v>
      </c>
      <c r="C2635" t="s">
        <v>7</v>
      </c>
      <c r="D2635" t="s">
        <v>77</v>
      </c>
      <c r="E2635" t="s">
        <v>55</v>
      </c>
      <c r="F2635">
        <v>90</v>
      </c>
      <c r="G2635" t="s">
        <v>108</v>
      </c>
      <c r="H2635" t="s">
        <v>32</v>
      </c>
      <c r="I2635" t="s">
        <v>61</v>
      </c>
      <c r="J2635" t="s">
        <v>45</v>
      </c>
      <c r="K2635">
        <v>4.7</v>
      </c>
      <c r="L2635" t="s">
        <v>140</v>
      </c>
      <c r="M2635" t="s">
        <v>33</v>
      </c>
      <c r="N2635" t="s">
        <v>140</v>
      </c>
      <c r="O2635">
        <v>32</v>
      </c>
      <c r="P2635" t="s">
        <v>27</v>
      </c>
      <c r="Q2635" t="s">
        <v>17</v>
      </c>
      <c r="R2635" t="str" cm="1">
        <f t="array" ref="R2635">_xlfn.IFS(B2635&lt;31,"Young-Adult",B2635&lt;41,"Adult",B2635&lt;61,"Middle-aged",B2635&gt;=61,"Senior")</f>
        <v>Middle-aged</v>
      </c>
      <c r="S2635" cm="1">
        <f t="array" ref="S2635">_xlfn.IFS(Q2635 ="Fortnightly",14,Q2635="Weekly",7,Q2635="Monthly",30,Q2635="Quarterly",90,Q2635="Bi-Weekly",14,Q2635="Annually",365,Q2635="Every 3 Months",90,TRUE,"NOT FOUND")</f>
        <v>14</v>
      </c>
    </row>
    <row r="2636" spans="1:19" x14ac:dyDescent="0.35">
      <c r="A2636">
        <v>2635</v>
      </c>
      <c r="B2636">
        <v>26</v>
      </c>
      <c r="C2636" t="s">
        <v>7</v>
      </c>
      <c r="D2636" t="s">
        <v>29</v>
      </c>
      <c r="E2636" t="s">
        <v>30</v>
      </c>
      <c r="F2636">
        <v>58</v>
      </c>
      <c r="G2636" t="s">
        <v>86</v>
      </c>
      <c r="H2636" t="s">
        <v>24</v>
      </c>
      <c r="I2636" t="s">
        <v>82</v>
      </c>
      <c r="J2636" t="s">
        <v>41</v>
      </c>
      <c r="K2636">
        <v>3.2</v>
      </c>
      <c r="L2636" t="s">
        <v>140</v>
      </c>
      <c r="M2636" t="s">
        <v>62</v>
      </c>
      <c r="N2636" t="s">
        <v>140</v>
      </c>
      <c r="O2636">
        <v>20</v>
      </c>
      <c r="P2636" t="s">
        <v>34</v>
      </c>
      <c r="Q2636" t="s">
        <v>85</v>
      </c>
      <c r="R2636" t="str" cm="1">
        <f t="array" ref="R2636">_xlfn.IFS(B2636&lt;31,"Young-Adult",B2636&lt;41,"Adult",B2636&lt;61,"Middle-aged",B2636&gt;=61,"Senior")</f>
        <v>Young-Adult</v>
      </c>
      <c r="S2636" cm="1">
        <f t="array" ref="S2636">_xlfn.IFS(Q2636 ="Fortnightly",14,Q2636="Weekly",7,Q2636="Monthly",30,Q2636="Quarterly",90,Q2636="Bi-Weekly",14,Q2636="Annually",365,Q2636="Every 3 Months",90,TRUE,"NOT FOUND")</f>
        <v>90</v>
      </c>
    </row>
    <row r="2637" spans="1:19" x14ac:dyDescent="0.35">
      <c r="A2637">
        <v>2636</v>
      </c>
      <c r="B2637">
        <v>59</v>
      </c>
      <c r="C2637" t="s">
        <v>7</v>
      </c>
      <c r="D2637" t="s">
        <v>92</v>
      </c>
      <c r="E2637" t="s">
        <v>9</v>
      </c>
      <c r="F2637">
        <v>80</v>
      </c>
      <c r="G2637" t="s">
        <v>100</v>
      </c>
      <c r="H2637" t="s">
        <v>80</v>
      </c>
      <c r="I2637" t="s">
        <v>88</v>
      </c>
      <c r="J2637" t="s">
        <v>25</v>
      </c>
      <c r="K2637">
        <v>2.9</v>
      </c>
      <c r="L2637" t="s">
        <v>140</v>
      </c>
      <c r="M2637" t="s">
        <v>58</v>
      </c>
      <c r="N2637" t="s">
        <v>140</v>
      </c>
      <c r="O2637">
        <v>34</v>
      </c>
      <c r="P2637" t="s">
        <v>34</v>
      </c>
      <c r="Q2637" t="s">
        <v>17</v>
      </c>
      <c r="R2637" t="str" cm="1">
        <f t="array" ref="R2637">_xlfn.IFS(B2637&lt;31,"Young-Adult",B2637&lt;41,"Adult",B2637&lt;61,"Middle-aged",B2637&gt;=61,"Senior")</f>
        <v>Middle-aged</v>
      </c>
      <c r="S2637" cm="1">
        <f t="array" ref="S2637">_xlfn.IFS(Q2637 ="Fortnightly",14,Q2637="Weekly",7,Q2637="Monthly",30,Q2637="Quarterly",90,Q2637="Bi-Weekly",14,Q2637="Annually",365,Q2637="Every 3 Months",90,TRUE,"NOT FOUND")</f>
        <v>14</v>
      </c>
    </row>
    <row r="2638" spans="1:19" x14ac:dyDescent="0.35">
      <c r="A2638">
        <v>2637</v>
      </c>
      <c r="B2638">
        <v>41</v>
      </c>
      <c r="C2638" t="s">
        <v>7</v>
      </c>
      <c r="D2638" t="s">
        <v>90</v>
      </c>
      <c r="E2638" t="s">
        <v>51</v>
      </c>
      <c r="F2638">
        <v>40</v>
      </c>
      <c r="G2638" t="s">
        <v>128</v>
      </c>
      <c r="H2638" t="s">
        <v>24</v>
      </c>
      <c r="I2638" t="s">
        <v>124</v>
      </c>
      <c r="J2638" t="s">
        <v>13</v>
      </c>
      <c r="K2638">
        <v>4.2</v>
      </c>
      <c r="L2638" t="s">
        <v>140</v>
      </c>
      <c r="M2638" t="s">
        <v>62</v>
      </c>
      <c r="N2638" t="s">
        <v>140</v>
      </c>
      <c r="O2638">
        <v>6</v>
      </c>
      <c r="P2638" t="s">
        <v>16</v>
      </c>
      <c r="Q2638" t="s">
        <v>37</v>
      </c>
      <c r="R2638" t="str" cm="1">
        <f t="array" ref="R2638">_xlfn.IFS(B2638&lt;31,"Young-Adult",B2638&lt;41,"Adult",B2638&lt;61,"Middle-aged",B2638&gt;=61,"Senior")</f>
        <v>Middle-aged</v>
      </c>
      <c r="S2638" cm="1">
        <f t="array" ref="S2638">_xlfn.IFS(Q2638 ="Fortnightly",14,Q2638="Weekly",7,Q2638="Monthly",30,Q2638="Quarterly",90,Q2638="Bi-Weekly",14,Q2638="Annually",365,Q2638="Every 3 Months",90,TRUE,"NOT FOUND")</f>
        <v>365</v>
      </c>
    </row>
    <row r="2639" spans="1:19" x14ac:dyDescent="0.35">
      <c r="A2639">
        <v>2638</v>
      </c>
      <c r="B2639">
        <v>20</v>
      </c>
      <c r="C2639" t="s">
        <v>7</v>
      </c>
      <c r="D2639" t="s">
        <v>83</v>
      </c>
      <c r="E2639" t="s">
        <v>9</v>
      </c>
      <c r="F2639">
        <v>23</v>
      </c>
      <c r="G2639" t="s">
        <v>78</v>
      </c>
      <c r="H2639" t="s">
        <v>32</v>
      </c>
      <c r="I2639" t="s">
        <v>124</v>
      </c>
      <c r="J2639" t="s">
        <v>25</v>
      </c>
      <c r="K2639">
        <v>3.7</v>
      </c>
      <c r="L2639" t="s">
        <v>140</v>
      </c>
      <c r="M2639" t="s">
        <v>62</v>
      </c>
      <c r="N2639" t="s">
        <v>140</v>
      </c>
      <c r="O2639">
        <v>2</v>
      </c>
      <c r="P2639" t="s">
        <v>34</v>
      </c>
      <c r="Q2639" t="s">
        <v>37</v>
      </c>
      <c r="R2639" t="str" cm="1">
        <f t="array" ref="R2639">_xlfn.IFS(B2639&lt;31,"Young-Adult",B2639&lt;41,"Adult",B2639&lt;61,"Middle-aged",B2639&gt;=61,"Senior")</f>
        <v>Young-Adult</v>
      </c>
      <c r="S2639" cm="1">
        <f t="array" ref="S2639">_xlfn.IFS(Q2639 ="Fortnightly",14,Q2639="Weekly",7,Q2639="Monthly",30,Q2639="Quarterly",90,Q2639="Bi-Weekly",14,Q2639="Annually",365,Q2639="Every 3 Months",90,TRUE,"NOT FOUND")</f>
        <v>365</v>
      </c>
    </row>
    <row r="2640" spans="1:19" x14ac:dyDescent="0.35">
      <c r="A2640">
        <v>2639</v>
      </c>
      <c r="B2640">
        <v>22</v>
      </c>
      <c r="C2640" t="s">
        <v>7</v>
      </c>
      <c r="D2640" t="s">
        <v>43</v>
      </c>
      <c r="E2640" t="s">
        <v>9</v>
      </c>
      <c r="F2640">
        <v>34</v>
      </c>
      <c r="G2640" t="s">
        <v>65</v>
      </c>
      <c r="H2640" t="s">
        <v>24</v>
      </c>
      <c r="I2640" t="s">
        <v>82</v>
      </c>
      <c r="J2640" t="s">
        <v>25</v>
      </c>
      <c r="K2640">
        <v>4.2</v>
      </c>
      <c r="L2640" t="s">
        <v>140</v>
      </c>
      <c r="M2640" t="s">
        <v>62</v>
      </c>
      <c r="N2640" t="s">
        <v>140</v>
      </c>
      <c r="O2640">
        <v>35</v>
      </c>
      <c r="P2640" t="s">
        <v>27</v>
      </c>
      <c r="Q2640" t="s">
        <v>37</v>
      </c>
      <c r="R2640" t="str" cm="1">
        <f t="array" ref="R2640">_xlfn.IFS(B2640&lt;31,"Young-Adult",B2640&lt;41,"Adult",B2640&lt;61,"Middle-aged",B2640&gt;=61,"Senior")</f>
        <v>Young-Adult</v>
      </c>
      <c r="S2640" cm="1">
        <f t="array" ref="S2640">_xlfn.IFS(Q2640 ="Fortnightly",14,Q2640="Weekly",7,Q2640="Monthly",30,Q2640="Quarterly",90,Q2640="Bi-Weekly",14,Q2640="Annually",365,Q2640="Every 3 Months",90,TRUE,"NOT FOUND")</f>
        <v>365</v>
      </c>
    </row>
    <row r="2641" spans="1:19" x14ac:dyDescent="0.35">
      <c r="A2641">
        <v>2640</v>
      </c>
      <c r="B2641">
        <v>18</v>
      </c>
      <c r="C2641" t="s">
        <v>7</v>
      </c>
      <c r="D2641" t="s">
        <v>8</v>
      </c>
      <c r="E2641" t="s">
        <v>9</v>
      </c>
      <c r="F2641">
        <v>35</v>
      </c>
      <c r="G2641" t="s">
        <v>70</v>
      </c>
      <c r="H2641" t="s">
        <v>80</v>
      </c>
      <c r="I2641" t="s">
        <v>57</v>
      </c>
      <c r="J2641" t="s">
        <v>13</v>
      </c>
      <c r="K2641">
        <v>2.6</v>
      </c>
      <c r="L2641" t="s">
        <v>140</v>
      </c>
      <c r="M2641" t="s">
        <v>26</v>
      </c>
      <c r="N2641" t="s">
        <v>140</v>
      </c>
      <c r="O2641">
        <v>33</v>
      </c>
      <c r="P2641" t="s">
        <v>74</v>
      </c>
      <c r="Q2641" t="s">
        <v>46</v>
      </c>
      <c r="R2641" t="str" cm="1">
        <f t="array" ref="R2641">_xlfn.IFS(B2641&lt;31,"Young-Adult",B2641&lt;41,"Adult",B2641&lt;61,"Middle-aged",B2641&gt;=61,"Senior")</f>
        <v>Young-Adult</v>
      </c>
      <c r="S2641" cm="1">
        <f t="array" ref="S2641">_xlfn.IFS(Q2641 ="Fortnightly",14,Q2641="Weekly",7,Q2641="Monthly",30,Q2641="Quarterly",90,Q2641="Bi-Weekly",14,Q2641="Annually",365,Q2641="Every 3 Months",90,TRUE,"NOT FOUND")</f>
        <v>90</v>
      </c>
    </row>
    <row r="2642" spans="1:19" x14ac:dyDescent="0.35">
      <c r="A2642">
        <v>2641</v>
      </c>
      <c r="B2642">
        <v>30</v>
      </c>
      <c r="C2642" t="s">
        <v>7</v>
      </c>
      <c r="D2642" t="s">
        <v>75</v>
      </c>
      <c r="E2642" t="s">
        <v>9</v>
      </c>
      <c r="F2642">
        <v>75</v>
      </c>
      <c r="G2642" t="s">
        <v>104</v>
      </c>
      <c r="H2642" t="s">
        <v>11</v>
      </c>
      <c r="I2642" t="s">
        <v>66</v>
      </c>
      <c r="J2642" t="s">
        <v>41</v>
      </c>
      <c r="K2642">
        <v>4</v>
      </c>
      <c r="L2642" t="s">
        <v>140</v>
      </c>
      <c r="M2642" t="s">
        <v>62</v>
      </c>
      <c r="N2642" t="s">
        <v>140</v>
      </c>
      <c r="O2642">
        <v>45</v>
      </c>
      <c r="P2642" t="s">
        <v>16</v>
      </c>
      <c r="Q2642" t="s">
        <v>64</v>
      </c>
      <c r="R2642" t="str" cm="1">
        <f t="array" ref="R2642">_xlfn.IFS(B2642&lt;31,"Young-Adult",B2642&lt;41,"Adult",B2642&lt;61,"Middle-aged",B2642&gt;=61,"Senior")</f>
        <v>Young-Adult</v>
      </c>
      <c r="S2642" cm="1">
        <f t="array" ref="S2642">_xlfn.IFS(Q2642 ="Fortnightly",14,Q2642="Weekly",7,Q2642="Monthly",30,Q2642="Quarterly",90,Q2642="Bi-Weekly",14,Q2642="Annually",365,Q2642="Every 3 Months",90,TRUE,"NOT FOUND")</f>
        <v>14</v>
      </c>
    </row>
    <row r="2643" spans="1:19" x14ac:dyDescent="0.35">
      <c r="A2643">
        <v>2642</v>
      </c>
      <c r="B2643">
        <v>25</v>
      </c>
      <c r="C2643" t="s">
        <v>7</v>
      </c>
      <c r="D2643" t="s">
        <v>77</v>
      </c>
      <c r="E2643" t="s">
        <v>55</v>
      </c>
      <c r="F2643">
        <v>60</v>
      </c>
      <c r="G2643" t="s">
        <v>117</v>
      </c>
      <c r="H2643" t="s">
        <v>80</v>
      </c>
      <c r="I2643" t="s">
        <v>66</v>
      </c>
      <c r="J2643" t="s">
        <v>13</v>
      </c>
      <c r="K2643">
        <v>2.7</v>
      </c>
      <c r="L2643" t="s">
        <v>140</v>
      </c>
      <c r="M2643" t="s">
        <v>33</v>
      </c>
      <c r="N2643" t="s">
        <v>140</v>
      </c>
      <c r="O2643">
        <v>20</v>
      </c>
      <c r="P2643" t="s">
        <v>63</v>
      </c>
      <c r="Q2643" t="s">
        <v>85</v>
      </c>
      <c r="R2643" t="str" cm="1">
        <f t="array" ref="R2643">_xlfn.IFS(B2643&lt;31,"Young-Adult",B2643&lt;41,"Adult",B2643&lt;61,"Middle-aged",B2643&gt;=61,"Senior")</f>
        <v>Young-Adult</v>
      </c>
      <c r="S2643" cm="1">
        <f t="array" ref="S2643">_xlfn.IFS(Q2643 ="Fortnightly",14,Q2643="Weekly",7,Q2643="Monthly",30,Q2643="Quarterly",90,Q2643="Bi-Weekly",14,Q2643="Annually",365,Q2643="Every 3 Months",90,TRUE,"NOT FOUND")</f>
        <v>90</v>
      </c>
    </row>
    <row r="2644" spans="1:19" x14ac:dyDescent="0.35">
      <c r="A2644">
        <v>2643</v>
      </c>
      <c r="B2644">
        <v>39</v>
      </c>
      <c r="C2644" t="s">
        <v>7</v>
      </c>
      <c r="D2644" t="s">
        <v>121</v>
      </c>
      <c r="E2644" t="s">
        <v>55</v>
      </c>
      <c r="F2644">
        <v>87</v>
      </c>
      <c r="G2644" t="s">
        <v>134</v>
      </c>
      <c r="H2644" t="s">
        <v>11</v>
      </c>
      <c r="I2644" t="s">
        <v>88</v>
      </c>
      <c r="J2644" t="s">
        <v>41</v>
      </c>
      <c r="K2644">
        <v>4</v>
      </c>
      <c r="L2644" t="s">
        <v>140</v>
      </c>
      <c r="M2644" t="s">
        <v>62</v>
      </c>
      <c r="N2644" t="s">
        <v>140</v>
      </c>
      <c r="O2644">
        <v>48</v>
      </c>
      <c r="P2644" t="s">
        <v>63</v>
      </c>
      <c r="Q2644" t="s">
        <v>37</v>
      </c>
      <c r="R2644" t="str" cm="1">
        <f t="array" ref="R2644">_xlfn.IFS(B2644&lt;31,"Young-Adult",B2644&lt;41,"Adult",B2644&lt;61,"Middle-aged",B2644&gt;=61,"Senior")</f>
        <v>Adult</v>
      </c>
      <c r="S2644" cm="1">
        <f t="array" ref="S2644">_xlfn.IFS(Q2644 ="Fortnightly",14,Q2644="Weekly",7,Q2644="Monthly",30,Q2644="Quarterly",90,Q2644="Bi-Weekly",14,Q2644="Annually",365,Q2644="Every 3 Months",90,TRUE,"NOT FOUND")</f>
        <v>365</v>
      </c>
    </row>
    <row r="2645" spans="1:19" x14ac:dyDescent="0.35">
      <c r="A2645">
        <v>2644</v>
      </c>
      <c r="B2645">
        <v>49</v>
      </c>
      <c r="C2645" t="s">
        <v>7</v>
      </c>
      <c r="D2645" t="s">
        <v>131</v>
      </c>
      <c r="E2645" t="s">
        <v>55</v>
      </c>
      <c r="F2645">
        <v>41</v>
      </c>
      <c r="G2645" t="s">
        <v>116</v>
      </c>
      <c r="H2645" t="s">
        <v>24</v>
      </c>
      <c r="I2645" t="s">
        <v>53</v>
      </c>
      <c r="J2645" t="s">
        <v>25</v>
      </c>
      <c r="K2645">
        <v>2.9</v>
      </c>
      <c r="L2645" t="s">
        <v>140</v>
      </c>
      <c r="M2645" t="s">
        <v>33</v>
      </c>
      <c r="N2645" t="s">
        <v>140</v>
      </c>
      <c r="O2645">
        <v>37</v>
      </c>
      <c r="P2645" t="s">
        <v>21</v>
      </c>
      <c r="Q2645" t="s">
        <v>76</v>
      </c>
      <c r="R2645" t="str" cm="1">
        <f t="array" ref="R2645">_xlfn.IFS(B2645&lt;31,"Young-Adult",B2645&lt;41,"Adult",B2645&lt;61,"Middle-aged",B2645&gt;=61,"Senior")</f>
        <v>Middle-aged</v>
      </c>
      <c r="S2645" cm="1">
        <f t="array" ref="S2645">_xlfn.IFS(Q2645 ="Fortnightly",14,Q2645="Weekly",7,Q2645="Monthly",30,Q2645="Quarterly",90,Q2645="Bi-Weekly",14,Q2645="Annually",365,Q2645="Every 3 Months",90,TRUE,"NOT FOUND")</f>
        <v>30</v>
      </c>
    </row>
    <row r="2646" spans="1:19" x14ac:dyDescent="0.35">
      <c r="A2646">
        <v>2645</v>
      </c>
      <c r="B2646">
        <v>25</v>
      </c>
      <c r="C2646" t="s">
        <v>7</v>
      </c>
      <c r="D2646" t="s">
        <v>83</v>
      </c>
      <c r="E2646" t="s">
        <v>9</v>
      </c>
      <c r="F2646">
        <v>83</v>
      </c>
      <c r="G2646" t="s">
        <v>118</v>
      </c>
      <c r="H2646" t="s">
        <v>32</v>
      </c>
      <c r="I2646" t="s">
        <v>36</v>
      </c>
      <c r="J2646" t="s">
        <v>25</v>
      </c>
      <c r="K2646">
        <v>3.3</v>
      </c>
      <c r="L2646" t="s">
        <v>140</v>
      </c>
      <c r="M2646" t="s">
        <v>42</v>
      </c>
      <c r="N2646" t="s">
        <v>140</v>
      </c>
      <c r="O2646">
        <v>4</v>
      </c>
      <c r="P2646" t="s">
        <v>63</v>
      </c>
      <c r="Q2646" t="s">
        <v>85</v>
      </c>
      <c r="R2646" t="str" cm="1">
        <f t="array" ref="R2646">_xlfn.IFS(B2646&lt;31,"Young-Adult",B2646&lt;41,"Adult",B2646&lt;61,"Middle-aged",B2646&gt;=61,"Senior")</f>
        <v>Young-Adult</v>
      </c>
      <c r="S2646" cm="1">
        <f t="array" ref="S2646">_xlfn.IFS(Q2646 ="Fortnightly",14,Q2646="Weekly",7,Q2646="Monthly",30,Q2646="Quarterly",90,Q2646="Bi-Weekly",14,Q2646="Annually",365,Q2646="Every 3 Months",90,TRUE,"NOT FOUND")</f>
        <v>90</v>
      </c>
    </row>
    <row r="2647" spans="1:19" x14ac:dyDescent="0.35">
      <c r="A2647">
        <v>2646</v>
      </c>
      <c r="B2647">
        <v>23</v>
      </c>
      <c r="C2647" t="s">
        <v>7</v>
      </c>
      <c r="D2647" t="s">
        <v>107</v>
      </c>
      <c r="E2647" t="s">
        <v>55</v>
      </c>
      <c r="F2647">
        <v>81</v>
      </c>
      <c r="G2647" t="s">
        <v>48</v>
      </c>
      <c r="H2647" t="s">
        <v>11</v>
      </c>
      <c r="I2647" t="s">
        <v>66</v>
      </c>
      <c r="J2647" t="s">
        <v>25</v>
      </c>
      <c r="K2647">
        <v>4</v>
      </c>
      <c r="L2647" t="s">
        <v>140</v>
      </c>
      <c r="M2647" t="s">
        <v>62</v>
      </c>
      <c r="N2647" t="s">
        <v>140</v>
      </c>
      <c r="O2647">
        <v>24</v>
      </c>
      <c r="P2647" t="s">
        <v>63</v>
      </c>
      <c r="Q2647" t="s">
        <v>64</v>
      </c>
      <c r="R2647" t="str" cm="1">
        <f t="array" ref="R2647">_xlfn.IFS(B2647&lt;31,"Young-Adult",B2647&lt;41,"Adult",B2647&lt;61,"Middle-aged",B2647&gt;=61,"Senior")</f>
        <v>Young-Adult</v>
      </c>
      <c r="S2647" cm="1">
        <f t="array" ref="S2647">_xlfn.IFS(Q2647 ="Fortnightly",14,Q2647="Weekly",7,Q2647="Monthly",30,Q2647="Quarterly",90,Q2647="Bi-Weekly",14,Q2647="Annually",365,Q2647="Every 3 Months",90,TRUE,"NOT FOUND")</f>
        <v>14</v>
      </c>
    </row>
    <row r="2648" spans="1:19" x14ac:dyDescent="0.35">
      <c r="A2648">
        <v>2647</v>
      </c>
      <c r="B2648">
        <v>33</v>
      </c>
      <c r="C2648" t="s">
        <v>7</v>
      </c>
      <c r="D2648" t="s">
        <v>101</v>
      </c>
      <c r="E2648" t="s">
        <v>9</v>
      </c>
      <c r="F2648">
        <v>56</v>
      </c>
      <c r="G2648" t="s">
        <v>118</v>
      </c>
      <c r="H2648" t="s">
        <v>24</v>
      </c>
      <c r="I2648" t="s">
        <v>81</v>
      </c>
      <c r="J2648" t="s">
        <v>41</v>
      </c>
      <c r="K2648">
        <v>3.9</v>
      </c>
      <c r="L2648" t="s">
        <v>140</v>
      </c>
      <c r="M2648" t="s">
        <v>33</v>
      </c>
      <c r="N2648" t="s">
        <v>140</v>
      </c>
      <c r="O2648">
        <v>4</v>
      </c>
      <c r="P2648" t="s">
        <v>74</v>
      </c>
      <c r="Q2648" t="s">
        <v>85</v>
      </c>
      <c r="R2648" t="str" cm="1">
        <f t="array" ref="R2648">_xlfn.IFS(B2648&lt;31,"Young-Adult",B2648&lt;41,"Adult",B2648&lt;61,"Middle-aged",B2648&gt;=61,"Senior")</f>
        <v>Adult</v>
      </c>
      <c r="S2648" cm="1">
        <f t="array" ref="S2648">_xlfn.IFS(Q2648 ="Fortnightly",14,Q2648="Weekly",7,Q2648="Monthly",30,Q2648="Quarterly",90,Q2648="Bi-Weekly",14,Q2648="Annually",365,Q2648="Every 3 Months",90,TRUE,"NOT FOUND")</f>
        <v>90</v>
      </c>
    </row>
    <row r="2649" spans="1:19" x14ac:dyDescent="0.35">
      <c r="A2649">
        <v>2648</v>
      </c>
      <c r="B2649">
        <v>60</v>
      </c>
      <c r="C2649" t="s">
        <v>7</v>
      </c>
      <c r="D2649" t="s">
        <v>59</v>
      </c>
      <c r="E2649" t="s">
        <v>30</v>
      </c>
      <c r="F2649">
        <v>58</v>
      </c>
      <c r="G2649" t="s">
        <v>119</v>
      </c>
      <c r="H2649" t="s">
        <v>32</v>
      </c>
      <c r="I2649" t="s">
        <v>96</v>
      </c>
      <c r="J2649" t="s">
        <v>41</v>
      </c>
      <c r="K2649">
        <v>3.3</v>
      </c>
      <c r="L2649" t="s">
        <v>140</v>
      </c>
      <c r="M2649" t="s">
        <v>58</v>
      </c>
      <c r="N2649" t="s">
        <v>140</v>
      </c>
      <c r="O2649">
        <v>25</v>
      </c>
      <c r="P2649" t="s">
        <v>74</v>
      </c>
      <c r="Q2649" t="s">
        <v>37</v>
      </c>
      <c r="R2649" t="str" cm="1">
        <f t="array" ref="R2649">_xlfn.IFS(B2649&lt;31,"Young-Adult",B2649&lt;41,"Adult",B2649&lt;61,"Middle-aged",B2649&gt;=61,"Senior")</f>
        <v>Middle-aged</v>
      </c>
      <c r="S2649" cm="1">
        <f t="array" ref="S2649">_xlfn.IFS(Q2649 ="Fortnightly",14,Q2649="Weekly",7,Q2649="Monthly",30,Q2649="Quarterly",90,Q2649="Bi-Weekly",14,Q2649="Annually",365,Q2649="Every 3 Months",90,TRUE,"NOT FOUND")</f>
        <v>365</v>
      </c>
    </row>
    <row r="2650" spans="1:19" x14ac:dyDescent="0.35">
      <c r="A2650">
        <v>2649</v>
      </c>
      <c r="B2650">
        <v>51</v>
      </c>
      <c r="C2650" t="s">
        <v>7</v>
      </c>
      <c r="D2650" t="s">
        <v>83</v>
      </c>
      <c r="E2650" t="s">
        <v>9</v>
      </c>
      <c r="F2650">
        <v>84</v>
      </c>
      <c r="G2650" t="s">
        <v>103</v>
      </c>
      <c r="H2650" t="s">
        <v>32</v>
      </c>
      <c r="I2650" t="s">
        <v>12</v>
      </c>
      <c r="J2650" t="s">
        <v>25</v>
      </c>
      <c r="K2650">
        <v>3.9</v>
      </c>
      <c r="L2650" t="s">
        <v>140</v>
      </c>
      <c r="M2650" t="s">
        <v>33</v>
      </c>
      <c r="N2650" t="s">
        <v>140</v>
      </c>
      <c r="O2650">
        <v>14</v>
      </c>
      <c r="P2650" t="s">
        <v>34</v>
      </c>
      <c r="Q2650" t="s">
        <v>64</v>
      </c>
      <c r="R2650" t="str" cm="1">
        <f t="array" ref="R2650">_xlfn.IFS(B2650&lt;31,"Young-Adult",B2650&lt;41,"Adult",B2650&lt;61,"Middle-aged",B2650&gt;=61,"Senior")</f>
        <v>Middle-aged</v>
      </c>
      <c r="S2650" cm="1">
        <f t="array" ref="S2650">_xlfn.IFS(Q2650 ="Fortnightly",14,Q2650="Weekly",7,Q2650="Monthly",30,Q2650="Quarterly",90,Q2650="Bi-Weekly",14,Q2650="Annually",365,Q2650="Every 3 Months",90,TRUE,"NOT FOUND")</f>
        <v>14</v>
      </c>
    </row>
    <row r="2651" spans="1:19" x14ac:dyDescent="0.35">
      <c r="A2651">
        <v>2650</v>
      </c>
      <c r="B2651">
        <v>23</v>
      </c>
      <c r="C2651" t="s">
        <v>7</v>
      </c>
      <c r="D2651" t="s">
        <v>131</v>
      </c>
      <c r="E2651" t="s">
        <v>55</v>
      </c>
      <c r="F2651">
        <v>21</v>
      </c>
      <c r="G2651" t="s">
        <v>136</v>
      </c>
      <c r="H2651" t="s">
        <v>32</v>
      </c>
      <c r="I2651" t="s">
        <v>124</v>
      </c>
      <c r="J2651" t="s">
        <v>45</v>
      </c>
      <c r="K2651">
        <v>3.9</v>
      </c>
      <c r="L2651" t="s">
        <v>140</v>
      </c>
      <c r="M2651" t="s">
        <v>62</v>
      </c>
      <c r="N2651" t="s">
        <v>140</v>
      </c>
      <c r="O2651">
        <v>14</v>
      </c>
      <c r="P2651" t="s">
        <v>63</v>
      </c>
      <c r="Q2651" t="s">
        <v>17</v>
      </c>
      <c r="R2651" t="str" cm="1">
        <f t="array" ref="R2651">_xlfn.IFS(B2651&lt;31,"Young-Adult",B2651&lt;41,"Adult",B2651&lt;61,"Middle-aged",B2651&gt;=61,"Senior")</f>
        <v>Young-Adult</v>
      </c>
      <c r="S2651" cm="1">
        <f t="array" ref="S2651">_xlfn.IFS(Q2651 ="Fortnightly",14,Q2651="Weekly",7,Q2651="Monthly",30,Q2651="Quarterly",90,Q2651="Bi-Weekly",14,Q2651="Annually",365,Q2651="Every 3 Months",90,TRUE,"NOT FOUND")</f>
        <v>14</v>
      </c>
    </row>
    <row r="2652" spans="1:19" x14ac:dyDescent="0.35">
      <c r="A2652">
        <v>2651</v>
      </c>
      <c r="B2652">
        <v>20</v>
      </c>
      <c r="C2652" t="s">
        <v>7</v>
      </c>
      <c r="D2652" t="s">
        <v>113</v>
      </c>
      <c r="E2652" t="s">
        <v>9</v>
      </c>
      <c r="F2652">
        <v>35</v>
      </c>
      <c r="G2652" t="s">
        <v>35</v>
      </c>
      <c r="H2652" t="s">
        <v>11</v>
      </c>
      <c r="I2652" t="s">
        <v>20</v>
      </c>
      <c r="J2652" t="s">
        <v>41</v>
      </c>
      <c r="K2652">
        <v>4.2</v>
      </c>
      <c r="L2652" t="s">
        <v>140</v>
      </c>
      <c r="M2652" t="s">
        <v>42</v>
      </c>
      <c r="N2652" t="s">
        <v>140</v>
      </c>
      <c r="O2652">
        <v>46</v>
      </c>
      <c r="P2652" t="s">
        <v>27</v>
      </c>
      <c r="Q2652" t="s">
        <v>85</v>
      </c>
      <c r="R2652" t="str" cm="1">
        <f t="array" ref="R2652">_xlfn.IFS(B2652&lt;31,"Young-Adult",B2652&lt;41,"Adult",B2652&lt;61,"Middle-aged",B2652&gt;=61,"Senior")</f>
        <v>Young-Adult</v>
      </c>
      <c r="S2652" cm="1">
        <f t="array" ref="S2652">_xlfn.IFS(Q2652 ="Fortnightly",14,Q2652="Weekly",7,Q2652="Monthly",30,Q2652="Quarterly",90,Q2652="Bi-Weekly",14,Q2652="Annually",365,Q2652="Every 3 Months",90,TRUE,"NOT FOUND")</f>
        <v>90</v>
      </c>
    </row>
    <row r="2653" spans="1:19" x14ac:dyDescent="0.35">
      <c r="A2653">
        <v>2652</v>
      </c>
      <c r="B2653">
        <v>51</v>
      </c>
      <c r="C2653" t="s">
        <v>7</v>
      </c>
      <c r="D2653" t="s">
        <v>38</v>
      </c>
      <c r="E2653" t="s">
        <v>30</v>
      </c>
      <c r="F2653">
        <v>43</v>
      </c>
      <c r="G2653" t="s">
        <v>110</v>
      </c>
      <c r="H2653" t="s">
        <v>32</v>
      </c>
      <c r="I2653" t="s">
        <v>97</v>
      </c>
      <c r="J2653" t="s">
        <v>41</v>
      </c>
      <c r="K2653">
        <v>4.5999999999999996</v>
      </c>
      <c r="L2653" t="s">
        <v>140</v>
      </c>
      <c r="M2653" t="s">
        <v>62</v>
      </c>
      <c r="N2653" t="s">
        <v>140</v>
      </c>
      <c r="O2653">
        <v>27</v>
      </c>
      <c r="P2653" t="s">
        <v>34</v>
      </c>
      <c r="Q2653" t="s">
        <v>46</v>
      </c>
      <c r="R2653" t="str" cm="1">
        <f t="array" ref="R2653">_xlfn.IFS(B2653&lt;31,"Young-Adult",B2653&lt;41,"Adult",B2653&lt;61,"Middle-aged",B2653&gt;=61,"Senior")</f>
        <v>Middle-aged</v>
      </c>
      <c r="S2653" cm="1">
        <f t="array" ref="S2653">_xlfn.IFS(Q2653 ="Fortnightly",14,Q2653="Weekly",7,Q2653="Monthly",30,Q2653="Quarterly",90,Q2653="Bi-Weekly",14,Q2653="Annually",365,Q2653="Every 3 Months",90,TRUE,"NOT FOUND")</f>
        <v>90</v>
      </c>
    </row>
    <row r="2654" spans="1:19" x14ac:dyDescent="0.35">
      <c r="A2654">
        <v>2653</v>
      </c>
      <c r="B2654">
        <v>23</v>
      </c>
      <c r="C2654" t="s">
        <v>141</v>
      </c>
      <c r="D2654" t="s">
        <v>47</v>
      </c>
      <c r="E2654" t="s">
        <v>9</v>
      </c>
      <c r="F2654">
        <v>20</v>
      </c>
      <c r="G2654" t="s">
        <v>116</v>
      </c>
      <c r="H2654" t="s">
        <v>11</v>
      </c>
      <c r="I2654" t="s">
        <v>97</v>
      </c>
      <c r="J2654" t="s">
        <v>41</v>
      </c>
      <c r="K2654">
        <v>3.3</v>
      </c>
      <c r="L2654" t="s">
        <v>140</v>
      </c>
      <c r="M2654" t="s">
        <v>58</v>
      </c>
      <c r="N2654" t="s">
        <v>140</v>
      </c>
      <c r="O2654">
        <v>46</v>
      </c>
      <c r="P2654" t="s">
        <v>27</v>
      </c>
      <c r="Q2654" t="s">
        <v>76</v>
      </c>
      <c r="R2654" t="str" cm="1">
        <f t="array" ref="R2654">_xlfn.IFS(B2654&lt;31,"Young-Adult",B2654&lt;41,"Adult",B2654&lt;61,"Middle-aged",B2654&gt;=61,"Senior")</f>
        <v>Young-Adult</v>
      </c>
      <c r="S2654" cm="1">
        <f t="array" ref="S2654">_xlfn.IFS(Q2654 ="Fortnightly",14,Q2654="Weekly",7,Q2654="Monthly",30,Q2654="Quarterly",90,Q2654="Bi-Weekly",14,Q2654="Annually",365,Q2654="Every 3 Months",90,TRUE,"NOT FOUND")</f>
        <v>30</v>
      </c>
    </row>
    <row r="2655" spans="1:19" x14ac:dyDescent="0.35">
      <c r="A2655">
        <v>2654</v>
      </c>
      <c r="B2655">
        <v>67</v>
      </c>
      <c r="C2655" t="s">
        <v>141</v>
      </c>
      <c r="D2655" t="s">
        <v>8</v>
      </c>
      <c r="E2655" t="s">
        <v>9</v>
      </c>
      <c r="F2655">
        <v>36</v>
      </c>
      <c r="G2655" t="s">
        <v>138</v>
      </c>
      <c r="H2655" t="s">
        <v>11</v>
      </c>
      <c r="I2655" t="s">
        <v>81</v>
      </c>
      <c r="J2655" t="s">
        <v>45</v>
      </c>
      <c r="K2655">
        <v>4.8</v>
      </c>
      <c r="L2655" t="s">
        <v>140</v>
      </c>
      <c r="M2655" t="s">
        <v>15</v>
      </c>
      <c r="N2655" t="s">
        <v>140</v>
      </c>
      <c r="O2655">
        <v>24</v>
      </c>
      <c r="P2655" t="s">
        <v>16</v>
      </c>
      <c r="Q2655" t="s">
        <v>85</v>
      </c>
      <c r="R2655" t="str" cm="1">
        <f t="array" ref="R2655">_xlfn.IFS(B2655&lt;31,"Young-Adult",B2655&lt;41,"Adult",B2655&lt;61,"Middle-aged",B2655&gt;=61,"Senior")</f>
        <v>Senior</v>
      </c>
      <c r="S2655" cm="1">
        <f t="array" ref="S2655">_xlfn.IFS(Q2655 ="Fortnightly",14,Q2655="Weekly",7,Q2655="Monthly",30,Q2655="Quarterly",90,Q2655="Bi-Weekly",14,Q2655="Annually",365,Q2655="Every 3 Months",90,TRUE,"NOT FOUND")</f>
        <v>90</v>
      </c>
    </row>
    <row r="2656" spans="1:19" x14ac:dyDescent="0.35">
      <c r="A2656">
        <v>2655</v>
      </c>
      <c r="B2656">
        <v>23</v>
      </c>
      <c r="C2656" t="s">
        <v>141</v>
      </c>
      <c r="D2656" t="s">
        <v>50</v>
      </c>
      <c r="E2656" t="s">
        <v>51</v>
      </c>
      <c r="F2656">
        <v>70</v>
      </c>
      <c r="G2656" t="s">
        <v>123</v>
      </c>
      <c r="H2656" t="s">
        <v>24</v>
      </c>
      <c r="I2656" t="s">
        <v>57</v>
      </c>
      <c r="J2656" t="s">
        <v>45</v>
      </c>
      <c r="K2656">
        <v>4.0999999999999996</v>
      </c>
      <c r="L2656" t="s">
        <v>140</v>
      </c>
      <c r="M2656" t="s">
        <v>33</v>
      </c>
      <c r="N2656" t="s">
        <v>140</v>
      </c>
      <c r="O2656">
        <v>4</v>
      </c>
      <c r="P2656" t="s">
        <v>34</v>
      </c>
      <c r="Q2656" t="s">
        <v>37</v>
      </c>
      <c r="R2656" t="str" cm="1">
        <f t="array" ref="R2656">_xlfn.IFS(B2656&lt;31,"Young-Adult",B2656&lt;41,"Adult",B2656&lt;61,"Middle-aged",B2656&gt;=61,"Senior")</f>
        <v>Young-Adult</v>
      </c>
      <c r="S2656" cm="1">
        <f t="array" ref="S2656">_xlfn.IFS(Q2656 ="Fortnightly",14,Q2656="Weekly",7,Q2656="Monthly",30,Q2656="Quarterly",90,Q2656="Bi-Weekly",14,Q2656="Annually",365,Q2656="Every 3 Months",90,TRUE,"NOT FOUND")</f>
        <v>365</v>
      </c>
    </row>
    <row r="2657" spans="1:19" x14ac:dyDescent="0.35">
      <c r="A2657">
        <v>2656</v>
      </c>
      <c r="B2657">
        <v>26</v>
      </c>
      <c r="C2657" t="s">
        <v>141</v>
      </c>
      <c r="D2657" t="s">
        <v>77</v>
      </c>
      <c r="E2657" t="s">
        <v>55</v>
      </c>
      <c r="F2657">
        <v>83</v>
      </c>
      <c r="G2657" t="s">
        <v>39</v>
      </c>
      <c r="H2657" t="s">
        <v>32</v>
      </c>
      <c r="I2657" t="s">
        <v>12</v>
      </c>
      <c r="J2657" t="s">
        <v>41</v>
      </c>
      <c r="K2657">
        <v>3.4</v>
      </c>
      <c r="L2657" t="s">
        <v>140</v>
      </c>
      <c r="M2657" t="s">
        <v>42</v>
      </c>
      <c r="N2657" t="s">
        <v>140</v>
      </c>
      <c r="O2657">
        <v>2</v>
      </c>
      <c r="P2657" t="s">
        <v>27</v>
      </c>
      <c r="Q2657" t="s">
        <v>17</v>
      </c>
      <c r="R2657" t="str" cm="1">
        <f t="array" ref="R2657">_xlfn.IFS(B2657&lt;31,"Young-Adult",B2657&lt;41,"Adult",B2657&lt;61,"Middle-aged",B2657&gt;=61,"Senior")</f>
        <v>Young-Adult</v>
      </c>
      <c r="S2657" cm="1">
        <f t="array" ref="S2657">_xlfn.IFS(Q2657 ="Fortnightly",14,Q2657="Weekly",7,Q2657="Monthly",30,Q2657="Quarterly",90,Q2657="Bi-Weekly",14,Q2657="Annually",365,Q2657="Every 3 Months",90,TRUE,"NOT FOUND")</f>
        <v>14</v>
      </c>
    </row>
    <row r="2658" spans="1:19" x14ac:dyDescent="0.35">
      <c r="A2658">
        <v>2657</v>
      </c>
      <c r="B2658">
        <v>52</v>
      </c>
      <c r="C2658" t="s">
        <v>141</v>
      </c>
      <c r="D2658" t="s">
        <v>47</v>
      </c>
      <c r="E2658" t="s">
        <v>9</v>
      </c>
      <c r="F2658">
        <v>76</v>
      </c>
      <c r="G2658" t="s">
        <v>104</v>
      </c>
      <c r="H2658" t="s">
        <v>11</v>
      </c>
      <c r="I2658" t="s">
        <v>122</v>
      </c>
      <c r="J2658" t="s">
        <v>13</v>
      </c>
      <c r="K2658">
        <v>3.6</v>
      </c>
      <c r="L2658" t="s">
        <v>140</v>
      </c>
      <c r="M2658" t="s">
        <v>15</v>
      </c>
      <c r="N2658" t="s">
        <v>140</v>
      </c>
      <c r="O2658">
        <v>29</v>
      </c>
      <c r="P2658" t="s">
        <v>63</v>
      </c>
      <c r="Q2658" t="s">
        <v>17</v>
      </c>
      <c r="R2658" t="str" cm="1">
        <f t="array" ref="R2658">_xlfn.IFS(B2658&lt;31,"Young-Adult",B2658&lt;41,"Adult",B2658&lt;61,"Middle-aged",B2658&gt;=61,"Senior")</f>
        <v>Middle-aged</v>
      </c>
      <c r="S2658" cm="1">
        <f t="array" ref="S2658">_xlfn.IFS(Q2658 ="Fortnightly",14,Q2658="Weekly",7,Q2658="Monthly",30,Q2658="Quarterly",90,Q2658="Bi-Weekly",14,Q2658="Annually",365,Q2658="Every 3 Months",90,TRUE,"NOT FOUND")</f>
        <v>14</v>
      </c>
    </row>
    <row r="2659" spans="1:19" x14ac:dyDescent="0.35">
      <c r="A2659">
        <v>2658</v>
      </c>
      <c r="B2659">
        <v>52</v>
      </c>
      <c r="C2659" t="s">
        <v>141</v>
      </c>
      <c r="D2659" t="s">
        <v>69</v>
      </c>
      <c r="E2659" t="s">
        <v>9</v>
      </c>
      <c r="F2659">
        <v>81</v>
      </c>
      <c r="G2659" t="s">
        <v>93</v>
      </c>
      <c r="H2659" t="s">
        <v>32</v>
      </c>
      <c r="I2659" t="s">
        <v>57</v>
      </c>
      <c r="J2659" t="s">
        <v>41</v>
      </c>
      <c r="K2659">
        <v>2.7</v>
      </c>
      <c r="L2659" t="s">
        <v>140</v>
      </c>
      <c r="M2659" t="s">
        <v>15</v>
      </c>
      <c r="N2659" t="s">
        <v>140</v>
      </c>
      <c r="O2659">
        <v>7</v>
      </c>
      <c r="P2659" t="s">
        <v>27</v>
      </c>
      <c r="Q2659" t="s">
        <v>17</v>
      </c>
      <c r="R2659" t="str" cm="1">
        <f t="array" ref="R2659">_xlfn.IFS(B2659&lt;31,"Young-Adult",B2659&lt;41,"Adult",B2659&lt;61,"Middle-aged",B2659&gt;=61,"Senior")</f>
        <v>Middle-aged</v>
      </c>
      <c r="S2659" cm="1">
        <f t="array" ref="S2659">_xlfn.IFS(Q2659 ="Fortnightly",14,Q2659="Weekly",7,Q2659="Monthly",30,Q2659="Quarterly",90,Q2659="Bi-Weekly",14,Q2659="Annually",365,Q2659="Every 3 Months",90,TRUE,"NOT FOUND")</f>
        <v>14</v>
      </c>
    </row>
    <row r="2660" spans="1:19" x14ac:dyDescent="0.35">
      <c r="A2660">
        <v>2659</v>
      </c>
      <c r="B2660">
        <v>52</v>
      </c>
      <c r="C2660" t="s">
        <v>141</v>
      </c>
      <c r="D2660" t="s">
        <v>54</v>
      </c>
      <c r="E2660" t="s">
        <v>55</v>
      </c>
      <c r="F2660">
        <v>47</v>
      </c>
      <c r="G2660" t="s">
        <v>111</v>
      </c>
      <c r="H2660" t="s">
        <v>80</v>
      </c>
      <c r="I2660" t="s">
        <v>114</v>
      </c>
      <c r="J2660" t="s">
        <v>41</v>
      </c>
      <c r="K2660">
        <v>3.2</v>
      </c>
      <c r="L2660" t="s">
        <v>140</v>
      </c>
      <c r="M2660" t="s">
        <v>33</v>
      </c>
      <c r="N2660" t="s">
        <v>140</v>
      </c>
      <c r="O2660">
        <v>39</v>
      </c>
      <c r="P2660" t="s">
        <v>34</v>
      </c>
      <c r="Q2660" t="s">
        <v>76</v>
      </c>
      <c r="R2660" t="str" cm="1">
        <f t="array" ref="R2660">_xlfn.IFS(B2660&lt;31,"Young-Adult",B2660&lt;41,"Adult",B2660&lt;61,"Middle-aged",B2660&gt;=61,"Senior")</f>
        <v>Middle-aged</v>
      </c>
      <c r="S2660" cm="1">
        <f t="array" ref="S2660">_xlfn.IFS(Q2660 ="Fortnightly",14,Q2660="Weekly",7,Q2660="Monthly",30,Q2660="Quarterly",90,Q2660="Bi-Weekly",14,Q2660="Annually",365,Q2660="Every 3 Months",90,TRUE,"NOT FOUND")</f>
        <v>30</v>
      </c>
    </row>
    <row r="2661" spans="1:19" x14ac:dyDescent="0.35">
      <c r="A2661">
        <v>2660</v>
      </c>
      <c r="B2661">
        <v>35</v>
      </c>
      <c r="C2661" t="s">
        <v>141</v>
      </c>
      <c r="D2661" t="s">
        <v>125</v>
      </c>
      <c r="E2661" t="s">
        <v>30</v>
      </c>
      <c r="F2661">
        <v>35</v>
      </c>
      <c r="G2661" t="s">
        <v>99</v>
      </c>
      <c r="H2661" t="s">
        <v>11</v>
      </c>
      <c r="I2661" t="s">
        <v>12</v>
      </c>
      <c r="J2661" t="s">
        <v>41</v>
      </c>
      <c r="K2661">
        <v>4.4000000000000004</v>
      </c>
      <c r="L2661" t="s">
        <v>140</v>
      </c>
      <c r="M2661" t="s">
        <v>58</v>
      </c>
      <c r="N2661" t="s">
        <v>140</v>
      </c>
      <c r="O2661">
        <v>46</v>
      </c>
      <c r="P2661" t="s">
        <v>27</v>
      </c>
      <c r="Q2661" t="s">
        <v>17</v>
      </c>
      <c r="R2661" t="str" cm="1">
        <f t="array" ref="R2661">_xlfn.IFS(B2661&lt;31,"Young-Adult",B2661&lt;41,"Adult",B2661&lt;61,"Middle-aged",B2661&gt;=61,"Senior")</f>
        <v>Adult</v>
      </c>
      <c r="S2661" cm="1">
        <f t="array" ref="S2661">_xlfn.IFS(Q2661 ="Fortnightly",14,Q2661="Weekly",7,Q2661="Monthly",30,Q2661="Quarterly",90,Q2661="Bi-Weekly",14,Q2661="Annually",365,Q2661="Every 3 Months",90,TRUE,"NOT FOUND")</f>
        <v>14</v>
      </c>
    </row>
    <row r="2662" spans="1:19" x14ac:dyDescent="0.35">
      <c r="A2662">
        <v>2661</v>
      </c>
      <c r="B2662">
        <v>24</v>
      </c>
      <c r="C2662" t="s">
        <v>141</v>
      </c>
      <c r="D2662" t="s">
        <v>83</v>
      </c>
      <c r="E2662" t="s">
        <v>9</v>
      </c>
      <c r="F2662">
        <v>85</v>
      </c>
      <c r="G2662" t="s">
        <v>119</v>
      </c>
      <c r="H2662" t="s">
        <v>11</v>
      </c>
      <c r="I2662" t="s">
        <v>122</v>
      </c>
      <c r="J2662" t="s">
        <v>25</v>
      </c>
      <c r="K2662">
        <v>4.9000000000000004</v>
      </c>
      <c r="L2662" t="s">
        <v>140</v>
      </c>
      <c r="M2662" t="s">
        <v>15</v>
      </c>
      <c r="N2662" t="s">
        <v>140</v>
      </c>
      <c r="O2662">
        <v>44</v>
      </c>
      <c r="P2662" t="s">
        <v>16</v>
      </c>
      <c r="Q2662" t="s">
        <v>37</v>
      </c>
      <c r="R2662" t="str" cm="1">
        <f t="array" ref="R2662">_xlfn.IFS(B2662&lt;31,"Young-Adult",B2662&lt;41,"Adult",B2662&lt;61,"Middle-aged",B2662&gt;=61,"Senior")</f>
        <v>Young-Adult</v>
      </c>
      <c r="S2662" cm="1">
        <f t="array" ref="S2662">_xlfn.IFS(Q2662 ="Fortnightly",14,Q2662="Weekly",7,Q2662="Monthly",30,Q2662="Quarterly",90,Q2662="Bi-Weekly",14,Q2662="Annually",365,Q2662="Every 3 Months",90,TRUE,"NOT FOUND")</f>
        <v>365</v>
      </c>
    </row>
    <row r="2663" spans="1:19" x14ac:dyDescent="0.35">
      <c r="A2663">
        <v>2662</v>
      </c>
      <c r="B2663">
        <v>43</v>
      </c>
      <c r="C2663" t="s">
        <v>141</v>
      </c>
      <c r="D2663" t="s">
        <v>125</v>
      </c>
      <c r="E2663" t="s">
        <v>30</v>
      </c>
      <c r="F2663">
        <v>96</v>
      </c>
      <c r="G2663" t="s">
        <v>139</v>
      </c>
      <c r="H2663" t="s">
        <v>80</v>
      </c>
      <c r="I2663" t="s">
        <v>66</v>
      </c>
      <c r="J2663" t="s">
        <v>45</v>
      </c>
      <c r="K2663">
        <v>4.8</v>
      </c>
      <c r="L2663" t="s">
        <v>140</v>
      </c>
      <c r="M2663" t="s">
        <v>15</v>
      </c>
      <c r="N2663" t="s">
        <v>140</v>
      </c>
      <c r="O2663">
        <v>20</v>
      </c>
      <c r="P2663" t="s">
        <v>63</v>
      </c>
      <c r="Q2663" t="s">
        <v>37</v>
      </c>
      <c r="R2663" t="str" cm="1">
        <f t="array" ref="R2663">_xlfn.IFS(B2663&lt;31,"Young-Adult",B2663&lt;41,"Adult",B2663&lt;61,"Middle-aged",B2663&gt;=61,"Senior")</f>
        <v>Middle-aged</v>
      </c>
      <c r="S2663" cm="1">
        <f t="array" ref="S2663">_xlfn.IFS(Q2663 ="Fortnightly",14,Q2663="Weekly",7,Q2663="Monthly",30,Q2663="Quarterly",90,Q2663="Bi-Weekly",14,Q2663="Annually",365,Q2663="Every 3 Months",90,TRUE,"NOT FOUND")</f>
        <v>365</v>
      </c>
    </row>
    <row r="2664" spans="1:19" x14ac:dyDescent="0.35">
      <c r="A2664">
        <v>2663</v>
      </c>
      <c r="B2664">
        <v>25</v>
      </c>
      <c r="C2664" t="s">
        <v>141</v>
      </c>
      <c r="D2664" t="s">
        <v>75</v>
      </c>
      <c r="E2664" t="s">
        <v>9</v>
      </c>
      <c r="F2664">
        <v>98</v>
      </c>
      <c r="G2664" t="s">
        <v>133</v>
      </c>
      <c r="H2664" t="s">
        <v>32</v>
      </c>
      <c r="I2664" t="s">
        <v>97</v>
      </c>
      <c r="J2664" t="s">
        <v>41</v>
      </c>
      <c r="K2664">
        <v>2.8</v>
      </c>
      <c r="L2664" t="s">
        <v>140</v>
      </c>
      <c r="M2664" t="s">
        <v>58</v>
      </c>
      <c r="N2664" t="s">
        <v>140</v>
      </c>
      <c r="O2664">
        <v>44</v>
      </c>
      <c r="P2664" t="s">
        <v>34</v>
      </c>
      <c r="Q2664" t="s">
        <v>17</v>
      </c>
      <c r="R2664" t="str" cm="1">
        <f t="array" ref="R2664">_xlfn.IFS(B2664&lt;31,"Young-Adult",B2664&lt;41,"Adult",B2664&lt;61,"Middle-aged",B2664&gt;=61,"Senior")</f>
        <v>Young-Adult</v>
      </c>
      <c r="S2664" cm="1">
        <f t="array" ref="S2664">_xlfn.IFS(Q2664 ="Fortnightly",14,Q2664="Weekly",7,Q2664="Monthly",30,Q2664="Quarterly",90,Q2664="Bi-Weekly",14,Q2664="Annually",365,Q2664="Every 3 Months",90,TRUE,"NOT FOUND")</f>
        <v>14</v>
      </c>
    </row>
    <row r="2665" spans="1:19" x14ac:dyDescent="0.35">
      <c r="A2665">
        <v>2664</v>
      </c>
      <c r="B2665">
        <v>46</v>
      </c>
      <c r="C2665" t="s">
        <v>141</v>
      </c>
      <c r="D2665" t="s">
        <v>38</v>
      </c>
      <c r="E2665" t="s">
        <v>30</v>
      </c>
      <c r="F2665">
        <v>52</v>
      </c>
      <c r="G2665" t="s">
        <v>138</v>
      </c>
      <c r="H2665" t="s">
        <v>11</v>
      </c>
      <c r="I2665" t="s">
        <v>53</v>
      </c>
      <c r="J2665" t="s">
        <v>45</v>
      </c>
      <c r="K2665">
        <v>2.9</v>
      </c>
      <c r="L2665" t="s">
        <v>140</v>
      </c>
      <c r="M2665" t="s">
        <v>26</v>
      </c>
      <c r="N2665" t="s">
        <v>140</v>
      </c>
      <c r="O2665">
        <v>23</v>
      </c>
      <c r="P2665" t="s">
        <v>63</v>
      </c>
      <c r="Q2665" t="s">
        <v>37</v>
      </c>
      <c r="R2665" t="str" cm="1">
        <f t="array" ref="R2665">_xlfn.IFS(B2665&lt;31,"Young-Adult",B2665&lt;41,"Adult",B2665&lt;61,"Middle-aged",B2665&gt;=61,"Senior")</f>
        <v>Middle-aged</v>
      </c>
      <c r="S2665" cm="1">
        <f t="array" ref="S2665">_xlfn.IFS(Q2665 ="Fortnightly",14,Q2665="Weekly",7,Q2665="Monthly",30,Q2665="Quarterly",90,Q2665="Bi-Weekly",14,Q2665="Annually",365,Q2665="Every 3 Months",90,TRUE,"NOT FOUND")</f>
        <v>365</v>
      </c>
    </row>
    <row r="2666" spans="1:19" x14ac:dyDescent="0.35">
      <c r="A2666">
        <v>2665</v>
      </c>
      <c r="B2666">
        <v>22</v>
      </c>
      <c r="C2666" t="s">
        <v>141</v>
      </c>
      <c r="D2666" t="s">
        <v>94</v>
      </c>
      <c r="E2666" t="s">
        <v>55</v>
      </c>
      <c r="F2666">
        <v>84</v>
      </c>
      <c r="G2666" t="s">
        <v>103</v>
      </c>
      <c r="H2666" t="s">
        <v>11</v>
      </c>
      <c r="I2666" t="s">
        <v>53</v>
      </c>
      <c r="J2666" t="s">
        <v>13</v>
      </c>
      <c r="K2666">
        <v>3.2</v>
      </c>
      <c r="L2666" t="s">
        <v>140</v>
      </c>
      <c r="M2666" t="s">
        <v>62</v>
      </c>
      <c r="N2666" t="s">
        <v>140</v>
      </c>
      <c r="O2666">
        <v>37</v>
      </c>
      <c r="P2666" t="s">
        <v>34</v>
      </c>
      <c r="Q2666" t="s">
        <v>28</v>
      </c>
      <c r="R2666" t="str" cm="1">
        <f t="array" ref="R2666">_xlfn.IFS(B2666&lt;31,"Young-Adult",B2666&lt;41,"Adult",B2666&lt;61,"Middle-aged",B2666&gt;=61,"Senior")</f>
        <v>Young-Adult</v>
      </c>
      <c r="S2666" cm="1">
        <f t="array" ref="S2666">_xlfn.IFS(Q2666 ="Fortnightly",14,Q2666="Weekly",7,Q2666="Monthly",30,Q2666="Quarterly",90,Q2666="Bi-Weekly",14,Q2666="Annually",365,Q2666="Every 3 Months",90,TRUE,"NOT FOUND")</f>
        <v>7</v>
      </c>
    </row>
    <row r="2667" spans="1:19" x14ac:dyDescent="0.35">
      <c r="A2667">
        <v>2666</v>
      </c>
      <c r="B2667">
        <v>70</v>
      </c>
      <c r="C2667" t="s">
        <v>141</v>
      </c>
      <c r="D2667" t="s">
        <v>101</v>
      </c>
      <c r="E2667" t="s">
        <v>9</v>
      </c>
      <c r="F2667">
        <v>71</v>
      </c>
      <c r="G2667" t="s">
        <v>48</v>
      </c>
      <c r="H2667" t="s">
        <v>11</v>
      </c>
      <c r="I2667" t="s">
        <v>96</v>
      </c>
      <c r="J2667" t="s">
        <v>13</v>
      </c>
      <c r="K2667">
        <v>3.5</v>
      </c>
      <c r="L2667" t="s">
        <v>140</v>
      </c>
      <c r="M2667" t="s">
        <v>62</v>
      </c>
      <c r="N2667" t="s">
        <v>140</v>
      </c>
      <c r="O2667">
        <v>4</v>
      </c>
      <c r="P2667" t="s">
        <v>16</v>
      </c>
      <c r="Q2667" t="s">
        <v>28</v>
      </c>
      <c r="R2667" t="str" cm="1">
        <f t="array" ref="R2667">_xlfn.IFS(B2667&lt;31,"Young-Adult",B2667&lt;41,"Adult",B2667&lt;61,"Middle-aged",B2667&gt;=61,"Senior")</f>
        <v>Senior</v>
      </c>
      <c r="S2667" cm="1">
        <f t="array" ref="S2667">_xlfn.IFS(Q2667 ="Fortnightly",14,Q2667="Weekly",7,Q2667="Monthly",30,Q2667="Quarterly",90,Q2667="Bi-Weekly",14,Q2667="Annually",365,Q2667="Every 3 Months",90,TRUE,"NOT FOUND")</f>
        <v>7</v>
      </c>
    </row>
    <row r="2668" spans="1:19" x14ac:dyDescent="0.35">
      <c r="A2668">
        <v>2667</v>
      </c>
      <c r="B2668">
        <v>49</v>
      </c>
      <c r="C2668" t="s">
        <v>141</v>
      </c>
      <c r="D2668" t="s">
        <v>29</v>
      </c>
      <c r="E2668" t="s">
        <v>30</v>
      </c>
      <c r="F2668">
        <v>95</v>
      </c>
      <c r="G2668" t="s">
        <v>111</v>
      </c>
      <c r="H2668" t="s">
        <v>24</v>
      </c>
      <c r="I2668" t="s">
        <v>98</v>
      </c>
      <c r="J2668" t="s">
        <v>13</v>
      </c>
      <c r="K2668">
        <v>4.0999999999999996</v>
      </c>
      <c r="L2668" t="s">
        <v>140</v>
      </c>
      <c r="M2668" t="s">
        <v>62</v>
      </c>
      <c r="N2668" t="s">
        <v>140</v>
      </c>
      <c r="O2668">
        <v>14</v>
      </c>
      <c r="P2668" t="s">
        <v>16</v>
      </c>
      <c r="Q2668" t="s">
        <v>17</v>
      </c>
      <c r="R2668" t="str" cm="1">
        <f t="array" ref="R2668">_xlfn.IFS(B2668&lt;31,"Young-Adult",B2668&lt;41,"Adult",B2668&lt;61,"Middle-aged",B2668&gt;=61,"Senior")</f>
        <v>Middle-aged</v>
      </c>
      <c r="S2668" cm="1">
        <f t="array" ref="S2668">_xlfn.IFS(Q2668 ="Fortnightly",14,Q2668="Weekly",7,Q2668="Monthly",30,Q2668="Quarterly",90,Q2668="Bi-Weekly",14,Q2668="Annually",365,Q2668="Every 3 Months",90,TRUE,"NOT FOUND")</f>
        <v>14</v>
      </c>
    </row>
    <row r="2669" spans="1:19" x14ac:dyDescent="0.35">
      <c r="A2669">
        <v>2668</v>
      </c>
      <c r="B2669">
        <v>48</v>
      </c>
      <c r="C2669" t="s">
        <v>141</v>
      </c>
      <c r="D2669" t="s">
        <v>125</v>
      </c>
      <c r="E2669" t="s">
        <v>30</v>
      </c>
      <c r="F2669">
        <v>47</v>
      </c>
      <c r="G2669" t="s">
        <v>116</v>
      </c>
      <c r="H2669" t="s">
        <v>32</v>
      </c>
      <c r="I2669" t="s">
        <v>109</v>
      </c>
      <c r="J2669" t="s">
        <v>41</v>
      </c>
      <c r="K2669">
        <v>4.0999999999999996</v>
      </c>
      <c r="L2669" t="s">
        <v>140</v>
      </c>
      <c r="M2669" t="s">
        <v>26</v>
      </c>
      <c r="N2669" t="s">
        <v>140</v>
      </c>
      <c r="O2669">
        <v>31</v>
      </c>
      <c r="P2669" t="s">
        <v>21</v>
      </c>
      <c r="Q2669" t="s">
        <v>17</v>
      </c>
      <c r="R2669" t="str" cm="1">
        <f t="array" ref="R2669">_xlfn.IFS(B2669&lt;31,"Young-Adult",B2669&lt;41,"Adult",B2669&lt;61,"Middle-aged",B2669&gt;=61,"Senior")</f>
        <v>Middle-aged</v>
      </c>
      <c r="S2669" cm="1">
        <f t="array" ref="S2669">_xlfn.IFS(Q2669 ="Fortnightly",14,Q2669="Weekly",7,Q2669="Monthly",30,Q2669="Quarterly",90,Q2669="Bi-Weekly",14,Q2669="Annually",365,Q2669="Every 3 Months",90,TRUE,"NOT FOUND")</f>
        <v>14</v>
      </c>
    </row>
    <row r="2670" spans="1:19" x14ac:dyDescent="0.35">
      <c r="A2670">
        <v>2669</v>
      </c>
      <c r="B2670">
        <v>59</v>
      </c>
      <c r="C2670" t="s">
        <v>141</v>
      </c>
      <c r="D2670" t="s">
        <v>50</v>
      </c>
      <c r="E2670" t="s">
        <v>51</v>
      </c>
      <c r="F2670">
        <v>75</v>
      </c>
      <c r="G2670" t="s">
        <v>93</v>
      </c>
      <c r="H2670" t="s">
        <v>32</v>
      </c>
      <c r="I2670" t="s">
        <v>82</v>
      </c>
      <c r="J2670" t="s">
        <v>41</v>
      </c>
      <c r="K2670">
        <v>4.8</v>
      </c>
      <c r="L2670" t="s">
        <v>140</v>
      </c>
      <c r="M2670" t="s">
        <v>33</v>
      </c>
      <c r="N2670" t="s">
        <v>140</v>
      </c>
      <c r="O2670">
        <v>9</v>
      </c>
      <c r="P2670" t="s">
        <v>34</v>
      </c>
      <c r="Q2670" t="s">
        <v>46</v>
      </c>
      <c r="R2670" t="str" cm="1">
        <f t="array" ref="R2670">_xlfn.IFS(B2670&lt;31,"Young-Adult",B2670&lt;41,"Adult",B2670&lt;61,"Middle-aged",B2670&gt;=61,"Senior")</f>
        <v>Middle-aged</v>
      </c>
      <c r="S2670" cm="1">
        <f t="array" ref="S2670">_xlfn.IFS(Q2670 ="Fortnightly",14,Q2670="Weekly",7,Q2670="Monthly",30,Q2670="Quarterly",90,Q2670="Bi-Weekly",14,Q2670="Annually",365,Q2670="Every 3 Months",90,TRUE,"NOT FOUND")</f>
        <v>90</v>
      </c>
    </row>
    <row r="2671" spans="1:19" x14ac:dyDescent="0.35">
      <c r="A2671">
        <v>2670</v>
      </c>
      <c r="B2671">
        <v>39</v>
      </c>
      <c r="C2671" t="s">
        <v>141</v>
      </c>
      <c r="D2671" t="s">
        <v>121</v>
      </c>
      <c r="E2671" t="s">
        <v>55</v>
      </c>
      <c r="F2671">
        <v>28</v>
      </c>
      <c r="G2671" t="s">
        <v>103</v>
      </c>
      <c r="H2671" t="s">
        <v>11</v>
      </c>
      <c r="I2671" t="s">
        <v>73</v>
      </c>
      <c r="J2671" t="s">
        <v>25</v>
      </c>
      <c r="K2671">
        <v>2.8</v>
      </c>
      <c r="L2671" t="s">
        <v>140</v>
      </c>
      <c r="M2671" t="s">
        <v>26</v>
      </c>
      <c r="N2671" t="s">
        <v>140</v>
      </c>
      <c r="O2671">
        <v>31</v>
      </c>
      <c r="P2671" t="s">
        <v>27</v>
      </c>
      <c r="Q2671" t="s">
        <v>28</v>
      </c>
      <c r="R2671" t="str" cm="1">
        <f t="array" ref="R2671">_xlfn.IFS(B2671&lt;31,"Young-Adult",B2671&lt;41,"Adult",B2671&lt;61,"Middle-aged",B2671&gt;=61,"Senior")</f>
        <v>Adult</v>
      </c>
      <c r="S2671" cm="1">
        <f t="array" ref="S2671">_xlfn.IFS(Q2671 ="Fortnightly",14,Q2671="Weekly",7,Q2671="Monthly",30,Q2671="Quarterly",90,Q2671="Bi-Weekly",14,Q2671="Annually",365,Q2671="Every 3 Months",90,TRUE,"NOT FOUND")</f>
        <v>7</v>
      </c>
    </row>
    <row r="2672" spans="1:19" x14ac:dyDescent="0.35">
      <c r="A2672">
        <v>2671</v>
      </c>
      <c r="B2672">
        <v>30</v>
      </c>
      <c r="C2672" t="s">
        <v>141</v>
      </c>
      <c r="D2672" t="s">
        <v>77</v>
      </c>
      <c r="E2672" t="s">
        <v>55</v>
      </c>
      <c r="F2672">
        <v>44</v>
      </c>
      <c r="G2672" t="s">
        <v>126</v>
      </c>
      <c r="H2672" t="s">
        <v>32</v>
      </c>
      <c r="I2672" t="s">
        <v>122</v>
      </c>
      <c r="J2672" t="s">
        <v>45</v>
      </c>
      <c r="K2672">
        <v>4.7</v>
      </c>
      <c r="L2672" t="s">
        <v>140</v>
      </c>
      <c r="M2672" t="s">
        <v>15</v>
      </c>
      <c r="N2672" t="s">
        <v>140</v>
      </c>
      <c r="O2672">
        <v>26</v>
      </c>
      <c r="P2672" t="s">
        <v>63</v>
      </c>
      <c r="Q2672" t="s">
        <v>64</v>
      </c>
      <c r="R2672" t="str" cm="1">
        <f t="array" ref="R2672">_xlfn.IFS(B2672&lt;31,"Young-Adult",B2672&lt;41,"Adult",B2672&lt;61,"Middle-aged",B2672&gt;=61,"Senior")</f>
        <v>Young-Adult</v>
      </c>
      <c r="S2672" cm="1">
        <f t="array" ref="S2672">_xlfn.IFS(Q2672 ="Fortnightly",14,Q2672="Weekly",7,Q2672="Monthly",30,Q2672="Quarterly",90,Q2672="Bi-Weekly",14,Q2672="Annually",365,Q2672="Every 3 Months",90,TRUE,"NOT FOUND")</f>
        <v>14</v>
      </c>
    </row>
    <row r="2673" spans="1:19" x14ac:dyDescent="0.35">
      <c r="A2673">
        <v>2672</v>
      </c>
      <c r="B2673">
        <v>37</v>
      </c>
      <c r="C2673" t="s">
        <v>141</v>
      </c>
      <c r="D2673" t="s">
        <v>29</v>
      </c>
      <c r="E2673" t="s">
        <v>30</v>
      </c>
      <c r="F2673">
        <v>64</v>
      </c>
      <c r="G2673" t="s">
        <v>78</v>
      </c>
      <c r="H2673" t="s">
        <v>80</v>
      </c>
      <c r="I2673" t="s">
        <v>12</v>
      </c>
      <c r="J2673" t="s">
        <v>13</v>
      </c>
      <c r="K2673">
        <v>4.8</v>
      </c>
      <c r="L2673" t="s">
        <v>140</v>
      </c>
      <c r="M2673" t="s">
        <v>58</v>
      </c>
      <c r="N2673" t="s">
        <v>140</v>
      </c>
      <c r="O2673">
        <v>41</v>
      </c>
      <c r="P2673" t="s">
        <v>34</v>
      </c>
      <c r="Q2673" t="s">
        <v>85</v>
      </c>
      <c r="R2673" t="str" cm="1">
        <f t="array" ref="R2673">_xlfn.IFS(B2673&lt;31,"Young-Adult",B2673&lt;41,"Adult",B2673&lt;61,"Middle-aged",B2673&gt;=61,"Senior")</f>
        <v>Adult</v>
      </c>
      <c r="S2673" cm="1">
        <f t="array" ref="S2673">_xlfn.IFS(Q2673 ="Fortnightly",14,Q2673="Weekly",7,Q2673="Monthly",30,Q2673="Quarterly",90,Q2673="Bi-Weekly",14,Q2673="Annually",365,Q2673="Every 3 Months",90,TRUE,"NOT FOUND")</f>
        <v>90</v>
      </c>
    </row>
    <row r="2674" spans="1:19" x14ac:dyDescent="0.35">
      <c r="A2674">
        <v>2673</v>
      </c>
      <c r="B2674">
        <v>56</v>
      </c>
      <c r="C2674" t="s">
        <v>141</v>
      </c>
      <c r="D2674" t="s">
        <v>125</v>
      </c>
      <c r="E2674" t="s">
        <v>30</v>
      </c>
      <c r="F2674">
        <v>28</v>
      </c>
      <c r="G2674" t="s">
        <v>52</v>
      </c>
      <c r="H2674" t="s">
        <v>32</v>
      </c>
      <c r="I2674" t="s">
        <v>20</v>
      </c>
      <c r="J2674" t="s">
        <v>25</v>
      </c>
      <c r="K2674">
        <v>2.9</v>
      </c>
      <c r="L2674" t="s">
        <v>140</v>
      </c>
      <c r="M2674" t="s">
        <v>42</v>
      </c>
      <c r="N2674" t="s">
        <v>140</v>
      </c>
      <c r="O2674">
        <v>13</v>
      </c>
      <c r="P2674" t="s">
        <v>21</v>
      </c>
      <c r="Q2674" t="s">
        <v>37</v>
      </c>
      <c r="R2674" t="str" cm="1">
        <f t="array" ref="R2674">_xlfn.IFS(B2674&lt;31,"Young-Adult",B2674&lt;41,"Adult",B2674&lt;61,"Middle-aged",B2674&gt;=61,"Senior")</f>
        <v>Middle-aged</v>
      </c>
      <c r="S2674" cm="1">
        <f t="array" ref="S2674">_xlfn.IFS(Q2674 ="Fortnightly",14,Q2674="Weekly",7,Q2674="Monthly",30,Q2674="Quarterly",90,Q2674="Bi-Weekly",14,Q2674="Annually",365,Q2674="Every 3 Months",90,TRUE,"NOT FOUND")</f>
        <v>365</v>
      </c>
    </row>
    <row r="2675" spans="1:19" x14ac:dyDescent="0.35">
      <c r="A2675">
        <v>2674</v>
      </c>
      <c r="B2675">
        <v>67</v>
      </c>
      <c r="C2675" t="s">
        <v>141</v>
      </c>
      <c r="D2675" t="s">
        <v>92</v>
      </c>
      <c r="E2675" t="s">
        <v>9</v>
      </c>
      <c r="F2675">
        <v>21</v>
      </c>
      <c r="G2675" t="s">
        <v>95</v>
      </c>
      <c r="H2675" t="s">
        <v>32</v>
      </c>
      <c r="I2675" t="s">
        <v>66</v>
      </c>
      <c r="J2675" t="s">
        <v>41</v>
      </c>
      <c r="K2675">
        <v>2.6</v>
      </c>
      <c r="L2675" t="s">
        <v>140</v>
      </c>
      <c r="M2675" t="s">
        <v>58</v>
      </c>
      <c r="N2675" t="s">
        <v>140</v>
      </c>
      <c r="O2675">
        <v>4</v>
      </c>
      <c r="P2675" t="s">
        <v>21</v>
      </c>
      <c r="Q2675" t="s">
        <v>76</v>
      </c>
      <c r="R2675" t="str" cm="1">
        <f t="array" ref="R2675">_xlfn.IFS(B2675&lt;31,"Young-Adult",B2675&lt;41,"Adult",B2675&lt;61,"Middle-aged",B2675&gt;=61,"Senior")</f>
        <v>Senior</v>
      </c>
      <c r="S2675" cm="1">
        <f t="array" ref="S2675">_xlfn.IFS(Q2675 ="Fortnightly",14,Q2675="Weekly",7,Q2675="Monthly",30,Q2675="Quarterly",90,Q2675="Bi-Weekly",14,Q2675="Annually",365,Q2675="Every 3 Months",90,TRUE,"NOT FOUND")</f>
        <v>30</v>
      </c>
    </row>
    <row r="2676" spans="1:19" x14ac:dyDescent="0.35">
      <c r="A2676">
        <v>2675</v>
      </c>
      <c r="B2676">
        <v>40</v>
      </c>
      <c r="C2676" t="s">
        <v>141</v>
      </c>
      <c r="D2676" t="s">
        <v>112</v>
      </c>
      <c r="E2676" t="s">
        <v>55</v>
      </c>
      <c r="F2676">
        <v>41</v>
      </c>
      <c r="G2676" t="s">
        <v>91</v>
      </c>
      <c r="H2676" t="s">
        <v>24</v>
      </c>
      <c r="I2676" t="s">
        <v>49</v>
      </c>
      <c r="J2676" t="s">
        <v>45</v>
      </c>
      <c r="K2676">
        <v>3.3</v>
      </c>
      <c r="L2676" t="s">
        <v>140</v>
      </c>
      <c r="M2676" t="s">
        <v>15</v>
      </c>
      <c r="N2676" t="s">
        <v>140</v>
      </c>
      <c r="O2676">
        <v>15</v>
      </c>
      <c r="P2676" t="s">
        <v>21</v>
      </c>
      <c r="Q2676" t="s">
        <v>85</v>
      </c>
      <c r="R2676" t="str" cm="1">
        <f t="array" ref="R2676">_xlfn.IFS(B2676&lt;31,"Young-Adult",B2676&lt;41,"Adult",B2676&lt;61,"Middle-aged",B2676&gt;=61,"Senior")</f>
        <v>Adult</v>
      </c>
      <c r="S2676" cm="1">
        <f t="array" ref="S2676">_xlfn.IFS(Q2676 ="Fortnightly",14,Q2676="Weekly",7,Q2676="Monthly",30,Q2676="Quarterly",90,Q2676="Bi-Weekly",14,Q2676="Annually",365,Q2676="Every 3 Months",90,TRUE,"NOT FOUND")</f>
        <v>90</v>
      </c>
    </row>
    <row r="2677" spans="1:19" x14ac:dyDescent="0.35">
      <c r="A2677">
        <v>2676</v>
      </c>
      <c r="B2677">
        <v>24</v>
      </c>
      <c r="C2677" t="s">
        <v>141</v>
      </c>
      <c r="D2677" t="s">
        <v>47</v>
      </c>
      <c r="E2677" t="s">
        <v>9</v>
      </c>
      <c r="F2677">
        <v>38</v>
      </c>
      <c r="G2677" t="s">
        <v>129</v>
      </c>
      <c r="H2677" t="s">
        <v>32</v>
      </c>
      <c r="I2677" t="s">
        <v>88</v>
      </c>
      <c r="J2677" t="s">
        <v>13</v>
      </c>
      <c r="K2677">
        <v>3.4</v>
      </c>
      <c r="L2677" t="s">
        <v>140</v>
      </c>
      <c r="M2677" t="s">
        <v>26</v>
      </c>
      <c r="N2677" t="s">
        <v>140</v>
      </c>
      <c r="O2677">
        <v>38</v>
      </c>
      <c r="P2677" t="s">
        <v>21</v>
      </c>
      <c r="Q2677" t="s">
        <v>64</v>
      </c>
      <c r="R2677" t="str" cm="1">
        <f t="array" ref="R2677">_xlfn.IFS(B2677&lt;31,"Young-Adult",B2677&lt;41,"Adult",B2677&lt;61,"Middle-aged",B2677&gt;=61,"Senior")</f>
        <v>Young-Adult</v>
      </c>
      <c r="S2677" cm="1">
        <f t="array" ref="S2677">_xlfn.IFS(Q2677 ="Fortnightly",14,Q2677="Weekly",7,Q2677="Monthly",30,Q2677="Quarterly",90,Q2677="Bi-Weekly",14,Q2677="Annually",365,Q2677="Every 3 Months",90,TRUE,"NOT FOUND")</f>
        <v>14</v>
      </c>
    </row>
    <row r="2678" spans="1:19" x14ac:dyDescent="0.35">
      <c r="A2678">
        <v>2677</v>
      </c>
      <c r="B2678">
        <v>43</v>
      </c>
      <c r="C2678" t="s">
        <v>141</v>
      </c>
      <c r="D2678" t="s">
        <v>120</v>
      </c>
      <c r="E2678" t="s">
        <v>55</v>
      </c>
      <c r="F2678">
        <v>77</v>
      </c>
      <c r="G2678" t="s">
        <v>10</v>
      </c>
      <c r="H2678" t="s">
        <v>32</v>
      </c>
      <c r="I2678" t="s">
        <v>20</v>
      </c>
      <c r="J2678" t="s">
        <v>25</v>
      </c>
      <c r="K2678">
        <v>3.6</v>
      </c>
      <c r="L2678" t="s">
        <v>140</v>
      </c>
      <c r="M2678" t="s">
        <v>26</v>
      </c>
      <c r="N2678" t="s">
        <v>140</v>
      </c>
      <c r="O2678">
        <v>3</v>
      </c>
      <c r="P2678" t="s">
        <v>21</v>
      </c>
      <c r="Q2678" t="s">
        <v>17</v>
      </c>
      <c r="R2678" t="str" cm="1">
        <f t="array" ref="R2678">_xlfn.IFS(B2678&lt;31,"Young-Adult",B2678&lt;41,"Adult",B2678&lt;61,"Middle-aged",B2678&gt;=61,"Senior")</f>
        <v>Middle-aged</v>
      </c>
      <c r="S2678" cm="1">
        <f t="array" ref="S2678">_xlfn.IFS(Q2678 ="Fortnightly",14,Q2678="Weekly",7,Q2678="Monthly",30,Q2678="Quarterly",90,Q2678="Bi-Weekly",14,Q2678="Annually",365,Q2678="Every 3 Months",90,TRUE,"NOT FOUND")</f>
        <v>14</v>
      </c>
    </row>
    <row r="2679" spans="1:19" x14ac:dyDescent="0.35">
      <c r="A2679">
        <v>2678</v>
      </c>
      <c r="B2679">
        <v>45</v>
      </c>
      <c r="C2679" t="s">
        <v>141</v>
      </c>
      <c r="D2679" t="s">
        <v>47</v>
      </c>
      <c r="E2679" t="s">
        <v>9</v>
      </c>
      <c r="F2679">
        <v>43</v>
      </c>
      <c r="G2679" t="s">
        <v>127</v>
      </c>
      <c r="H2679" t="s">
        <v>11</v>
      </c>
      <c r="I2679" t="s">
        <v>66</v>
      </c>
      <c r="J2679" t="s">
        <v>25</v>
      </c>
      <c r="K2679">
        <v>3.8</v>
      </c>
      <c r="L2679" t="s">
        <v>140</v>
      </c>
      <c r="M2679" t="s">
        <v>33</v>
      </c>
      <c r="N2679" t="s">
        <v>140</v>
      </c>
      <c r="O2679">
        <v>6</v>
      </c>
      <c r="P2679" t="s">
        <v>34</v>
      </c>
      <c r="Q2679" t="s">
        <v>85</v>
      </c>
      <c r="R2679" t="str" cm="1">
        <f t="array" ref="R2679">_xlfn.IFS(B2679&lt;31,"Young-Adult",B2679&lt;41,"Adult",B2679&lt;61,"Middle-aged",B2679&gt;=61,"Senior")</f>
        <v>Middle-aged</v>
      </c>
      <c r="S2679" cm="1">
        <f t="array" ref="S2679">_xlfn.IFS(Q2679 ="Fortnightly",14,Q2679="Weekly",7,Q2679="Monthly",30,Q2679="Quarterly",90,Q2679="Bi-Weekly",14,Q2679="Annually",365,Q2679="Every 3 Months",90,TRUE,"NOT FOUND")</f>
        <v>90</v>
      </c>
    </row>
    <row r="2680" spans="1:19" x14ac:dyDescent="0.35">
      <c r="A2680">
        <v>2679</v>
      </c>
      <c r="B2680">
        <v>33</v>
      </c>
      <c r="C2680" t="s">
        <v>141</v>
      </c>
      <c r="D2680" t="s">
        <v>121</v>
      </c>
      <c r="E2680" t="s">
        <v>55</v>
      </c>
      <c r="F2680">
        <v>91</v>
      </c>
      <c r="G2680" t="s">
        <v>44</v>
      </c>
      <c r="H2680" t="s">
        <v>32</v>
      </c>
      <c r="I2680" t="s">
        <v>124</v>
      </c>
      <c r="J2680" t="s">
        <v>25</v>
      </c>
      <c r="K2680">
        <v>3.4</v>
      </c>
      <c r="L2680" t="s">
        <v>140</v>
      </c>
      <c r="M2680" t="s">
        <v>58</v>
      </c>
      <c r="N2680" t="s">
        <v>140</v>
      </c>
      <c r="O2680">
        <v>34</v>
      </c>
      <c r="P2680" t="s">
        <v>27</v>
      </c>
      <c r="Q2680" t="s">
        <v>64</v>
      </c>
      <c r="R2680" t="str" cm="1">
        <f t="array" ref="R2680">_xlfn.IFS(B2680&lt;31,"Young-Adult",B2680&lt;41,"Adult",B2680&lt;61,"Middle-aged",B2680&gt;=61,"Senior")</f>
        <v>Adult</v>
      </c>
      <c r="S2680" cm="1">
        <f t="array" ref="S2680">_xlfn.IFS(Q2680 ="Fortnightly",14,Q2680="Weekly",7,Q2680="Monthly",30,Q2680="Quarterly",90,Q2680="Bi-Weekly",14,Q2680="Annually",365,Q2680="Every 3 Months",90,TRUE,"NOT FOUND")</f>
        <v>14</v>
      </c>
    </row>
    <row r="2681" spans="1:19" x14ac:dyDescent="0.35">
      <c r="A2681">
        <v>2680</v>
      </c>
      <c r="B2681">
        <v>53</v>
      </c>
      <c r="C2681" t="s">
        <v>141</v>
      </c>
      <c r="D2681" t="s">
        <v>47</v>
      </c>
      <c r="E2681" t="s">
        <v>9</v>
      </c>
      <c r="F2681">
        <v>68</v>
      </c>
      <c r="G2681" t="s">
        <v>44</v>
      </c>
      <c r="H2681" t="s">
        <v>24</v>
      </c>
      <c r="I2681" t="s">
        <v>122</v>
      </c>
      <c r="J2681" t="s">
        <v>25</v>
      </c>
      <c r="K2681">
        <v>3.8</v>
      </c>
      <c r="L2681" t="s">
        <v>140</v>
      </c>
      <c r="M2681" t="s">
        <v>15</v>
      </c>
      <c r="N2681" t="s">
        <v>140</v>
      </c>
      <c r="O2681">
        <v>7</v>
      </c>
      <c r="P2681" t="s">
        <v>74</v>
      </c>
      <c r="Q2681" t="s">
        <v>46</v>
      </c>
      <c r="R2681" t="str" cm="1">
        <f t="array" ref="R2681">_xlfn.IFS(B2681&lt;31,"Young-Adult",B2681&lt;41,"Adult",B2681&lt;61,"Middle-aged",B2681&gt;=61,"Senior")</f>
        <v>Middle-aged</v>
      </c>
      <c r="S2681" cm="1">
        <f t="array" ref="S2681">_xlfn.IFS(Q2681 ="Fortnightly",14,Q2681="Weekly",7,Q2681="Monthly",30,Q2681="Quarterly",90,Q2681="Bi-Weekly",14,Q2681="Annually",365,Q2681="Every 3 Months",90,TRUE,"NOT FOUND")</f>
        <v>90</v>
      </c>
    </row>
    <row r="2682" spans="1:19" x14ac:dyDescent="0.35">
      <c r="A2682">
        <v>2681</v>
      </c>
      <c r="B2682">
        <v>44</v>
      </c>
      <c r="C2682" t="s">
        <v>141</v>
      </c>
      <c r="D2682" t="s">
        <v>113</v>
      </c>
      <c r="E2682" t="s">
        <v>9</v>
      </c>
      <c r="F2682">
        <v>37</v>
      </c>
      <c r="G2682" t="s">
        <v>133</v>
      </c>
      <c r="H2682" t="s">
        <v>11</v>
      </c>
      <c r="I2682" t="s">
        <v>114</v>
      </c>
      <c r="J2682" t="s">
        <v>45</v>
      </c>
      <c r="K2682">
        <v>3.3</v>
      </c>
      <c r="L2682" t="s">
        <v>140</v>
      </c>
      <c r="M2682" t="s">
        <v>33</v>
      </c>
      <c r="N2682" t="s">
        <v>140</v>
      </c>
      <c r="O2682">
        <v>21</v>
      </c>
      <c r="P2682" t="s">
        <v>16</v>
      </c>
      <c r="Q2682" t="s">
        <v>37</v>
      </c>
      <c r="R2682" t="str" cm="1">
        <f t="array" ref="R2682">_xlfn.IFS(B2682&lt;31,"Young-Adult",B2682&lt;41,"Adult",B2682&lt;61,"Middle-aged",B2682&gt;=61,"Senior")</f>
        <v>Middle-aged</v>
      </c>
      <c r="S2682" cm="1">
        <f t="array" ref="S2682">_xlfn.IFS(Q2682 ="Fortnightly",14,Q2682="Weekly",7,Q2682="Monthly",30,Q2682="Quarterly",90,Q2682="Bi-Weekly",14,Q2682="Annually",365,Q2682="Every 3 Months",90,TRUE,"NOT FOUND")</f>
        <v>365</v>
      </c>
    </row>
    <row r="2683" spans="1:19" x14ac:dyDescent="0.35">
      <c r="A2683">
        <v>2682</v>
      </c>
      <c r="B2683">
        <v>23</v>
      </c>
      <c r="C2683" t="s">
        <v>141</v>
      </c>
      <c r="D2683" t="s">
        <v>59</v>
      </c>
      <c r="E2683" t="s">
        <v>30</v>
      </c>
      <c r="F2683">
        <v>23</v>
      </c>
      <c r="G2683" t="s">
        <v>23</v>
      </c>
      <c r="H2683" t="s">
        <v>11</v>
      </c>
      <c r="I2683" t="s">
        <v>66</v>
      </c>
      <c r="J2683" t="s">
        <v>41</v>
      </c>
      <c r="K2683">
        <v>4.8</v>
      </c>
      <c r="L2683" t="s">
        <v>140</v>
      </c>
      <c r="M2683" t="s">
        <v>42</v>
      </c>
      <c r="N2683" t="s">
        <v>140</v>
      </c>
      <c r="O2683">
        <v>17</v>
      </c>
      <c r="P2683" t="s">
        <v>74</v>
      </c>
      <c r="Q2683" t="s">
        <v>76</v>
      </c>
      <c r="R2683" t="str" cm="1">
        <f t="array" ref="R2683">_xlfn.IFS(B2683&lt;31,"Young-Adult",B2683&lt;41,"Adult",B2683&lt;61,"Middle-aged",B2683&gt;=61,"Senior")</f>
        <v>Young-Adult</v>
      </c>
      <c r="S2683" cm="1">
        <f t="array" ref="S2683">_xlfn.IFS(Q2683 ="Fortnightly",14,Q2683="Weekly",7,Q2683="Monthly",30,Q2683="Quarterly",90,Q2683="Bi-Weekly",14,Q2683="Annually",365,Q2683="Every 3 Months",90,TRUE,"NOT FOUND")</f>
        <v>30</v>
      </c>
    </row>
    <row r="2684" spans="1:19" x14ac:dyDescent="0.35">
      <c r="A2684">
        <v>2683</v>
      </c>
      <c r="B2684">
        <v>59</v>
      </c>
      <c r="C2684" t="s">
        <v>141</v>
      </c>
      <c r="D2684" t="s">
        <v>38</v>
      </c>
      <c r="E2684" t="s">
        <v>30</v>
      </c>
      <c r="F2684">
        <v>65</v>
      </c>
      <c r="G2684" t="s">
        <v>86</v>
      </c>
      <c r="H2684" t="s">
        <v>11</v>
      </c>
      <c r="I2684" t="s">
        <v>20</v>
      </c>
      <c r="J2684" t="s">
        <v>13</v>
      </c>
      <c r="K2684">
        <v>3.9</v>
      </c>
      <c r="L2684" t="s">
        <v>140</v>
      </c>
      <c r="M2684" t="s">
        <v>58</v>
      </c>
      <c r="N2684" t="s">
        <v>140</v>
      </c>
      <c r="O2684">
        <v>5</v>
      </c>
      <c r="P2684" t="s">
        <v>16</v>
      </c>
      <c r="Q2684" t="s">
        <v>85</v>
      </c>
      <c r="R2684" t="str" cm="1">
        <f t="array" ref="R2684">_xlfn.IFS(B2684&lt;31,"Young-Adult",B2684&lt;41,"Adult",B2684&lt;61,"Middle-aged",B2684&gt;=61,"Senior")</f>
        <v>Middle-aged</v>
      </c>
      <c r="S2684" cm="1">
        <f t="array" ref="S2684">_xlfn.IFS(Q2684 ="Fortnightly",14,Q2684="Weekly",7,Q2684="Monthly",30,Q2684="Quarterly",90,Q2684="Bi-Weekly",14,Q2684="Annually",365,Q2684="Every 3 Months",90,TRUE,"NOT FOUND")</f>
        <v>90</v>
      </c>
    </row>
    <row r="2685" spans="1:19" x14ac:dyDescent="0.35">
      <c r="A2685">
        <v>2684</v>
      </c>
      <c r="B2685">
        <v>68</v>
      </c>
      <c r="C2685" t="s">
        <v>141</v>
      </c>
      <c r="D2685" t="s">
        <v>120</v>
      </c>
      <c r="E2685" t="s">
        <v>55</v>
      </c>
      <c r="F2685">
        <v>30</v>
      </c>
      <c r="G2685" t="s">
        <v>44</v>
      </c>
      <c r="H2685" t="s">
        <v>32</v>
      </c>
      <c r="I2685" t="s">
        <v>114</v>
      </c>
      <c r="J2685" t="s">
        <v>41</v>
      </c>
      <c r="K2685">
        <v>4.2</v>
      </c>
      <c r="L2685" t="s">
        <v>140</v>
      </c>
      <c r="M2685" t="s">
        <v>33</v>
      </c>
      <c r="N2685" t="s">
        <v>140</v>
      </c>
      <c r="O2685">
        <v>21</v>
      </c>
      <c r="P2685" t="s">
        <v>21</v>
      </c>
      <c r="Q2685" t="s">
        <v>17</v>
      </c>
      <c r="R2685" t="str" cm="1">
        <f t="array" ref="R2685">_xlfn.IFS(B2685&lt;31,"Young-Adult",B2685&lt;41,"Adult",B2685&lt;61,"Middle-aged",B2685&gt;=61,"Senior")</f>
        <v>Senior</v>
      </c>
      <c r="S2685" cm="1">
        <f t="array" ref="S2685">_xlfn.IFS(Q2685 ="Fortnightly",14,Q2685="Weekly",7,Q2685="Monthly",30,Q2685="Quarterly",90,Q2685="Bi-Weekly",14,Q2685="Annually",365,Q2685="Every 3 Months",90,TRUE,"NOT FOUND")</f>
        <v>14</v>
      </c>
    </row>
    <row r="2686" spans="1:19" x14ac:dyDescent="0.35">
      <c r="A2686">
        <v>2685</v>
      </c>
      <c r="B2686">
        <v>46</v>
      </c>
      <c r="C2686" t="s">
        <v>141</v>
      </c>
      <c r="D2686" t="s">
        <v>69</v>
      </c>
      <c r="E2686" t="s">
        <v>9</v>
      </c>
      <c r="F2686">
        <v>45</v>
      </c>
      <c r="G2686" t="s">
        <v>137</v>
      </c>
      <c r="H2686" t="s">
        <v>32</v>
      </c>
      <c r="I2686" t="s">
        <v>12</v>
      </c>
      <c r="J2686" t="s">
        <v>41</v>
      </c>
      <c r="K2686">
        <v>4.7</v>
      </c>
      <c r="L2686" t="s">
        <v>140</v>
      </c>
      <c r="M2686" t="s">
        <v>26</v>
      </c>
      <c r="N2686" t="s">
        <v>140</v>
      </c>
      <c r="O2686">
        <v>42</v>
      </c>
      <c r="P2686" t="s">
        <v>27</v>
      </c>
      <c r="Q2686" t="s">
        <v>64</v>
      </c>
      <c r="R2686" t="str" cm="1">
        <f t="array" ref="R2686">_xlfn.IFS(B2686&lt;31,"Young-Adult",B2686&lt;41,"Adult",B2686&lt;61,"Middle-aged",B2686&gt;=61,"Senior")</f>
        <v>Middle-aged</v>
      </c>
      <c r="S2686" cm="1">
        <f t="array" ref="S2686">_xlfn.IFS(Q2686 ="Fortnightly",14,Q2686="Weekly",7,Q2686="Monthly",30,Q2686="Quarterly",90,Q2686="Bi-Weekly",14,Q2686="Annually",365,Q2686="Every 3 Months",90,TRUE,"NOT FOUND")</f>
        <v>14</v>
      </c>
    </row>
    <row r="2687" spans="1:19" x14ac:dyDescent="0.35">
      <c r="A2687">
        <v>2686</v>
      </c>
      <c r="B2687">
        <v>56</v>
      </c>
      <c r="C2687" t="s">
        <v>141</v>
      </c>
      <c r="D2687" t="s">
        <v>125</v>
      </c>
      <c r="E2687" t="s">
        <v>30</v>
      </c>
      <c r="F2687">
        <v>25</v>
      </c>
      <c r="G2687" t="s">
        <v>129</v>
      </c>
      <c r="H2687" t="s">
        <v>32</v>
      </c>
      <c r="I2687" t="s">
        <v>12</v>
      </c>
      <c r="J2687" t="s">
        <v>13</v>
      </c>
      <c r="K2687">
        <v>2.7</v>
      </c>
      <c r="L2687" t="s">
        <v>140</v>
      </c>
      <c r="M2687" t="s">
        <v>15</v>
      </c>
      <c r="N2687" t="s">
        <v>140</v>
      </c>
      <c r="O2687">
        <v>49</v>
      </c>
      <c r="P2687" t="s">
        <v>27</v>
      </c>
      <c r="Q2687" t="s">
        <v>46</v>
      </c>
      <c r="R2687" t="str" cm="1">
        <f t="array" ref="R2687">_xlfn.IFS(B2687&lt;31,"Young-Adult",B2687&lt;41,"Adult",B2687&lt;61,"Middle-aged",B2687&gt;=61,"Senior")</f>
        <v>Middle-aged</v>
      </c>
      <c r="S2687" cm="1">
        <f t="array" ref="S2687">_xlfn.IFS(Q2687 ="Fortnightly",14,Q2687="Weekly",7,Q2687="Monthly",30,Q2687="Quarterly",90,Q2687="Bi-Weekly",14,Q2687="Annually",365,Q2687="Every 3 Months",90,TRUE,"NOT FOUND")</f>
        <v>90</v>
      </c>
    </row>
    <row r="2688" spans="1:19" x14ac:dyDescent="0.35">
      <c r="A2688">
        <v>2687</v>
      </c>
      <c r="B2688">
        <v>40</v>
      </c>
      <c r="C2688" t="s">
        <v>141</v>
      </c>
      <c r="D2688" t="s">
        <v>113</v>
      </c>
      <c r="E2688" t="s">
        <v>9</v>
      </c>
      <c r="F2688">
        <v>72</v>
      </c>
      <c r="G2688" t="s">
        <v>130</v>
      </c>
      <c r="H2688" t="s">
        <v>32</v>
      </c>
      <c r="I2688" t="s">
        <v>82</v>
      </c>
      <c r="J2688" t="s">
        <v>13</v>
      </c>
      <c r="K2688">
        <v>3.8</v>
      </c>
      <c r="L2688" t="s">
        <v>140</v>
      </c>
      <c r="M2688" t="s">
        <v>58</v>
      </c>
      <c r="N2688" t="s">
        <v>140</v>
      </c>
      <c r="O2688">
        <v>33</v>
      </c>
      <c r="P2688" t="s">
        <v>21</v>
      </c>
      <c r="Q2688" t="s">
        <v>17</v>
      </c>
      <c r="R2688" t="str" cm="1">
        <f t="array" ref="R2688">_xlfn.IFS(B2688&lt;31,"Young-Adult",B2688&lt;41,"Adult",B2688&lt;61,"Middle-aged",B2688&gt;=61,"Senior")</f>
        <v>Adult</v>
      </c>
      <c r="S2688" cm="1">
        <f t="array" ref="S2688">_xlfn.IFS(Q2688 ="Fortnightly",14,Q2688="Weekly",7,Q2688="Monthly",30,Q2688="Quarterly",90,Q2688="Bi-Weekly",14,Q2688="Annually",365,Q2688="Every 3 Months",90,TRUE,"NOT FOUND")</f>
        <v>14</v>
      </c>
    </row>
    <row r="2689" spans="1:19" x14ac:dyDescent="0.35">
      <c r="A2689">
        <v>2688</v>
      </c>
      <c r="B2689">
        <v>61</v>
      </c>
      <c r="C2689" t="s">
        <v>141</v>
      </c>
      <c r="D2689" t="s">
        <v>69</v>
      </c>
      <c r="E2689" t="s">
        <v>9</v>
      </c>
      <c r="F2689">
        <v>75</v>
      </c>
      <c r="G2689" t="s">
        <v>67</v>
      </c>
      <c r="H2689" t="s">
        <v>32</v>
      </c>
      <c r="I2689" t="s">
        <v>40</v>
      </c>
      <c r="J2689" t="s">
        <v>45</v>
      </c>
      <c r="K2689">
        <v>3.6</v>
      </c>
      <c r="L2689" t="s">
        <v>140</v>
      </c>
      <c r="M2689" t="s">
        <v>58</v>
      </c>
      <c r="N2689" t="s">
        <v>140</v>
      </c>
      <c r="O2689">
        <v>12</v>
      </c>
      <c r="P2689" t="s">
        <v>74</v>
      </c>
      <c r="Q2689" t="s">
        <v>64</v>
      </c>
      <c r="R2689" t="str" cm="1">
        <f t="array" ref="R2689">_xlfn.IFS(B2689&lt;31,"Young-Adult",B2689&lt;41,"Adult",B2689&lt;61,"Middle-aged",B2689&gt;=61,"Senior")</f>
        <v>Senior</v>
      </c>
      <c r="S2689" cm="1">
        <f t="array" ref="S2689">_xlfn.IFS(Q2689 ="Fortnightly",14,Q2689="Weekly",7,Q2689="Monthly",30,Q2689="Quarterly",90,Q2689="Bi-Weekly",14,Q2689="Annually",365,Q2689="Every 3 Months",90,TRUE,"NOT FOUND")</f>
        <v>14</v>
      </c>
    </row>
    <row r="2690" spans="1:19" x14ac:dyDescent="0.35">
      <c r="A2690">
        <v>2689</v>
      </c>
      <c r="B2690">
        <v>53</v>
      </c>
      <c r="C2690" t="s">
        <v>141</v>
      </c>
      <c r="D2690" t="s">
        <v>54</v>
      </c>
      <c r="E2690" t="s">
        <v>55</v>
      </c>
      <c r="F2690">
        <v>63</v>
      </c>
      <c r="G2690" t="s">
        <v>52</v>
      </c>
      <c r="H2690" t="s">
        <v>80</v>
      </c>
      <c r="I2690" t="s">
        <v>36</v>
      </c>
      <c r="J2690" t="s">
        <v>25</v>
      </c>
      <c r="K2690">
        <v>2.9</v>
      </c>
      <c r="L2690" t="s">
        <v>140</v>
      </c>
      <c r="M2690" t="s">
        <v>58</v>
      </c>
      <c r="N2690" t="s">
        <v>140</v>
      </c>
      <c r="O2690">
        <v>18</v>
      </c>
      <c r="P2690" t="s">
        <v>27</v>
      </c>
      <c r="Q2690" t="s">
        <v>85</v>
      </c>
      <c r="R2690" t="str" cm="1">
        <f t="array" ref="R2690">_xlfn.IFS(B2690&lt;31,"Young-Adult",B2690&lt;41,"Adult",B2690&lt;61,"Middle-aged",B2690&gt;=61,"Senior")</f>
        <v>Middle-aged</v>
      </c>
      <c r="S2690" cm="1">
        <f t="array" ref="S2690">_xlfn.IFS(Q2690 ="Fortnightly",14,Q2690="Weekly",7,Q2690="Monthly",30,Q2690="Quarterly",90,Q2690="Bi-Weekly",14,Q2690="Annually",365,Q2690="Every 3 Months",90,TRUE,"NOT FOUND")</f>
        <v>90</v>
      </c>
    </row>
    <row r="2691" spans="1:19" x14ac:dyDescent="0.35">
      <c r="A2691">
        <v>2690</v>
      </c>
      <c r="B2691">
        <v>29</v>
      </c>
      <c r="C2691" t="s">
        <v>141</v>
      </c>
      <c r="D2691" t="s">
        <v>8</v>
      </c>
      <c r="E2691" t="s">
        <v>9</v>
      </c>
      <c r="F2691">
        <v>35</v>
      </c>
      <c r="G2691" t="s">
        <v>39</v>
      </c>
      <c r="H2691" t="s">
        <v>32</v>
      </c>
      <c r="I2691" t="s">
        <v>109</v>
      </c>
      <c r="J2691" t="s">
        <v>45</v>
      </c>
      <c r="K2691">
        <v>3.9</v>
      </c>
      <c r="L2691" t="s">
        <v>140</v>
      </c>
      <c r="M2691" t="s">
        <v>42</v>
      </c>
      <c r="N2691" t="s">
        <v>140</v>
      </c>
      <c r="O2691">
        <v>47</v>
      </c>
      <c r="P2691" t="s">
        <v>34</v>
      </c>
      <c r="Q2691" t="s">
        <v>46</v>
      </c>
      <c r="R2691" t="str" cm="1">
        <f t="array" ref="R2691">_xlfn.IFS(B2691&lt;31,"Young-Adult",B2691&lt;41,"Adult",B2691&lt;61,"Middle-aged",B2691&gt;=61,"Senior")</f>
        <v>Young-Adult</v>
      </c>
      <c r="S2691" cm="1">
        <f t="array" ref="S2691">_xlfn.IFS(Q2691 ="Fortnightly",14,Q2691="Weekly",7,Q2691="Monthly",30,Q2691="Quarterly",90,Q2691="Bi-Weekly",14,Q2691="Annually",365,Q2691="Every 3 Months",90,TRUE,"NOT FOUND")</f>
        <v>90</v>
      </c>
    </row>
    <row r="2692" spans="1:19" x14ac:dyDescent="0.35">
      <c r="A2692">
        <v>2691</v>
      </c>
      <c r="B2692">
        <v>44</v>
      </c>
      <c r="C2692" t="s">
        <v>141</v>
      </c>
      <c r="D2692" t="s">
        <v>121</v>
      </c>
      <c r="E2692" t="s">
        <v>55</v>
      </c>
      <c r="F2692">
        <v>32</v>
      </c>
      <c r="G2692" t="s">
        <v>118</v>
      </c>
      <c r="H2692" t="s">
        <v>11</v>
      </c>
      <c r="I2692" t="s">
        <v>122</v>
      </c>
      <c r="J2692" t="s">
        <v>41</v>
      </c>
      <c r="K2692">
        <v>4.7</v>
      </c>
      <c r="L2692" t="s">
        <v>140</v>
      </c>
      <c r="M2692" t="s">
        <v>26</v>
      </c>
      <c r="N2692" t="s">
        <v>140</v>
      </c>
      <c r="O2692">
        <v>18</v>
      </c>
      <c r="P2692" t="s">
        <v>63</v>
      </c>
      <c r="Q2692" t="s">
        <v>28</v>
      </c>
      <c r="R2692" t="str" cm="1">
        <f t="array" ref="R2692">_xlfn.IFS(B2692&lt;31,"Young-Adult",B2692&lt;41,"Adult",B2692&lt;61,"Middle-aged",B2692&gt;=61,"Senior")</f>
        <v>Middle-aged</v>
      </c>
      <c r="S2692" cm="1">
        <f t="array" ref="S2692">_xlfn.IFS(Q2692 ="Fortnightly",14,Q2692="Weekly",7,Q2692="Monthly",30,Q2692="Quarterly",90,Q2692="Bi-Weekly",14,Q2692="Annually",365,Q2692="Every 3 Months",90,TRUE,"NOT FOUND")</f>
        <v>7</v>
      </c>
    </row>
    <row r="2693" spans="1:19" x14ac:dyDescent="0.35">
      <c r="A2693">
        <v>2692</v>
      </c>
      <c r="B2693">
        <v>43</v>
      </c>
      <c r="C2693" t="s">
        <v>141</v>
      </c>
      <c r="D2693" t="s">
        <v>83</v>
      </c>
      <c r="E2693" t="s">
        <v>9</v>
      </c>
      <c r="F2693">
        <v>25</v>
      </c>
      <c r="G2693" t="s">
        <v>133</v>
      </c>
      <c r="H2693" t="s">
        <v>11</v>
      </c>
      <c r="I2693" t="s">
        <v>132</v>
      </c>
      <c r="J2693" t="s">
        <v>13</v>
      </c>
      <c r="K2693">
        <v>3.3</v>
      </c>
      <c r="L2693" t="s">
        <v>140</v>
      </c>
      <c r="M2693" t="s">
        <v>58</v>
      </c>
      <c r="N2693" t="s">
        <v>140</v>
      </c>
      <c r="O2693">
        <v>48</v>
      </c>
      <c r="P2693" t="s">
        <v>21</v>
      </c>
      <c r="Q2693" t="s">
        <v>76</v>
      </c>
      <c r="R2693" t="str" cm="1">
        <f t="array" ref="R2693">_xlfn.IFS(B2693&lt;31,"Young-Adult",B2693&lt;41,"Adult",B2693&lt;61,"Middle-aged",B2693&gt;=61,"Senior")</f>
        <v>Middle-aged</v>
      </c>
      <c r="S2693" cm="1">
        <f t="array" ref="S2693">_xlfn.IFS(Q2693 ="Fortnightly",14,Q2693="Weekly",7,Q2693="Monthly",30,Q2693="Quarterly",90,Q2693="Bi-Weekly",14,Q2693="Annually",365,Q2693="Every 3 Months",90,TRUE,"NOT FOUND")</f>
        <v>30</v>
      </c>
    </row>
    <row r="2694" spans="1:19" x14ac:dyDescent="0.35">
      <c r="A2694">
        <v>2693</v>
      </c>
      <c r="B2694">
        <v>40</v>
      </c>
      <c r="C2694" t="s">
        <v>141</v>
      </c>
      <c r="D2694" t="s">
        <v>38</v>
      </c>
      <c r="E2694" t="s">
        <v>30</v>
      </c>
      <c r="F2694">
        <v>90</v>
      </c>
      <c r="G2694" t="s">
        <v>137</v>
      </c>
      <c r="H2694" t="s">
        <v>80</v>
      </c>
      <c r="I2694" t="s">
        <v>71</v>
      </c>
      <c r="J2694" t="s">
        <v>25</v>
      </c>
      <c r="K2694">
        <v>4.2</v>
      </c>
      <c r="L2694" t="s">
        <v>140</v>
      </c>
      <c r="M2694" t="s">
        <v>26</v>
      </c>
      <c r="N2694" t="s">
        <v>140</v>
      </c>
      <c r="O2694">
        <v>18</v>
      </c>
      <c r="P2694" t="s">
        <v>74</v>
      </c>
      <c r="Q2694" t="s">
        <v>85</v>
      </c>
      <c r="R2694" t="str" cm="1">
        <f t="array" ref="R2694">_xlfn.IFS(B2694&lt;31,"Young-Adult",B2694&lt;41,"Adult",B2694&lt;61,"Middle-aged",B2694&gt;=61,"Senior")</f>
        <v>Adult</v>
      </c>
      <c r="S2694" cm="1">
        <f t="array" ref="S2694">_xlfn.IFS(Q2694 ="Fortnightly",14,Q2694="Weekly",7,Q2694="Monthly",30,Q2694="Quarterly",90,Q2694="Bi-Weekly",14,Q2694="Annually",365,Q2694="Every 3 Months",90,TRUE,"NOT FOUND")</f>
        <v>90</v>
      </c>
    </row>
    <row r="2695" spans="1:19" x14ac:dyDescent="0.35">
      <c r="A2695">
        <v>2694</v>
      </c>
      <c r="B2695">
        <v>55</v>
      </c>
      <c r="C2695" t="s">
        <v>141</v>
      </c>
      <c r="D2695" t="s">
        <v>125</v>
      </c>
      <c r="E2695" t="s">
        <v>30</v>
      </c>
      <c r="F2695">
        <v>70</v>
      </c>
      <c r="G2695" t="s">
        <v>65</v>
      </c>
      <c r="H2695" t="s">
        <v>11</v>
      </c>
      <c r="I2695" t="s">
        <v>81</v>
      </c>
      <c r="J2695" t="s">
        <v>41</v>
      </c>
      <c r="K2695">
        <v>2.6</v>
      </c>
      <c r="L2695" t="s">
        <v>140</v>
      </c>
      <c r="M2695" t="s">
        <v>42</v>
      </c>
      <c r="N2695" t="s">
        <v>140</v>
      </c>
      <c r="O2695">
        <v>46</v>
      </c>
      <c r="P2695" t="s">
        <v>21</v>
      </c>
      <c r="Q2695" t="s">
        <v>46</v>
      </c>
      <c r="R2695" t="str" cm="1">
        <f t="array" ref="R2695">_xlfn.IFS(B2695&lt;31,"Young-Adult",B2695&lt;41,"Adult",B2695&lt;61,"Middle-aged",B2695&gt;=61,"Senior")</f>
        <v>Middle-aged</v>
      </c>
      <c r="S2695" cm="1">
        <f t="array" ref="S2695">_xlfn.IFS(Q2695 ="Fortnightly",14,Q2695="Weekly",7,Q2695="Monthly",30,Q2695="Quarterly",90,Q2695="Bi-Weekly",14,Q2695="Annually",365,Q2695="Every 3 Months",90,TRUE,"NOT FOUND")</f>
        <v>90</v>
      </c>
    </row>
    <row r="2696" spans="1:19" x14ac:dyDescent="0.35">
      <c r="A2696">
        <v>2695</v>
      </c>
      <c r="B2696">
        <v>66</v>
      </c>
      <c r="C2696" t="s">
        <v>141</v>
      </c>
      <c r="D2696" t="s">
        <v>77</v>
      </c>
      <c r="E2696" t="s">
        <v>55</v>
      </c>
      <c r="F2696">
        <v>27</v>
      </c>
      <c r="G2696" t="s">
        <v>48</v>
      </c>
      <c r="H2696" t="s">
        <v>32</v>
      </c>
      <c r="I2696" t="s">
        <v>66</v>
      </c>
      <c r="J2696" t="s">
        <v>25</v>
      </c>
      <c r="K2696">
        <v>4.9000000000000004</v>
      </c>
      <c r="L2696" t="s">
        <v>140</v>
      </c>
      <c r="M2696" t="s">
        <v>15</v>
      </c>
      <c r="N2696" t="s">
        <v>140</v>
      </c>
      <c r="O2696">
        <v>34</v>
      </c>
      <c r="P2696" t="s">
        <v>27</v>
      </c>
      <c r="Q2696" t="s">
        <v>85</v>
      </c>
      <c r="R2696" t="str" cm="1">
        <f t="array" ref="R2696">_xlfn.IFS(B2696&lt;31,"Young-Adult",B2696&lt;41,"Adult",B2696&lt;61,"Middle-aged",B2696&gt;=61,"Senior")</f>
        <v>Senior</v>
      </c>
      <c r="S2696" cm="1">
        <f t="array" ref="S2696">_xlfn.IFS(Q2696 ="Fortnightly",14,Q2696="Weekly",7,Q2696="Monthly",30,Q2696="Quarterly",90,Q2696="Bi-Weekly",14,Q2696="Annually",365,Q2696="Every 3 Months",90,TRUE,"NOT FOUND")</f>
        <v>90</v>
      </c>
    </row>
    <row r="2697" spans="1:19" x14ac:dyDescent="0.35">
      <c r="A2697">
        <v>2696</v>
      </c>
      <c r="B2697">
        <v>50</v>
      </c>
      <c r="C2697" t="s">
        <v>141</v>
      </c>
      <c r="D2697" t="s">
        <v>112</v>
      </c>
      <c r="E2697" t="s">
        <v>55</v>
      </c>
      <c r="F2697">
        <v>92</v>
      </c>
      <c r="G2697" t="s">
        <v>110</v>
      </c>
      <c r="H2697" t="s">
        <v>32</v>
      </c>
      <c r="I2697" t="s">
        <v>109</v>
      </c>
      <c r="J2697" t="s">
        <v>45</v>
      </c>
      <c r="K2697">
        <v>3.6</v>
      </c>
      <c r="L2697" t="s">
        <v>140</v>
      </c>
      <c r="M2697" t="s">
        <v>42</v>
      </c>
      <c r="N2697" t="s">
        <v>140</v>
      </c>
      <c r="O2697">
        <v>10</v>
      </c>
      <c r="P2697" t="s">
        <v>34</v>
      </c>
      <c r="Q2697" t="s">
        <v>64</v>
      </c>
      <c r="R2697" t="str" cm="1">
        <f t="array" ref="R2697">_xlfn.IFS(B2697&lt;31,"Young-Adult",B2697&lt;41,"Adult",B2697&lt;61,"Middle-aged",B2697&gt;=61,"Senior")</f>
        <v>Middle-aged</v>
      </c>
      <c r="S2697" cm="1">
        <f t="array" ref="S2697">_xlfn.IFS(Q2697 ="Fortnightly",14,Q2697="Weekly",7,Q2697="Monthly",30,Q2697="Quarterly",90,Q2697="Bi-Weekly",14,Q2697="Annually",365,Q2697="Every 3 Months",90,TRUE,"NOT FOUND")</f>
        <v>14</v>
      </c>
    </row>
    <row r="2698" spans="1:19" x14ac:dyDescent="0.35">
      <c r="A2698">
        <v>2697</v>
      </c>
      <c r="B2698">
        <v>57</v>
      </c>
      <c r="C2698" t="s">
        <v>141</v>
      </c>
      <c r="D2698" t="s">
        <v>50</v>
      </c>
      <c r="E2698" t="s">
        <v>51</v>
      </c>
      <c r="F2698">
        <v>20</v>
      </c>
      <c r="G2698" t="s">
        <v>135</v>
      </c>
      <c r="H2698" t="s">
        <v>32</v>
      </c>
      <c r="I2698" t="s">
        <v>40</v>
      </c>
      <c r="J2698" t="s">
        <v>25</v>
      </c>
      <c r="K2698">
        <v>4.7</v>
      </c>
      <c r="L2698" t="s">
        <v>140</v>
      </c>
      <c r="M2698" t="s">
        <v>26</v>
      </c>
      <c r="N2698" t="s">
        <v>140</v>
      </c>
      <c r="O2698">
        <v>12</v>
      </c>
      <c r="P2698" t="s">
        <v>74</v>
      </c>
      <c r="Q2698" t="s">
        <v>76</v>
      </c>
      <c r="R2698" t="str" cm="1">
        <f t="array" ref="R2698">_xlfn.IFS(B2698&lt;31,"Young-Adult",B2698&lt;41,"Adult",B2698&lt;61,"Middle-aged",B2698&gt;=61,"Senior")</f>
        <v>Middle-aged</v>
      </c>
      <c r="S2698" cm="1">
        <f t="array" ref="S2698">_xlfn.IFS(Q2698 ="Fortnightly",14,Q2698="Weekly",7,Q2698="Monthly",30,Q2698="Quarterly",90,Q2698="Bi-Weekly",14,Q2698="Annually",365,Q2698="Every 3 Months",90,TRUE,"NOT FOUND")</f>
        <v>30</v>
      </c>
    </row>
    <row r="2699" spans="1:19" x14ac:dyDescent="0.35">
      <c r="A2699">
        <v>2698</v>
      </c>
      <c r="B2699">
        <v>42</v>
      </c>
      <c r="C2699" t="s">
        <v>141</v>
      </c>
      <c r="D2699" t="s">
        <v>90</v>
      </c>
      <c r="E2699" t="s">
        <v>51</v>
      </c>
      <c r="F2699">
        <v>52</v>
      </c>
      <c r="G2699" t="s">
        <v>67</v>
      </c>
      <c r="H2699" t="s">
        <v>11</v>
      </c>
      <c r="I2699" t="s">
        <v>96</v>
      </c>
      <c r="J2699" t="s">
        <v>13</v>
      </c>
      <c r="K2699">
        <v>3.2</v>
      </c>
      <c r="L2699" t="s">
        <v>140</v>
      </c>
      <c r="M2699" t="s">
        <v>42</v>
      </c>
      <c r="N2699" t="s">
        <v>140</v>
      </c>
      <c r="O2699">
        <v>36</v>
      </c>
      <c r="P2699" t="s">
        <v>63</v>
      </c>
      <c r="Q2699" t="s">
        <v>46</v>
      </c>
      <c r="R2699" t="str" cm="1">
        <f t="array" ref="R2699">_xlfn.IFS(B2699&lt;31,"Young-Adult",B2699&lt;41,"Adult",B2699&lt;61,"Middle-aged",B2699&gt;=61,"Senior")</f>
        <v>Middle-aged</v>
      </c>
      <c r="S2699" cm="1">
        <f t="array" ref="S2699">_xlfn.IFS(Q2699 ="Fortnightly",14,Q2699="Weekly",7,Q2699="Monthly",30,Q2699="Quarterly",90,Q2699="Bi-Weekly",14,Q2699="Annually",365,Q2699="Every 3 Months",90,TRUE,"NOT FOUND")</f>
        <v>90</v>
      </c>
    </row>
    <row r="2700" spans="1:19" x14ac:dyDescent="0.35">
      <c r="A2700">
        <v>2699</v>
      </c>
      <c r="B2700">
        <v>55</v>
      </c>
      <c r="C2700" t="s">
        <v>141</v>
      </c>
      <c r="D2700" t="s">
        <v>92</v>
      </c>
      <c r="E2700" t="s">
        <v>9</v>
      </c>
      <c r="F2700">
        <v>57</v>
      </c>
      <c r="G2700" t="s">
        <v>129</v>
      </c>
      <c r="H2700" t="s">
        <v>32</v>
      </c>
      <c r="I2700" t="s">
        <v>124</v>
      </c>
      <c r="J2700" t="s">
        <v>41</v>
      </c>
      <c r="K2700">
        <v>3.6</v>
      </c>
      <c r="L2700" t="s">
        <v>140</v>
      </c>
      <c r="M2700" t="s">
        <v>62</v>
      </c>
      <c r="N2700" t="s">
        <v>140</v>
      </c>
      <c r="O2700">
        <v>34</v>
      </c>
      <c r="P2700" t="s">
        <v>16</v>
      </c>
      <c r="Q2700" t="s">
        <v>46</v>
      </c>
      <c r="R2700" t="str" cm="1">
        <f t="array" ref="R2700">_xlfn.IFS(B2700&lt;31,"Young-Adult",B2700&lt;41,"Adult",B2700&lt;61,"Middle-aged",B2700&gt;=61,"Senior")</f>
        <v>Middle-aged</v>
      </c>
      <c r="S2700" cm="1">
        <f t="array" ref="S2700">_xlfn.IFS(Q2700 ="Fortnightly",14,Q2700="Weekly",7,Q2700="Monthly",30,Q2700="Quarterly",90,Q2700="Bi-Weekly",14,Q2700="Annually",365,Q2700="Every 3 Months",90,TRUE,"NOT FOUND")</f>
        <v>90</v>
      </c>
    </row>
    <row r="2701" spans="1:19" x14ac:dyDescent="0.35">
      <c r="A2701">
        <v>2700</v>
      </c>
      <c r="B2701">
        <v>25</v>
      </c>
      <c r="C2701" t="s">
        <v>141</v>
      </c>
      <c r="D2701" t="s">
        <v>125</v>
      </c>
      <c r="E2701" t="s">
        <v>30</v>
      </c>
      <c r="F2701">
        <v>96</v>
      </c>
      <c r="G2701" t="s">
        <v>128</v>
      </c>
      <c r="H2701" t="s">
        <v>32</v>
      </c>
      <c r="I2701" t="s">
        <v>71</v>
      </c>
      <c r="J2701" t="s">
        <v>45</v>
      </c>
      <c r="K2701">
        <v>3.6</v>
      </c>
      <c r="L2701" t="s">
        <v>140</v>
      </c>
      <c r="M2701" t="s">
        <v>58</v>
      </c>
      <c r="N2701" t="s">
        <v>140</v>
      </c>
      <c r="O2701">
        <v>49</v>
      </c>
      <c r="P2701" t="s">
        <v>74</v>
      </c>
      <c r="Q2701" t="s">
        <v>37</v>
      </c>
      <c r="R2701" t="str" cm="1">
        <f t="array" ref="R2701">_xlfn.IFS(B2701&lt;31,"Young-Adult",B2701&lt;41,"Adult",B2701&lt;61,"Middle-aged",B2701&gt;=61,"Senior")</f>
        <v>Young-Adult</v>
      </c>
      <c r="S2701" cm="1">
        <f t="array" ref="S2701">_xlfn.IFS(Q2701 ="Fortnightly",14,Q2701="Weekly",7,Q2701="Monthly",30,Q2701="Quarterly",90,Q2701="Bi-Weekly",14,Q2701="Annually",365,Q2701="Every 3 Months",90,TRUE,"NOT FOUND")</f>
        <v>365</v>
      </c>
    </row>
    <row r="2702" spans="1:19" x14ac:dyDescent="0.35">
      <c r="A2702">
        <v>2701</v>
      </c>
      <c r="B2702">
        <v>22</v>
      </c>
      <c r="C2702" t="s">
        <v>141</v>
      </c>
      <c r="D2702" t="s">
        <v>101</v>
      </c>
      <c r="E2702" t="s">
        <v>9</v>
      </c>
      <c r="F2702">
        <v>68</v>
      </c>
      <c r="G2702" t="s">
        <v>87</v>
      </c>
      <c r="H2702" t="s">
        <v>80</v>
      </c>
      <c r="I2702" t="s">
        <v>66</v>
      </c>
      <c r="J2702" t="s">
        <v>13</v>
      </c>
      <c r="K2702">
        <v>3.2</v>
      </c>
      <c r="L2702" t="s">
        <v>140</v>
      </c>
      <c r="M2702" t="s">
        <v>42</v>
      </c>
      <c r="N2702" t="s">
        <v>140</v>
      </c>
      <c r="O2702">
        <v>36</v>
      </c>
      <c r="P2702" t="s">
        <v>21</v>
      </c>
      <c r="Q2702" t="s">
        <v>28</v>
      </c>
      <c r="R2702" t="str" cm="1">
        <f t="array" ref="R2702">_xlfn.IFS(B2702&lt;31,"Young-Adult",B2702&lt;41,"Adult",B2702&lt;61,"Middle-aged",B2702&gt;=61,"Senior")</f>
        <v>Young-Adult</v>
      </c>
      <c r="S2702" cm="1">
        <f t="array" ref="S2702">_xlfn.IFS(Q2702 ="Fortnightly",14,Q2702="Weekly",7,Q2702="Monthly",30,Q2702="Quarterly",90,Q2702="Bi-Weekly",14,Q2702="Annually",365,Q2702="Every 3 Months",90,TRUE,"NOT FOUND")</f>
        <v>7</v>
      </c>
    </row>
    <row r="2703" spans="1:19" x14ac:dyDescent="0.35">
      <c r="A2703">
        <v>2702</v>
      </c>
      <c r="B2703">
        <v>49</v>
      </c>
      <c r="C2703" t="s">
        <v>141</v>
      </c>
      <c r="D2703" t="s">
        <v>18</v>
      </c>
      <c r="E2703" t="s">
        <v>9</v>
      </c>
      <c r="F2703">
        <v>30</v>
      </c>
      <c r="G2703" t="s">
        <v>123</v>
      </c>
      <c r="H2703" t="s">
        <v>11</v>
      </c>
      <c r="I2703" t="s">
        <v>53</v>
      </c>
      <c r="J2703" t="s">
        <v>41</v>
      </c>
      <c r="K2703">
        <v>2.8</v>
      </c>
      <c r="L2703" t="s">
        <v>140</v>
      </c>
      <c r="M2703" t="s">
        <v>62</v>
      </c>
      <c r="N2703" t="s">
        <v>140</v>
      </c>
      <c r="O2703">
        <v>18</v>
      </c>
      <c r="P2703" t="s">
        <v>63</v>
      </c>
      <c r="Q2703" t="s">
        <v>17</v>
      </c>
      <c r="R2703" t="str" cm="1">
        <f t="array" ref="R2703">_xlfn.IFS(B2703&lt;31,"Young-Adult",B2703&lt;41,"Adult",B2703&lt;61,"Middle-aged",B2703&gt;=61,"Senior")</f>
        <v>Middle-aged</v>
      </c>
      <c r="S2703" cm="1">
        <f t="array" ref="S2703">_xlfn.IFS(Q2703 ="Fortnightly",14,Q2703="Weekly",7,Q2703="Monthly",30,Q2703="Quarterly",90,Q2703="Bi-Weekly",14,Q2703="Annually",365,Q2703="Every 3 Months",90,TRUE,"NOT FOUND")</f>
        <v>14</v>
      </c>
    </row>
    <row r="2704" spans="1:19" x14ac:dyDescent="0.35">
      <c r="A2704">
        <v>2703</v>
      </c>
      <c r="B2704">
        <v>70</v>
      </c>
      <c r="C2704" t="s">
        <v>141</v>
      </c>
      <c r="D2704" t="s">
        <v>59</v>
      </c>
      <c r="E2704" t="s">
        <v>30</v>
      </c>
      <c r="F2704">
        <v>37</v>
      </c>
      <c r="G2704" t="s">
        <v>93</v>
      </c>
      <c r="H2704" t="s">
        <v>11</v>
      </c>
      <c r="I2704" t="s">
        <v>12</v>
      </c>
      <c r="J2704" t="s">
        <v>45</v>
      </c>
      <c r="K2704">
        <v>4</v>
      </c>
      <c r="L2704" t="s">
        <v>140</v>
      </c>
      <c r="M2704" t="s">
        <v>33</v>
      </c>
      <c r="N2704" t="s">
        <v>140</v>
      </c>
      <c r="O2704">
        <v>39</v>
      </c>
      <c r="P2704" t="s">
        <v>74</v>
      </c>
      <c r="Q2704" t="s">
        <v>17</v>
      </c>
      <c r="R2704" t="str" cm="1">
        <f t="array" ref="R2704">_xlfn.IFS(B2704&lt;31,"Young-Adult",B2704&lt;41,"Adult",B2704&lt;61,"Middle-aged",B2704&gt;=61,"Senior")</f>
        <v>Senior</v>
      </c>
      <c r="S2704" cm="1">
        <f t="array" ref="S2704">_xlfn.IFS(Q2704 ="Fortnightly",14,Q2704="Weekly",7,Q2704="Monthly",30,Q2704="Quarterly",90,Q2704="Bi-Weekly",14,Q2704="Annually",365,Q2704="Every 3 Months",90,TRUE,"NOT FOUND")</f>
        <v>14</v>
      </c>
    </row>
    <row r="2705" spans="1:19" x14ac:dyDescent="0.35">
      <c r="A2705">
        <v>2704</v>
      </c>
      <c r="B2705">
        <v>56</v>
      </c>
      <c r="C2705" t="s">
        <v>141</v>
      </c>
      <c r="D2705" t="s">
        <v>107</v>
      </c>
      <c r="E2705" t="s">
        <v>55</v>
      </c>
      <c r="F2705">
        <v>42</v>
      </c>
      <c r="G2705" t="s">
        <v>110</v>
      </c>
      <c r="H2705" t="s">
        <v>80</v>
      </c>
      <c r="I2705" t="s">
        <v>66</v>
      </c>
      <c r="J2705" t="s">
        <v>13</v>
      </c>
      <c r="K2705">
        <v>4.4000000000000004</v>
      </c>
      <c r="L2705" t="s">
        <v>140</v>
      </c>
      <c r="M2705" t="s">
        <v>26</v>
      </c>
      <c r="N2705" t="s">
        <v>140</v>
      </c>
      <c r="O2705">
        <v>34</v>
      </c>
      <c r="P2705" t="s">
        <v>34</v>
      </c>
      <c r="Q2705" t="s">
        <v>28</v>
      </c>
      <c r="R2705" t="str" cm="1">
        <f t="array" ref="R2705">_xlfn.IFS(B2705&lt;31,"Young-Adult",B2705&lt;41,"Adult",B2705&lt;61,"Middle-aged",B2705&gt;=61,"Senior")</f>
        <v>Middle-aged</v>
      </c>
      <c r="S2705" cm="1">
        <f t="array" ref="S2705">_xlfn.IFS(Q2705 ="Fortnightly",14,Q2705="Weekly",7,Q2705="Monthly",30,Q2705="Quarterly",90,Q2705="Bi-Weekly",14,Q2705="Annually",365,Q2705="Every 3 Months",90,TRUE,"NOT FOUND")</f>
        <v>7</v>
      </c>
    </row>
    <row r="2706" spans="1:19" x14ac:dyDescent="0.35">
      <c r="A2706">
        <v>2705</v>
      </c>
      <c r="B2706">
        <v>52</v>
      </c>
      <c r="C2706" t="s">
        <v>141</v>
      </c>
      <c r="D2706" t="s">
        <v>69</v>
      </c>
      <c r="E2706" t="s">
        <v>9</v>
      </c>
      <c r="F2706">
        <v>54</v>
      </c>
      <c r="G2706" t="s">
        <v>110</v>
      </c>
      <c r="H2706" t="s">
        <v>11</v>
      </c>
      <c r="I2706" t="s">
        <v>106</v>
      </c>
      <c r="J2706" t="s">
        <v>25</v>
      </c>
      <c r="K2706">
        <v>3.4</v>
      </c>
      <c r="L2706" t="s">
        <v>140</v>
      </c>
      <c r="M2706" t="s">
        <v>33</v>
      </c>
      <c r="N2706" t="s">
        <v>140</v>
      </c>
      <c r="O2706">
        <v>35</v>
      </c>
      <c r="P2706" t="s">
        <v>74</v>
      </c>
      <c r="Q2706" t="s">
        <v>28</v>
      </c>
      <c r="R2706" t="str" cm="1">
        <f t="array" ref="R2706">_xlfn.IFS(B2706&lt;31,"Young-Adult",B2706&lt;41,"Adult",B2706&lt;61,"Middle-aged",B2706&gt;=61,"Senior")</f>
        <v>Middle-aged</v>
      </c>
      <c r="S2706" cm="1">
        <f t="array" ref="S2706">_xlfn.IFS(Q2706 ="Fortnightly",14,Q2706="Weekly",7,Q2706="Monthly",30,Q2706="Quarterly",90,Q2706="Bi-Weekly",14,Q2706="Annually",365,Q2706="Every 3 Months",90,TRUE,"NOT FOUND")</f>
        <v>7</v>
      </c>
    </row>
    <row r="2707" spans="1:19" x14ac:dyDescent="0.35">
      <c r="A2707">
        <v>2706</v>
      </c>
      <c r="B2707">
        <v>65</v>
      </c>
      <c r="C2707" t="s">
        <v>141</v>
      </c>
      <c r="D2707" t="s">
        <v>90</v>
      </c>
      <c r="E2707" t="s">
        <v>51</v>
      </c>
      <c r="F2707">
        <v>81</v>
      </c>
      <c r="G2707" t="s">
        <v>137</v>
      </c>
      <c r="H2707" t="s">
        <v>24</v>
      </c>
      <c r="I2707" t="s">
        <v>36</v>
      </c>
      <c r="J2707" t="s">
        <v>25</v>
      </c>
      <c r="K2707">
        <v>5</v>
      </c>
      <c r="L2707" t="s">
        <v>140</v>
      </c>
      <c r="M2707" t="s">
        <v>62</v>
      </c>
      <c r="N2707" t="s">
        <v>140</v>
      </c>
      <c r="O2707">
        <v>1</v>
      </c>
      <c r="P2707" t="s">
        <v>27</v>
      </c>
      <c r="Q2707" t="s">
        <v>64</v>
      </c>
      <c r="R2707" t="str" cm="1">
        <f t="array" ref="R2707">_xlfn.IFS(B2707&lt;31,"Young-Adult",B2707&lt;41,"Adult",B2707&lt;61,"Middle-aged",B2707&gt;=61,"Senior")</f>
        <v>Senior</v>
      </c>
      <c r="S2707" cm="1">
        <f t="array" ref="S2707">_xlfn.IFS(Q2707 ="Fortnightly",14,Q2707="Weekly",7,Q2707="Monthly",30,Q2707="Quarterly",90,Q2707="Bi-Weekly",14,Q2707="Annually",365,Q2707="Every 3 Months",90,TRUE,"NOT FOUND")</f>
        <v>14</v>
      </c>
    </row>
    <row r="2708" spans="1:19" x14ac:dyDescent="0.35">
      <c r="A2708">
        <v>2707</v>
      </c>
      <c r="B2708">
        <v>24</v>
      </c>
      <c r="C2708" t="s">
        <v>141</v>
      </c>
      <c r="D2708" t="s">
        <v>59</v>
      </c>
      <c r="E2708" t="s">
        <v>30</v>
      </c>
      <c r="F2708">
        <v>40</v>
      </c>
      <c r="G2708" t="s">
        <v>78</v>
      </c>
      <c r="H2708" t="s">
        <v>24</v>
      </c>
      <c r="I2708" t="s">
        <v>132</v>
      </c>
      <c r="J2708" t="s">
        <v>25</v>
      </c>
      <c r="K2708">
        <v>3.1</v>
      </c>
      <c r="L2708" t="s">
        <v>140</v>
      </c>
      <c r="M2708" t="s">
        <v>15</v>
      </c>
      <c r="N2708" t="s">
        <v>140</v>
      </c>
      <c r="O2708">
        <v>48</v>
      </c>
      <c r="P2708" t="s">
        <v>74</v>
      </c>
      <c r="Q2708" t="s">
        <v>46</v>
      </c>
      <c r="R2708" t="str" cm="1">
        <f t="array" ref="R2708">_xlfn.IFS(B2708&lt;31,"Young-Adult",B2708&lt;41,"Adult",B2708&lt;61,"Middle-aged",B2708&gt;=61,"Senior")</f>
        <v>Young-Adult</v>
      </c>
      <c r="S2708" cm="1">
        <f t="array" ref="S2708">_xlfn.IFS(Q2708 ="Fortnightly",14,Q2708="Weekly",7,Q2708="Monthly",30,Q2708="Quarterly",90,Q2708="Bi-Weekly",14,Q2708="Annually",365,Q2708="Every 3 Months",90,TRUE,"NOT FOUND")</f>
        <v>90</v>
      </c>
    </row>
    <row r="2709" spans="1:19" x14ac:dyDescent="0.35">
      <c r="A2709">
        <v>2708</v>
      </c>
      <c r="B2709">
        <v>32</v>
      </c>
      <c r="C2709" t="s">
        <v>141</v>
      </c>
      <c r="D2709" t="s">
        <v>120</v>
      </c>
      <c r="E2709" t="s">
        <v>55</v>
      </c>
      <c r="F2709">
        <v>88</v>
      </c>
      <c r="G2709" t="s">
        <v>133</v>
      </c>
      <c r="H2709" t="s">
        <v>32</v>
      </c>
      <c r="I2709" t="s">
        <v>57</v>
      </c>
      <c r="J2709" t="s">
        <v>45</v>
      </c>
      <c r="K2709">
        <v>4.2</v>
      </c>
      <c r="L2709" t="s">
        <v>140</v>
      </c>
      <c r="M2709" t="s">
        <v>42</v>
      </c>
      <c r="N2709" t="s">
        <v>140</v>
      </c>
      <c r="O2709">
        <v>19</v>
      </c>
      <c r="P2709" t="s">
        <v>21</v>
      </c>
      <c r="Q2709" t="s">
        <v>28</v>
      </c>
      <c r="R2709" t="str" cm="1">
        <f t="array" ref="R2709">_xlfn.IFS(B2709&lt;31,"Young-Adult",B2709&lt;41,"Adult",B2709&lt;61,"Middle-aged",B2709&gt;=61,"Senior")</f>
        <v>Adult</v>
      </c>
      <c r="S2709" cm="1">
        <f t="array" ref="S2709">_xlfn.IFS(Q2709 ="Fortnightly",14,Q2709="Weekly",7,Q2709="Monthly",30,Q2709="Quarterly",90,Q2709="Bi-Weekly",14,Q2709="Annually",365,Q2709="Every 3 Months",90,TRUE,"NOT FOUND")</f>
        <v>7</v>
      </c>
    </row>
    <row r="2710" spans="1:19" x14ac:dyDescent="0.35">
      <c r="A2710">
        <v>2709</v>
      </c>
      <c r="B2710">
        <v>57</v>
      </c>
      <c r="C2710" t="s">
        <v>141</v>
      </c>
      <c r="D2710" t="s">
        <v>69</v>
      </c>
      <c r="E2710" t="s">
        <v>9</v>
      </c>
      <c r="F2710">
        <v>94</v>
      </c>
      <c r="G2710" t="s">
        <v>78</v>
      </c>
      <c r="H2710" t="s">
        <v>32</v>
      </c>
      <c r="I2710" t="s">
        <v>73</v>
      </c>
      <c r="J2710" t="s">
        <v>41</v>
      </c>
      <c r="K2710">
        <v>3.3</v>
      </c>
      <c r="L2710" t="s">
        <v>140</v>
      </c>
      <c r="M2710" t="s">
        <v>62</v>
      </c>
      <c r="N2710" t="s">
        <v>140</v>
      </c>
      <c r="O2710">
        <v>44</v>
      </c>
      <c r="P2710" t="s">
        <v>74</v>
      </c>
      <c r="Q2710" t="s">
        <v>28</v>
      </c>
      <c r="R2710" t="str" cm="1">
        <f t="array" ref="R2710">_xlfn.IFS(B2710&lt;31,"Young-Adult",B2710&lt;41,"Adult",B2710&lt;61,"Middle-aged",B2710&gt;=61,"Senior")</f>
        <v>Middle-aged</v>
      </c>
      <c r="S2710" cm="1">
        <f t="array" ref="S2710">_xlfn.IFS(Q2710 ="Fortnightly",14,Q2710="Weekly",7,Q2710="Monthly",30,Q2710="Quarterly",90,Q2710="Bi-Weekly",14,Q2710="Annually",365,Q2710="Every 3 Months",90,TRUE,"NOT FOUND")</f>
        <v>7</v>
      </c>
    </row>
    <row r="2711" spans="1:19" x14ac:dyDescent="0.35">
      <c r="A2711">
        <v>2710</v>
      </c>
      <c r="B2711">
        <v>35</v>
      </c>
      <c r="C2711" t="s">
        <v>141</v>
      </c>
      <c r="D2711" t="s">
        <v>43</v>
      </c>
      <c r="E2711" t="s">
        <v>9</v>
      </c>
      <c r="F2711">
        <v>54</v>
      </c>
      <c r="G2711" t="s">
        <v>103</v>
      </c>
      <c r="H2711" t="s">
        <v>24</v>
      </c>
      <c r="I2711" t="s">
        <v>97</v>
      </c>
      <c r="J2711" t="s">
        <v>13</v>
      </c>
      <c r="K2711">
        <v>2.9</v>
      </c>
      <c r="L2711" t="s">
        <v>140</v>
      </c>
      <c r="M2711" t="s">
        <v>42</v>
      </c>
      <c r="N2711" t="s">
        <v>140</v>
      </c>
      <c r="O2711">
        <v>9</v>
      </c>
      <c r="P2711" t="s">
        <v>27</v>
      </c>
      <c r="Q2711" t="s">
        <v>64</v>
      </c>
      <c r="R2711" t="str" cm="1">
        <f t="array" ref="R2711">_xlfn.IFS(B2711&lt;31,"Young-Adult",B2711&lt;41,"Adult",B2711&lt;61,"Middle-aged",B2711&gt;=61,"Senior")</f>
        <v>Adult</v>
      </c>
      <c r="S2711" cm="1">
        <f t="array" ref="S2711">_xlfn.IFS(Q2711 ="Fortnightly",14,Q2711="Weekly",7,Q2711="Monthly",30,Q2711="Quarterly",90,Q2711="Bi-Weekly",14,Q2711="Annually",365,Q2711="Every 3 Months",90,TRUE,"NOT FOUND")</f>
        <v>14</v>
      </c>
    </row>
    <row r="2712" spans="1:19" x14ac:dyDescent="0.35">
      <c r="A2712">
        <v>2711</v>
      </c>
      <c r="B2712">
        <v>69</v>
      </c>
      <c r="C2712" t="s">
        <v>141</v>
      </c>
      <c r="D2712" t="s">
        <v>90</v>
      </c>
      <c r="E2712" t="s">
        <v>51</v>
      </c>
      <c r="F2712">
        <v>51</v>
      </c>
      <c r="G2712" t="s">
        <v>138</v>
      </c>
      <c r="H2712" t="s">
        <v>11</v>
      </c>
      <c r="I2712" t="s">
        <v>61</v>
      </c>
      <c r="J2712" t="s">
        <v>41</v>
      </c>
      <c r="K2712">
        <v>4.7</v>
      </c>
      <c r="L2712" t="s">
        <v>140</v>
      </c>
      <c r="M2712" t="s">
        <v>42</v>
      </c>
      <c r="N2712" t="s">
        <v>140</v>
      </c>
      <c r="O2712">
        <v>3</v>
      </c>
      <c r="P2712" t="s">
        <v>63</v>
      </c>
      <c r="Q2712" t="s">
        <v>17</v>
      </c>
      <c r="R2712" t="str" cm="1">
        <f t="array" ref="R2712">_xlfn.IFS(B2712&lt;31,"Young-Adult",B2712&lt;41,"Adult",B2712&lt;61,"Middle-aged",B2712&gt;=61,"Senior")</f>
        <v>Senior</v>
      </c>
      <c r="S2712" cm="1">
        <f t="array" ref="S2712">_xlfn.IFS(Q2712 ="Fortnightly",14,Q2712="Weekly",7,Q2712="Monthly",30,Q2712="Quarterly",90,Q2712="Bi-Weekly",14,Q2712="Annually",365,Q2712="Every 3 Months",90,TRUE,"NOT FOUND")</f>
        <v>14</v>
      </c>
    </row>
    <row r="2713" spans="1:19" x14ac:dyDescent="0.35">
      <c r="A2713">
        <v>2712</v>
      </c>
      <c r="B2713">
        <v>30</v>
      </c>
      <c r="C2713" t="s">
        <v>141</v>
      </c>
      <c r="D2713" t="s">
        <v>77</v>
      </c>
      <c r="E2713" t="s">
        <v>55</v>
      </c>
      <c r="F2713">
        <v>22</v>
      </c>
      <c r="G2713" t="s">
        <v>133</v>
      </c>
      <c r="H2713" t="s">
        <v>11</v>
      </c>
      <c r="I2713" t="s">
        <v>96</v>
      </c>
      <c r="J2713" t="s">
        <v>25</v>
      </c>
      <c r="K2713">
        <v>4</v>
      </c>
      <c r="L2713" t="s">
        <v>140</v>
      </c>
      <c r="M2713" t="s">
        <v>42</v>
      </c>
      <c r="N2713" t="s">
        <v>140</v>
      </c>
      <c r="O2713">
        <v>50</v>
      </c>
      <c r="P2713" t="s">
        <v>16</v>
      </c>
      <c r="Q2713" t="s">
        <v>76</v>
      </c>
      <c r="R2713" t="str" cm="1">
        <f t="array" ref="R2713">_xlfn.IFS(B2713&lt;31,"Young-Adult",B2713&lt;41,"Adult",B2713&lt;61,"Middle-aged",B2713&gt;=61,"Senior")</f>
        <v>Young-Adult</v>
      </c>
      <c r="S2713" cm="1">
        <f t="array" ref="S2713">_xlfn.IFS(Q2713 ="Fortnightly",14,Q2713="Weekly",7,Q2713="Monthly",30,Q2713="Quarterly",90,Q2713="Bi-Weekly",14,Q2713="Annually",365,Q2713="Every 3 Months",90,TRUE,"NOT FOUND")</f>
        <v>30</v>
      </c>
    </row>
    <row r="2714" spans="1:19" x14ac:dyDescent="0.35">
      <c r="A2714">
        <v>2713</v>
      </c>
      <c r="B2714">
        <v>37</v>
      </c>
      <c r="C2714" t="s">
        <v>141</v>
      </c>
      <c r="D2714" t="s">
        <v>90</v>
      </c>
      <c r="E2714" t="s">
        <v>51</v>
      </c>
      <c r="F2714">
        <v>95</v>
      </c>
      <c r="G2714" t="s">
        <v>102</v>
      </c>
      <c r="H2714" t="s">
        <v>11</v>
      </c>
      <c r="I2714" t="s">
        <v>98</v>
      </c>
      <c r="J2714" t="s">
        <v>45</v>
      </c>
      <c r="K2714">
        <v>4.5999999999999996</v>
      </c>
      <c r="L2714" t="s">
        <v>140</v>
      </c>
      <c r="M2714" t="s">
        <v>42</v>
      </c>
      <c r="N2714" t="s">
        <v>140</v>
      </c>
      <c r="O2714">
        <v>7</v>
      </c>
      <c r="P2714" t="s">
        <v>74</v>
      </c>
      <c r="Q2714" t="s">
        <v>46</v>
      </c>
      <c r="R2714" t="str" cm="1">
        <f t="array" ref="R2714">_xlfn.IFS(B2714&lt;31,"Young-Adult",B2714&lt;41,"Adult",B2714&lt;61,"Middle-aged",B2714&gt;=61,"Senior")</f>
        <v>Adult</v>
      </c>
      <c r="S2714" cm="1">
        <f t="array" ref="S2714">_xlfn.IFS(Q2714 ="Fortnightly",14,Q2714="Weekly",7,Q2714="Monthly",30,Q2714="Quarterly",90,Q2714="Bi-Weekly",14,Q2714="Annually",365,Q2714="Every 3 Months",90,TRUE,"NOT FOUND")</f>
        <v>90</v>
      </c>
    </row>
    <row r="2715" spans="1:19" x14ac:dyDescent="0.35">
      <c r="A2715">
        <v>2714</v>
      </c>
      <c r="B2715">
        <v>19</v>
      </c>
      <c r="C2715" t="s">
        <v>141</v>
      </c>
      <c r="D2715" t="s">
        <v>50</v>
      </c>
      <c r="E2715" t="s">
        <v>51</v>
      </c>
      <c r="F2715">
        <v>57</v>
      </c>
      <c r="G2715" t="s">
        <v>79</v>
      </c>
      <c r="H2715" t="s">
        <v>32</v>
      </c>
      <c r="I2715" t="s">
        <v>124</v>
      </c>
      <c r="J2715" t="s">
        <v>45</v>
      </c>
      <c r="K2715">
        <v>3.8</v>
      </c>
      <c r="L2715" t="s">
        <v>140</v>
      </c>
      <c r="M2715" t="s">
        <v>58</v>
      </c>
      <c r="N2715" t="s">
        <v>140</v>
      </c>
      <c r="O2715">
        <v>20</v>
      </c>
      <c r="P2715" t="s">
        <v>74</v>
      </c>
      <c r="Q2715" t="s">
        <v>37</v>
      </c>
      <c r="R2715" t="str" cm="1">
        <f t="array" ref="R2715">_xlfn.IFS(B2715&lt;31,"Young-Adult",B2715&lt;41,"Adult",B2715&lt;61,"Middle-aged",B2715&gt;=61,"Senior")</f>
        <v>Young-Adult</v>
      </c>
      <c r="S2715" cm="1">
        <f t="array" ref="S2715">_xlfn.IFS(Q2715 ="Fortnightly",14,Q2715="Weekly",7,Q2715="Monthly",30,Q2715="Quarterly",90,Q2715="Bi-Weekly",14,Q2715="Annually",365,Q2715="Every 3 Months",90,TRUE,"NOT FOUND")</f>
        <v>365</v>
      </c>
    </row>
    <row r="2716" spans="1:19" x14ac:dyDescent="0.35">
      <c r="A2716">
        <v>2715</v>
      </c>
      <c r="B2716">
        <v>53</v>
      </c>
      <c r="C2716" t="s">
        <v>141</v>
      </c>
      <c r="D2716" t="s">
        <v>18</v>
      </c>
      <c r="E2716" t="s">
        <v>9</v>
      </c>
      <c r="F2716">
        <v>45</v>
      </c>
      <c r="G2716" t="s">
        <v>134</v>
      </c>
      <c r="H2716" t="s">
        <v>24</v>
      </c>
      <c r="I2716" t="s">
        <v>66</v>
      </c>
      <c r="J2716" t="s">
        <v>13</v>
      </c>
      <c r="K2716">
        <v>3.6</v>
      </c>
      <c r="L2716" t="s">
        <v>140</v>
      </c>
      <c r="M2716" t="s">
        <v>62</v>
      </c>
      <c r="N2716" t="s">
        <v>140</v>
      </c>
      <c r="O2716">
        <v>16</v>
      </c>
      <c r="P2716" t="s">
        <v>27</v>
      </c>
      <c r="Q2716" t="s">
        <v>64</v>
      </c>
      <c r="R2716" t="str" cm="1">
        <f t="array" ref="R2716">_xlfn.IFS(B2716&lt;31,"Young-Adult",B2716&lt;41,"Adult",B2716&lt;61,"Middle-aged",B2716&gt;=61,"Senior")</f>
        <v>Middle-aged</v>
      </c>
      <c r="S2716" cm="1">
        <f t="array" ref="S2716">_xlfn.IFS(Q2716 ="Fortnightly",14,Q2716="Weekly",7,Q2716="Monthly",30,Q2716="Quarterly",90,Q2716="Bi-Weekly",14,Q2716="Annually",365,Q2716="Every 3 Months",90,TRUE,"NOT FOUND")</f>
        <v>14</v>
      </c>
    </row>
    <row r="2717" spans="1:19" x14ac:dyDescent="0.35">
      <c r="A2717">
        <v>2716</v>
      </c>
      <c r="B2717">
        <v>25</v>
      </c>
      <c r="C2717" t="s">
        <v>141</v>
      </c>
      <c r="D2717" t="s">
        <v>38</v>
      </c>
      <c r="E2717" t="s">
        <v>30</v>
      </c>
      <c r="F2717">
        <v>92</v>
      </c>
      <c r="G2717" t="s">
        <v>79</v>
      </c>
      <c r="H2717" t="s">
        <v>80</v>
      </c>
      <c r="I2717" t="s">
        <v>57</v>
      </c>
      <c r="J2717" t="s">
        <v>13</v>
      </c>
      <c r="K2717">
        <v>4.0999999999999996</v>
      </c>
      <c r="L2717" t="s">
        <v>140</v>
      </c>
      <c r="M2717" t="s">
        <v>15</v>
      </c>
      <c r="N2717" t="s">
        <v>140</v>
      </c>
      <c r="O2717">
        <v>29</v>
      </c>
      <c r="P2717" t="s">
        <v>34</v>
      </c>
      <c r="Q2717" t="s">
        <v>17</v>
      </c>
      <c r="R2717" t="str" cm="1">
        <f t="array" ref="R2717">_xlfn.IFS(B2717&lt;31,"Young-Adult",B2717&lt;41,"Adult",B2717&lt;61,"Middle-aged",B2717&gt;=61,"Senior")</f>
        <v>Young-Adult</v>
      </c>
      <c r="S2717" cm="1">
        <f t="array" ref="S2717">_xlfn.IFS(Q2717 ="Fortnightly",14,Q2717="Weekly",7,Q2717="Monthly",30,Q2717="Quarterly",90,Q2717="Bi-Weekly",14,Q2717="Annually",365,Q2717="Every 3 Months",90,TRUE,"NOT FOUND")</f>
        <v>14</v>
      </c>
    </row>
    <row r="2718" spans="1:19" x14ac:dyDescent="0.35">
      <c r="A2718">
        <v>2717</v>
      </c>
      <c r="B2718">
        <v>47</v>
      </c>
      <c r="C2718" t="s">
        <v>141</v>
      </c>
      <c r="D2718" t="s">
        <v>59</v>
      </c>
      <c r="E2718" t="s">
        <v>30</v>
      </c>
      <c r="F2718">
        <v>40</v>
      </c>
      <c r="G2718" t="s">
        <v>100</v>
      </c>
      <c r="H2718" t="s">
        <v>11</v>
      </c>
      <c r="I2718" t="s">
        <v>82</v>
      </c>
      <c r="J2718" t="s">
        <v>25</v>
      </c>
      <c r="K2718">
        <v>2.7</v>
      </c>
      <c r="L2718" t="s">
        <v>140</v>
      </c>
      <c r="M2718" t="s">
        <v>62</v>
      </c>
      <c r="N2718" t="s">
        <v>140</v>
      </c>
      <c r="O2718">
        <v>21</v>
      </c>
      <c r="P2718" t="s">
        <v>74</v>
      </c>
      <c r="Q2718" t="s">
        <v>28</v>
      </c>
      <c r="R2718" t="str" cm="1">
        <f t="array" ref="R2718">_xlfn.IFS(B2718&lt;31,"Young-Adult",B2718&lt;41,"Adult",B2718&lt;61,"Middle-aged",B2718&gt;=61,"Senior")</f>
        <v>Middle-aged</v>
      </c>
      <c r="S2718" cm="1">
        <f t="array" ref="S2718">_xlfn.IFS(Q2718 ="Fortnightly",14,Q2718="Weekly",7,Q2718="Monthly",30,Q2718="Quarterly",90,Q2718="Bi-Weekly",14,Q2718="Annually",365,Q2718="Every 3 Months",90,TRUE,"NOT FOUND")</f>
        <v>7</v>
      </c>
    </row>
    <row r="2719" spans="1:19" x14ac:dyDescent="0.35">
      <c r="A2719">
        <v>2718</v>
      </c>
      <c r="B2719">
        <v>18</v>
      </c>
      <c r="C2719" t="s">
        <v>141</v>
      </c>
      <c r="D2719" t="s">
        <v>77</v>
      </c>
      <c r="E2719" t="s">
        <v>55</v>
      </c>
      <c r="F2719">
        <v>62</v>
      </c>
      <c r="G2719" t="s">
        <v>133</v>
      </c>
      <c r="H2719" t="s">
        <v>80</v>
      </c>
      <c r="I2719" t="s">
        <v>106</v>
      </c>
      <c r="J2719" t="s">
        <v>13</v>
      </c>
      <c r="K2719">
        <v>4.3</v>
      </c>
      <c r="L2719" t="s">
        <v>140</v>
      </c>
      <c r="M2719" t="s">
        <v>26</v>
      </c>
      <c r="N2719" t="s">
        <v>140</v>
      </c>
      <c r="O2719">
        <v>19</v>
      </c>
      <c r="P2719" t="s">
        <v>27</v>
      </c>
      <c r="Q2719" t="s">
        <v>85</v>
      </c>
      <c r="R2719" t="str" cm="1">
        <f t="array" ref="R2719">_xlfn.IFS(B2719&lt;31,"Young-Adult",B2719&lt;41,"Adult",B2719&lt;61,"Middle-aged",B2719&gt;=61,"Senior")</f>
        <v>Young-Adult</v>
      </c>
      <c r="S2719" cm="1">
        <f t="array" ref="S2719">_xlfn.IFS(Q2719 ="Fortnightly",14,Q2719="Weekly",7,Q2719="Monthly",30,Q2719="Quarterly",90,Q2719="Bi-Weekly",14,Q2719="Annually",365,Q2719="Every 3 Months",90,TRUE,"NOT FOUND")</f>
        <v>90</v>
      </c>
    </row>
    <row r="2720" spans="1:19" x14ac:dyDescent="0.35">
      <c r="A2720">
        <v>2719</v>
      </c>
      <c r="B2720">
        <v>22</v>
      </c>
      <c r="C2720" t="s">
        <v>141</v>
      </c>
      <c r="D2720" t="s">
        <v>47</v>
      </c>
      <c r="E2720" t="s">
        <v>9</v>
      </c>
      <c r="F2720">
        <v>90</v>
      </c>
      <c r="G2720" t="s">
        <v>129</v>
      </c>
      <c r="H2720" t="s">
        <v>32</v>
      </c>
      <c r="I2720" t="s">
        <v>88</v>
      </c>
      <c r="J2720" t="s">
        <v>13</v>
      </c>
      <c r="K2720">
        <v>4.9000000000000004</v>
      </c>
      <c r="L2720" t="s">
        <v>140</v>
      </c>
      <c r="M2720" t="s">
        <v>33</v>
      </c>
      <c r="N2720" t="s">
        <v>140</v>
      </c>
      <c r="O2720">
        <v>10</v>
      </c>
      <c r="P2720" t="s">
        <v>16</v>
      </c>
      <c r="Q2720" t="s">
        <v>64</v>
      </c>
      <c r="R2720" t="str" cm="1">
        <f t="array" ref="R2720">_xlfn.IFS(B2720&lt;31,"Young-Adult",B2720&lt;41,"Adult",B2720&lt;61,"Middle-aged",B2720&gt;=61,"Senior")</f>
        <v>Young-Adult</v>
      </c>
      <c r="S2720" cm="1">
        <f t="array" ref="S2720">_xlfn.IFS(Q2720 ="Fortnightly",14,Q2720="Weekly",7,Q2720="Monthly",30,Q2720="Quarterly",90,Q2720="Bi-Weekly",14,Q2720="Annually",365,Q2720="Every 3 Months",90,TRUE,"NOT FOUND")</f>
        <v>14</v>
      </c>
    </row>
    <row r="2721" spans="1:19" x14ac:dyDescent="0.35">
      <c r="A2721">
        <v>2720</v>
      </c>
      <c r="B2721">
        <v>69</v>
      </c>
      <c r="C2721" t="s">
        <v>141</v>
      </c>
      <c r="D2721" t="s">
        <v>92</v>
      </c>
      <c r="E2721" t="s">
        <v>9</v>
      </c>
      <c r="F2721">
        <v>82</v>
      </c>
      <c r="G2721" t="s">
        <v>48</v>
      </c>
      <c r="H2721" t="s">
        <v>24</v>
      </c>
      <c r="I2721" t="s">
        <v>88</v>
      </c>
      <c r="J2721" t="s">
        <v>45</v>
      </c>
      <c r="K2721">
        <v>4.2</v>
      </c>
      <c r="L2721" t="s">
        <v>140</v>
      </c>
      <c r="M2721" t="s">
        <v>26</v>
      </c>
      <c r="N2721" t="s">
        <v>140</v>
      </c>
      <c r="O2721">
        <v>4</v>
      </c>
      <c r="P2721" t="s">
        <v>63</v>
      </c>
      <c r="Q2721" t="s">
        <v>76</v>
      </c>
      <c r="R2721" t="str" cm="1">
        <f t="array" ref="R2721">_xlfn.IFS(B2721&lt;31,"Young-Adult",B2721&lt;41,"Adult",B2721&lt;61,"Middle-aged",B2721&gt;=61,"Senior")</f>
        <v>Senior</v>
      </c>
      <c r="S2721" cm="1">
        <f t="array" ref="S2721">_xlfn.IFS(Q2721 ="Fortnightly",14,Q2721="Weekly",7,Q2721="Monthly",30,Q2721="Quarterly",90,Q2721="Bi-Weekly",14,Q2721="Annually",365,Q2721="Every 3 Months",90,TRUE,"NOT FOUND")</f>
        <v>30</v>
      </c>
    </row>
    <row r="2722" spans="1:19" x14ac:dyDescent="0.35">
      <c r="A2722">
        <v>2721</v>
      </c>
      <c r="B2722">
        <v>55</v>
      </c>
      <c r="C2722" t="s">
        <v>141</v>
      </c>
      <c r="D2722" t="s">
        <v>107</v>
      </c>
      <c r="E2722" t="s">
        <v>55</v>
      </c>
      <c r="F2722">
        <v>52</v>
      </c>
      <c r="G2722" t="s">
        <v>116</v>
      </c>
      <c r="H2722" t="s">
        <v>32</v>
      </c>
      <c r="I2722" t="s">
        <v>88</v>
      </c>
      <c r="J2722" t="s">
        <v>25</v>
      </c>
      <c r="K2722">
        <v>2.8</v>
      </c>
      <c r="L2722" t="s">
        <v>140</v>
      </c>
      <c r="M2722" t="s">
        <v>62</v>
      </c>
      <c r="N2722" t="s">
        <v>140</v>
      </c>
      <c r="O2722">
        <v>45</v>
      </c>
      <c r="P2722" t="s">
        <v>63</v>
      </c>
      <c r="Q2722" t="s">
        <v>46</v>
      </c>
      <c r="R2722" t="str" cm="1">
        <f t="array" ref="R2722">_xlfn.IFS(B2722&lt;31,"Young-Adult",B2722&lt;41,"Adult",B2722&lt;61,"Middle-aged",B2722&gt;=61,"Senior")</f>
        <v>Middle-aged</v>
      </c>
      <c r="S2722" cm="1">
        <f t="array" ref="S2722">_xlfn.IFS(Q2722 ="Fortnightly",14,Q2722="Weekly",7,Q2722="Monthly",30,Q2722="Quarterly",90,Q2722="Bi-Weekly",14,Q2722="Annually",365,Q2722="Every 3 Months",90,TRUE,"NOT FOUND")</f>
        <v>90</v>
      </c>
    </row>
    <row r="2723" spans="1:19" x14ac:dyDescent="0.35">
      <c r="A2723">
        <v>2722</v>
      </c>
      <c r="B2723">
        <v>19</v>
      </c>
      <c r="C2723" t="s">
        <v>141</v>
      </c>
      <c r="D2723" t="s">
        <v>29</v>
      </c>
      <c r="E2723" t="s">
        <v>30</v>
      </c>
      <c r="F2723">
        <v>70</v>
      </c>
      <c r="G2723" t="s">
        <v>136</v>
      </c>
      <c r="H2723" t="s">
        <v>24</v>
      </c>
      <c r="I2723" t="s">
        <v>73</v>
      </c>
      <c r="J2723" t="s">
        <v>25</v>
      </c>
      <c r="K2723">
        <v>4.9000000000000004</v>
      </c>
      <c r="L2723" t="s">
        <v>140</v>
      </c>
      <c r="M2723" t="s">
        <v>26</v>
      </c>
      <c r="N2723" t="s">
        <v>140</v>
      </c>
      <c r="O2723">
        <v>17</v>
      </c>
      <c r="P2723" t="s">
        <v>34</v>
      </c>
      <c r="Q2723" t="s">
        <v>17</v>
      </c>
      <c r="R2723" t="str" cm="1">
        <f t="array" ref="R2723">_xlfn.IFS(B2723&lt;31,"Young-Adult",B2723&lt;41,"Adult",B2723&lt;61,"Middle-aged",B2723&gt;=61,"Senior")</f>
        <v>Young-Adult</v>
      </c>
      <c r="S2723" cm="1">
        <f t="array" ref="S2723">_xlfn.IFS(Q2723 ="Fortnightly",14,Q2723="Weekly",7,Q2723="Monthly",30,Q2723="Quarterly",90,Q2723="Bi-Weekly",14,Q2723="Annually",365,Q2723="Every 3 Months",90,TRUE,"NOT FOUND")</f>
        <v>14</v>
      </c>
    </row>
    <row r="2724" spans="1:19" x14ac:dyDescent="0.35">
      <c r="A2724">
        <v>2723</v>
      </c>
      <c r="B2724">
        <v>23</v>
      </c>
      <c r="C2724" t="s">
        <v>141</v>
      </c>
      <c r="D2724" t="s">
        <v>112</v>
      </c>
      <c r="E2724" t="s">
        <v>55</v>
      </c>
      <c r="F2724">
        <v>83</v>
      </c>
      <c r="G2724" t="s">
        <v>19</v>
      </c>
      <c r="H2724" t="s">
        <v>32</v>
      </c>
      <c r="I2724" t="s">
        <v>84</v>
      </c>
      <c r="J2724" t="s">
        <v>25</v>
      </c>
      <c r="K2724">
        <v>2.8</v>
      </c>
      <c r="L2724" t="s">
        <v>140</v>
      </c>
      <c r="M2724" t="s">
        <v>58</v>
      </c>
      <c r="N2724" t="s">
        <v>140</v>
      </c>
      <c r="O2724">
        <v>22</v>
      </c>
      <c r="P2724" t="s">
        <v>34</v>
      </c>
      <c r="Q2724" t="s">
        <v>17</v>
      </c>
      <c r="R2724" t="str" cm="1">
        <f t="array" ref="R2724">_xlfn.IFS(B2724&lt;31,"Young-Adult",B2724&lt;41,"Adult",B2724&lt;61,"Middle-aged",B2724&gt;=61,"Senior")</f>
        <v>Young-Adult</v>
      </c>
      <c r="S2724" cm="1">
        <f t="array" ref="S2724">_xlfn.IFS(Q2724 ="Fortnightly",14,Q2724="Weekly",7,Q2724="Monthly",30,Q2724="Quarterly",90,Q2724="Bi-Weekly",14,Q2724="Annually",365,Q2724="Every 3 Months",90,TRUE,"NOT FOUND")</f>
        <v>14</v>
      </c>
    </row>
    <row r="2725" spans="1:19" x14ac:dyDescent="0.35">
      <c r="A2725">
        <v>2724</v>
      </c>
      <c r="B2725">
        <v>54</v>
      </c>
      <c r="C2725" t="s">
        <v>141</v>
      </c>
      <c r="D2725" t="s">
        <v>59</v>
      </c>
      <c r="E2725" t="s">
        <v>30</v>
      </c>
      <c r="F2725">
        <v>49</v>
      </c>
      <c r="G2725" t="s">
        <v>93</v>
      </c>
      <c r="H2725" t="s">
        <v>80</v>
      </c>
      <c r="I2725" t="s">
        <v>98</v>
      </c>
      <c r="J2725" t="s">
        <v>41</v>
      </c>
      <c r="K2725">
        <v>2.9</v>
      </c>
      <c r="L2725" t="s">
        <v>140</v>
      </c>
      <c r="M2725" t="s">
        <v>62</v>
      </c>
      <c r="N2725" t="s">
        <v>140</v>
      </c>
      <c r="O2725">
        <v>3</v>
      </c>
      <c r="P2725" t="s">
        <v>34</v>
      </c>
      <c r="Q2725" t="s">
        <v>85</v>
      </c>
      <c r="R2725" t="str" cm="1">
        <f t="array" ref="R2725">_xlfn.IFS(B2725&lt;31,"Young-Adult",B2725&lt;41,"Adult",B2725&lt;61,"Middle-aged",B2725&gt;=61,"Senior")</f>
        <v>Middle-aged</v>
      </c>
      <c r="S2725" cm="1">
        <f t="array" ref="S2725">_xlfn.IFS(Q2725 ="Fortnightly",14,Q2725="Weekly",7,Q2725="Monthly",30,Q2725="Quarterly",90,Q2725="Bi-Weekly",14,Q2725="Annually",365,Q2725="Every 3 Months",90,TRUE,"NOT FOUND")</f>
        <v>90</v>
      </c>
    </row>
    <row r="2726" spans="1:19" x14ac:dyDescent="0.35">
      <c r="A2726">
        <v>2725</v>
      </c>
      <c r="B2726">
        <v>52</v>
      </c>
      <c r="C2726" t="s">
        <v>141</v>
      </c>
      <c r="D2726" t="s">
        <v>38</v>
      </c>
      <c r="E2726" t="s">
        <v>30</v>
      </c>
      <c r="F2726">
        <v>91</v>
      </c>
      <c r="G2726" t="s">
        <v>56</v>
      </c>
      <c r="H2726" t="s">
        <v>32</v>
      </c>
      <c r="I2726" t="s">
        <v>98</v>
      </c>
      <c r="J2726" t="s">
        <v>25</v>
      </c>
      <c r="K2726">
        <v>2.5</v>
      </c>
      <c r="L2726" t="s">
        <v>140</v>
      </c>
      <c r="M2726" t="s">
        <v>33</v>
      </c>
      <c r="N2726" t="s">
        <v>140</v>
      </c>
      <c r="O2726">
        <v>11</v>
      </c>
      <c r="P2726" t="s">
        <v>74</v>
      </c>
      <c r="Q2726" t="s">
        <v>17</v>
      </c>
      <c r="R2726" t="str" cm="1">
        <f t="array" ref="R2726">_xlfn.IFS(B2726&lt;31,"Young-Adult",B2726&lt;41,"Adult",B2726&lt;61,"Middle-aged",B2726&gt;=61,"Senior")</f>
        <v>Middle-aged</v>
      </c>
      <c r="S2726" cm="1">
        <f t="array" ref="S2726">_xlfn.IFS(Q2726 ="Fortnightly",14,Q2726="Weekly",7,Q2726="Monthly",30,Q2726="Quarterly",90,Q2726="Bi-Weekly",14,Q2726="Annually",365,Q2726="Every 3 Months",90,TRUE,"NOT FOUND")</f>
        <v>14</v>
      </c>
    </row>
    <row r="2727" spans="1:19" x14ac:dyDescent="0.35">
      <c r="A2727">
        <v>2726</v>
      </c>
      <c r="B2727">
        <v>64</v>
      </c>
      <c r="C2727" t="s">
        <v>141</v>
      </c>
      <c r="D2727" t="s">
        <v>120</v>
      </c>
      <c r="E2727" t="s">
        <v>55</v>
      </c>
      <c r="F2727">
        <v>99</v>
      </c>
      <c r="G2727" t="s">
        <v>79</v>
      </c>
      <c r="H2727" t="s">
        <v>24</v>
      </c>
      <c r="I2727" t="s">
        <v>71</v>
      </c>
      <c r="J2727" t="s">
        <v>41</v>
      </c>
      <c r="K2727">
        <v>2.7</v>
      </c>
      <c r="L2727" t="s">
        <v>140</v>
      </c>
      <c r="M2727" t="s">
        <v>26</v>
      </c>
      <c r="N2727" t="s">
        <v>140</v>
      </c>
      <c r="O2727">
        <v>4</v>
      </c>
      <c r="P2727" t="s">
        <v>74</v>
      </c>
      <c r="Q2727" t="s">
        <v>37</v>
      </c>
      <c r="R2727" t="str" cm="1">
        <f t="array" ref="R2727">_xlfn.IFS(B2727&lt;31,"Young-Adult",B2727&lt;41,"Adult",B2727&lt;61,"Middle-aged",B2727&gt;=61,"Senior")</f>
        <v>Senior</v>
      </c>
      <c r="S2727" cm="1">
        <f t="array" ref="S2727">_xlfn.IFS(Q2727 ="Fortnightly",14,Q2727="Weekly",7,Q2727="Monthly",30,Q2727="Quarterly",90,Q2727="Bi-Weekly",14,Q2727="Annually",365,Q2727="Every 3 Months",90,TRUE,"NOT FOUND")</f>
        <v>365</v>
      </c>
    </row>
    <row r="2728" spans="1:19" x14ac:dyDescent="0.35">
      <c r="A2728">
        <v>2727</v>
      </c>
      <c r="B2728">
        <v>33</v>
      </c>
      <c r="C2728" t="s">
        <v>141</v>
      </c>
      <c r="D2728" t="s">
        <v>121</v>
      </c>
      <c r="E2728" t="s">
        <v>55</v>
      </c>
      <c r="F2728">
        <v>92</v>
      </c>
      <c r="G2728" t="s">
        <v>139</v>
      </c>
      <c r="H2728" t="s">
        <v>11</v>
      </c>
      <c r="I2728" t="s">
        <v>132</v>
      </c>
      <c r="J2728" t="s">
        <v>13</v>
      </c>
      <c r="K2728">
        <v>3.3</v>
      </c>
      <c r="L2728" t="s">
        <v>140</v>
      </c>
      <c r="M2728" t="s">
        <v>26</v>
      </c>
      <c r="N2728" t="s">
        <v>140</v>
      </c>
      <c r="O2728">
        <v>11</v>
      </c>
      <c r="P2728" t="s">
        <v>34</v>
      </c>
      <c r="Q2728" t="s">
        <v>64</v>
      </c>
      <c r="R2728" t="str" cm="1">
        <f t="array" ref="R2728">_xlfn.IFS(B2728&lt;31,"Young-Adult",B2728&lt;41,"Adult",B2728&lt;61,"Middle-aged",B2728&gt;=61,"Senior")</f>
        <v>Adult</v>
      </c>
      <c r="S2728" cm="1">
        <f t="array" ref="S2728">_xlfn.IFS(Q2728 ="Fortnightly",14,Q2728="Weekly",7,Q2728="Monthly",30,Q2728="Quarterly",90,Q2728="Bi-Weekly",14,Q2728="Annually",365,Q2728="Every 3 Months",90,TRUE,"NOT FOUND")</f>
        <v>14</v>
      </c>
    </row>
    <row r="2729" spans="1:19" x14ac:dyDescent="0.35">
      <c r="A2729">
        <v>2728</v>
      </c>
      <c r="B2729">
        <v>40</v>
      </c>
      <c r="C2729" t="s">
        <v>141</v>
      </c>
      <c r="D2729" t="s">
        <v>43</v>
      </c>
      <c r="E2729" t="s">
        <v>9</v>
      </c>
      <c r="F2729">
        <v>87</v>
      </c>
      <c r="G2729" t="s">
        <v>100</v>
      </c>
      <c r="H2729" t="s">
        <v>11</v>
      </c>
      <c r="I2729" t="s">
        <v>49</v>
      </c>
      <c r="J2729" t="s">
        <v>13</v>
      </c>
      <c r="K2729">
        <v>3.7</v>
      </c>
      <c r="L2729" t="s">
        <v>140</v>
      </c>
      <c r="M2729" t="s">
        <v>58</v>
      </c>
      <c r="N2729" t="s">
        <v>140</v>
      </c>
      <c r="O2729">
        <v>47</v>
      </c>
      <c r="P2729" t="s">
        <v>27</v>
      </c>
      <c r="Q2729" t="s">
        <v>17</v>
      </c>
      <c r="R2729" t="str" cm="1">
        <f t="array" ref="R2729">_xlfn.IFS(B2729&lt;31,"Young-Adult",B2729&lt;41,"Adult",B2729&lt;61,"Middle-aged",B2729&gt;=61,"Senior")</f>
        <v>Adult</v>
      </c>
      <c r="S2729" cm="1">
        <f t="array" ref="S2729">_xlfn.IFS(Q2729 ="Fortnightly",14,Q2729="Weekly",7,Q2729="Monthly",30,Q2729="Quarterly",90,Q2729="Bi-Weekly",14,Q2729="Annually",365,Q2729="Every 3 Months",90,TRUE,"NOT FOUND")</f>
        <v>14</v>
      </c>
    </row>
    <row r="2730" spans="1:19" x14ac:dyDescent="0.35">
      <c r="A2730">
        <v>2729</v>
      </c>
      <c r="B2730">
        <v>26</v>
      </c>
      <c r="C2730" t="s">
        <v>141</v>
      </c>
      <c r="D2730" t="s">
        <v>75</v>
      </c>
      <c r="E2730" t="s">
        <v>9</v>
      </c>
      <c r="F2730">
        <v>28</v>
      </c>
      <c r="G2730" t="s">
        <v>91</v>
      </c>
      <c r="H2730" t="s">
        <v>32</v>
      </c>
      <c r="I2730" t="s">
        <v>57</v>
      </c>
      <c r="J2730" t="s">
        <v>13</v>
      </c>
      <c r="K2730">
        <v>4</v>
      </c>
      <c r="L2730" t="s">
        <v>140</v>
      </c>
      <c r="M2730" t="s">
        <v>15</v>
      </c>
      <c r="N2730" t="s">
        <v>140</v>
      </c>
      <c r="O2730">
        <v>17</v>
      </c>
      <c r="P2730" t="s">
        <v>74</v>
      </c>
      <c r="Q2730" t="s">
        <v>28</v>
      </c>
      <c r="R2730" t="str" cm="1">
        <f t="array" ref="R2730">_xlfn.IFS(B2730&lt;31,"Young-Adult",B2730&lt;41,"Adult",B2730&lt;61,"Middle-aged",B2730&gt;=61,"Senior")</f>
        <v>Young-Adult</v>
      </c>
      <c r="S2730" cm="1">
        <f t="array" ref="S2730">_xlfn.IFS(Q2730 ="Fortnightly",14,Q2730="Weekly",7,Q2730="Monthly",30,Q2730="Quarterly",90,Q2730="Bi-Weekly",14,Q2730="Annually",365,Q2730="Every 3 Months",90,TRUE,"NOT FOUND")</f>
        <v>7</v>
      </c>
    </row>
    <row r="2731" spans="1:19" x14ac:dyDescent="0.35">
      <c r="A2731">
        <v>2730</v>
      </c>
      <c r="B2731">
        <v>31</v>
      </c>
      <c r="C2731" t="s">
        <v>141</v>
      </c>
      <c r="D2731" t="s">
        <v>131</v>
      </c>
      <c r="E2731" t="s">
        <v>55</v>
      </c>
      <c r="F2731">
        <v>71</v>
      </c>
      <c r="G2731" t="s">
        <v>44</v>
      </c>
      <c r="H2731" t="s">
        <v>24</v>
      </c>
      <c r="I2731" t="s">
        <v>71</v>
      </c>
      <c r="J2731" t="s">
        <v>41</v>
      </c>
      <c r="K2731">
        <v>4.0999999999999996</v>
      </c>
      <c r="L2731" t="s">
        <v>140</v>
      </c>
      <c r="M2731" t="s">
        <v>26</v>
      </c>
      <c r="N2731" t="s">
        <v>140</v>
      </c>
      <c r="O2731">
        <v>32</v>
      </c>
      <c r="P2731" t="s">
        <v>27</v>
      </c>
      <c r="Q2731" t="s">
        <v>76</v>
      </c>
      <c r="R2731" t="str" cm="1">
        <f t="array" ref="R2731">_xlfn.IFS(B2731&lt;31,"Young-Adult",B2731&lt;41,"Adult",B2731&lt;61,"Middle-aged",B2731&gt;=61,"Senior")</f>
        <v>Adult</v>
      </c>
      <c r="S2731" cm="1">
        <f t="array" ref="S2731">_xlfn.IFS(Q2731 ="Fortnightly",14,Q2731="Weekly",7,Q2731="Monthly",30,Q2731="Quarterly",90,Q2731="Bi-Weekly",14,Q2731="Annually",365,Q2731="Every 3 Months",90,TRUE,"NOT FOUND")</f>
        <v>30</v>
      </c>
    </row>
    <row r="2732" spans="1:19" x14ac:dyDescent="0.35">
      <c r="A2732">
        <v>2731</v>
      </c>
      <c r="B2732">
        <v>23</v>
      </c>
      <c r="C2732" t="s">
        <v>141</v>
      </c>
      <c r="D2732" t="s">
        <v>131</v>
      </c>
      <c r="E2732" t="s">
        <v>55</v>
      </c>
      <c r="F2732">
        <v>32</v>
      </c>
      <c r="G2732" t="s">
        <v>138</v>
      </c>
      <c r="H2732" t="s">
        <v>32</v>
      </c>
      <c r="I2732" t="s">
        <v>73</v>
      </c>
      <c r="J2732" t="s">
        <v>13</v>
      </c>
      <c r="K2732">
        <v>4.0999999999999996</v>
      </c>
      <c r="L2732" t="s">
        <v>140</v>
      </c>
      <c r="M2732" t="s">
        <v>62</v>
      </c>
      <c r="N2732" t="s">
        <v>140</v>
      </c>
      <c r="O2732">
        <v>37</v>
      </c>
      <c r="P2732" t="s">
        <v>63</v>
      </c>
      <c r="Q2732" t="s">
        <v>37</v>
      </c>
      <c r="R2732" t="str" cm="1">
        <f t="array" ref="R2732">_xlfn.IFS(B2732&lt;31,"Young-Adult",B2732&lt;41,"Adult",B2732&lt;61,"Middle-aged",B2732&gt;=61,"Senior")</f>
        <v>Young-Adult</v>
      </c>
      <c r="S2732" cm="1">
        <f t="array" ref="S2732">_xlfn.IFS(Q2732 ="Fortnightly",14,Q2732="Weekly",7,Q2732="Monthly",30,Q2732="Quarterly",90,Q2732="Bi-Weekly",14,Q2732="Annually",365,Q2732="Every 3 Months",90,TRUE,"NOT FOUND")</f>
        <v>365</v>
      </c>
    </row>
    <row r="2733" spans="1:19" x14ac:dyDescent="0.35">
      <c r="A2733">
        <v>2732</v>
      </c>
      <c r="B2733">
        <v>52</v>
      </c>
      <c r="C2733" t="s">
        <v>141</v>
      </c>
      <c r="D2733" t="s">
        <v>54</v>
      </c>
      <c r="E2733" t="s">
        <v>55</v>
      </c>
      <c r="F2733">
        <v>33</v>
      </c>
      <c r="G2733" t="s">
        <v>138</v>
      </c>
      <c r="H2733" t="s">
        <v>32</v>
      </c>
      <c r="I2733" t="s">
        <v>96</v>
      </c>
      <c r="J2733" t="s">
        <v>41</v>
      </c>
      <c r="K2733">
        <v>2.5</v>
      </c>
      <c r="L2733" t="s">
        <v>140</v>
      </c>
      <c r="M2733" t="s">
        <v>58</v>
      </c>
      <c r="N2733" t="s">
        <v>140</v>
      </c>
      <c r="O2733">
        <v>44</v>
      </c>
      <c r="P2733" t="s">
        <v>63</v>
      </c>
      <c r="Q2733" t="s">
        <v>46</v>
      </c>
      <c r="R2733" t="str" cm="1">
        <f t="array" ref="R2733">_xlfn.IFS(B2733&lt;31,"Young-Adult",B2733&lt;41,"Adult",B2733&lt;61,"Middle-aged",B2733&gt;=61,"Senior")</f>
        <v>Middle-aged</v>
      </c>
      <c r="S2733" cm="1">
        <f t="array" ref="S2733">_xlfn.IFS(Q2733 ="Fortnightly",14,Q2733="Weekly",7,Q2733="Monthly",30,Q2733="Quarterly",90,Q2733="Bi-Weekly",14,Q2733="Annually",365,Q2733="Every 3 Months",90,TRUE,"NOT FOUND")</f>
        <v>90</v>
      </c>
    </row>
    <row r="2734" spans="1:19" x14ac:dyDescent="0.35">
      <c r="A2734">
        <v>2733</v>
      </c>
      <c r="B2734">
        <v>21</v>
      </c>
      <c r="C2734" t="s">
        <v>141</v>
      </c>
      <c r="D2734" t="s">
        <v>113</v>
      </c>
      <c r="E2734" t="s">
        <v>9</v>
      </c>
      <c r="F2734">
        <v>75</v>
      </c>
      <c r="G2734" t="s">
        <v>67</v>
      </c>
      <c r="H2734" t="s">
        <v>11</v>
      </c>
      <c r="I2734" t="s">
        <v>109</v>
      </c>
      <c r="J2734" t="s">
        <v>13</v>
      </c>
      <c r="K2734">
        <v>4.2</v>
      </c>
      <c r="L2734" t="s">
        <v>140</v>
      </c>
      <c r="M2734" t="s">
        <v>62</v>
      </c>
      <c r="N2734" t="s">
        <v>140</v>
      </c>
      <c r="O2734">
        <v>27</v>
      </c>
      <c r="P2734" t="s">
        <v>74</v>
      </c>
      <c r="Q2734" t="s">
        <v>85</v>
      </c>
      <c r="R2734" t="str" cm="1">
        <f t="array" ref="R2734">_xlfn.IFS(B2734&lt;31,"Young-Adult",B2734&lt;41,"Adult",B2734&lt;61,"Middle-aged",B2734&gt;=61,"Senior")</f>
        <v>Young-Adult</v>
      </c>
      <c r="S2734" cm="1">
        <f t="array" ref="S2734">_xlfn.IFS(Q2734 ="Fortnightly",14,Q2734="Weekly",7,Q2734="Monthly",30,Q2734="Quarterly",90,Q2734="Bi-Weekly",14,Q2734="Annually",365,Q2734="Every 3 Months",90,TRUE,"NOT FOUND")</f>
        <v>90</v>
      </c>
    </row>
    <row r="2735" spans="1:19" x14ac:dyDescent="0.35">
      <c r="A2735">
        <v>2734</v>
      </c>
      <c r="B2735">
        <v>31</v>
      </c>
      <c r="C2735" t="s">
        <v>141</v>
      </c>
      <c r="D2735" t="s">
        <v>120</v>
      </c>
      <c r="E2735" t="s">
        <v>55</v>
      </c>
      <c r="F2735">
        <v>83</v>
      </c>
      <c r="G2735" t="s">
        <v>86</v>
      </c>
      <c r="H2735" t="s">
        <v>32</v>
      </c>
      <c r="I2735" t="s">
        <v>124</v>
      </c>
      <c r="J2735" t="s">
        <v>41</v>
      </c>
      <c r="K2735">
        <v>4.7</v>
      </c>
      <c r="L2735" t="s">
        <v>140</v>
      </c>
      <c r="M2735" t="s">
        <v>15</v>
      </c>
      <c r="N2735" t="s">
        <v>140</v>
      </c>
      <c r="O2735">
        <v>46</v>
      </c>
      <c r="P2735" t="s">
        <v>34</v>
      </c>
      <c r="Q2735" t="s">
        <v>37</v>
      </c>
      <c r="R2735" t="str" cm="1">
        <f t="array" ref="R2735">_xlfn.IFS(B2735&lt;31,"Young-Adult",B2735&lt;41,"Adult",B2735&lt;61,"Middle-aged",B2735&gt;=61,"Senior")</f>
        <v>Adult</v>
      </c>
      <c r="S2735" cm="1">
        <f t="array" ref="S2735">_xlfn.IFS(Q2735 ="Fortnightly",14,Q2735="Weekly",7,Q2735="Monthly",30,Q2735="Quarterly",90,Q2735="Bi-Weekly",14,Q2735="Annually",365,Q2735="Every 3 Months",90,TRUE,"NOT FOUND")</f>
        <v>365</v>
      </c>
    </row>
    <row r="2736" spans="1:19" x14ac:dyDescent="0.35">
      <c r="A2736">
        <v>2735</v>
      </c>
      <c r="B2736">
        <v>63</v>
      </c>
      <c r="C2736" t="s">
        <v>141</v>
      </c>
      <c r="D2736" t="s">
        <v>22</v>
      </c>
      <c r="E2736" t="s">
        <v>9</v>
      </c>
      <c r="F2736">
        <v>93</v>
      </c>
      <c r="G2736" t="s">
        <v>72</v>
      </c>
      <c r="H2736" t="s">
        <v>80</v>
      </c>
      <c r="I2736" t="s">
        <v>122</v>
      </c>
      <c r="J2736" t="s">
        <v>41</v>
      </c>
      <c r="K2736">
        <v>2.7</v>
      </c>
      <c r="L2736" t="s">
        <v>140</v>
      </c>
      <c r="M2736" t="s">
        <v>58</v>
      </c>
      <c r="N2736" t="s">
        <v>140</v>
      </c>
      <c r="O2736">
        <v>13</v>
      </c>
      <c r="P2736" t="s">
        <v>21</v>
      </c>
      <c r="Q2736" t="s">
        <v>64</v>
      </c>
      <c r="R2736" t="str" cm="1">
        <f t="array" ref="R2736">_xlfn.IFS(B2736&lt;31,"Young-Adult",B2736&lt;41,"Adult",B2736&lt;61,"Middle-aged",B2736&gt;=61,"Senior")</f>
        <v>Senior</v>
      </c>
      <c r="S2736" cm="1">
        <f t="array" ref="S2736">_xlfn.IFS(Q2736 ="Fortnightly",14,Q2736="Weekly",7,Q2736="Monthly",30,Q2736="Quarterly",90,Q2736="Bi-Weekly",14,Q2736="Annually",365,Q2736="Every 3 Months",90,TRUE,"NOT FOUND")</f>
        <v>14</v>
      </c>
    </row>
    <row r="2737" spans="1:19" x14ac:dyDescent="0.35">
      <c r="A2737">
        <v>2736</v>
      </c>
      <c r="B2737">
        <v>46</v>
      </c>
      <c r="C2737" t="s">
        <v>141</v>
      </c>
      <c r="D2737" t="s">
        <v>75</v>
      </c>
      <c r="E2737" t="s">
        <v>9</v>
      </c>
      <c r="F2737">
        <v>29</v>
      </c>
      <c r="G2737" t="s">
        <v>87</v>
      </c>
      <c r="H2737" t="s">
        <v>32</v>
      </c>
      <c r="I2737" t="s">
        <v>122</v>
      </c>
      <c r="J2737" t="s">
        <v>25</v>
      </c>
      <c r="K2737">
        <v>3</v>
      </c>
      <c r="L2737" t="s">
        <v>140</v>
      </c>
      <c r="M2737" t="s">
        <v>15</v>
      </c>
      <c r="N2737" t="s">
        <v>140</v>
      </c>
      <c r="O2737">
        <v>2</v>
      </c>
      <c r="P2737" t="s">
        <v>34</v>
      </c>
      <c r="Q2737" t="s">
        <v>64</v>
      </c>
      <c r="R2737" t="str" cm="1">
        <f t="array" ref="R2737">_xlfn.IFS(B2737&lt;31,"Young-Adult",B2737&lt;41,"Adult",B2737&lt;61,"Middle-aged",B2737&gt;=61,"Senior")</f>
        <v>Middle-aged</v>
      </c>
      <c r="S2737" cm="1">
        <f t="array" ref="S2737">_xlfn.IFS(Q2737 ="Fortnightly",14,Q2737="Weekly",7,Q2737="Monthly",30,Q2737="Quarterly",90,Q2737="Bi-Weekly",14,Q2737="Annually",365,Q2737="Every 3 Months",90,TRUE,"NOT FOUND")</f>
        <v>14</v>
      </c>
    </row>
    <row r="2738" spans="1:19" x14ac:dyDescent="0.35">
      <c r="A2738">
        <v>2737</v>
      </c>
      <c r="B2738">
        <v>44</v>
      </c>
      <c r="C2738" t="s">
        <v>141</v>
      </c>
      <c r="D2738" t="s">
        <v>92</v>
      </c>
      <c r="E2738" t="s">
        <v>9</v>
      </c>
      <c r="F2738">
        <v>25</v>
      </c>
      <c r="G2738" t="s">
        <v>44</v>
      </c>
      <c r="H2738" t="s">
        <v>32</v>
      </c>
      <c r="I2738" t="s">
        <v>57</v>
      </c>
      <c r="J2738" t="s">
        <v>25</v>
      </c>
      <c r="K2738">
        <v>4.8</v>
      </c>
      <c r="L2738" t="s">
        <v>140</v>
      </c>
      <c r="M2738" t="s">
        <v>62</v>
      </c>
      <c r="N2738" t="s">
        <v>140</v>
      </c>
      <c r="O2738">
        <v>45</v>
      </c>
      <c r="P2738" t="s">
        <v>27</v>
      </c>
      <c r="Q2738" t="s">
        <v>37</v>
      </c>
      <c r="R2738" t="str" cm="1">
        <f t="array" ref="R2738">_xlfn.IFS(B2738&lt;31,"Young-Adult",B2738&lt;41,"Adult",B2738&lt;61,"Middle-aged",B2738&gt;=61,"Senior")</f>
        <v>Middle-aged</v>
      </c>
      <c r="S2738" cm="1">
        <f t="array" ref="S2738">_xlfn.IFS(Q2738 ="Fortnightly",14,Q2738="Weekly",7,Q2738="Monthly",30,Q2738="Quarterly",90,Q2738="Bi-Weekly",14,Q2738="Annually",365,Q2738="Every 3 Months",90,TRUE,"NOT FOUND")</f>
        <v>365</v>
      </c>
    </row>
    <row r="2739" spans="1:19" x14ac:dyDescent="0.35">
      <c r="A2739">
        <v>2738</v>
      </c>
      <c r="B2739">
        <v>57</v>
      </c>
      <c r="C2739" t="s">
        <v>141</v>
      </c>
      <c r="D2739" t="s">
        <v>94</v>
      </c>
      <c r="E2739" t="s">
        <v>55</v>
      </c>
      <c r="F2739">
        <v>76</v>
      </c>
      <c r="G2739" t="s">
        <v>86</v>
      </c>
      <c r="H2739" t="s">
        <v>24</v>
      </c>
      <c r="I2739" t="s">
        <v>114</v>
      </c>
      <c r="J2739" t="s">
        <v>25</v>
      </c>
      <c r="K2739">
        <v>4.4000000000000004</v>
      </c>
      <c r="L2739" t="s">
        <v>140</v>
      </c>
      <c r="M2739" t="s">
        <v>26</v>
      </c>
      <c r="N2739" t="s">
        <v>140</v>
      </c>
      <c r="O2739">
        <v>35</v>
      </c>
      <c r="P2739" t="s">
        <v>21</v>
      </c>
      <c r="Q2739" t="s">
        <v>85</v>
      </c>
      <c r="R2739" t="str" cm="1">
        <f t="array" ref="R2739">_xlfn.IFS(B2739&lt;31,"Young-Adult",B2739&lt;41,"Adult",B2739&lt;61,"Middle-aged",B2739&gt;=61,"Senior")</f>
        <v>Middle-aged</v>
      </c>
      <c r="S2739" cm="1">
        <f t="array" ref="S2739">_xlfn.IFS(Q2739 ="Fortnightly",14,Q2739="Weekly",7,Q2739="Monthly",30,Q2739="Quarterly",90,Q2739="Bi-Weekly",14,Q2739="Annually",365,Q2739="Every 3 Months",90,TRUE,"NOT FOUND")</f>
        <v>90</v>
      </c>
    </row>
    <row r="2740" spans="1:19" x14ac:dyDescent="0.35">
      <c r="A2740">
        <v>2739</v>
      </c>
      <c r="B2740">
        <v>50</v>
      </c>
      <c r="C2740" t="s">
        <v>141</v>
      </c>
      <c r="D2740" t="s">
        <v>38</v>
      </c>
      <c r="E2740" t="s">
        <v>30</v>
      </c>
      <c r="F2740">
        <v>81</v>
      </c>
      <c r="G2740" t="s">
        <v>111</v>
      </c>
      <c r="H2740" t="s">
        <v>32</v>
      </c>
      <c r="I2740" t="s">
        <v>49</v>
      </c>
      <c r="J2740" t="s">
        <v>41</v>
      </c>
      <c r="K2740">
        <v>4.3</v>
      </c>
      <c r="L2740" t="s">
        <v>140</v>
      </c>
      <c r="M2740" t="s">
        <v>58</v>
      </c>
      <c r="N2740" t="s">
        <v>140</v>
      </c>
      <c r="O2740">
        <v>39</v>
      </c>
      <c r="P2740" t="s">
        <v>16</v>
      </c>
      <c r="Q2740" t="s">
        <v>85</v>
      </c>
      <c r="R2740" t="str" cm="1">
        <f t="array" ref="R2740">_xlfn.IFS(B2740&lt;31,"Young-Adult",B2740&lt;41,"Adult",B2740&lt;61,"Middle-aged",B2740&gt;=61,"Senior")</f>
        <v>Middle-aged</v>
      </c>
      <c r="S2740" cm="1">
        <f t="array" ref="S2740">_xlfn.IFS(Q2740 ="Fortnightly",14,Q2740="Weekly",7,Q2740="Monthly",30,Q2740="Quarterly",90,Q2740="Bi-Weekly",14,Q2740="Annually",365,Q2740="Every 3 Months",90,TRUE,"NOT FOUND")</f>
        <v>90</v>
      </c>
    </row>
    <row r="2741" spans="1:19" x14ac:dyDescent="0.35">
      <c r="A2741">
        <v>2740</v>
      </c>
      <c r="B2741">
        <v>33</v>
      </c>
      <c r="C2741" t="s">
        <v>141</v>
      </c>
      <c r="D2741" t="s">
        <v>43</v>
      </c>
      <c r="E2741" t="s">
        <v>9</v>
      </c>
      <c r="F2741">
        <v>80</v>
      </c>
      <c r="G2741" t="s">
        <v>108</v>
      </c>
      <c r="H2741" t="s">
        <v>80</v>
      </c>
      <c r="I2741" t="s">
        <v>132</v>
      </c>
      <c r="J2741" t="s">
        <v>13</v>
      </c>
      <c r="K2741">
        <v>2.5</v>
      </c>
      <c r="L2741" t="s">
        <v>140</v>
      </c>
      <c r="M2741" t="s">
        <v>62</v>
      </c>
      <c r="N2741" t="s">
        <v>140</v>
      </c>
      <c r="O2741">
        <v>39</v>
      </c>
      <c r="P2741" t="s">
        <v>27</v>
      </c>
      <c r="Q2741" t="s">
        <v>85</v>
      </c>
      <c r="R2741" t="str" cm="1">
        <f t="array" ref="R2741">_xlfn.IFS(B2741&lt;31,"Young-Adult",B2741&lt;41,"Adult",B2741&lt;61,"Middle-aged",B2741&gt;=61,"Senior")</f>
        <v>Adult</v>
      </c>
      <c r="S2741" cm="1">
        <f t="array" ref="S2741">_xlfn.IFS(Q2741 ="Fortnightly",14,Q2741="Weekly",7,Q2741="Monthly",30,Q2741="Quarterly",90,Q2741="Bi-Weekly",14,Q2741="Annually",365,Q2741="Every 3 Months",90,TRUE,"NOT FOUND")</f>
        <v>90</v>
      </c>
    </row>
    <row r="2742" spans="1:19" x14ac:dyDescent="0.35">
      <c r="A2742">
        <v>2741</v>
      </c>
      <c r="B2742">
        <v>19</v>
      </c>
      <c r="C2742" t="s">
        <v>141</v>
      </c>
      <c r="D2742" t="s">
        <v>77</v>
      </c>
      <c r="E2742" t="s">
        <v>55</v>
      </c>
      <c r="F2742">
        <v>70</v>
      </c>
      <c r="G2742" t="s">
        <v>126</v>
      </c>
      <c r="H2742" t="s">
        <v>32</v>
      </c>
      <c r="I2742" t="s">
        <v>81</v>
      </c>
      <c r="J2742" t="s">
        <v>41</v>
      </c>
      <c r="K2742">
        <v>4.9000000000000004</v>
      </c>
      <c r="L2742" t="s">
        <v>140</v>
      </c>
      <c r="M2742" t="s">
        <v>26</v>
      </c>
      <c r="N2742" t="s">
        <v>140</v>
      </c>
      <c r="O2742">
        <v>34</v>
      </c>
      <c r="P2742" t="s">
        <v>63</v>
      </c>
      <c r="Q2742" t="s">
        <v>17</v>
      </c>
      <c r="R2742" t="str" cm="1">
        <f t="array" ref="R2742">_xlfn.IFS(B2742&lt;31,"Young-Adult",B2742&lt;41,"Adult",B2742&lt;61,"Middle-aged",B2742&gt;=61,"Senior")</f>
        <v>Young-Adult</v>
      </c>
      <c r="S2742" cm="1">
        <f t="array" ref="S2742">_xlfn.IFS(Q2742 ="Fortnightly",14,Q2742="Weekly",7,Q2742="Monthly",30,Q2742="Quarterly",90,Q2742="Bi-Weekly",14,Q2742="Annually",365,Q2742="Every 3 Months",90,TRUE,"NOT FOUND")</f>
        <v>14</v>
      </c>
    </row>
    <row r="2743" spans="1:19" x14ac:dyDescent="0.35">
      <c r="A2743">
        <v>2742</v>
      </c>
      <c r="B2743">
        <v>68</v>
      </c>
      <c r="C2743" t="s">
        <v>141</v>
      </c>
      <c r="D2743" t="s">
        <v>69</v>
      </c>
      <c r="E2743" t="s">
        <v>9</v>
      </c>
      <c r="F2743">
        <v>81</v>
      </c>
      <c r="G2743" t="s">
        <v>19</v>
      </c>
      <c r="H2743" t="s">
        <v>11</v>
      </c>
      <c r="I2743" t="s">
        <v>122</v>
      </c>
      <c r="J2743" t="s">
        <v>45</v>
      </c>
      <c r="K2743">
        <v>4.9000000000000004</v>
      </c>
      <c r="L2743" t="s">
        <v>140</v>
      </c>
      <c r="M2743" t="s">
        <v>58</v>
      </c>
      <c r="N2743" t="s">
        <v>140</v>
      </c>
      <c r="O2743">
        <v>41</v>
      </c>
      <c r="P2743" t="s">
        <v>16</v>
      </c>
      <c r="Q2743" t="s">
        <v>76</v>
      </c>
      <c r="R2743" t="str" cm="1">
        <f t="array" ref="R2743">_xlfn.IFS(B2743&lt;31,"Young-Adult",B2743&lt;41,"Adult",B2743&lt;61,"Middle-aged",B2743&gt;=61,"Senior")</f>
        <v>Senior</v>
      </c>
      <c r="S2743" cm="1">
        <f t="array" ref="S2743">_xlfn.IFS(Q2743 ="Fortnightly",14,Q2743="Weekly",7,Q2743="Monthly",30,Q2743="Quarterly",90,Q2743="Bi-Weekly",14,Q2743="Annually",365,Q2743="Every 3 Months",90,TRUE,"NOT FOUND")</f>
        <v>30</v>
      </c>
    </row>
    <row r="2744" spans="1:19" x14ac:dyDescent="0.35">
      <c r="A2744">
        <v>2743</v>
      </c>
      <c r="B2744">
        <v>27</v>
      </c>
      <c r="C2744" t="s">
        <v>141</v>
      </c>
      <c r="D2744" t="s">
        <v>59</v>
      </c>
      <c r="E2744" t="s">
        <v>30</v>
      </c>
      <c r="F2744">
        <v>86</v>
      </c>
      <c r="G2744" t="s">
        <v>93</v>
      </c>
      <c r="H2744" t="s">
        <v>32</v>
      </c>
      <c r="I2744" t="s">
        <v>82</v>
      </c>
      <c r="J2744" t="s">
        <v>25</v>
      </c>
      <c r="K2744">
        <v>3.9</v>
      </c>
      <c r="L2744" t="s">
        <v>140</v>
      </c>
      <c r="M2744" t="s">
        <v>26</v>
      </c>
      <c r="N2744" t="s">
        <v>140</v>
      </c>
      <c r="O2744">
        <v>47</v>
      </c>
      <c r="P2744" t="s">
        <v>74</v>
      </c>
      <c r="Q2744" t="s">
        <v>37</v>
      </c>
      <c r="R2744" t="str" cm="1">
        <f t="array" ref="R2744">_xlfn.IFS(B2744&lt;31,"Young-Adult",B2744&lt;41,"Adult",B2744&lt;61,"Middle-aged",B2744&gt;=61,"Senior")</f>
        <v>Young-Adult</v>
      </c>
      <c r="S2744" cm="1">
        <f t="array" ref="S2744">_xlfn.IFS(Q2744 ="Fortnightly",14,Q2744="Weekly",7,Q2744="Monthly",30,Q2744="Quarterly",90,Q2744="Bi-Weekly",14,Q2744="Annually",365,Q2744="Every 3 Months",90,TRUE,"NOT FOUND")</f>
        <v>365</v>
      </c>
    </row>
    <row r="2745" spans="1:19" x14ac:dyDescent="0.35">
      <c r="A2745">
        <v>2744</v>
      </c>
      <c r="B2745">
        <v>61</v>
      </c>
      <c r="C2745" t="s">
        <v>141</v>
      </c>
      <c r="D2745" t="s">
        <v>121</v>
      </c>
      <c r="E2745" t="s">
        <v>55</v>
      </c>
      <c r="F2745">
        <v>94</v>
      </c>
      <c r="G2745" t="s">
        <v>115</v>
      </c>
      <c r="H2745" t="s">
        <v>24</v>
      </c>
      <c r="I2745" t="s">
        <v>106</v>
      </c>
      <c r="J2745" t="s">
        <v>45</v>
      </c>
      <c r="K2745">
        <v>4.0999999999999996</v>
      </c>
      <c r="L2745" t="s">
        <v>140</v>
      </c>
      <c r="M2745" t="s">
        <v>58</v>
      </c>
      <c r="N2745" t="s">
        <v>140</v>
      </c>
      <c r="O2745">
        <v>17</v>
      </c>
      <c r="P2745" t="s">
        <v>16</v>
      </c>
      <c r="Q2745" t="s">
        <v>46</v>
      </c>
      <c r="R2745" t="str" cm="1">
        <f t="array" ref="R2745">_xlfn.IFS(B2745&lt;31,"Young-Adult",B2745&lt;41,"Adult",B2745&lt;61,"Middle-aged",B2745&gt;=61,"Senior")</f>
        <v>Senior</v>
      </c>
      <c r="S2745" cm="1">
        <f t="array" ref="S2745">_xlfn.IFS(Q2745 ="Fortnightly",14,Q2745="Weekly",7,Q2745="Monthly",30,Q2745="Quarterly",90,Q2745="Bi-Weekly",14,Q2745="Annually",365,Q2745="Every 3 Months",90,TRUE,"NOT FOUND")</f>
        <v>90</v>
      </c>
    </row>
    <row r="2746" spans="1:19" x14ac:dyDescent="0.35">
      <c r="A2746">
        <v>2745</v>
      </c>
      <c r="B2746">
        <v>38</v>
      </c>
      <c r="C2746" t="s">
        <v>141</v>
      </c>
      <c r="D2746" t="s">
        <v>43</v>
      </c>
      <c r="E2746" t="s">
        <v>9</v>
      </c>
      <c r="F2746">
        <v>66</v>
      </c>
      <c r="G2746" t="s">
        <v>39</v>
      </c>
      <c r="H2746" t="s">
        <v>32</v>
      </c>
      <c r="I2746" t="s">
        <v>53</v>
      </c>
      <c r="J2746" t="s">
        <v>13</v>
      </c>
      <c r="K2746">
        <v>3.3</v>
      </c>
      <c r="L2746" t="s">
        <v>140</v>
      </c>
      <c r="M2746" t="s">
        <v>62</v>
      </c>
      <c r="N2746" t="s">
        <v>140</v>
      </c>
      <c r="O2746">
        <v>40</v>
      </c>
      <c r="P2746" t="s">
        <v>27</v>
      </c>
      <c r="Q2746" t="s">
        <v>76</v>
      </c>
      <c r="R2746" t="str" cm="1">
        <f t="array" ref="R2746">_xlfn.IFS(B2746&lt;31,"Young-Adult",B2746&lt;41,"Adult",B2746&lt;61,"Middle-aged",B2746&gt;=61,"Senior")</f>
        <v>Adult</v>
      </c>
      <c r="S2746" cm="1">
        <f t="array" ref="S2746">_xlfn.IFS(Q2746 ="Fortnightly",14,Q2746="Weekly",7,Q2746="Monthly",30,Q2746="Quarterly",90,Q2746="Bi-Weekly",14,Q2746="Annually",365,Q2746="Every 3 Months",90,TRUE,"NOT FOUND")</f>
        <v>30</v>
      </c>
    </row>
    <row r="2747" spans="1:19" x14ac:dyDescent="0.35">
      <c r="A2747">
        <v>2746</v>
      </c>
      <c r="B2747">
        <v>28</v>
      </c>
      <c r="C2747" t="s">
        <v>141</v>
      </c>
      <c r="D2747" t="s">
        <v>125</v>
      </c>
      <c r="E2747" t="s">
        <v>30</v>
      </c>
      <c r="F2747">
        <v>98</v>
      </c>
      <c r="G2747" t="s">
        <v>139</v>
      </c>
      <c r="H2747" t="s">
        <v>32</v>
      </c>
      <c r="I2747" t="s">
        <v>124</v>
      </c>
      <c r="J2747" t="s">
        <v>41</v>
      </c>
      <c r="K2747">
        <v>4.0999999999999996</v>
      </c>
      <c r="L2747" t="s">
        <v>140</v>
      </c>
      <c r="M2747" t="s">
        <v>42</v>
      </c>
      <c r="N2747" t="s">
        <v>140</v>
      </c>
      <c r="O2747">
        <v>44</v>
      </c>
      <c r="P2747" t="s">
        <v>34</v>
      </c>
      <c r="Q2747" t="s">
        <v>64</v>
      </c>
      <c r="R2747" t="str" cm="1">
        <f t="array" ref="R2747">_xlfn.IFS(B2747&lt;31,"Young-Adult",B2747&lt;41,"Adult",B2747&lt;61,"Middle-aged",B2747&gt;=61,"Senior")</f>
        <v>Young-Adult</v>
      </c>
      <c r="S2747" cm="1">
        <f t="array" ref="S2747">_xlfn.IFS(Q2747 ="Fortnightly",14,Q2747="Weekly",7,Q2747="Monthly",30,Q2747="Quarterly",90,Q2747="Bi-Weekly",14,Q2747="Annually",365,Q2747="Every 3 Months",90,TRUE,"NOT FOUND")</f>
        <v>14</v>
      </c>
    </row>
    <row r="2748" spans="1:19" x14ac:dyDescent="0.35">
      <c r="A2748">
        <v>2747</v>
      </c>
      <c r="B2748">
        <v>39</v>
      </c>
      <c r="C2748" t="s">
        <v>141</v>
      </c>
      <c r="D2748" t="s">
        <v>92</v>
      </c>
      <c r="E2748" t="s">
        <v>9</v>
      </c>
      <c r="F2748">
        <v>25</v>
      </c>
      <c r="G2748" t="s">
        <v>111</v>
      </c>
      <c r="H2748" t="s">
        <v>32</v>
      </c>
      <c r="I2748" t="s">
        <v>109</v>
      </c>
      <c r="J2748" t="s">
        <v>45</v>
      </c>
      <c r="K2748">
        <v>3.7</v>
      </c>
      <c r="L2748" t="s">
        <v>140</v>
      </c>
      <c r="M2748" t="s">
        <v>42</v>
      </c>
      <c r="N2748" t="s">
        <v>140</v>
      </c>
      <c r="O2748">
        <v>21</v>
      </c>
      <c r="P2748" t="s">
        <v>34</v>
      </c>
      <c r="Q2748" t="s">
        <v>85</v>
      </c>
      <c r="R2748" t="str" cm="1">
        <f t="array" ref="R2748">_xlfn.IFS(B2748&lt;31,"Young-Adult",B2748&lt;41,"Adult",B2748&lt;61,"Middle-aged",B2748&gt;=61,"Senior")</f>
        <v>Adult</v>
      </c>
      <c r="S2748" cm="1">
        <f t="array" ref="S2748">_xlfn.IFS(Q2748 ="Fortnightly",14,Q2748="Weekly",7,Q2748="Monthly",30,Q2748="Quarterly",90,Q2748="Bi-Weekly",14,Q2748="Annually",365,Q2748="Every 3 Months",90,TRUE,"NOT FOUND")</f>
        <v>90</v>
      </c>
    </row>
    <row r="2749" spans="1:19" x14ac:dyDescent="0.35">
      <c r="A2749">
        <v>2748</v>
      </c>
      <c r="B2749">
        <v>18</v>
      </c>
      <c r="C2749" t="s">
        <v>141</v>
      </c>
      <c r="D2749" t="s">
        <v>22</v>
      </c>
      <c r="E2749" t="s">
        <v>9</v>
      </c>
      <c r="F2749">
        <v>62</v>
      </c>
      <c r="G2749" t="s">
        <v>52</v>
      </c>
      <c r="H2749" t="s">
        <v>32</v>
      </c>
      <c r="I2749" t="s">
        <v>73</v>
      </c>
      <c r="J2749" t="s">
        <v>13</v>
      </c>
      <c r="K2749">
        <v>3.1</v>
      </c>
      <c r="L2749" t="s">
        <v>140</v>
      </c>
      <c r="M2749" t="s">
        <v>26</v>
      </c>
      <c r="N2749" t="s">
        <v>140</v>
      </c>
      <c r="O2749">
        <v>21</v>
      </c>
      <c r="P2749" t="s">
        <v>27</v>
      </c>
      <c r="Q2749" t="s">
        <v>85</v>
      </c>
      <c r="R2749" t="str" cm="1">
        <f t="array" ref="R2749">_xlfn.IFS(B2749&lt;31,"Young-Adult",B2749&lt;41,"Adult",B2749&lt;61,"Middle-aged",B2749&gt;=61,"Senior")</f>
        <v>Young-Adult</v>
      </c>
      <c r="S2749" cm="1">
        <f t="array" ref="S2749">_xlfn.IFS(Q2749 ="Fortnightly",14,Q2749="Weekly",7,Q2749="Monthly",30,Q2749="Quarterly",90,Q2749="Bi-Weekly",14,Q2749="Annually",365,Q2749="Every 3 Months",90,TRUE,"NOT FOUND")</f>
        <v>90</v>
      </c>
    </row>
    <row r="2750" spans="1:19" x14ac:dyDescent="0.35">
      <c r="A2750">
        <v>2749</v>
      </c>
      <c r="B2750">
        <v>24</v>
      </c>
      <c r="C2750" t="s">
        <v>141</v>
      </c>
      <c r="D2750" t="s">
        <v>90</v>
      </c>
      <c r="E2750" t="s">
        <v>51</v>
      </c>
      <c r="F2750">
        <v>98</v>
      </c>
      <c r="G2750" t="s">
        <v>129</v>
      </c>
      <c r="H2750" t="s">
        <v>11</v>
      </c>
      <c r="I2750" t="s">
        <v>36</v>
      </c>
      <c r="J2750" t="s">
        <v>25</v>
      </c>
      <c r="K2750">
        <v>3</v>
      </c>
      <c r="L2750" t="s">
        <v>140</v>
      </c>
      <c r="M2750" t="s">
        <v>26</v>
      </c>
      <c r="N2750" t="s">
        <v>140</v>
      </c>
      <c r="O2750">
        <v>16</v>
      </c>
      <c r="P2750" t="s">
        <v>16</v>
      </c>
      <c r="Q2750" t="s">
        <v>37</v>
      </c>
      <c r="R2750" t="str" cm="1">
        <f t="array" ref="R2750">_xlfn.IFS(B2750&lt;31,"Young-Adult",B2750&lt;41,"Adult",B2750&lt;61,"Middle-aged",B2750&gt;=61,"Senior")</f>
        <v>Young-Adult</v>
      </c>
      <c r="S2750" cm="1">
        <f t="array" ref="S2750">_xlfn.IFS(Q2750 ="Fortnightly",14,Q2750="Weekly",7,Q2750="Monthly",30,Q2750="Quarterly",90,Q2750="Bi-Weekly",14,Q2750="Annually",365,Q2750="Every 3 Months",90,TRUE,"NOT FOUND")</f>
        <v>365</v>
      </c>
    </row>
    <row r="2751" spans="1:19" x14ac:dyDescent="0.35">
      <c r="A2751">
        <v>2750</v>
      </c>
      <c r="B2751">
        <v>64</v>
      </c>
      <c r="C2751" t="s">
        <v>141</v>
      </c>
      <c r="D2751" t="s">
        <v>90</v>
      </c>
      <c r="E2751" t="s">
        <v>51</v>
      </c>
      <c r="F2751">
        <v>53</v>
      </c>
      <c r="G2751" t="s">
        <v>117</v>
      </c>
      <c r="H2751" t="s">
        <v>32</v>
      </c>
      <c r="I2751" t="s">
        <v>97</v>
      </c>
      <c r="J2751" t="s">
        <v>25</v>
      </c>
      <c r="K2751">
        <v>3.4</v>
      </c>
      <c r="L2751" t="s">
        <v>140</v>
      </c>
      <c r="M2751" t="s">
        <v>42</v>
      </c>
      <c r="N2751" t="s">
        <v>140</v>
      </c>
      <c r="O2751">
        <v>15</v>
      </c>
      <c r="P2751" t="s">
        <v>63</v>
      </c>
      <c r="Q2751" t="s">
        <v>37</v>
      </c>
      <c r="R2751" t="str" cm="1">
        <f t="array" ref="R2751">_xlfn.IFS(B2751&lt;31,"Young-Adult",B2751&lt;41,"Adult",B2751&lt;61,"Middle-aged",B2751&gt;=61,"Senior")</f>
        <v>Senior</v>
      </c>
      <c r="S2751" cm="1">
        <f t="array" ref="S2751">_xlfn.IFS(Q2751 ="Fortnightly",14,Q2751="Weekly",7,Q2751="Monthly",30,Q2751="Quarterly",90,Q2751="Bi-Weekly",14,Q2751="Annually",365,Q2751="Every 3 Months",90,TRUE,"NOT FOUND")</f>
        <v>365</v>
      </c>
    </row>
    <row r="2752" spans="1:19" x14ac:dyDescent="0.35">
      <c r="A2752">
        <v>2751</v>
      </c>
      <c r="B2752">
        <v>51</v>
      </c>
      <c r="C2752" t="s">
        <v>141</v>
      </c>
      <c r="D2752" t="s">
        <v>29</v>
      </c>
      <c r="E2752" t="s">
        <v>30</v>
      </c>
      <c r="F2752">
        <v>66</v>
      </c>
      <c r="G2752" t="s">
        <v>108</v>
      </c>
      <c r="H2752" t="s">
        <v>11</v>
      </c>
      <c r="I2752" t="s">
        <v>57</v>
      </c>
      <c r="J2752" t="s">
        <v>25</v>
      </c>
      <c r="K2752">
        <v>2.7</v>
      </c>
      <c r="L2752" t="s">
        <v>140</v>
      </c>
      <c r="M2752" t="s">
        <v>58</v>
      </c>
      <c r="N2752" t="s">
        <v>140</v>
      </c>
      <c r="O2752">
        <v>26</v>
      </c>
      <c r="P2752" t="s">
        <v>34</v>
      </c>
      <c r="Q2752" t="s">
        <v>85</v>
      </c>
      <c r="R2752" t="str" cm="1">
        <f t="array" ref="R2752">_xlfn.IFS(B2752&lt;31,"Young-Adult",B2752&lt;41,"Adult",B2752&lt;61,"Middle-aged",B2752&gt;=61,"Senior")</f>
        <v>Middle-aged</v>
      </c>
      <c r="S2752" cm="1">
        <f t="array" ref="S2752">_xlfn.IFS(Q2752 ="Fortnightly",14,Q2752="Weekly",7,Q2752="Monthly",30,Q2752="Quarterly",90,Q2752="Bi-Weekly",14,Q2752="Annually",365,Q2752="Every 3 Months",90,TRUE,"NOT FOUND")</f>
        <v>90</v>
      </c>
    </row>
    <row r="2753" spans="1:19" x14ac:dyDescent="0.35">
      <c r="A2753">
        <v>2752</v>
      </c>
      <c r="B2753">
        <v>27</v>
      </c>
      <c r="C2753" t="s">
        <v>141</v>
      </c>
      <c r="D2753" t="s">
        <v>69</v>
      </c>
      <c r="E2753" t="s">
        <v>9</v>
      </c>
      <c r="F2753">
        <v>52</v>
      </c>
      <c r="G2753" t="s">
        <v>136</v>
      </c>
      <c r="H2753" t="s">
        <v>24</v>
      </c>
      <c r="I2753" t="s">
        <v>114</v>
      </c>
      <c r="J2753" t="s">
        <v>45</v>
      </c>
      <c r="K2753">
        <v>3.1</v>
      </c>
      <c r="L2753" t="s">
        <v>140</v>
      </c>
      <c r="M2753" t="s">
        <v>26</v>
      </c>
      <c r="N2753" t="s">
        <v>140</v>
      </c>
      <c r="O2753">
        <v>50</v>
      </c>
      <c r="P2753" t="s">
        <v>16</v>
      </c>
      <c r="Q2753" t="s">
        <v>76</v>
      </c>
      <c r="R2753" t="str" cm="1">
        <f t="array" ref="R2753">_xlfn.IFS(B2753&lt;31,"Young-Adult",B2753&lt;41,"Adult",B2753&lt;61,"Middle-aged",B2753&gt;=61,"Senior")</f>
        <v>Young-Adult</v>
      </c>
      <c r="S2753" cm="1">
        <f t="array" ref="S2753">_xlfn.IFS(Q2753 ="Fortnightly",14,Q2753="Weekly",7,Q2753="Monthly",30,Q2753="Quarterly",90,Q2753="Bi-Weekly",14,Q2753="Annually",365,Q2753="Every 3 Months",90,TRUE,"NOT FOUND")</f>
        <v>30</v>
      </c>
    </row>
    <row r="2754" spans="1:19" x14ac:dyDescent="0.35">
      <c r="A2754">
        <v>2753</v>
      </c>
      <c r="B2754">
        <v>48</v>
      </c>
      <c r="C2754" t="s">
        <v>141</v>
      </c>
      <c r="D2754" t="s">
        <v>18</v>
      </c>
      <c r="E2754" t="s">
        <v>9</v>
      </c>
      <c r="F2754">
        <v>64</v>
      </c>
      <c r="G2754" t="s">
        <v>100</v>
      </c>
      <c r="H2754" t="s">
        <v>24</v>
      </c>
      <c r="I2754" t="s">
        <v>88</v>
      </c>
      <c r="J2754" t="s">
        <v>13</v>
      </c>
      <c r="K2754">
        <v>4</v>
      </c>
      <c r="L2754" t="s">
        <v>140</v>
      </c>
      <c r="M2754" t="s">
        <v>26</v>
      </c>
      <c r="N2754" t="s">
        <v>140</v>
      </c>
      <c r="O2754">
        <v>30</v>
      </c>
      <c r="P2754" t="s">
        <v>16</v>
      </c>
      <c r="Q2754" t="s">
        <v>64</v>
      </c>
      <c r="R2754" t="str" cm="1">
        <f t="array" ref="R2754">_xlfn.IFS(B2754&lt;31,"Young-Adult",B2754&lt;41,"Adult",B2754&lt;61,"Middle-aged",B2754&gt;=61,"Senior")</f>
        <v>Middle-aged</v>
      </c>
      <c r="S2754" cm="1">
        <f t="array" ref="S2754">_xlfn.IFS(Q2754 ="Fortnightly",14,Q2754="Weekly",7,Q2754="Monthly",30,Q2754="Quarterly",90,Q2754="Bi-Weekly",14,Q2754="Annually",365,Q2754="Every 3 Months",90,TRUE,"NOT FOUND")</f>
        <v>14</v>
      </c>
    </row>
    <row r="2755" spans="1:19" x14ac:dyDescent="0.35">
      <c r="A2755">
        <v>2754</v>
      </c>
      <c r="B2755">
        <v>69</v>
      </c>
      <c r="C2755" t="s">
        <v>141</v>
      </c>
      <c r="D2755" t="s">
        <v>131</v>
      </c>
      <c r="E2755" t="s">
        <v>55</v>
      </c>
      <c r="F2755">
        <v>59</v>
      </c>
      <c r="G2755" t="s">
        <v>31</v>
      </c>
      <c r="H2755" t="s">
        <v>32</v>
      </c>
      <c r="I2755" t="s">
        <v>106</v>
      </c>
      <c r="J2755" t="s">
        <v>25</v>
      </c>
      <c r="K2755">
        <v>3.6</v>
      </c>
      <c r="L2755" t="s">
        <v>140</v>
      </c>
      <c r="M2755" t="s">
        <v>33</v>
      </c>
      <c r="N2755" t="s">
        <v>140</v>
      </c>
      <c r="O2755">
        <v>48</v>
      </c>
      <c r="P2755" t="s">
        <v>34</v>
      </c>
      <c r="Q2755" t="s">
        <v>46</v>
      </c>
      <c r="R2755" t="str" cm="1">
        <f t="array" ref="R2755">_xlfn.IFS(B2755&lt;31,"Young-Adult",B2755&lt;41,"Adult",B2755&lt;61,"Middle-aged",B2755&gt;=61,"Senior")</f>
        <v>Senior</v>
      </c>
      <c r="S2755" cm="1">
        <f t="array" ref="S2755">_xlfn.IFS(Q2755 ="Fortnightly",14,Q2755="Weekly",7,Q2755="Monthly",30,Q2755="Quarterly",90,Q2755="Bi-Weekly",14,Q2755="Annually",365,Q2755="Every 3 Months",90,TRUE,"NOT FOUND")</f>
        <v>90</v>
      </c>
    </row>
    <row r="2756" spans="1:19" x14ac:dyDescent="0.35">
      <c r="A2756">
        <v>2755</v>
      </c>
      <c r="B2756">
        <v>59</v>
      </c>
      <c r="C2756" t="s">
        <v>141</v>
      </c>
      <c r="D2756" t="s">
        <v>77</v>
      </c>
      <c r="E2756" t="s">
        <v>55</v>
      </c>
      <c r="F2756">
        <v>61</v>
      </c>
      <c r="G2756" t="s">
        <v>115</v>
      </c>
      <c r="H2756" t="s">
        <v>11</v>
      </c>
      <c r="I2756" t="s">
        <v>68</v>
      </c>
      <c r="J2756" t="s">
        <v>41</v>
      </c>
      <c r="K2756">
        <v>3.6</v>
      </c>
      <c r="L2756" t="s">
        <v>140</v>
      </c>
      <c r="M2756" t="s">
        <v>26</v>
      </c>
      <c r="N2756" t="s">
        <v>140</v>
      </c>
      <c r="O2756">
        <v>21</v>
      </c>
      <c r="P2756" t="s">
        <v>16</v>
      </c>
      <c r="Q2756" t="s">
        <v>64</v>
      </c>
      <c r="R2756" t="str" cm="1">
        <f t="array" ref="R2756">_xlfn.IFS(B2756&lt;31,"Young-Adult",B2756&lt;41,"Adult",B2756&lt;61,"Middle-aged",B2756&gt;=61,"Senior")</f>
        <v>Middle-aged</v>
      </c>
      <c r="S2756" cm="1">
        <f t="array" ref="S2756">_xlfn.IFS(Q2756 ="Fortnightly",14,Q2756="Weekly",7,Q2756="Monthly",30,Q2756="Quarterly",90,Q2756="Bi-Weekly",14,Q2756="Annually",365,Q2756="Every 3 Months",90,TRUE,"NOT FOUND")</f>
        <v>14</v>
      </c>
    </row>
    <row r="2757" spans="1:19" x14ac:dyDescent="0.35">
      <c r="A2757">
        <v>2756</v>
      </c>
      <c r="B2757">
        <v>59</v>
      </c>
      <c r="C2757" t="s">
        <v>141</v>
      </c>
      <c r="D2757" t="s">
        <v>121</v>
      </c>
      <c r="E2757" t="s">
        <v>55</v>
      </c>
      <c r="F2757">
        <v>97</v>
      </c>
      <c r="G2757" t="s">
        <v>95</v>
      </c>
      <c r="H2757" t="s">
        <v>32</v>
      </c>
      <c r="I2757" t="s">
        <v>114</v>
      </c>
      <c r="J2757" t="s">
        <v>13</v>
      </c>
      <c r="K2757">
        <v>3.3</v>
      </c>
      <c r="L2757" t="s">
        <v>140</v>
      </c>
      <c r="M2757" t="s">
        <v>62</v>
      </c>
      <c r="N2757" t="s">
        <v>140</v>
      </c>
      <c r="O2757">
        <v>18</v>
      </c>
      <c r="P2757" t="s">
        <v>27</v>
      </c>
      <c r="Q2757" t="s">
        <v>37</v>
      </c>
      <c r="R2757" t="str" cm="1">
        <f t="array" ref="R2757">_xlfn.IFS(B2757&lt;31,"Young-Adult",B2757&lt;41,"Adult",B2757&lt;61,"Middle-aged",B2757&gt;=61,"Senior")</f>
        <v>Middle-aged</v>
      </c>
      <c r="S2757" cm="1">
        <f t="array" ref="S2757">_xlfn.IFS(Q2757 ="Fortnightly",14,Q2757="Weekly",7,Q2757="Monthly",30,Q2757="Quarterly",90,Q2757="Bi-Weekly",14,Q2757="Annually",365,Q2757="Every 3 Months",90,TRUE,"NOT FOUND")</f>
        <v>365</v>
      </c>
    </row>
    <row r="2758" spans="1:19" x14ac:dyDescent="0.35">
      <c r="A2758">
        <v>2757</v>
      </c>
      <c r="B2758">
        <v>42</v>
      </c>
      <c r="C2758" t="s">
        <v>141</v>
      </c>
      <c r="D2758" t="s">
        <v>112</v>
      </c>
      <c r="E2758" t="s">
        <v>55</v>
      </c>
      <c r="F2758">
        <v>23</v>
      </c>
      <c r="G2758" t="s">
        <v>136</v>
      </c>
      <c r="H2758" t="s">
        <v>11</v>
      </c>
      <c r="I2758" t="s">
        <v>71</v>
      </c>
      <c r="J2758" t="s">
        <v>13</v>
      </c>
      <c r="K2758">
        <v>4.0999999999999996</v>
      </c>
      <c r="L2758" t="s">
        <v>140</v>
      </c>
      <c r="M2758" t="s">
        <v>26</v>
      </c>
      <c r="N2758" t="s">
        <v>140</v>
      </c>
      <c r="O2758">
        <v>41</v>
      </c>
      <c r="P2758" t="s">
        <v>34</v>
      </c>
      <c r="Q2758" t="s">
        <v>76</v>
      </c>
      <c r="R2758" t="str" cm="1">
        <f t="array" ref="R2758">_xlfn.IFS(B2758&lt;31,"Young-Adult",B2758&lt;41,"Adult",B2758&lt;61,"Middle-aged",B2758&gt;=61,"Senior")</f>
        <v>Middle-aged</v>
      </c>
      <c r="S2758" cm="1">
        <f t="array" ref="S2758">_xlfn.IFS(Q2758 ="Fortnightly",14,Q2758="Weekly",7,Q2758="Monthly",30,Q2758="Quarterly",90,Q2758="Bi-Weekly",14,Q2758="Annually",365,Q2758="Every 3 Months",90,TRUE,"NOT FOUND")</f>
        <v>30</v>
      </c>
    </row>
    <row r="2759" spans="1:19" x14ac:dyDescent="0.35">
      <c r="A2759">
        <v>2758</v>
      </c>
      <c r="B2759">
        <v>39</v>
      </c>
      <c r="C2759" t="s">
        <v>141</v>
      </c>
      <c r="D2759" t="s">
        <v>112</v>
      </c>
      <c r="E2759" t="s">
        <v>55</v>
      </c>
      <c r="F2759">
        <v>98</v>
      </c>
      <c r="G2759" t="s">
        <v>67</v>
      </c>
      <c r="H2759" t="s">
        <v>80</v>
      </c>
      <c r="I2759" t="s">
        <v>98</v>
      </c>
      <c r="J2759" t="s">
        <v>45</v>
      </c>
      <c r="K2759">
        <v>4.3</v>
      </c>
      <c r="L2759" t="s">
        <v>140</v>
      </c>
      <c r="M2759" t="s">
        <v>33</v>
      </c>
      <c r="N2759" t="s">
        <v>140</v>
      </c>
      <c r="O2759">
        <v>11</v>
      </c>
      <c r="P2759" t="s">
        <v>16</v>
      </c>
      <c r="Q2759" t="s">
        <v>76</v>
      </c>
      <c r="R2759" t="str" cm="1">
        <f t="array" ref="R2759">_xlfn.IFS(B2759&lt;31,"Young-Adult",B2759&lt;41,"Adult",B2759&lt;61,"Middle-aged",B2759&gt;=61,"Senior")</f>
        <v>Adult</v>
      </c>
      <c r="S2759" cm="1">
        <f t="array" ref="S2759">_xlfn.IFS(Q2759 ="Fortnightly",14,Q2759="Weekly",7,Q2759="Monthly",30,Q2759="Quarterly",90,Q2759="Bi-Weekly",14,Q2759="Annually",365,Q2759="Every 3 Months",90,TRUE,"NOT FOUND")</f>
        <v>30</v>
      </c>
    </row>
    <row r="2760" spans="1:19" x14ac:dyDescent="0.35">
      <c r="A2760">
        <v>2759</v>
      </c>
      <c r="B2760">
        <v>32</v>
      </c>
      <c r="C2760" t="s">
        <v>141</v>
      </c>
      <c r="D2760" t="s">
        <v>8</v>
      </c>
      <c r="E2760" t="s">
        <v>9</v>
      </c>
      <c r="F2760">
        <v>98</v>
      </c>
      <c r="G2760" t="s">
        <v>103</v>
      </c>
      <c r="H2760" t="s">
        <v>32</v>
      </c>
      <c r="I2760" t="s">
        <v>61</v>
      </c>
      <c r="J2760" t="s">
        <v>41</v>
      </c>
      <c r="K2760">
        <v>3.2</v>
      </c>
      <c r="L2760" t="s">
        <v>140</v>
      </c>
      <c r="M2760" t="s">
        <v>42</v>
      </c>
      <c r="N2760" t="s">
        <v>140</v>
      </c>
      <c r="O2760">
        <v>8</v>
      </c>
      <c r="P2760" t="s">
        <v>63</v>
      </c>
      <c r="Q2760" t="s">
        <v>64</v>
      </c>
      <c r="R2760" t="str" cm="1">
        <f t="array" ref="R2760">_xlfn.IFS(B2760&lt;31,"Young-Adult",B2760&lt;41,"Adult",B2760&lt;61,"Middle-aged",B2760&gt;=61,"Senior")</f>
        <v>Adult</v>
      </c>
      <c r="S2760" cm="1">
        <f t="array" ref="S2760">_xlfn.IFS(Q2760 ="Fortnightly",14,Q2760="Weekly",7,Q2760="Monthly",30,Q2760="Quarterly",90,Q2760="Bi-Weekly",14,Q2760="Annually",365,Q2760="Every 3 Months",90,TRUE,"NOT FOUND")</f>
        <v>14</v>
      </c>
    </row>
    <row r="2761" spans="1:19" x14ac:dyDescent="0.35">
      <c r="A2761">
        <v>2760</v>
      </c>
      <c r="B2761">
        <v>68</v>
      </c>
      <c r="C2761" t="s">
        <v>141</v>
      </c>
      <c r="D2761" t="s">
        <v>59</v>
      </c>
      <c r="E2761" t="s">
        <v>30</v>
      </c>
      <c r="F2761">
        <v>59</v>
      </c>
      <c r="G2761" t="s">
        <v>137</v>
      </c>
      <c r="H2761" t="s">
        <v>32</v>
      </c>
      <c r="I2761" t="s">
        <v>36</v>
      </c>
      <c r="J2761" t="s">
        <v>41</v>
      </c>
      <c r="K2761">
        <v>3.9</v>
      </c>
      <c r="L2761" t="s">
        <v>140</v>
      </c>
      <c r="M2761" t="s">
        <v>26</v>
      </c>
      <c r="N2761" t="s">
        <v>140</v>
      </c>
      <c r="O2761">
        <v>42</v>
      </c>
      <c r="P2761" t="s">
        <v>21</v>
      </c>
      <c r="Q2761" t="s">
        <v>85</v>
      </c>
      <c r="R2761" t="str" cm="1">
        <f t="array" ref="R2761">_xlfn.IFS(B2761&lt;31,"Young-Adult",B2761&lt;41,"Adult",B2761&lt;61,"Middle-aged",B2761&gt;=61,"Senior")</f>
        <v>Senior</v>
      </c>
      <c r="S2761" cm="1">
        <f t="array" ref="S2761">_xlfn.IFS(Q2761 ="Fortnightly",14,Q2761="Weekly",7,Q2761="Monthly",30,Q2761="Quarterly",90,Q2761="Bi-Weekly",14,Q2761="Annually",365,Q2761="Every 3 Months",90,TRUE,"NOT FOUND")</f>
        <v>90</v>
      </c>
    </row>
    <row r="2762" spans="1:19" x14ac:dyDescent="0.35">
      <c r="A2762">
        <v>2761</v>
      </c>
      <c r="B2762">
        <v>41</v>
      </c>
      <c r="C2762" t="s">
        <v>141</v>
      </c>
      <c r="D2762" t="s">
        <v>75</v>
      </c>
      <c r="E2762" t="s">
        <v>9</v>
      </c>
      <c r="F2762">
        <v>82</v>
      </c>
      <c r="G2762" t="s">
        <v>108</v>
      </c>
      <c r="H2762" t="s">
        <v>24</v>
      </c>
      <c r="I2762" t="s">
        <v>71</v>
      </c>
      <c r="J2762" t="s">
        <v>45</v>
      </c>
      <c r="K2762">
        <v>5</v>
      </c>
      <c r="L2762" t="s">
        <v>140</v>
      </c>
      <c r="M2762" t="s">
        <v>33</v>
      </c>
      <c r="N2762" t="s">
        <v>140</v>
      </c>
      <c r="O2762">
        <v>41</v>
      </c>
      <c r="P2762" t="s">
        <v>27</v>
      </c>
      <c r="Q2762" t="s">
        <v>64</v>
      </c>
      <c r="R2762" t="str" cm="1">
        <f t="array" ref="R2762">_xlfn.IFS(B2762&lt;31,"Young-Adult",B2762&lt;41,"Adult",B2762&lt;61,"Middle-aged",B2762&gt;=61,"Senior")</f>
        <v>Middle-aged</v>
      </c>
      <c r="S2762" cm="1">
        <f t="array" ref="S2762">_xlfn.IFS(Q2762 ="Fortnightly",14,Q2762="Weekly",7,Q2762="Monthly",30,Q2762="Quarterly",90,Q2762="Bi-Weekly",14,Q2762="Annually",365,Q2762="Every 3 Months",90,TRUE,"NOT FOUND")</f>
        <v>14</v>
      </c>
    </row>
    <row r="2763" spans="1:19" x14ac:dyDescent="0.35">
      <c r="A2763">
        <v>2762</v>
      </c>
      <c r="B2763">
        <v>31</v>
      </c>
      <c r="C2763" t="s">
        <v>141</v>
      </c>
      <c r="D2763" t="s">
        <v>38</v>
      </c>
      <c r="E2763" t="s">
        <v>30</v>
      </c>
      <c r="F2763">
        <v>82</v>
      </c>
      <c r="G2763" t="s">
        <v>139</v>
      </c>
      <c r="H2763" t="s">
        <v>32</v>
      </c>
      <c r="I2763" t="s">
        <v>61</v>
      </c>
      <c r="J2763" t="s">
        <v>45</v>
      </c>
      <c r="K2763">
        <v>3.4</v>
      </c>
      <c r="L2763" t="s">
        <v>140</v>
      </c>
      <c r="M2763" t="s">
        <v>33</v>
      </c>
      <c r="N2763" t="s">
        <v>140</v>
      </c>
      <c r="O2763">
        <v>3</v>
      </c>
      <c r="P2763" t="s">
        <v>27</v>
      </c>
      <c r="Q2763" t="s">
        <v>85</v>
      </c>
      <c r="R2763" t="str" cm="1">
        <f t="array" ref="R2763">_xlfn.IFS(B2763&lt;31,"Young-Adult",B2763&lt;41,"Adult",B2763&lt;61,"Middle-aged",B2763&gt;=61,"Senior")</f>
        <v>Adult</v>
      </c>
      <c r="S2763" cm="1">
        <f t="array" ref="S2763">_xlfn.IFS(Q2763 ="Fortnightly",14,Q2763="Weekly",7,Q2763="Monthly",30,Q2763="Quarterly",90,Q2763="Bi-Weekly",14,Q2763="Annually",365,Q2763="Every 3 Months",90,TRUE,"NOT FOUND")</f>
        <v>90</v>
      </c>
    </row>
    <row r="2764" spans="1:19" x14ac:dyDescent="0.35">
      <c r="A2764">
        <v>2763</v>
      </c>
      <c r="B2764">
        <v>58</v>
      </c>
      <c r="C2764" t="s">
        <v>141</v>
      </c>
      <c r="D2764" t="s">
        <v>101</v>
      </c>
      <c r="E2764" t="s">
        <v>9</v>
      </c>
      <c r="F2764">
        <v>41</v>
      </c>
      <c r="G2764" t="s">
        <v>130</v>
      </c>
      <c r="H2764" t="s">
        <v>32</v>
      </c>
      <c r="I2764" t="s">
        <v>49</v>
      </c>
      <c r="J2764" t="s">
        <v>45</v>
      </c>
      <c r="K2764">
        <v>3.8</v>
      </c>
      <c r="L2764" t="s">
        <v>140</v>
      </c>
      <c r="M2764" t="s">
        <v>62</v>
      </c>
      <c r="N2764" t="s">
        <v>140</v>
      </c>
      <c r="O2764">
        <v>10</v>
      </c>
      <c r="P2764" t="s">
        <v>74</v>
      </c>
      <c r="Q2764" t="s">
        <v>85</v>
      </c>
      <c r="R2764" t="str" cm="1">
        <f t="array" ref="R2764">_xlfn.IFS(B2764&lt;31,"Young-Adult",B2764&lt;41,"Adult",B2764&lt;61,"Middle-aged",B2764&gt;=61,"Senior")</f>
        <v>Middle-aged</v>
      </c>
      <c r="S2764" cm="1">
        <f t="array" ref="S2764">_xlfn.IFS(Q2764 ="Fortnightly",14,Q2764="Weekly",7,Q2764="Monthly",30,Q2764="Quarterly",90,Q2764="Bi-Weekly",14,Q2764="Annually",365,Q2764="Every 3 Months",90,TRUE,"NOT FOUND")</f>
        <v>90</v>
      </c>
    </row>
    <row r="2765" spans="1:19" x14ac:dyDescent="0.35">
      <c r="A2765">
        <v>2764</v>
      </c>
      <c r="B2765">
        <v>28</v>
      </c>
      <c r="C2765" t="s">
        <v>141</v>
      </c>
      <c r="D2765" t="s">
        <v>54</v>
      </c>
      <c r="E2765" t="s">
        <v>55</v>
      </c>
      <c r="F2765">
        <v>52</v>
      </c>
      <c r="G2765" t="s">
        <v>52</v>
      </c>
      <c r="H2765" t="s">
        <v>32</v>
      </c>
      <c r="I2765" t="s">
        <v>84</v>
      </c>
      <c r="J2765" t="s">
        <v>45</v>
      </c>
      <c r="K2765">
        <v>2.9</v>
      </c>
      <c r="L2765" t="s">
        <v>140</v>
      </c>
      <c r="M2765" t="s">
        <v>58</v>
      </c>
      <c r="N2765" t="s">
        <v>140</v>
      </c>
      <c r="O2765">
        <v>35</v>
      </c>
      <c r="P2765" t="s">
        <v>16</v>
      </c>
      <c r="Q2765" t="s">
        <v>46</v>
      </c>
      <c r="R2765" t="str" cm="1">
        <f t="array" ref="R2765">_xlfn.IFS(B2765&lt;31,"Young-Adult",B2765&lt;41,"Adult",B2765&lt;61,"Middle-aged",B2765&gt;=61,"Senior")</f>
        <v>Young-Adult</v>
      </c>
      <c r="S2765" cm="1">
        <f t="array" ref="S2765">_xlfn.IFS(Q2765 ="Fortnightly",14,Q2765="Weekly",7,Q2765="Monthly",30,Q2765="Quarterly",90,Q2765="Bi-Weekly",14,Q2765="Annually",365,Q2765="Every 3 Months",90,TRUE,"NOT FOUND")</f>
        <v>90</v>
      </c>
    </row>
    <row r="2766" spans="1:19" x14ac:dyDescent="0.35">
      <c r="A2766">
        <v>2765</v>
      </c>
      <c r="B2766">
        <v>63</v>
      </c>
      <c r="C2766" t="s">
        <v>141</v>
      </c>
      <c r="D2766" t="s">
        <v>18</v>
      </c>
      <c r="E2766" t="s">
        <v>9</v>
      </c>
      <c r="F2766">
        <v>41</v>
      </c>
      <c r="G2766" t="s">
        <v>105</v>
      </c>
      <c r="H2766" t="s">
        <v>80</v>
      </c>
      <c r="I2766" t="s">
        <v>40</v>
      </c>
      <c r="J2766" t="s">
        <v>25</v>
      </c>
      <c r="K2766">
        <v>2.6</v>
      </c>
      <c r="L2766" t="s">
        <v>140</v>
      </c>
      <c r="M2766" t="s">
        <v>33</v>
      </c>
      <c r="N2766" t="s">
        <v>140</v>
      </c>
      <c r="O2766">
        <v>2</v>
      </c>
      <c r="P2766" t="s">
        <v>74</v>
      </c>
      <c r="Q2766" t="s">
        <v>28</v>
      </c>
      <c r="R2766" t="str" cm="1">
        <f t="array" ref="R2766">_xlfn.IFS(B2766&lt;31,"Young-Adult",B2766&lt;41,"Adult",B2766&lt;61,"Middle-aged",B2766&gt;=61,"Senior")</f>
        <v>Senior</v>
      </c>
      <c r="S2766" cm="1">
        <f t="array" ref="S2766">_xlfn.IFS(Q2766 ="Fortnightly",14,Q2766="Weekly",7,Q2766="Monthly",30,Q2766="Quarterly",90,Q2766="Bi-Weekly",14,Q2766="Annually",365,Q2766="Every 3 Months",90,TRUE,"NOT FOUND")</f>
        <v>7</v>
      </c>
    </row>
    <row r="2767" spans="1:19" x14ac:dyDescent="0.35">
      <c r="A2767">
        <v>2766</v>
      </c>
      <c r="B2767">
        <v>64</v>
      </c>
      <c r="C2767" t="s">
        <v>141</v>
      </c>
      <c r="D2767" t="s">
        <v>131</v>
      </c>
      <c r="E2767" t="s">
        <v>55</v>
      </c>
      <c r="F2767">
        <v>70</v>
      </c>
      <c r="G2767" t="s">
        <v>100</v>
      </c>
      <c r="H2767" t="s">
        <v>32</v>
      </c>
      <c r="I2767" t="s">
        <v>61</v>
      </c>
      <c r="J2767" t="s">
        <v>41</v>
      </c>
      <c r="K2767">
        <v>4.3</v>
      </c>
      <c r="L2767" t="s">
        <v>140</v>
      </c>
      <c r="M2767" t="s">
        <v>58</v>
      </c>
      <c r="N2767" t="s">
        <v>140</v>
      </c>
      <c r="O2767">
        <v>24</v>
      </c>
      <c r="P2767" t="s">
        <v>27</v>
      </c>
      <c r="Q2767" t="s">
        <v>46</v>
      </c>
      <c r="R2767" t="str" cm="1">
        <f t="array" ref="R2767">_xlfn.IFS(B2767&lt;31,"Young-Adult",B2767&lt;41,"Adult",B2767&lt;61,"Middle-aged",B2767&gt;=61,"Senior")</f>
        <v>Senior</v>
      </c>
      <c r="S2767" cm="1">
        <f t="array" ref="S2767">_xlfn.IFS(Q2767 ="Fortnightly",14,Q2767="Weekly",7,Q2767="Monthly",30,Q2767="Quarterly",90,Q2767="Bi-Weekly",14,Q2767="Annually",365,Q2767="Every 3 Months",90,TRUE,"NOT FOUND")</f>
        <v>90</v>
      </c>
    </row>
    <row r="2768" spans="1:19" x14ac:dyDescent="0.35">
      <c r="A2768">
        <v>2767</v>
      </c>
      <c r="B2768">
        <v>66</v>
      </c>
      <c r="C2768" t="s">
        <v>141</v>
      </c>
      <c r="D2768" t="s">
        <v>69</v>
      </c>
      <c r="E2768" t="s">
        <v>9</v>
      </c>
      <c r="F2768">
        <v>91</v>
      </c>
      <c r="G2768" t="s">
        <v>110</v>
      </c>
      <c r="H2768" t="s">
        <v>32</v>
      </c>
      <c r="I2768" t="s">
        <v>97</v>
      </c>
      <c r="J2768" t="s">
        <v>13</v>
      </c>
      <c r="K2768">
        <v>2.8</v>
      </c>
      <c r="L2768" t="s">
        <v>140</v>
      </c>
      <c r="M2768" t="s">
        <v>42</v>
      </c>
      <c r="N2768" t="s">
        <v>140</v>
      </c>
      <c r="O2768">
        <v>47</v>
      </c>
      <c r="P2768" t="s">
        <v>27</v>
      </c>
      <c r="Q2768" t="s">
        <v>76</v>
      </c>
      <c r="R2768" t="str" cm="1">
        <f t="array" ref="R2768">_xlfn.IFS(B2768&lt;31,"Young-Adult",B2768&lt;41,"Adult",B2768&lt;61,"Middle-aged",B2768&gt;=61,"Senior")</f>
        <v>Senior</v>
      </c>
      <c r="S2768" cm="1">
        <f t="array" ref="S2768">_xlfn.IFS(Q2768 ="Fortnightly",14,Q2768="Weekly",7,Q2768="Monthly",30,Q2768="Quarterly",90,Q2768="Bi-Weekly",14,Q2768="Annually",365,Q2768="Every 3 Months",90,TRUE,"NOT FOUND")</f>
        <v>30</v>
      </c>
    </row>
    <row r="2769" spans="1:19" x14ac:dyDescent="0.35">
      <c r="A2769">
        <v>2768</v>
      </c>
      <c r="B2769">
        <v>31</v>
      </c>
      <c r="C2769" t="s">
        <v>141</v>
      </c>
      <c r="D2769" t="s">
        <v>69</v>
      </c>
      <c r="E2769" t="s">
        <v>9</v>
      </c>
      <c r="F2769">
        <v>95</v>
      </c>
      <c r="G2769" t="s">
        <v>134</v>
      </c>
      <c r="H2769" t="s">
        <v>32</v>
      </c>
      <c r="I2769" t="s">
        <v>84</v>
      </c>
      <c r="J2769" t="s">
        <v>25</v>
      </c>
      <c r="K2769">
        <v>4.5</v>
      </c>
      <c r="L2769" t="s">
        <v>140</v>
      </c>
      <c r="M2769" t="s">
        <v>26</v>
      </c>
      <c r="N2769" t="s">
        <v>140</v>
      </c>
      <c r="O2769">
        <v>31</v>
      </c>
      <c r="P2769" t="s">
        <v>21</v>
      </c>
      <c r="Q2769" t="s">
        <v>76</v>
      </c>
      <c r="R2769" t="str" cm="1">
        <f t="array" ref="R2769">_xlfn.IFS(B2769&lt;31,"Young-Adult",B2769&lt;41,"Adult",B2769&lt;61,"Middle-aged",B2769&gt;=61,"Senior")</f>
        <v>Adult</v>
      </c>
      <c r="S2769" cm="1">
        <f t="array" ref="S2769">_xlfn.IFS(Q2769 ="Fortnightly",14,Q2769="Weekly",7,Q2769="Monthly",30,Q2769="Quarterly",90,Q2769="Bi-Weekly",14,Q2769="Annually",365,Q2769="Every 3 Months",90,TRUE,"NOT FOUND")</f>
        <v>30</v>
      </c>
    </row>
    <row r="2770" spans="1:19" x14ac:dyDescent="0.35">
      <c r="A2770">
        <v>2769</v>
      </c>
      <c r="B2770">
        <v>55</v>
      </c>
      <c r="C2770" t="s">
        <v>141</v>
      </c>
      <c r="D2770" t="s">
        <v>8</v>
      </c>
      <c r="E2770" t="s">
        <v>9</v>
      </c>
      <c r="F2770">
        <v>25</v>
      </c>
      <c r="G2770" t="s">
        <v>99</v>
      </c>
      <c r="H2770" t="s">
        <v>32</v>
      </c>
      <c r="I2770" t="s">
        <v>106</v>
      </c>
      <c r="J2770" t="s">
        <v>25</v>
      </c>
      <c r="K2770">
        <v>3.8</v>
      </c>
      <c r="L2770" t="s">
        <v>140</v>
      </c>
      <c r="M2770" t="s">
        <v>58</v>
      </c>
      <c r="N2770" t="s">
        <v>140</v>
      </c>
      <c r="O2770">
        <v>28</v>
      </c>
      <c r="P2770" t="s">
        <v>34</v>
      </c>
      <c r="Q2770" t="s">
        <v>64</v>
      </c>
      <c r="R2770" t="str" cm="1">
        <f t="array" ref="R2770">_xlfn.IFS(B2770&lt;31,"Young-Adult",B2770&lt;41,"Adult",B2770&lt;61,"Middle-aged",B2770&gt;=61,"Senior")</f>
        <v>Middle-aged</v>
      </c>
      <c r="S2770" cm="1">
        <f t="array" ref="S2770">_xlfn.IFS(Q2770 ="Fortnightly",14,Q2770="Weekly",7,Q2770="Monthly",30,Q2770="Quarterly",90,Q2770="Bi-Weekly",14,Q2770="Annually",365,Q2770="Every 3 Months",90,TRUE,"NOT FOUND")</f>
        <v>14</v>
      </c>
    </row>
    <row r="2771" spans="1:19" x14ac:dyDescent="0.35">
      <c r="A2771">
        <v>2770</v>
      </c>
      <c r="B2771">
        <v>32</v>
      </c>
      <c r="C2771" t="s">
        <v>141</v>
      </c>
      <c r="D2771" t="s">
        <v>43</v>
      </c>
      <c r="E2771" t="s">
        <v>9</v>
      </c>
      <c r="F2771">
        <v>89</v>
      </c>
      <c r="G2771" t="s">
        <v>89</v>
      </c>
      <c r="H2771" t="s">
        <v>11</v>
      </c>
      <c r="I2771" t="s">
        <v>81</v>
      </c>
      <c r="J2771" t="s">
        <v>45</v>
      </c>
      <c r="K2771">
        <v>3</v>
      </c>
      <c r="L2771" t="s">
        <v>140</v>
      </c>
      <c r="M2771" t="s">
        <v>42</v>
      </c>
      <c r="N2771" t="s">
        <v>140</v>
      </c>
      <c r="O2771">
        <v>13</v>
      </c>
      <c r="P2771" t="s">
        <v>21</v>
      </c>
      <c r="Q2771" t="s">
        <v>28</v>
      </c>
      <c r="R2771" t="str" cm="1">
        <f t="array" ref="R2771">_xlfn.IFS(B2771&lt;31,"Young-Adult",B2771&lt;41,"Adult",B2771&lt;61,"Middle-aged",B2771&gt;=61,"Senior")</f>
        <v>Adult</v>
      </c>
      <c r="S2771" cm="1">
        <f t="array" ref="S2771">_xlfn.IFS(Q2771 ="Fortnightly",14,Q2771="Weekly",7,Q2771="Monthly",30,Q2771="Quarterly",90,Q2771="Bi-Weekly",14,Q2771="Annually",365,Q2771="Every 3 Months",90,TRUE,"NOT FOUND")</f>
        <v>7</v>
      </c>
    </row>
    <row r="2772" spans="1:19" x14ac:dyDescent="0.35">
      <c r="A2772">
        <v>2771</v>
      </c>
      <c r="B2772">
        <v>50</v>
      </c>
      <c r="C2772" t="s">
        <v>141</v>
      </c>
      <c r="D2772" t="s">
        <v>125</v>
      </c>
      <c r="E2772" t="s">
        <v>30</v>
      </c>
      <c r="F2772">
        <v>44</v>
      </c>
      <c r="G2772" t="s">
        <v>133</v>
      </c>
      <c r="H2772" t="s">
        <v>24</v>
      </c>
      <c r="I2772" t="s">
        <v>132</v>
      </c>
      <c r="J2772" t="s">
        <v>45</v>
      </c>
      <c r="K2772">
        <v>3.3</v>
      </c>
      <c r="L2772" t="s">
        <v>140</v>
      </c>
      <c r="M2772" t="s">
        <v>15</v>
      </c>
      <c r="N2772" t="s">
        <v>140</v>
      </c>
      <c r="O2772">
        <v>22</v>
      </c>
      <c r="P2772" t="s">
        <v>63</v>
      </c>
      <c r="Q2772" t="s">
        <v>46</v>
      </c>
      <c r="R2772" t="str" cm="1">
        <f t="array" ref="R2772">_xlfn.IFS(B2772&lt;31,"Young-Adult",B2772&lt;41,"Adult",B2772&lt;61,"Middle-aged",B2772&gt;=61,"Senior")</f>
        <v>Middle-aged</v>
      </c>
      <c r="S2772" cm="1">
        <f t="array" ref="S2772">_xlfn.IFS(Q2772 ="Fortnightly",14,Q2772="Weekly",7,Q2772="Monthly",30,Q2772="Quarterly",90,Q2772="Bi-Weekly",14,Q2772="Annually",365,Q2772="Every 3 Months",90,TRUE,"NOT FOUND")</f>
        <v>90</v>
      </c>
    </row>
    <row r="2773" spans="1:19" x14ac:dyDescent="0.35">
      <c r="A2773">
        <v>2772</v>
      </c>
      <c r="B2773">
        <v>58</v>
      </c>
      <c r="C2773" t="s">
        <v>141</v>
      </c>
      <c r="D2773" t="s">
        <v>90</v>
      </c>
      <c r="E2773" t="s">
        <v>51</v>
      </c>
      <c r="F2773">
        <v>52</v>
      </c>
      <c r="G2773" t="s">
        <v>116</v>
      </c>
      <c r="H2773" t="s">
        <v>24</v>
      </c>
      <c r="I2773" t="s">
        <v>106</v>
      </c>
      <c r="J2773" t="s">
        <v>41</v>
      </c>
      <c r="K2773">
        <v>3.1</v>
      </c>
      <c r="L2773" t="s">
        <v>140</v>
      </c>
      <c r="M2773" t="s">
        <v>58</v>
      </c>
      <c r="N2773" t="s">
        <v>140</v>
      </c>
      <c r="O2773">
        <v>12</v>
      </c>
      <c r="P2773" t="s">
        <v>63</v>
      </c>
      <c r="Q2773" t="s">
        <v>17</v>
      </c>
      <c r="R2773" t="str" cm="1">
        <f t="array" ref="R2773">_xlfn.IFS(B2773&lt;31,"Young-Adult",B2773&lt;41,"Adult",B2773&lt;61,"Middle-aged",B2773&gt;=61,"Senior")</f>
        <v>Middle-aged</v>
      </c>
      <c r="S2773" cm="1">
        <f t="array" ref="S2773">_xlfn.IFS(Q2773 ="Fortnightly",14,Q2773="Weekly",7,Q2773="Monthly",30,Q2773="Quarterly",90,Q2773="Bi-Weekly",14,Q2773="Annually",365,Q2773="Every 3 Months",90,TRUE,"NOT FOUND")</f>
        <v>14</v>
      </c>
    </row>
    <row r="2774" spans="1:19" x14ac:dyDescent="0.35">
      <c r="A2774">
        <v>2773</v>
      </c>
      <c r="B2774">
        <v>18</v>
      </c>
      <c r="C2774" t="s">
        <v>141</v>
      </c>
      <c r="D2774" t="s">
        <v>120</v>
      </c>
      <c r="E2774" t="s">
        <v>55</v>
      </c>
      <c r="F2774">
        <v>94</v>
      </c>
      <c r="G2774" t="s">
        <v>126</v>
      </c>
      <c r="H2774" t="s">
        <v>11</v>
      </c>
      <c r="I2774" t="s">
        <v>132</v>
      </c>
      <c r="J2774" t="s">
        <v>25</v>
      </c>
      <c r="K2774">
        <v>3.5</v>
      </c>
      <c r="L2774" t="s">
        <v>140</v>
      </c>
      <c r="M2774" t="s">
        <v>62</v>
      </c>
      <c r="N2774" t="s">
        <v>140</v>
      </c>
      <c r="O2774">
        <v>10</v>
      </c>
      <c r="P2774" t="s">
        <v>63</v>
      </c>
      <c r="Q2774" t="s">
        <v>85</v>
      </c>
      <c r="R2774" t="str" cm="1">
        <f t="array" ref="R2774">_xlfn.IFS(B2774&lt;31,"Young-Adult",B2774&lt;41,"Adult",B2774&lt;61,"Middle-aged",B2774&gt;=61,"Senior")</f>
        <v>Young-Adult</v>
      </c>
      <c r="S2774" cm="1">
        <f t="array" ref="S2774">_xlfn.IFS(Q2774 ="Fortnightly",14,Q2774="Weekly",7,Q2774="Monthly",30,Q2774="Quarterly",90,Q2774="Bi-Weekly",14,Q2774="Annually",365,Q2774="Every 3 Months",90,TRUE,"NOT FOUND")</f>
        <v>90</v>
      </c>
    </row>
    <row r="2775" spans="1:19" x14ac:dyDescent="0.35">
      <c r="A2775">
        <v>2774</v>
      </c>
      <c r="B2775">
        <v>39</v>
      </c>
      <c r="C2775" t="s">
        <v>141</v>
      </c>
      <c r="D2775" t="s">
        <v>83</v>
      </c>
      <c r="E2775" t="s">
        <v>9</v>
      </c>
      <c r="F2775">
        <v>98</v>
      </c>
      <c r="G2775" t="s">
        <v>105</v>
      </c>
      <c r="H2775" t="s">
        <v>24</v>
      </c>
      <c r="I2775" t="s">
        <v>20</v>
      </c>
      <c r="J2775" t="s">
        <v>25</v>
      </c>
      <c r="K2775">
        <v>4.5999999999999996</v>
      </c>
      <c r="L2775" t="s">
        <v>140</v>
      </c>
      <c r="M2775" t="s">
        <v>15</v>
      </c>
      <c r="N2775" t="s">
        <v>140</v>
      </c>
      <c r="O2775">
        <v>45</v>
      </c>
      <c r="P2775" t="s">
        <v>63</v>
      </c>
      <c r="Q2775" t="s">
        <v>46</v>
      </c>
      <c r="R2775" t="str" cm="1">
        <f t="array" ref="R2775">_xlfn.IFS(B2775&lt;31,"Young-Adult",B2775&lt;41,"Adult",B2775&lt;61,"Middle-aged",B2775&gt;=61,"Senior")</f>
        <v>Adult</v>
      </c>
      <c r="S2775" cm="1">
        <f t="array" ref="S2775">_xlfn.IFS(Q2775 ="Fortnightly",14,Q2775="Weekly",7,Q2775="Monthly",30,Q2775="Quarterly",90,Q2775="Bi-Weekly",14,Q2775="Annually",365,Q2775="Every 3 Months",90,TRUE,"NOT FOUND")</f>
        <v>90</v>
      </c>
    </row>
    <row r="2776" spans="1:19" x14ac:dyDescent="0.35">
      <c r="A2776">
        <v>2775</v>
      </c>
      <c r="B2776">
        <v>56</v>
      </c>
      <c r="C2776" t="s">
        <v>141</v>
      </c>
      <c r="D2776" t="s">
        <v>125</v>
      </c>
      <c r="E2776" t="s">
        <v>30</v>
      </c>
      <c r="F2776">
        <v>40</v>
      </c>
      <c r="G2776" t="s">
        <v>89</v>
      </c>
      <c r="H2776" t="s">
        <v>11</v>
      </c>
      <c r="I2776" t="s">
        <v>122</v>
      </c>
      <c r="J2776" t="s">
        <v>45</v>
      </c>
      <c r="K2776">
        <v>4.0999999999999996</v>
      </c>
      <c r="L2776" t="s">
        <v>140</v>
      </c>
      <c r="M2776" t="s">
        <v>42</v>
      </c>
      <c r="N2776" t="s">
        <v>140</v>
      </c>
      <c r="O2776">
        <v>42</v>
      </c>
      <c r="P2776" t="s">
        <v>27</v>
      </c>
      <c r="Q2776" t="s">
        <v>46</v>
      </c>
      <c r="R2776" t="str" cm="1">
        <f t="array" ref="R2776">_xlfn.IFS(B2776&lt;31,"Young-Adult",B2776&lt;41,"Adult",B2776&lt;61,"Middle-aged",B2776&gt;=61,"Senior")</f>
        <v>Middle-aged</v>
      </c>
      <c r="S2776" cm="1">
        <f t="array" ref="S2776">_xlfn.IFS(Q2776 ="Fortnightly",14,Q2776="Weekly",7,Q2776="Monthly",30,Q2776="Quarterly",90,Q2776="Bi-Weekly",14,Q2776="Annually",365,Q2776="Every 3 Months",90,TRUE,"NOT FOUND")</f>
        <v>90</v>
      </c>
    </row>
    <row r="2777" spans="1:19" x14ac:dyDescent="0.35">
      <c r="A2777">
        <v>2776</v>
      </c>
      <c r="B2777">
        <v>37</v>
      </c>
      <c r="C2777" t="s">
        <v>141</v>
      </c>
      <c r="D2777" t="s">
        <v>113</v>
      </c>
      <c r="E2777" t="s">
        <v>9</v>
      </c>
      <c r="F2777">
        <v>25</v>
      </c>
      <c r="G2777" t="s">
        <v>44</v>
      </c>
      <c r="H2777" t="s">
        <v>11</v>
      </c>
      <c r="I2777" t="s">
        <v>96</v>
      </c>
      <c r="J2777" t="s">
        <v>45</v>
      </c>
      <c r="K2777">
        <v>3.6</v>
      </c>
      <c r="L2777" t="s">
        <v>140</v>
      </c>
      <c r="M2777" t="s">
        <v>26</v>
      </c>
      <c r="N2777" t="s">
        <v>140</v>
      </c>
      <c r="O2777">
        <v>16</v>
      </c>
      <c r="P2777" t="s">
        <v>74</v>
      </c>
      <c r="Q2777" t="s">
        <v>28</v>
      </c>
      <c r="R2777" t="str" cm="1">
        <f t="array" ref="R2777">_xlfn.IFS(B2777&lt;31,"Young-Adult",B2777&lt;41,"Adult",B2777&lt;61,"Middle-aged",B2777&gt;=61,"Senior")</f>
        <v>Adult</v>
      </c>
      <c r="S2777" cm="1">
        <f t="array" ref="S2777">_xlfn.IFS(Q2777 ="Fortnightly",14,Q2777="Weekly",7,Q2777="Monthly",30,Q2777="Quarterly",90,Q2777="Bi-Weekly",14,Q2777="Annually",365,Q2777="Every 3 Months",90,TRUE,"NOT FOUND")</f>
        <v>7</v>
      </c>
    </row>
    <row r="2778" spans="1:19" x14ac:dyDescent="0.35">
      <c r="A2778">
        <v>2777</v>
      </c>
      <c r="B2778">
        <v>46</v>
      </c>
      <c r="C2778" t="s">
        <v>141</v>
      </c>
      <c r="D2778" t="s">
        <v>107</v>
      </c>
      <c r="E2778" t="s">
        <v>55</v>
      </c>
      <c r="F2778">
        <v>62</v>
      </c>
      <c r="G2778" t="s">
        <v>39</v>
      </c>
      <c r="H2778" t="s">
        <v>11</v>
      </c>
      <c r="I2778" t="s">
        <v>84</v>
      </c>
      <c r="J2778" t="s">
        <v>45</v>
      </c>
      <c r="K2778">
        <v>2.9</v>
      </c>
      <c r="L2778" t="s">
        <v>140</v>
      </c>
      <c r="M2778" t="s">
        <v>26</v>
      </c>
      <c r="N2778" t="s">
        <v>140</v>
      </c>
      <c r="O2778">
        <v>6</v>
      </c>
      <c r="P2778" t="s">
        <v>63</v>
      </c>
      <c r="Q2778" t="s">
        <v>37</v>
      </c>
      <c r="R2778" t="str" cm="1">
        <f t="array" ref="R2778">_xlfn.IFS(B2778&lt;31,"Young-Adult",B2778&lt;41,"Adult",B2778&lt;61,"Middle-aged",B2778&gt;=61,"Senior")</f>
        <v>Middle-aged</v>
      </c>
      <c r="S2778" cm="1">
        <f t="array" ref="S2778">_xlfn.IFS(Q2778 ="Fortnightly",14,Q2778="Weekly",7,Q2778="Monthly",30,Q2778="Quarterly",90,Q2778="Bi-Weekly",14,Q2778="Annually",365,Q2778="Every 3 Months",90,TRUE,"NOT FOUND")</f>
        <v>365</v>
      </c>
    </row>
    <row r="2779" spans="1:19" x14ac:dyDescent="0.35">
      <c r="A2779">
        <v>2778</v>
      </c>
      <c r="B2779">
        <v>52</v>
      </c>
      <c r="C2779" t="s">
        <v>141</v>
      </c>
      <c r="D2779" t="s">
        <v>8</v>
      </c>
      <c r="E2779" t="s">
        <v>9</v>
      </c>
      <c r="F2779">
        <v>24</v>
      </c>
      <c r="G2779" t="s">
        <v>123</v>
      </c>
      <c r="H2779" t="s">
        <v>32</v>
      </c>
      <c r="I2779" t="s">
        <v>124</v>
      </c>
      <c r="J2779" t="s">
        <v>45</v>
      </c>
      <c r="K2779">
        <v>4.8</v>
      </c>
      <c r="L2779" t="s">
        <v>140</v>
      </c>
      <c r="M2779" t="s">
        <v>42</v>
      </c>
      <c r="N2779" t="s">
        <v>140</v>
      </c>
      <c r="O2779">
        <v>28</v>
      </c>
      <c r="P2779" t="s">
        <v>27</v>
      </c>
      <c r="Q2779" t="s">
        <v>85</v>
      </c>
      <c r="R2779" t="str" cm="1">
        <f t="array" ref="R2779">_xlfn.IFS(B2779&lt;31,"Young-Adult",B2779&lt;41,"Adult",B2779&lt;61,"Middle-aged",B2779&gt;=61,"Senior")</f>
        <v>Middle-aged</v>
      </c>
      <c r="S2779" cm="1">
        <f t="array" ref="S2779">_xlfn.IFS(Q2779 ="Fortnightly",14,Q2779="Weekly",7,Q2779="Monthly",30,Q2779="Quarterly",90,Q2779="Bi-Weekly",14,Q2779="Annually",365,Q2779="Every 3 Months",90,TRUE,"NOT FOUND")</f>
        <v>90</v>
      </c>
    </row>
    <row r="2780" spans="1:19" x14ac:dyDescent="0.35">
      <c r="A2780">
        <v>2779</v>
      </c>
      <c r="B2780">
        <v>70</v>
      </c>
      <c r="C2780" t="s">
        <v>141</v>
      </c>
      <c r="D2780" t="s">
        <v>121</v>
      </c>
      <c r="E2780" t="s">
        <v>55</v>
      </c>
      <c r="F2780">
        <v>57</v>
      </c>
      <c r="G2780" t="s">
        <v>126</v>
      </c>
      <c r="H2780" t="s">
        <v>11</v>
      </c>
      <c r="I2780" t="s">
        <v>122</v>
      </c>
      <c r="J2780" t="s">
        <v>25</v>
      </c>
      <c r="K2780">
        <v>3.2</v>
      </c>
      <c r="L2780" t="s">
        <v>140</v>
      </c>
      <c r="M2780" t="s">
        <v>42</v>
      </c>
      <c r="N2780" t="s">
        <v>140</v>
      </c>
      <c r="O2780">
        <v>24</v>
      </c>
      <c r="P2780" t="s">
        <v>27</v>
      </c>
      <c r="Q2780" t="s">
        <v>64</v>
      </c>
      <c r="R2780" t="str" cm="1">
        <f t="array" ref="R2780">_xlfn.IFS(B2780&lt;31,"Young-Adult",B2780&lt;41,"Adult",B2780&lt;61,"Middle-aged",B2780&gt;=61,"Senior")</f>
        <v>Senior</v>
      </c>
      <c r="S2780" cm="1">
        <f t="array" ref="S2780">_xlfn.IFS(Q2780 ="Fortnightly",14,Q2780="Weekly",7,Q2780="Monthly",30,Q2780="Quarterly",90,Q2780="Bi-Weekly",14,Q2780="Annually",365,Q2780="Every 3 Months",90,TRUE,"NOT FOUND")</f>
        <v>14</v>
      </c>
    </row>
    <row r="2781" spans="1:19" x14ac:dyDescent="0.35">
      <c r="A2781">
        <v>2780</v>
      </c>
      <c r="B2781">
        <v>61</v>
      </c>
      <c r="C2781" t="s">
        <v>141</v>
      </c>
      <c r="D2781" t="s">
        <v>77</v>
      </c>
      <c r="E2781" t="s">
        <v>55</v>
      </c>
      <c r="F2781">
        <v>66</v>
      </c>
      <c r="G2781" t="s">
        <v>44</v>
      </c>
      <c r="H2781" t="s">
        <v>11</v>
      </c>
      <c r="I2781" t="s">
        <v>132</v>
      </c>
      <c r="J2781" t="s">
        <v>13</v>
      </c>
      <c r="K2781">
        <v>4.3</v>
      </c>
      <c r="L2781" t="s">
        <v>140</v>
      </c>
      <c r="M2781" t="s">
        <v>15</v>
      </c>
      <c r="N2781" t="s">
        <v>140</v>
      </c>
      <c r="O2781">
        <v>14</v>
      </c>
      <c r="P2781" t="s">
        <v>27</v>
      </c>
      <c r="Q2781" t="s">
        <v>17</v>
      </c>
      <c r="R2781" t="str" cm="1">
        <f t="array" ref="R2781">_xlfn.IFS(B2781&lt;31,"Young-Adult",B2781&lt;41,"Adult",B2781&lt;61,"Middle-aged",B2781&gt;=61,"Senior")</f>
        <v>Senior</v>
      </c>
      <c r="S2781" cm="1">
        <f t="array" ref="S2781">_xlfn.IFS(Q2781 ="Fortnightly",14,Q2781="Weekly",7,Q2781="Monthly",30,Q2781="Quarterly",90,Q2781="Bi-Weekly",14,Q2781="Annually",365,Q2781="Every 3 Months",90,TRUE,"NOT FOUND")</f>
        <v>14</v>
      </c>
    </row>
    <row r="2782" spans="1:19" x14ac:dyDescent="0.35">
      <c r="A2782">
        <v>2781</v>
      </c>
      <c r="B2782">
        <v>33</v>
      </c>
      <c r="C2782" t="s">
        <v>141</v>
      </c>
      <c r="D2782" t="s">
        <v>125</v>
      </c>
      <c r="E2782" t="s">
        <v>30</v>
      </c>
      <c r="F2782">
        <v>70</v>
      </c>
      <c r="G2782" t="s">
        <v>111</v>
      </c>
      <c r="H2782" t="s">
        <v>32</v>
      </c>
      <c r="I2782" t="s">
        <v>49</v>
      </c>
      <c r="J2782" t="s">
        <v>13</v>
      </c>
      <c r="K2782">
        <v>4.0999999999999996</v>
      </c>
      <c r="L2782" t="s">
        <v>140</v>
      </c>
      <c r="M2782" t="s">
        <v>33</v>
      </c>
      <c r="N2782" t="s">
        <v>140</v>
      </c>
      <c r="O2782">
        <v>29</v>
      </c>
      <c r="P2782" t="s">
        <v>34</v>
      </c>
      <c r="Q2782" t="s">
        <v>17</v>
      </c>
      <c r="R2782" t="str" cm="1">
        <f t="array" ref="R2782">_xlfn.IFS(B2782&lt;31,"Young-Adult",B2782&lt;41,"Adult",B2782&lt;61,"Middle-aged",B2782&gt;=61,"Senior")</f>
        <v>Adult</v>
      </c>
      <c r="S2782" cm="1">
        <f t="array" ref="S2782">_xlfn.IFS(Q2782 ="Fortnightly",14,Q2782="Weekly",7,Q2782="Monthly",30,Q2782="Quarterly",90,Q2782="Bi-Weekly",14,Q2782="Annually",365,Q2782="Every 3 Months",90,TRUE,"NOT FOUND")</f>
        <v>14</v>
      </c>
    </row>
    <row r="2783" spans="1:19" x14ac:dyDescent="0.35">
      <c r="A2783">
        <v>2782</v>
      </c>
      <c r="B2783">
        <v>65</v>
      </c>
      <c r="C2783" t="s">
        <v>141</v>
      </c>
      <c r="D2783" t="s">
        <v>29</v>
      </c>
      <c r="E2783" t="s">
        <v>30</v>
      </c>
      <c r="F2783">
        <v>39</v>
      </c>
      <c r="G2783" t="s">
        <v>79</v>
      </c>
      <c r="H2783" t="s">
        <v>32</v>
      </c>
      <c r="I2783" t="s">
        <v>132</v>
      </c>
      <c r="J2783" t="s">
        <v>25</v>
      </c>
      <c r="K2783">
        <v>4.5999999999999996</v>
      </c>
      <c r="L2783" t="s">
        <v>140</v>
      </c>
      <c r="M2783" t="s">
        <v>42</v>
      </c>
      <c r="N2783" t="s">
        <v>140</v>
      </c>
      <c r="O2783">
        <v>33</v>
      </c>
      <c r="P2783" t="s">
        <v>34</v>
      </c>
      <c r="Q2783" t="s">
        <v>28</v>
      </c>
      <c r="R2783" t="str" cm="1">
        <f t="array" ref="R2783">_xlfn.IFS(B2783&lt;31,"Young-Adult",B2783&lt;41,"Adult",B2783&lt;61,"Middle-aged",B2783&gt;=61,"Senior")</f>
        <v>Senior</v>
      </c>
      <c r="S2783" cm="1">
        <f t="array" ref="S2783">_xlfn.IFS(Q2783 ="Fortnightly",14,Q2783="Weekly",7,Q2783="Monthly",30,Q2783="Quarterly",90,Q2783="Bi-Weekly",14,Q2783="Annually",365,Q2783="Every 3 Months",90,TRUE,"NOT FOUND")</f>
        <v>7</v>
      </c>
    </row>
    <row r="2784" spans="1:19" x14ac:dyDescent="0.35">
      <c r="A2784">
        <v>2783</v>
      </c>
      <c r="B2784">
        <v>41</v>
      </c>
      <c r="C2784" t="s">
        <v>141</v>
      </c>
      <c r="D2784" t="s">
        <v>131</v>
      </c>
      <c r="E2784" t="s">
        <v>55</v>
      </c>
      <c r="F2784">
        <v>34</v>
      </c>
      <c r="G2784" t="s">
        <v>123</v>
      </c>
      <c r="H2784" t="s">
        <v>24</v>
      </c>
      <c r="I2784" t="s">
        <v>97</v>
      </c>
      <c r="J2784" t="s">
        <v>25</v>
      </c>
      <c r="K2784">
        <v>3.8</v>
      </c>
      <c r="L2784" t="s">
        <v>140</v>
      </c>
      <c r="M2784" t="s">
        <v>26</v>
      </c>
      <c r="N2784" t="s">
        <v>140</v>
      </c>
      <c r="O2784">
        <v>30</v>
      </c>
      <c r="P2784" t="s">
        <v>34</v>
      </c>
      <c r="Q2784" t="s">
        <v>37</v>
      </c>
      <c r="R2784" t="str" cm="1">
        <f t="array" ref="R2784">_xlfn.IFS(B2784&lt;31,"Young-Adult",B2784&lt;41,"Adult",B2784&lt;61,"Middle-aged",B2784&gt;=61,"Senior")</f>
        <v>Middle-aged</v>
      </c>
      <c r="S2784" cm="1">
        <f t="array" ref="S2784">_xlfn.IFS(Q2784 ="Fortnightly",14,Q2784="Weekly",7,Q2784="Monthly",30,Q2784="Quarterly",90,Q2784="Bi-Weekly",14,Q2784="Annually",365,Q2784="Every 3 Months",90,TRUE,"NOT FOUND")</f>
        <v>365</v>
      </c>
    </row>
    <row r="2785" spans="1:19" x14ac:dyDescent="0.35">
      <c r="A2785">
        <v>2784</v>
      </c>
      <c r="B2785">
        <v>19</v>
      </c>
      <c r="C2785" t="s">
        <v>141</v>
      </c>
      <c r="D2785" t="s">
        <v>75</v>
      </c>
      <c r="E2785" t="s">
        <v>9</v>
      </c>
      <c r="F2785">
        <v>38</v>
      </c>
      <c r="G2785" t="s">
        <v>129</v>
      </c>
      <c r="H2785" t="s">
        <v>32</v>
      </c>
      <c r="I2785" t="s">
        <v>53</v>
      </c>
      <c r="J2785" t="s">
        <v>25</v>
      </c>
      <c r="K2785">
        <v>4.5</v>
      </c>
      <c r="L2785" t="s">
        <v>140</v>
      </c>
      <c r="M2785" t="s">
        <v>33</v>
      </c>
      <c r="N2785" t="s">
        <v>140</v>
      </c>
      <c r="O2785">
        <v>26</v>
      </c>
      <c r="P2785" t="s">
        <v>27</v>
      </c>
      <c r="Q2785" t="s">
        <v>46</v>
      </c>
      <c r="R2785" t="str" cm="1">
        <f t="array" ref="R2785">_xlfn.IFS(B2785&lt;31,"Young-Adult",B2785&lt;41,"Adult",B2785&lt;61,"Middle-aged",B2785&gt;=61,"Senior")</f>
        <v>Young-Adult</v>
      </c>
      <c r="S2785" cm="1">
        <f t="array" ref="S2785">_xlfn.IFS(Q2785 ="Fortnightly",14,Q2785="Weekly",7,Q2785="Monthly",30,Q2785="Quarterly",90,Q2785="Bi-Weekly",14,Q2785="Annually",365,Q2785="Every 3 Months",90,TRUE,"NOT FOUND")</f>
        <v>90</v>
      </c>
    </row>
    <row r="2786" spans="1:19" x14ac:dyDescent="0.35">
      <c r="A2786">
        <v>2785</v>
      </c>
      <c r="B2786">
        <v>33</v>
      </c>
      <c r="C2786" t="s">
        <v>141</v>
      </c>
      <c r="D2786" t="s">
        <v>75</v>
      </c>
      <c r="E2786" t="s">
        <v>9</v>
      </c>
      <c r="F2786">
        <v>70</v>
      </c>
      <c r="G2786" t="s">
        <v>123</v>
      </c>
      <c r="H2786" t="s">
        <v>32</v>
      </c>
      <c r="I2786" t="s">
        <v>82</v>
      </c>
      <c r="J2786" t="s">
        <v>13</v>
      </c>
      <c r="K2786">
        <v>3.1</v>
      </c>
      <c r="L2786" t="s">
        <v>140</v>
      </c>
      <c r="M2786" t="s">
        <v>15</v>
      </c>
      <c r="N2786" t="s">
        <v>140</v>
      </c>
      <c r="O2786">
        <v>12</v>
      </c>
      <c r="P2786" t="s">
        <v>34</v>
      </c>
      <c r="Q2786" t="s">
        <v>85</v>
      </c>
      <c r="R2786" t="str" cm="1">
        <f t="array" ref="R2786">_xlfn.IFS(B2786&lt;31,"Young-Adult",B2786&lt;41,"Adult",B2786&lt;61,"Middle-aged",B2786&gt;=61,"Senior")</f>
        <v>Adult</v>
      </c>
      <c r="S2786" cm="1">
        <f t="array" ref="S2786">_xlfn.IFS(Q2786 ="Fortnightly",14,Q2786="Weekly",7,Q2786="Monthly",30,Q2786="Quarterly",90,Q2786="Bi-Weekly",14,Q2786="Annually",365,Q2786="Every 3 Months",90,TRUE,"NOT FOUND")</f>
        <v>90</v>
      </c>
    </row>
    <row r="2787" spans="1:19" x14ac:dyDescent="0.35">
      <c r="A2787">
        <v>2786</v>
      </c>
      <c r="B2787">
        <v>53</v>
      </c>
      <c r="C2787" t="s">
        <v>141</v>
      </c>
      <c r="D2787" t="s">
        <v>8</v>
      </c>
      <c r="E2787" t="s">
        <v>9</v>
      </c>
      <c r="F2787">
        <v>80</v>
      </c>
      <c r="G2787" t="s">
        <v>48</v>
      </c>
      <c r="H2787" t="s">
        <v>24</v>
      </c>
      <c r="I2787" t="s">
        <v>84</v>
      </c>
      <c r="J2787" t="s">
        <v>41</v>
      </c>
      <c r="K2787">
        <v>2.9</v>
      </c>
      <c r="L2787" t="s">
        <v>140</v>
      </c>
      <c r="M2787" t="s">
        <v>33</v>
      </c>
      <c r="N2787" t="s">
        <v>140</v>
      </c>
      <c r="O2787">
        <v>13</v>
      </c>
      <c r="P2787" t="s">
        <v>63</v>
      </c>
      <c r="Q2787" t="s">
        <v>76</v>
      </c>
      <c r="R2787" t="str" cm="1">
        <f t="array" ref="R2787">_xlfn.IFS(B2787&lt;31,"Young-Adult",B2787&lt;41,"Adult",B2787&lt;61,"Middle-aged",B2787&gt;=61,"Senior")</f>
        <v>Middle-aged</v>
      </c>
      <c r="S2787" cm="1">
        <f t="array" ref="S2787">_xlfn.IFS(Q2787 ="Fortnightly",14,Q2787="Weekly",7,Q2787="Monthly",30,Q2787="Quarterly",90,Q2787="Bi-Weekly",14,Q2787="Annually",365,Q2787="Every 3 Months",90,TRUE,"NOT FOUND")</f>
        <v>30</v>
      </c>
    </row>
    <row r="2788" spans="1:19" x14ac:dyDescent="0.35">
      <c r="A2788">
        <v>2787</v>
      </c>
      <c r="B2788">
        <v>54</v>
      </c>
      <c r="C2788" t="s">
        <v>141</v>
      </c>
      <c r="D2788" t="s">
        <v>54</v>
      </c>
      <c r="E2788" t="s">
        <v>55</v>
      </c>
      <c r="F2788">
        <v>51</v>
      </c>
      <c r="G2788" t="s">
        <v>100</v>
      </c>
      <c r="H2788" t="s">
        <v>32</v>
      </c>
      <c r="I2788" t="s">
        <v>71</v>
      </c>
      <c r="J2788" t="s">
        <v>25</v>
      </c>
      <c r="K2788">
        <v>3.8</v>
      </c>
      <c r="L2788" t="s">
        <v>140</v>
      </c>
      <c r="M2788" t="s">
        <v>33</v>
      </c>
      <c r="N2788" t="s">
        <v>140</v>
      </c>
      <c r="O2788">
        <v>41</v>
      </c>
      <c r="P2788" t="s">
        <v>74</v>
      </c>
      <c r="Q2788" t="s">
        <v>85</v>
      </c>
      <c r="R2788" t="str" cm="1">
        <f t="array" ref="R2788">_xlfn.IFS(B2788&lt;31,"Young-Adult",B2788&lt;41,"Adult",B2788&lt;61,"Middle-aged",B2788&gt;=61,"Senior")</f>
        <v>Middle-aged</v>
      </c>
      <c r="S2788" cm="1">
        <f t="array" ref="S2788">_xlfn.IFS(Q2788 ="Fortnightly",14,Q2788="Weekly",7,Q2788="Monthly",30,Q2788="Quarterly",90,Q2788="Bi-Weekly",14,Q2788="Annually",365,Q2788="Every 3 Months",90,TRUE,"NOT FOUND")</f>
        <v>90</v>
      </c>
    </row>
    <row r="2789" spans="1:19" x14ac:dyDescent="0.35">
      <c r="A2789">
        <v>2788</v>
      </c>
      <c r="B2789">
        <v>36</v>
      </c>
      <c r="C2789" t="s">
        <v>141</v>
      </c>
      <c r="D2789" t="s">
        <v>125</v>
      </c>
      <c r="E2789" t="s">
        <v>30</v>
      </c>
      <c r="F2789">
        <v>79</v>
      </c>
      <c r="G2789" t="s">
        <v>52</v>
      </c>
      <c r="H2789" t="s">
        <v>80</v>
      </c>
      <c r="I2789" t="s">
        <v>57</v>
      </c>
      <c r="J2789" t="s">
        <v>25</v>
      </c>
      <c r="K2789">
        <v>4.0999999999999996</v>
      </c>
      <c r="L2789" t="s">
        <v>140</v>
      </c>
      <c r="M2789" t="s">
        <v>33</v>
      </c>
      <c r="N2789" t="s">
        <v>140</v>
      </c>
      <c r="O2789">
        <v>4</v>
      </c>
      <c r="P2789" t="s">
        <v>16</v>
      </c>
      <c r="Q2789" t="s">
        <v>17</v>
      </c>
      <c r="R2789" t="str" cm="1">
        <f t="array" ref="R2789">_xlfn.IFS(B2789&lt;31,"Young-Adult",B2789&lt;41,"Adult",B2789&lt;61,"Middle-aged",B2789&gt;=61,"Senior")</f>
        <v>Adult</v>
      </c>
      <c r="S2789" cm="1">
        <f t="array" ref="S2789">_xlfn.IFS(Q2789 ="Fortnightly",14,Q2789="Weekly",7,Q2789="Monthly",30,Q2789="Quarterly",90,Q2789="Bi-Weekly",14,Q2789="Annually",365,Q2789="Every 3 Months",90,TRUE,"NOT FOUND")</f>
        <v>14</v>
      </c>
    </row>
    <row r="2790" spans="1:19" x14ac:dyDescent="0.35">
      <c r="A2790">
        <v>2789</v>
      </c>
      <c r="B2790">
        <v>56</v>
      </c>
      <c r="C2790" t="s">
        <v>141</v>
      </c>
      <c r="D2790" t="s">
        <v>125</v>
      </c>
      <c r="E2790" t="s">
        <v>30</v>
      </c>
      <c r="F2790">
        <v>92</v>
      </c>
      <c r="G2790" t="s">
        <v>31</v>
      </c>
      <c r="H2790" t="s">
        <v>32</v>
      </c>
      <c r="I2790" t="s">
        <v>66</v>
      </c>
      <c r="J2790" t="s">
        <v>41</v>
      </c>
      <c r="K2790">
        <v>3.1</v>
      </c>
      <c r="L2790" t="s">
        <v>140</v>
      </c>
      <c r="M2790" t="s">
        <v>26</v>
      </c>
      <c r="N2790" t="s">
        <v>140</v>
      </c>
      <c r="O2790">
        <v>2</v>
      </c>
      <c r="P2790" t="s">
        <v>27</v>
      </c>
      <c r="Q2790" t="s">
        <v>37</v>
      </c>
      <c r="R2790" t="str" cm="1">
        <f t="array" ref="R2790">_xlfn.IFS(B2790&lt;31,"Young-Adult",B2790&lt;41,"Adult",B2790&lt;61,"Middle-aged",B2790&gt;=61,"Senior")</f>
        <v>Middle-aged</v>
      </c>
      <c r="S2790" cm="1">
        <f t="array" ref="S2790">_xlfn.IFS(Q2790 ="Fortnightly",14,Q2790="Weekly",7,Q2790="Monthly",30,Q2790="Quarterly",90,Q2790="Bi-Weekly",14,Q2790="Annually",365,Q2790="Every 3 Months",90,TRUE,"NOT FOUND")</f>
        <v>365</v>
      </c>
    </row>
    <row r="2791" spans="1:19" x14ac:dyDescent="0.35">
      <c r="A2791">
        <v>2790</v>
      </c>
      <c r="B2791">
        <v>28</v>
      </c>
      <c r="C2791" t="s">
        <v>141</v>
      </c>
      <c r="D2791" t="s">
        <v>18</v>
      </c>
      <c r="E2791" t="s">
        <v>9</v>
      </c>
      <c r="F2791">
        <v>85</v>
      </c>
      <c r="G2791" t="s">
        <v>86</v>
      </c>
      <c r="H2791" t="s">
        <v>11</v>
      </c>
      <c r="I2791" t="s">
        <v>109</v>
      </c>
      <c r="J2791" t="s">
        <v>45</v>
      </c>
      <c r="K2791">
        <v>5</v>
      </c>
      <c r="L2791" t="s">
        <v>140</v>
      </c>
      <c r="M2791" t="s">
        <v>15</v>
      </c>
      <c r="N2791" t="s">
        <v>140</v>
      </c>
      <c r="O2791">
        <v>28</v>
      </c>
      <c r="P2791" t="s">
        <v>27</v>
      </c>
      <c r="Q2791" t="s">
        <v>64</v>
      </c>
      <c r="R2791" t="str" cm="1">
        <f t="array" ref="R2791">_xlfn.IFS(B2791&lt;31,"Young-Adult",B2791&lt;41,"Adult",B2791&lt;61,"Middle-aged",B2791&gt;=61,"Senior")</f>
        <v>Young-Adult</v>
      </c>
      <c r="S2791" cm="1">
        <f t="array" ref="S2791">_xlfn.IFS(Q2791 ="Fortnightly",14,Q2791="Weekly",7,Q2791="Monthly",30,Q2791="Quarterly",90,Q2791="Bi-Weekly",14,Q2791="Annually",365,Q2791="Every 3 Months",90,TRUE,"NOT FOUND")</f>
        <v>14</v>
      </c>
    </row>
    <row r="2792" spans="1:19" x14ac:dyDescent="0.35">
      <c r="A2792">
        <v>2791</v>
      </c>
      <c r="B2792">
        <v>34</v>
      </c>
      <c r="C2792" t="s">
        <v>141</v>
      </c>
      <c r="D2792" t="s">
        <v>113</v>
      </c>
      <c r="E2792" t="s">
        <v>9</v>
      </c>
      <c r="F2792">
        <v>63</v>
      </c>
      <c r="G2792" t="s">
        <v>19</v>
      </c>
      <c r="H2792" t="s">
        <v>32</v>
      </c>
      <c r="I2792" t="s">
        <v>82</v>
      </c>
      <c r="J2792" t="s">
        <v>25</v>
      </c>
      <c r="K2792">
        <v>4.5</v>
      </c>
      <c r="L2792" t="s">
        <v>140</v>
      </c>
      <c r="M2792" t="s">
        <v>26</v>
      </c>
      <c r="N2792" t="s">
        <v>140</v>
      </c>
      <c r="O2792">
        <v>24</v>
      </c>
      <c r="P2792" t="s">
        <v>74</v>
      </c>
      <c r="Q2792" t="s">
        <v>37</v>
      </c>
      <c r="R2792" t="str" cm="1">
        <f t="array" ref="R2792">_xlfn.IFS(B2792&lt;31,"Young-Adult",B2792&lt;41,"Adult",B2792&lt;61,"Middle-aged",B2792&gt;=61,"Senior")</f>
        <v>Adult</v>
      </c>
      <c r="S2792" cm="1">
        <f t="array" ref="S2792">_xlfn.IFS(Q2792 ="Fortnightly",14,Q2792="Weekly",7,Q2792="Monthly",30,Q2792="Quarterly",90,Q2792="Bi-Weekly",14,Q2792="Annually",365,Q2792="Every 3 Months",90,TRUE,"NOT FOUND")</f>
        <v>365</v>
      </c>
    </row>
    <row r="2793" spans="1:19" x14ac:dyDescent="0.35">
      <c r="A2793">
        <v>2792</v>
      </c>
      <c r="B2793">
        <v>43</v>
      </c>
      <c r="C2793" t="s">
        <v>141</v>
      </c>
      <c r="D2793" t="s">
        <v>131</v>
      </c>
      <c r="E2793" t="s">
        <v>55</v>
      </c>
      <c r="F2793">
        <v>60</v>
      </c>
      <c r="G2793" t="s">
        <v>134</v>
      </c>
      <c r="H2793" t="s">
        <v>32</v>
      </c>
      <c r="I2793" t="s">
        <v>122</v>
      </c>
      <c r="J2793" t="s">
        <v>45</v>
      </c>
      <c r="K2793">
        <v>2.8</v>
      </c>
      <c r="L2793" t="s">
        <v>140</v>
      </c>
      <c r="M2793" t="s">
        <v>15</v>
      </c>
      <c r="N2793" t="s">
        <v>140</v>
      </c>
      <c r="O2793">
        <v>14</v>
      </c>
      <c r="P2793" t="s">
        <v>16</v>
      </c>
      <c r="Q2793" t="s">
        <v>17</v>
      </c>
      <c r="R2793" t="str" cm="1">
        <f t="array" ref="R2793">_xlfn.IFS(B2793&lt;31,"Young-Adult",B2793&lt;41,"Adult",B2793&lt;61,"Middle-aged",B2793&gt;=61,"Senior")</f>
        <v>Middle-aged</v>
      </c>
      <c r="S2793" cm="1">
        <f t="array" ref="S2793">_xlfn.IFS(Q2793 ="Fortnightly",14,Q2793="Weekly",7,Q2793="Monthly",30,Q2793="Quarterly",90,Q2793="Bi-Weekly",14,Q2793="Annually",365,Q2793="Every 3 Months",90,TRUE,"NOT FOUND")</f>
        <v>14</v>
      </c>
    </row>
    <row r="2794" spans="1:19" x14ac:dyDescent="0.35">
      <c r="A2794">
        <v>2793</v>
      </c>
      <c r="B2794">
        <v>54</v>
      </c>
      <c r="C2794" t="s">
        <v>141</v>
      </c>
      <c r="D2794" t="s">
        <v>47</v>
      </c>
      <c r="E2794" t="s">
        <v>9</v>
      </c>
      <c r="F2794">
        <v>44</v>
      </c>
      <c r="G2794" t="s">
        <v>10</v>
      </c>
      <c r="H2794" t="s">
        <v>11</v>
      </c>
      <c r="I2794" t="s">
        <v>71</v>
      </c>
      <c r="J2794" t="s">
        <v>13</v>
      </c>
      <c r="K2794">
        <v>3.2</v>
      </c>
      <c r="L2794" t="s">
        <v>140</v>
      </c>
      <c r="M2794" t="s">
        <v>15</v>
      </c>
      <c r="N2794" t="s">
        <v>140</v>
      </c>
      <c r="O2794">
        <v>11</v>
      </c>
      <c r="P2794" t="s">
        <v>27</v>
      </c>
      <c r="Q2794" t="s">
        <v>28</v>
      </c>
      <c r="R2794" t="str" cm="1">
        <f t="array" ref="R2794">_xlfn.IFS(B2794&lt;31,"Young-Adult",B2794&lt;41,"Adult",B2794&lt;61,"Middle-aged",B2794&gt;=61,"Senior")</f>
        <v>Middle-aged</v>
      </c>
      <c r="S2794" cm="1">
        <f t="array" ref="S2794">_xlfn.IFS(Q2794 ="Fortnightly",14,Q2794="Weekly",7,Q2794="Monthly",30,Q2794="Quarterly",90,Q2794="Bi-Weekly",14,Q2794="Annually",365,Q2794="Every 3 Months",90,TRUE,"NOT FOUND")</f>
        <v>7</v>
      </c>
    </row>
    <row r="2795" spans="1:19" x14ac:dyDescent="0.35">
      <c r="A2795">
        <v>2794</v>
      </c>
      <c r="B2795">
        <v>37</v>
      </c>
      <c r="C2795" t="s">
        <v>141</v>
      </c>
      <c r="D2795" t="s">
        <v>125</v>
      </c>
      <c r="E2795" t="s">
        <v>30</v>
      </c>
      <c r="F2795">
        <v>57</v>
      </c>
      <c r="G2795" t="s">
        <v>23</v>
      </c>
      <c r="H2795" t="s">
        <v>32</v>
      </c>
      <c r="I2795" t="s">
        <v>53</v>
      </c>
      <c r="J2795" t="s">
        <v>25</v>
      </c>
      <c r="K2795">
        <v>3.1</v>
      </c>
      <c r="L2795" t="s">
        <v>140</v>
      </c>
      <c r="M2795" t="s">
        <v>42</v>
      </c>
      <c r="N2795" t="s">
        <v>140</v>
      </c>
      <c r="O2795">
        <v>27</v>
      </c>
      <c r="P2795" t="s">
        <v>74</v>
      </c>
      <c r="Q2795" t="s">
        <v>64</v>
      </c>
      <c r="R2795" t="str" cm="1">
        <f t="array" ref="R2795">_xlfn.IFS(B2795&lt;31,"Young-Adult",B2795&lt;41,"Adult",B2795&lt;61,"Middle-aged",B2795&gt;=61,"Senior")</f>
        <v>Adult</v>
      </c>
      <c r="S2795" cm="1">
        <f t="array" ref="S2795">_xlfn.IFS(Q2795 ="Fortnightly",14,Q2795="Weekly",7,Q2795="Monthly",30,Q2795="Quarterly",90,Q2795="Bi-Weekly",14,Q2795="Annually",365,Q2795="Every 3 Months",90,TRUE,"NOT FOUND")</f>
        <v>14</v>
      </c>
    </row>
    <row r="2796" spans="1:19" x14ac:dyDescent="0.35">
      <c r="A2796">
        <v>2795</v>
      </c>
      <c r="B2796">
        <v>33</v>
      </c>
      <c r="C2796" t="s">
        <v>141</v>
      </c>
      <c r="D2796" t="s">
        <v>90</v>
      </c>
      <c r="E2796" t="s">
        <v>51</v>
      </c>
      <c r="F2796">
        <v>24</v>
      </c>
      <c r="G2796" t="s">
        <v>72</v>
      </c>
      <c r="H2796" t="s">
        <v>32</v>
      </c>
      <c r="I2796" t="s">
        <v>68</v>
      </c>
      <c r="J2796" t="s">
        <v>45</v>
      </c>
      <c r="K2796">
        <v>3.3</v>
      </c>
      <c r="L2796" t="s">
        <v>140</v>
      </c>
      <c r="M2796" t="s">
        <v>42</v>
      </c>
      <c r="N2796" t="s">
        <v>140</v>
      </c>
      <c r="O2796">
        <v>7</v>
      </c>
      <c r="P2796" t="s">
        <v>21</v>
      </c>
      <c r="Q2796" t="s">
        <v>17</v>
      </c>
      <c r="R2796" t="str" cm="1">
        <f t="array" ref="R2796">_xlfn.IFS(B2796&lt;31,"Young-Adult",B2796&lt;41,"Adult",B2796&lt;61,"Middle-aged",B2796&gt;=61,"Senior")</f>
        <v>Adult</v>
      </c>
      <c r="S2796" cm="1">
        <f t="array" ref="S2796">_xlfn.IFS(Q2796 ="Fortnightly",14,Q2796="Weekly",7,Q2796="Monthly",30,Q2796="Quarterly",90,Q2796="Bi-Weekly",14,Q2796="Annually",365,Q2796="Every 3 Months",90,TRUE,"NOT FOUND")</f>
        <v>14</v>
      </c>
    </row>
    <row r="2797" spans="1:19" x14ac:dyDescent="0.35">
      <c r="A2797">
        <v>2796</v>
      </c>
      <c r="B2797">
        <v>33</v>
      </c>
      <c r="C2797" t="s">
        <v>141</v>
      </c>
      <c r="D2797" t="s">
        <v>107</v>
      </c>
      <c r="E2797" t="s">
        <v>55</v>
      </c>
      <c r="F2797">
        <v>35</v>
      </c>
      <c r="G2797" t="s">
        <v>133</v>
      </c>
      <c r="H2797" t="s">
        <v>32</v>
      </c>
      <c r="I2797" t="s">
        <v>124</v>
      </c>
      <c r="J2797" t="s">
        <v>13</v>
      </c>
      <c r="K2797">
        <v>3.4</v>
      </c>
      <c r="L2797" t="s">
        <v>140</v>
      </c>
      <c r="M2797" t="s">
        <v>62</v>
      </c>
      <c r="N2797" t="s">
        <v>140</v>
      </c>
      <c r="O2797">
        <v>49</v>
      </c>
      <c r="P2797" t="s">
        <v>34</v>
      </c>
      <c r="Q2797" t="s">
        <v>37</v>
      </c>
      <c r="R2797" t="str" cm="1">
        <f t="array" ref="R2797">_xlfn.IFS(B2797&lt;31,"Young-Adult",B2797&lt;41,"Adult",B2797&lt;61,"Middle-aged",B2797&gt;=61,"Senior")</f>
        <v>Adult</v>
      </c>
      <c r="S2797" cm="1">
        <f t="array" ref="S2797">_xlfn.IFS(Q2797 ="Fortnightly",14,Q2797="Weekly",7,Q2797="Monthly",30,Q2797="Quarterly",90,Q2797="Bi-Weekly",14,Q2797="Annually",365,Q2797="Every 3 Months",90,TRUE,"NOT FOUND")</f>
        <v>365</v>
      </c>
    </row>
    <row r="2798" spans="1:19" x14ac:dyDescent="0.35">
      <c r="A2798">
        <v>2797</v>
      </c>
      <c r="B2798">
        <v>55</v>
      </c>
      <c r="C2798" t="s">
        <v>141</v>
      </c>
      <c r="D2798" t="s">
        <v>90</v>
      </c>
      <c r="E2798" t="s">
        <v>51</v>
      </c>
      <c r="F2798">
        <v>73</v>
      </c>
      <c r="G2798" t="s">
        <v>89</v>
      </c>
      <c r="H2798" t="s">
        <v>32</v>
      </c>
      <c r="I2798" t="s">
        <v>96</v>
      </c>
      <c r="J2798" t="s">
        <v>13</v>
      </c>
      <c r="K2798">
        <v>3.8</v>
      </c>
      <c r="L2798" t="s">
        <v>140</v>
      </c>
      <c r="M2798" t="s">
        <v>62</v>
      </c>
      <c r="N2798" t="s">
        <v>140</v>
      </c>
      <c r="O2798">
        <v>21</v>
      </c>
      <c r="P2798" t="s">
        <v>21</v>
      </c>
      <c r="Q2798" t="s">
        <v>37</v>
      </c>
      <c r="R2798" t="str" cm="1">
        <f t="array" ref="R2798">_xlfn.IFS(B2798&lt;31,"Young-Adult",B2798&lt;41,"Adult",B2798&lt;61,"Middle-aged",B2798&gt;=61,"Senior")</f>
        <v>Middle-aged</v>
      </c>
      <c r="S2798" cm="1">
        <f t="array" ref="S2798">_xlfn.IFS(Q2798 ="Fortnightly",14,Q2798="Weekly",7,Q2798="Monthly",30,Q2798="Quarterly",90,Q2798="Bi-Weekly",14,Q2798="Annually",365,Q2798="Every 3 Months",90,TRUE,"NOT FOUND")</f>
        <v>365</v>
      </c>
    </row>
    <row r="2799" spans="1:19" x14ac:dyDescent="0.35">
      <c r="A2799">
        <v>2798</v>
      </c>
      <c r="B2799">
        <v>63</v>
      </c>
      <c r="C2799" t="s">
        <v>141</v>
      </c>
      <c r="D2799" t="s">
        <v>94</v>
      </c>
      <c r="E2799" t="s">
        <v>55</v>
      </c>
      <c r="F2799">
        <v>42</v>
      </c>
      <c r="G2799" t="s">
        <v>89</v>
      </c>
      <c r="H2799" t="s">
        <v>32</v>
      </c>
      <c r="I2799" t="s">
        <v>84</v>
      </c>
      <c r="J2799" t="s">
        <v>13</v>
      </c>
      <c r="K2799">
        <v>3.5</v>
      </c>
      <c r="L2799" t="s">
        <v>140</v>
      </c>
      <c r="M2799" t="s">
        <v>15</v>
      </c>
      <c r="N2799" t="s">
        <v>140</v>
      </c>
      <c r="O2799">
        <v>10</v>
      </c>
      <c r="P2799" t="s">
        <v>16</v>
      </c>
      <c r="Q2799" t="s">
        <v>85</v>
      </c>
      <c r="R2799" t="str" cm="1">
        <f t="array" ref="R2799">_xlfn.IFS(B2799&lt;31,"Young-Adult",B2799&lt;41,"Adult",B2799&lt;61,"Middle-aged",B2799&gt;=61,"Senior")</f>
        <v>Senior</v>
      </c>
      <c r="S2799" cm="1">
        <f t="array" ref="S2799">_xlfn.IFS(Q2799 ="Fortnightly",14,Q2799="Weekly",7,Q2799="Monthly",30,Q2799="Quarterly",90,Q2799="Bi-Weekly",14,Q2799="Annually",365,Q2799="Every 3 Months",90,TRUE,"NOT FOUND")</f>
        <v>90</v>
      </c>
    </row>
    <row r="2800" spans="1:19" x14ac:dyDescent="0.35">
      <c r="A2800">
        <v>2799</v>
      </c>
      <c r="B2800">
        <v>52</v>
      </c>
      <c r="C2800" t="s">
        <v>141</v>
      </c>
      <c r="D2800" t="s">
        <v>92</v>
      </c>
      <c r="E2800" t="s">
        <v>9</v>
      </c>
      <c r="F2800">
        <v>20</v>
      </c>
      <c r="G2800" t="s">
        <v>31</v>
      </c>
      <c r="H2800" t="s">
        <v>80</v>
      </c>
      <c r="I2800" t="s">
        <v>96</v>
      </c>
      <c r="J2800" t="s">
        <v>13</v>
      </c>
      <c r="K2800">
        <v>4.8</v>
      </c>
      <c r="L2800" t="s">
        <v>140</v>
      </c>
      <c r="M2800" t="s">
        <v>62</v>
      </c>
      <c r="N2800" t="s">
        <v>140</v>
      </c>
      <c r="O2800">
        <v>37</v>
      </c>
      <c r="P2800" t="s">
        <v>34</v>
      </c>
      <c r="Q2800" t="s">
        <v>28</v>
      </c>
      <c r="R2800" t="str" cm="1">
        <f t="array" ref="R2800">_xlfn.IFS(B2800&lt;31,"Young-Adult",B2800&lt;41,"Adult",B2800&lt;61,"Middle-aged",B2800&gt;=61,"Senior")</f>
        <v>Middle-aged</v>
      </c>
      <c r="S2800" cm="1">
        <f t="array" ref="S2800">_xlfn.IFS(Q2800 ="Fortnightly",14,Q2800="Weekly",7,Q2800="Monthly",30,Q2800="Quarterly",90,Q2800="Bi-Weekly",14,Q2800="Annually",365,Q2800="Every 3 Months",90,TRUE,"NOT FOUND")</f>
        <v>7</v>
      </c>
    </row>
    <row r="2801" spans="1:19" x14ac:dyDescent="0.35">
      <c r="A2801">
        <v>2800</v>
      </c>
      <c r="B2801">
        <v>23</v>
      </c>
      <c r="C2801" t="s">
        <v>141</v>
      </c>
      <c r="D2801" t="s">
        <v>101</v>
      </c>
      <c r="E2801" t="s">
        <v>9</v>
      </c>
      <c r="F2801">
        <v>89</v>
      </c>
      <c r="G2801" t="s">
        <v>19</v>
      </c>
      <c r="H2801" t="s">
        <v>11</v>
      </c>
      <c r="I2801" t="s">
        <v>57</v>
      </c>
      <c r="J2801" t="s">
        <v>25</v>
      </c>
      <c r="K2801">
        <v>3.9</v>
      </c>
      <c r="L2801" t="s">
        <v>140</v>
      </c>
      <c r="M2801" t="s">
        <v>26</v>
      </c>
      <c r="N2801" t="s">
        <v>140</v>
      </c>
      <c r="O2801">
        <v>9</v>
      </c>
      <c r="P2801" t="s">
        <v>63</v>
      </c>
      <c r="Q2801" t="s">
        <v>85</v>
      </c>
      <c r="R2801" t="str" cm="1">
        <f t="array" ref="R2801">_xlfn.IFS(B2801&lt;31,"Young-Adult",B2801&lt;41,"Adult",B2801&lt;61,"Middle-aged",B2801&gt;=61,"Senior")</f>
        <v>Young-Adult</v>
      </c>
      <c r="S2801" cm="1">
        <f t="array" ref="S2801">_xlfn.IFS(Q2801 ="Fortnightly",14,Q2801="Weekly",7,Q2801="Monthly",30,Q2801="Quarterly",90,Q2801="Bi-Weekly",14,Q2801="Annually",365,Q2801="Every 3 Months",90,TRUE,"NOT FOUND")</f>
        <v>90</v>
      </c>
    </row>
    <row r="2802" spans="1:19" x14ac:dyDescent="0.35">
      <c r="A2802">
        <v>2801</v>
      </c>
      <c r="B2802">
        <v>70</v>
      </c>
      <c r="C2802" t="s">
        <v>141</v>
      </c>
      <c r="D2802" t="s">
        <v>43</v>
      </c>
      <c r="E2802" t="s">
        <v>9</v>
      </c>
      <c r="F2802">
        <v>76</v>
      </c>
      <c r="G2802" t="s">
        <v>60</v>
      </c>
      <c r="H2802" t="s">
        <v>11</v>
      </c>
      <c r="I2802" t="s">
        <v>71</v>
      </c>
      <c r="J2802" t="s">
        <v>45</v>
      </c>
      <c r="K2802">
        <v>3.4</v>
      </c>
      <c r="L2802" t="s">
        <v>140</v>
      </c>
      <c r="M2802" t="s">
        <v>26</v>
      </c>
      <c r="N2802" t="s">
        <v>140</v>
      </c>
      <c r="O2802">
        <v>14</v>
      </c>
      <c r="P2802" t="s">
        <v>21</v>
      </c>
      <c r="Q2802" t="s">
        <v>64</v>
      </c>
      <c r="R2802" t="str" cm="1">
        <f t="array" ref="R2802">_xlfn.IFS(B2802&lt;31,"Young-Adult",B2802&lt;41,"Adult",B2802&lt;61,"Middle-aged",B2802&gt;=61,"Senior")</f>
        <v>Senior</v>
      </c>
      <c r="S2802" cm="1">
        <f t="array" ref="S2802">_xlfn.IFS(Q2802 ="Fortnightly",14,Q2802="Weekly",7,Q2802="Monthly",30,Q2802="Quarterly",90,Q2802="Bi-Weekly",14,Q2802="Annually",365,Q2802="Every 3 Months",90,TRUE,"NOT FOUND")</f>
        <v>14</v>
      </c>
    </row>
    <row r="2803" spans="1:19" x14ac:dyDescent="0.35">
      <c r="A2803">
        <v>2802</v>
      </c>
      <c r="B2803">
        <v>64</v>
      </c>
      <c r="C2803" t="s">
        <v>141</v>
      </c>
      <c r="D2803" t="s">
        <v>43</v>
      </c>
      <c r="E2803" t="s">
        <v>9</v>
      </c>
      <c r="F2803">
        <v>56</v>
      </c>
      <c r="G2803" t="s">
        <v>118</v>
      </c>
      <c r="H2803" t="s">
        <v>32</v>
      </c>
      <c r="I2803" t="s">
        <v>114</v>
      </c>
      <c r="J2803" t="s">
        <v>13</v>
      </c>
      <c r="K2803">
        <v>2.6</v>
      </c>
      <c r="L2803" t="s">
        <v>140</v>
      </c>
      <c r="M2803" t="s">
        <v>15</v>
      </c>
      <c r="N2803" t="s">
        <v>140</v>
      </c>
      <c r="O2803">
        <v>30</v>
      </c>
      <c r="P2803" t="s">
        <v>34</v>
      </c>
      <c r="Q2803" t="s">
        <v>37</v>
      </c>
      <c r="R2803" t="str" cm="1">
        <f t="array" ref="R2803">_xlfn.IFS(B2803&lt;31,"Young-Adult",B2803&lt;41,"Adult",B2803&lt;61,"Middle-aged",B2803&gt;=61,"Senior")</f>
        <v>Senior</v>
      </c>
      <c r="S2803" cm="1">
        <f t="array" ref="S2803">_xlfn.IFS(Q2803 ="Fortnightly",14,Q2803="Weekly",7,Q2803="Monthly",30,Q2803="Quarterly",90,Q2803="Bi-Weekly",14,Q2803="Annually",365,Q2803="Every 3 Months",90,TRUE,"NOT FOUND")</f>
        <v>365</v>
      </c>
    </row>
    <row r="2804" spans="1:19" x14ac:dyDescent="0.35">
      <c r="A2804">
        <v>2803</v>
      </c>
      <c r="B2804">
        <v>22</v>
      </c>
      <c r="C2804" t="s">
        <v>141</v>
      </c>
      <c r="D2804" t="s">
        <v>50</v>
      </c>
      <c r="E2804" t="s">
        <v>51</v>
      </c>
      <c r="F2804">
        <v>100</v>
      </c>
      <c r="G2804" t="s">
        <v>65</v>
      </c>
      <c r="H2804" t="s">
        <v>11</v>
      </c>
      <c r="I2804" t="s">
        <v>96</v>
      </c>
      <c r="J2804" t="s">
        <v>45</v>
      </c>
      <c r="K2804">
        <v>3.1</v>
      </c>
      <c r="L2804" t="s">
        <v>140</v>
      </c>
      <c r="M2804" t="s">
        <v>62</v>
      </c>
      <c r="N2804" t="s">
        <v>140</v>
      </c>
      <c r="O2804">
        <v>42</v>
      </c>
      <c r="P2804" t="s">
        <v>27</v>
      </c>
      <c r="Q2804" t="s">
        <v>17</v>
      </c>
      <c r="R2804" t="str" cm="1">
        <f t="array" ref="R2804">_xlfn.IFS(B2804&lt;31,"Young-Adult",B2804&lt;41,"Adult",B2804&lt;61,"Middle-aged",B2804&gt;=61,"Senior")</f>
        <v>Young-Adult</v>
      </c>
      <c r="S2804" cm="1">
        <f t="array" ref="S2804">_xlfn.IFS(Q2804 ="Fortnightly",14,Q2804="Weekly",7,Q2804="Monthly",30,Q2804="Quarterly",90,Q2804="Bi-Weekly",14,Q2804="Annually",365,Q2804="Every 3 Months",90,TRUE,"NOT FOUND")</f>
        <v>14</v>
      </c>
    </row>
    <row r="2805" spans="1:19" x14ac:dyDescent="0.35">
      <c r="A2805">
        <v>2804</v>
      </c>
      <c r="B2805">
        <v>46</v>
      </c>
      <c r="C2805" t="s">
        <v>141</v>
      </c>
      <c r="D2805" t="s">
        <v>101</v>
      </c>
      <c r="E2805" t="s">
        <v>9</v>
      </c>
      <c r="F2805">
        <v>44</v>
      </c>
      <c r="G2805" t="s">
        <v>123</v>
      </c>
      <c r="H2805" t="s">
        <v>32</v>
      </c>
      <c r="I2805" t="s">
        <v>71</v>
      </c>
      <c r="J2805" t="s">
        <v>13</v>
      </c>
      <c r="K2805">
        <v>3.3</v>
      </c>
      <c r="L2805" t="s">
        <v>140</v>
      </c>
      <c r="M2805" t="s">
        <v>26</v>
      </c>
      <c r="N2805" t="s">
        <v>140</v>
      </c>
      <c r="O2805">
        <v>31</v>
      </c>
      <c r="P2805" t="s">
        <v>63</v>
      </c>
      <c r="Q2805" t="s">
        <v>76</v>
      </c>
      <c r="R2805" t="str" cm="1">
        <f t="array" ref="R2805">_xlfn.IFS(B2805&lt;31,"Young-Adult",B2805&lt;41,"Adult",B2805&lt;61,"Middle-aged",B2805&gt;=61,"Senior")</f>
        <v>Middle-aged</v>
      </c>
      <c r="S2805" cm="1">
        <f t="array" ref="S2805">_xlfn.IFS(Q2805 ="Fortnightly",14,Q2805="Weekly",7,Q2805="Monthly",30,Q2805="Quarterly",90,Q2805="Bi-Weekly",14,Q2805="Annually",365,Q2805="Every 3 Months",90,TRUE,"NOT FOUND")</f>
        <v>30</v>
      </c>
    </row>
    <row r="2806" spans="1:19" x14ac:dyDescent="0.35">
      <c r="A2806">
        <v>2805</v>
      </c>
      <c r="B2806">
        <v>65</v>
      </c>
      <c r="C2806" t="s">
        <v>141</v>
      </c>
      <c r="D2806" t="s">
        <v>92</v>
      </c>
      <c r="E2806" t="s">
        <v>9</v>
      </c>
      <c r="F2806">
        <v>76</v>
      </c>
      <c r="G2806" t="s">
        <v>119</v>
      </c>
      <c r="H2806" t="s">
        <v>32</v>
      </c>
      <c r="I2806" t="s">
        <v>97</v>
      </c>
      <c r="J2806" t="s">
        <v>25</v>
      </c>
      <c r="K2806">
        <v>2.8</v>
      </c>
      <c r="L2806" t="s">
        <v>140</v>
      </c>
      <c r="M2806" t="s">
        <v>42</v>
      </c>
      <c r="N2806" t="s">
        <v>140</v>
      </c>
      <c r="O2806">
        <v>48</v>
      </c>
      <c r="P2806" t="s">
        <v>63</v>
      </c>
      <c r="Q2806" t="s">
        <v>85</v>
      </c>
      <c r="R2806" t="str" cm="1">
        <f t="array" ref="R2806">_xlfn.IFS(B2806&lt;31,"Young-Adult",B2806&lt;41,"Adult",B2806&lt;61,"Middle-aged",B2806&gt;=61,"Senior")</f>
        <v>Senior</v>
      </c>
      <c r="S2806" cm="1">
        <f t="array" ref="S2806">_xlfn.IFS(Q2806 ="Fortnightly",14,Q2806="Weekly",7,Q2806="Monthly",30,Q2806="Quarterly",90,Q2806="Bi-Weekly",14,Q2806="Annually",365,Q2806="Every 3 Months",90,TRUE,"NOT FOUND")</f>
        <v>90</v>
      </c>
    </row>
    <row r="2807" spans="1:19" x14ac:dyDescent="0.35">
      <c r="A2807">
        <v>2806</v>
      </c>
      <c r="B2807">
        <v>18</v>
      </c>
      <c r="C2807" t="s">
        <v>141</v>
      </c>
      <c r="D2807" t="s">
        <v>77</v>
      </c>
      <c r="E2807" t="s">
        <v>55</v>
      </c>
      <c r="F2807">
        <v>97</v>
      </c>
      <c r="G2807" t="s">
        <v>95</v>
      </c>
      <c r="H2807" t="s">
        <v>24</v>
      </c>
      <c r="I2807" t="s">
        <v>82</v>
      </c>
      <c r="J2807" t="s">
        <v>45</v>
      </c>
      <c r="K2807">
        <v>4.3</v>
      </c>
      <c r="L2807" t="s">
        <v>140</v>
      </c>
      <c r="M2807" t="s">
        <v>42</v>
      </c>
      <c r="N2807" t="s">
        <v>140</v>
      </c>
      <c r="O2807">
        <v>48</v>
      </c>
      <c r="P2807" t="s">
        <v>21</v>
      </c>
      <c r="Q2807" t="s">
        <v>46</v>
      </c>
      <c r="R2807" t="str" cm="1">
        <f t="array" ref="R2807">_xlfn.IFS(B2807&lt;31,"Young-Adult",B2807&lt;41,"Adult",B2807&lt;61,"Middle-aged",B2807&gt;=61,"Senior")</f>
        <v>Young-Adult</v>
      </c>
      <c r="S2807" cm="1">
        <f t="array" ref="S2807">_xlfn.IFS(Q2807 ="Fortnightly",14,Q2807="Weekly",7,Q2807="Monthly",30,Q2807="Quarterly",90,Q2807="Bi-Weekly",14,Q2807="Annually",365,Q2807="Every 3 Months",90,TRUE,"NOT FOUND")</f>
        <v>90</v>
      </c>
    </row>
    <row r="2808" spans="1:19" x14ac:dyDescent="0.35">
      <c r="A2808">
        <v>2807</v>
      </c>
      <c r="B2808">
        <v>45</v>
      </c>
      <c r="C2808" t="s">
        <v>141</v>
      </c>
      <c r="D2808" t="s">
        <v>8</v>
      </c>
      <c r="E2808" t="s">
        <v>9</v>
      </c>
      <c r="F2808">
        <v>39</v>
      </c>
      <c r="G2808" t="s">
        <v>119</v>
      </c>
      <c r="H2808" t="s">
        <v>11</v>
      </c>
      <c r="I2808" t="s">
        <v>61</v>
      </c>
      <c r="J2808" t="s">
        <v>25</v>
      </c>
      <c r="K2808">
        <v>2.7</v>
      </c>
      <c r="L2808" t="s">
        <v>140</v>
      </c>
      <c r="M2808" t="s">
        <v>42</v>
      </c>
      <c r="N2808" t="s">
        <v>140</v>
      </c>
      <c r="O2808">
        <v>50</v>
      </c>
      <c r="P2808" t="s">
        <v>27</v>
      </c>
      <c r="Q2808" t="s">
        <v>37</v>
      </c>
      <c r="R2808" t="str" cm="1">
        <f t="array" ref="R2808">_xlfn.IFS(B2808&lt;31,"Young-Adult",B2808&lt;41,"Adult",B2808&lt;61,"Middle-aged",B2808&gt;=61,"Senior")</f>
        <v>Middle-aged</v>
      </c>
      <c r="S2808" cm="1">
        <f t="array" ref="S2808">_xlfn.IFS(Q2808 ="Fortnightly",14,Q2808="Weekly",7,Q2808="Monthly",30,Q2808="Quarterly",90,Q2808="Bi-Weekly",14,Q2808="Annually",365,Q2808="Every 3 Months",90,TRUE,"NOT FOUND")</f>
        <v>365</v>
      </c>
    </row>
    <row r="2809" spans="1:19" x14ac:dyDescent="0.35">
      <c r="A2809">
        <v>2808</v>
      </c>
      <c r="B2809">
        <v>56</v>
      </c>
      <c r="C2809" t="s">
        <v>141</v>
      </c>
      <c r="D2809" t="s">
        <v>92</v>
      </c>
      <c r="E2809" t="s">
        <v>9</v>
      </c>
      <c r="F2809">
        <v>100</v>
      </c>
      <c r="G2809" t="s">
        <v>116</v>
      </c>
      <c r="H2809" t="s">
        <v>32</v>
      </c>
      <c r="I2809" t="s">
        <v>49</v>
      </c>
      <c r="J2809" t="s">
        <v>25</v>
      </c>
      <c r="K2809">
        <v>4.4000000000000004</v>
      </c>
      <c r="L2809" t="s">
        <v>140</v>
      </c>
      <c r="M2809" t="s">
        <v>58</v>
      </c>
      <c r="N2809" t="s">
        <v>140</v>
      </c>
      <c r="O2809">
        <v>10</v>
      </c>
      <c r="P2809" t="s">
        <v>74</v>
      </c>
      <c r="Q2809" t="s">
        <v>17</v>
      </c>
      <c r="R2809" t="str" cm="1">
        <f t="array" ref="R2809">_xlfn.IFS(B2809&lt;31,"Young-Adult",B2809&lt;41,"Adult",B2809&lt;61,"Middle-aged",B2809&gt;=61,"Senior")</f>
        <v>Middle-aged</v>
      </c>
      <c r="S2809" cm="1">
        <f t="array" ref="S2809">_xlfn.IFS(Q2809 ="Fortnightly",14,Q2809="Weekly",7,Q2809="Monthly",30,Q2809="Quarterly",90,Q2809="Bi-Weekly",14,Q2809="Annually",365,Q2809="Every 3 Months",90,TRUE,"NOT FOUND")</f>
        <v>14</v>
      </c>
    </row>
    <row r="2810" spans="1:19" x14ac:dyDescent="0.35">
      <c r="A2810">
        <v>2809</v>
      </c>
      <c r="B2810">
        <v>49</v>
      </c>
      <c r="C2810" t="s">
        <v>141</v>
      </c>
      <c r="D2810" t="s">
        <v>75</v>
      </c>
      <c r="E2810" t="s">
        <v>9</v>
      </c>
      <c r="F2810">
        <v>62</v>
      </c>
      <c r="G2810" t="s">
        <v>110</v>
      </c>
      <c r="H2810" t="s">
        <v>32</v>
      </c>
      <c r="I2810" t="s">
        <v>106</v>
      </c>
      <c r="J2810" t="s">
        <v>25</v>
      </c>
      <c r="K2810">
        <v>3.9</v>
      </c>
      <c r="L2810" t="s">
        <v>140</v>
      </c>
      <c r="M2810" t="s">
        <v>26</v>
      </c>
      <c r="N2810" t="s">
        <v>140</v>
      </c>
      <c r="O2810">
        <v>45</v>
      </c>
      <c r="P2810" t="s">
        <v>34</v>
      </c>
      <c r="Q2810" t="s">
        <v>85</v>
      </c>
      <c r="R2810" t="str" cm="1">
        <f t="array" ref="R2810">_xlfn.IFS(B2810&lt;31,"Young-Adult",B2810&lt;41,"Adult",B2810&lt;61,"Middle-aged",B2810&gt;=61,"Senior")</f>
        <v>Middle-aged</v>
      </c>
      <c r="S2810" cm="1">
        <f t="array" ref="S2810">_xlfn.IFS(Q2810 ="Fortnightly",14,Q2810="Weekly",7,Q2810="Monthly",30,Q2810="Quarterly",90,Q2810="Bi-Weekly",14,Q2810="Annually",365,Q2810="Every 3 Months",90,TRUE,"NOT FOUND")</f>
        <v>90</v>
      </c>
    </row>
    <row r="2811" spans="1:19" x14ac:dyDescent="0.35">
      <c r="A2811">
        <v>2810</v>
      </c>
      <c r="B2811">
        <v>66</v>
      </c>
      <c r="C2811" t="s">
        <v>141</v>
      </c>
      <c r="D2811" t="s">
        <v>47</v>
      </c>
      <c r="E2811" t="s">
        <v>9</v>
      </c>
      <c r="F2811">
        <v>98</v>
      </c>
      <c r="G2811" t="s">
        <v>60</v>
      </c>
      <c r="H2811" t="s">
        <v>80</v>
      </c>
      <c r="I2811" t="s">
        <v>73</v>
      </c>
      <c r="J2811" t="s">
        <v>41</v>
      </c>
      <c r="K2811">
        <v>3</v>
      </c>
      <c r="L2811" t="s">
        <v>140</v>
      </c>
      <c r="M2811" t="s">
        <v>42</v>
      </c>
      <c r="N2811" t="s">
        <v>140</v>
      </c>
      <c r="O2811">
        <v>27</v>
      </c>
      <c r="P2811" t="s">
        <v>74</v>
      </c>
      <c r="Q2811" t="s">
        <v>46</v>
      </c>
      <c r="R2811" t="str" cm="1">
        <f t="array" ref="R2811">_xlfn.IFS(B2811&lt;31,"Young-Adult",B2811&lt;41,"Adult",B2811&lt;61,"Middle-aged",B2811&gt;=61,"Senior")</f>
        <v>Senior</v>
      </c>
      <c r="S2811" cm="1">
        <f t="array" ref="S2811">_xlfn.IFS(Q2811 ="Fortnightly",14,Q2811="Weekly",7,Q2811="Monthly",30,Q2811="Quarterly",90,Q2811="Bi-Weekly",14,Q2811="Annually",365,Q2811="Every 3 Months",90,TRUE,"NOT FOUND")</f>
        <v>90</v>
      </c>
    </row>
    <row r="2812" spans="1:19" x14ac:dyDescent="0.35">
      <c r="A2812">
        <v>2811</v>
      </c>
      <c r="B2812">
        <v>27</v>
      </c>
      <c r="C2812" t="s">
        <v>141</v>
      </c>
      <c r="D2812" t="s">
        <v>22</v>
      </c>
      <c r="E2812" t="s">
        <v>9</v>
      </c>
      <c r="F2812">
        <v>31</v>
      </c>
      <c r="G2812" t="s">
        <v>105</v>
      </c>
      <c r="H2812" t="s">
        <v>32</v>
      </c>
      <c r="I2812" t="s">
        <v>61</v>
      </c>
      <c r="J2812" t="s">
        <v>41</v>
      </c>
      <c r="K2812">
        <v>4</v>
      </c>
      <c r="L2812" t="s">
        <v>140</v>
      </c>
      <c r="M2812" t="s">
        <v>42</v>
      </c>
      <c r="N2812" t="s">
        <v>140</v>
      </c>
      <c r="O2812">
        <v>10</v>
      </c>
      <c r="P2812" t="s">
        <v>74</v>
      </c>
      <c r="Q2812" t="s">
        <v>17</v>
      </c>
      <c r="R2812" t="str" cm="1">
        <f t="array" ref="R2812">_xlfn.IFS(B2812&lt;31,"Young-Adult",B2812&lt;41,"Adult",B2812&lt;61,"Middle-aged",B2812&gt;=61,"Senior")</f>
        <v>Young-Adult</v>
      </c>
      <c r="S2812" cm="1">
        <f t="array" ref="S2812">_xlfn.IFS(Q2812 ="Fortnightly",14,Q2812="Weekly",7,Q2812="Monthly",30,Q2812="Quarterly",90,Q2812="Bi-Weekly",14,Q2812="Annually",365,Q2812="Every 3 Months",90,TRUE,"NOT FOUND")</f>
        <v>14</v>
      </c>
    </row>
    <row r="2813" spans="1:19" x14ac:dyDescent="0.35">
      <c r="A2813">
        <v>2812</v>
      </c>
      <c r="B2813">
        <v>69</v>
      </c>
      <c r="C2813" t="s">
        <v>141</v>
      </c>
      <c r="D2813" t="s">
        <v>90</v>
      </c>
      <c r="E2813" t="s">
        <v>51</v>
      </c>
      <c r="F2813">
        <v>89</v>
      </c>
      <c r="G2813" t="s">
        <v>111</v>
      </c>
      <c r="H2813" t="s">
        <v>32</v>
      </c>
      <c r="I2813" t="s">
        <v>132</v>
      </c>
      <c r="J2813" t="s">
        <v>45</v>
      </c>
      <c r="K2813">
        <v>3.7</v>
      </c>
      <c r="L2813" t="s">
        <v>140</v>
      </c>
      <c r="M2813" t="s">
        <v>62</v>
      </c>
      <c r="N2813" t="s">
        <v>140</v>
      </c>
      <c r="O2813">
        <v>19</v>
      </c>
      <c r="P2813" t="s">
        <v>27</v>
      </c>
      <c r="Q2813" t="s">
        <v>46</v>
      </c>
      <c r="R2813" t="str" cm="1">
        <f t="array" ref="R2813">_xlfn.IFS(B2813&lt;31,"Young-Adult",B2813&lt;41,"Adult",B2813&lt;61,"Middle-aged",B2813&gt;=61,"Senior")</f>
        <v>Senior</v>
      </c>
      <c r="S2813" cm="1">
        <f t="array" ref="S2813">_xlfn.IFS(Q2813 ="Fortnightly",14,Q2813="Weekly",7,Q2813="Monthly",30,Q2813="Quarterly",90,Q2813="Bi-Weekly",14,Q2813="Annually",365,Q2813="Every 3 Months",90,TRUE,"NOT FOUND")</f>
        <v>90</v>
      </c>
    </row>
    <row r="2814" spans="1:19" x14ac:dyDescent="0.35">
      <c r="A2814">
        <v>2813</v>
      </c>
      <c r="B2814">
        <v>66</v>
      </c>
      <c r="C2814" t="s">
        <v>141</v>
      </c>
      <c r="D2814" t="s">
        <v>92</v>
      </c>
      <c r="E2814" t="s">
        <v>9</v>
      </c>
      <c r="F2814">
        <v>91</v>
      </c>
      <c r="G2814" t="s">
        <v>102</v>
      </c>
      <c r="H2814" t="s">
        <v>80</v>
      </c>
      <c r="I2814" t="s">
        <v>124</v>
      </c>
      <c r="J2814" t="s">
        <v>45</v>
      </c>
      <c r="K2814">
        <v>3.8</v>
      </c>
      <c r="L2814" t="s">
        <v>140</v>
      </c>
      <c r="M2814" t="s">
        <v>62</v>
      </c>
      <c r="N2814" t="s">
        <v>140</v>
      </c>
      <c r="O2814">
        <v>1</v>
      </c>
      <c r="P2814" t="s">
        <v>27</v>
      </c>
      <c r="Q2814" t="s">
        <v>85</v>
      </c>
      <c r="R2814" t="str" cm="1">
        <f t="array" ref="R2814">_xlfn.IFS(B2814&lt;31,"Young-Adult",B2814&lt;41,"Adult",B2814&lt;61,"Middle-aged",B2814&gt;=61,"Senior")</f>
        <v>Senior</v>
      </c>
      <c r="S2814" cm="1">
        <f t="array" ref="S2814">_xlfn.IFS(Q2814 ="Fortnightly",14,Q2814="Weekly",7,Q2814="Monthly",30,Q2814="Quarterly",90,Q2814="Bi-Weekly",14,Q2814="Annually",365,Q2814="Every 3 Months",90,TRUE,"NOT FOUND")</f>
        <v>90</v>
      </c>
    </row>
    <row r="2815" spans="1:19" x14ac:dyDescent="0.35">
      <c r="A2815">
        <v>2814</v>
      </c>
      <c r="B2815">
        <v>45</v>
      </c>
      <c r="C2815" t="s">
        <v>141</v>
      </c>
      <c r="D2815" t="s">
        <v>43</v>
      </c>
      <c r="E2815" t="s">
        <v>9</v>
      </c>
      <c r="F2815">
        <v>50</v>
      </c>
      <c r="G2815" t="s">
        <v>117</v>
      </c>
      <c r="H2815" t="s">
        <v>24</v>
      </c>
      <c r="I2815" t="s">
        <v>20</v>
      </c>
      <c r="J2815" t="s">
        <v>41</v>
      </c>
      <c r="K2815">
        <v>3.3</v>
      </c>
      <c r="L2815" t="s">
        <v>140</v>
      </c>
      <c r="M2815" t="s">
        <v>58</v>
      </c>
      <c r="N2815" t="s">
        <v>140</v>
      </c>
      <c r="O2815">
        <v>39</v>
      </c>
      <c r="P2815" t="s">
        <v>74</v>
      </c>
      <c r="Q2815" t="s">
        <v>46</v>
      </c>
      <c r="R2815" t="str" cm="1">
        <f t="array" ref="R2815">_xlfn.IFS(B2815&lt;31,"Young-Adult",B2815&lt;41,"Adult",B2815&lt;61,"Middle-aged",B2815&gt;=61,"Senior")</f>
        <v>Middle-aged</v>
      </c>
      <c r="S2815" cm="1">
        <f t="array" ref="S2815">_xlfn.IFS(Q2815 ="Fortnightly",14,Q2815="Weekly",7,Q2815="Monthly",30,Q2815="Quarterly",90,Q2815="Bi-Weekly",14,Q2815="Annually",365,Q2815="Every 3 Months",90,TRUE,"NOT FOUND")</f>
        <v>90</v>
      </c>
    </row>
    <row r="2816" spans="1:19" x14ac:dyDescent="0.35">
      <c r="A2816">
        <v>2815</v>
      </c>
      <c r="B2816">
        <v>31</v>
      </c>
      <c r="C2816" t="s">
        <v>141</v>
      </c>
      <c r="D2816" t="s">
        <v>101</v>
      </c>
      <c r="E2816" t="s">
        <v>9</v>
      </c>
      <c r="F2816">
        <v>32</v>
      </c>
      <c r="G2816" t="s">
        <v>136</v>
      </c>
      <c r="H2816" t="s">
        <v>11</v>
      </c>
      <c r="I2816" t="s">
        <v>68</v>
      </c>
      <c r="J2816" t="s">
        <v>13</v>
      </c>
      <c r="K2816">
        <v>3.6</v>
      </c>
      <c r="L2816" t="s">
        <v>140</v>
      </c>
      <c r="M2816" t="s">
        <v>42</v>
      </c>
      <c r="N2816" t="s">
        <v>140</v>
      </c>
      <c r="O2816">
        <v>14</v>
      </c>
      <c r="P2816" t="s">
        <v>63</v>
      </c>
      <c r="Q2816" t="s">
        <v>76</v>
      </c>
      <c r="R2816" t="str" cm="1">
        <f t="array" ref="R2816">_xlfn.IFS(B2816&lt;31,"Young-Adult",B2816&lt;41,"Adult",B2816&lt;61,"Middle-aged",B2816&gt;=61,"Senior")</f>
        <v>Adult</v>
      </c>
      <c r="S2816" cm="1">
        <f t="array" ref="S2816">_xlfn.IFS(Q2816 ="Fortnightly",14,Q2816="Weekly",7,Q2816="Monthly",30,Q2816="Quarterly",90,Q2816="Bi-Weekly",14,Q2816="Annually",365,Q2816="Every 3 Months",90,TRUE,"NOT FOUND")</f>
        <v>30</v>
      </c>
    </row>
    <row r="2817" spans="1:19" x14ac:dyDescent="0.35">
      <c r="A2817">
        <v>2816</v>
      </c>
      <c r="B2817">
        <v>33</v>
      </c>
      <c r="C2817" t="s">
        <v>141</v>
      </c>
      <c r="D2817" t="s">
        <v>8</v>
      </c>
      <c r="E2817" t="s">
        <v>9</v>
      </c>
      <c r="F2817">
        <v>67</v>
      </c>
      <c r="G2817" t="s">
        <v>123</v>
      </c>
      <c r="H2817" t="s">
        <v>11</v>
      </c>
      <c r="I2817" t="s">
        <v>82</v>
      </c>
      <c r="J2817" t="s">
        <v>45</v>
      </c>
      <c r="K2817">
        <v>3.9</v>
      </c>
      <c r="L2817" t="s">
        <v>140</v>
      </c>
      <c r="M2817" t="s">
        <v>26</v>
      </c>
      <c r="N2817" t="s">
        <v>140</v>
      </c>
      <c r="O2817">
        <v>40</v>
      </c>
      <c r="P2817" t="s">
        <v>16</v>
      </c>
      <c r="Q2817" t="s">
        <v>85</v>
      </c>
      <c r="R2817" t="str" cm="1">
        <f t="array" ref="R2817">_xlfn.IFS(B2817&lt;31,"Young-Adult",B2817&lt;41,"Adult",B2817&lt;61,"Middle-aged",B2817&gt;=61,"Senior")</f>
        <v>Adult</v>
      </c>
      <c r="S2817" cm="1">
        <f t="array" ref="S2817">_xlfn.IFS(Q2817 ="Fortnightly",14,Q2817="Weekly",7,Q2817="Monthly",30,Q2817="Quarterly",90,Q2817="Bi-Weekly",14,Q2817="Annually",365,Q2817="Every 3 Months",90,TRUE,"NOT FOUND")</f>
        <v>90</v>
      </c>
    </row>
    <row r="2818" spans="1:19" x14ac:dyDescent="0.35">
      <c r="A2818">
        <v>2817</v>
      </c>
      <c r="B2818">
        <v>43</v>
      </c>
      <c r="C2818" t="s">
        <v>141</v>
      </c>
      <c r="D2818" t="s">
        <v>75</v>
      </c>
      <c r="E2818" t="s">
        <v>9</v>
      </c>
      <c r="F2818">
        <v>28</v>
      </c>
      <c r="G2818" t="s">
        <v>116</v>
      </c>
      <c r="H2818" t="s">
        <v>32</v>
      </c>
      <c r="I2818" t="s">
        <v>82</v>
      </c>
      <c r="J2818" t="s">
        <v>25</v>
      </c>
      <c r="K2818">
        <v>3.5</v>
      </c>
      <c r="L2818" t="s">
        <v>140</v>
      </c>
      <c r="M2818" t="s">
        <v>26</v>
      </c>
      <c r="N2818" t="s">
        <v>140</v>
      </c>
      <c r="O2818">
        <v>45</v>
      </c>
      <c r="P2818" t="s">
        <v>16</v>
      </c>
      <c r="Q2818" t="s">
        <v>28</v>
      </c>
      <c r="R2818" t="str" cm="1">
        <f t="array" ref="R2818">_xlfn.IFS(B2818&lt;31,"Young-Adult",B2818&lt;41,"Adult",B2818&lt;61,"Middle-aged",B2818&gt;=61,"Senior")</f>
        <v>Middle-aged</v>
      </c>
      <c r="S2818" cm="1">
        <f t="array" ref="S2818">_xlfn.IFS(Q2818 ="Fortnightly",14,Q2818="Weekly",7,Q2818="Monthly",30,Q2818="Quarterly",90,Q2818="Bi-Weekly",14,Q2818="Annually",365,Q2818="Every 3 Months",90,TRUE,"NOT FOUND")</f>
        <v>7</v>
      </c>
    </row>
    <row r="2819" spans="1:19" x14ac:dyDescent="0.35">
      <c r="A2819">
        <v>2818</v>
      </c>
      <c r="B2819">
        <v>25</v>
      </c>
      <c r="C2819" t="s">
        <v>141</v>
      </c>
      <c r="D2819" t="s">
        <v>120</v>
      </c>
      <c r="E2819" t="s">
        <v>55</v>
      </c>
      <c r="F2819">
        <v>65</v>
      </c>
      <c r="G2819" t="s">
        <v>119</v>
      </c>
      <c r="H2819" t="s">
        <v>80</v>
      </c>
      <c r="I2819" t="s">
        <v>122</v>
      </c>
      <c r="J2819" t="s">
        <v>13</v>
      </c>
      <c r="K2819">
        <v>3.4</v>
      </c>
      <c r="L2819" t="s">
        <v>140</v>
      </c>
      <c r="M2819" t="s">
        <v>42</v>
      </c>
      <c r="N2819" t="s">
        <v>140</v>
      </c>
      <c r="O2819">
        <v>6</v>
      </c>
      <c r="P2819" t="s">
        <v>16</v>
      </c>
      <c r="Q2819" t="s">
        <v>28</v>
      </c>
      <c r="R2819" t="str" cm="1">
        <f t="array" ref="R2819">_xlfn.IFS(B2819&lt;31,"Young-Adult",B2819&lt;41,"Adult",B2819&lt;61,"Middle-aged",B2819&gt;=61,"Senior")</f>
        <v>Young-Adult</v>
      </c>
      <c r="S2819" cm="1">
        <f t="array" ref="S2819">_xlfn.IFS(Q2819 ="Fortnightly",14,Q2819="Weekly",7,Q2819="Monthly",30,Q2819="Quarterly",90,Q2819="Bi-Weekly",14,Q2819="Annually",365,Q2819="Every 3 Months",90,TRUE,"NOT FOUND")</f>
        <v>7</v>
      </c>
    </row>
    <row r="2820" spans="1:19" x14ac:dyDescent="0.35">
      <c r="A2820">
        <v>2819</v>
      </c>
      <c r="B2820">
        <v>46</v>
      </c>
      <c r="C2820" t="s">
        <v>141</v>
      </c>
      <c r="D2820" t="s">
        <v>47</v>
      </c>
      <c r="E2820" t="s">
        <v>9</v>
      </c>
      <c r="F2820">
        <v>73</v>
      </c>
      <c r="G2820" t="s">
        <v>87</v>
      </c>
      <c r="H2820" t="s">
        <v>32</v>
      </c>
      <c r="I2820" t="s">
        <v>36</v>
      </c>
      <c r="J2820" t="s">
        <v>45</v>
      </c>
      <c r="K2820">
        <v>4.7</v>
      </c>
      <c r="L2820" t="s">
        <v>140</v>
      </c>
      <c r="M2820" t="s">
        <v>33</v>
      </c>
      <c r="N2820" t="s">
        <v>140</v>
      </c>
      <c r="O2820">
        <v>12</v>
      </c>
      <c r="P2820" t="s">
        <v>74</v>
      </c>
      <c r="Q2820" t="s">
        <v>37</v>
      </c>
      <c r="R2820" t="str" cm="1">
        <f t="array" ref="R2820">_xlfn.IFS(B2820&lt;31,"Young-Adult",B2820&lt;41,"Adult",B2820&lt;61,"Middle-aged",B2820&gt;=61,"Senior")</f>
        <v>Middle-aged</v>
      </c>
      <c r="S2820" cm="1">
        <f t="array" ref="S2820">_xlfn.IFS(Q2820 ="Fortnightly",14,Q2820="Weekly",7,Q2820="Monthly",30,Q2820="Quarterly",90,Q2820="Bi-Weekly",14,Q2820="Annually",365,Q2820="Every 3 Months",90,TRUE,"NOT FOUND")</f>
        <v>365</v>
      </c>
    </row>
    <row r="2821" spans="1:19" x14ac:dyDescent="0.35">
      <c r="A2821">
        <v>2820</v>
      </c>
      <c r="B2821">
        <v>67</v>
      </c>
      <c r="C2821" t="s">
        <v>141</v>
      </c>
      <c r="D2821" t="s">
        <v>43</v>
      </c>
      <c r="E2821" t="s">
        <v>9</v>
      </c>
      <c r="F2821">
        <v>27</v>
      </c>
      <c r="G2821" t="s">
        <v>130</v>
      </c>
      <c r="H2821" t="s">
        <v>11</v>
      </c>
      <c r="I2821" t="s">
        <v>81</v>
      </c>
      <c r="J2821" t="s">
        <v>25</v>
      </c>
      <c r="K2821">
        <v>3</v>
      </c>
      <c r="L2821" t="s">
        <v>140</v>
      </c>
      <c r="M2821" t="s">
        <v>26</v>
      </c>
      <c r="N2821" t="s">
        <v>140</v>
      </c>
      <c r="O2821">
        <v>19</v>
      </c>
      <c r="P2821" t="s">
        <v>21</v>
      </c>
      <c r="Q2821" t="s">
        <v>76</v>
      </c>
      <c r="R2821" t="str" cm="1">
        <f t="array" ref="R2821">_xlfn.IFS(B2821&lt;31,"Young-Adult",B2821&lt;41,"Adult",B2821&lt;61,"Middle-aged",B2821&gt;=61,"Senior")</f>
        <v>Senior</v>
      </c>
      <c r="S2821" cm="1">
        <f t="array" ref="S2821">_xlfn.IFS(Q2821 ="Fortnightly",14,Q2821="Weekly",7,Q2821="Monthly",30,Q2821="Quarterly",90,Q2821="Bi-Weekly",14,Q2821="Annually",365,Q2821="Every 3 Months",90,TRUE,"NOT FOUND")</f>
        <v>30</v>
      </c>
    </row>
    <row r="2822" spans="1:19" x14ac:dyDescent="0.35">
      <c r="A2822">
        <v>2821</v>
      </c>
      <c r="B2822">
        <v>26</v>
      </c>
      <c r="C2822" t="s">
        <v>141</v>
      </c>
      <c r="D2822" t="s">
        <v>120</v>
      </c>
      <c r="E2822" t="s">
        <v>55</v>
      </c>
      <c r="F2822">
        <v>89</v>
      </c>
      <c r="G2822" t="s">
        <v>117</v>
      </c>
      <c r="H2822" t="s">
        <v>11</v>
      </c>
      <c r="I2822" t="s">
        <v>122</v>
      </c>
      <c r="J2822" t="s">
        <v>41</v>
      </c>
      <c r="K2822">
        <v>3.9</v>
      </c>
      <c r="L2822" t="s">
        <v>140</v>
      </c>
      <c r="M2822" t="s">
        <v>26</v>
      </c>
      <c r="N2822" t="s">
        <v>140</v>
      </c>
      <c r="O2822">
        <v>5</v>
      </c>
      <c r="P2822" t="s">
        <v>21</v>
      </c>
      <c r="Q2822" t="s">
        <v>64</v>
      </c>
      <c r="R2822" t="str" cm="1">
        <f t="array" ref="R2822">_xlfn.IFS(B2822&lt;31,"Young-Adult",B2822&lt;41,"Adult",B2822&lt;61,"Middle-aged",B2822&gt;=61,"Senior")</f>
        <v>Young-Adult</v>
      </c>
      <c r="S2822" cm="1">
        <f t="array" ref="S2822">_xlfn.IFS(Q2822 ="Fortnightly",14,Q2822="Weekly",7,Q2822="Monthly",30,Q2822="Quarterly",90,Q2822="Bi-Weekly",14,Q2822="Annually",365,Q2822="Every 3 Months",90,TRUE,"NOT FOUND")</f>
        <v>14</v>
      </c>
    </row>
    <row r="2823" spans="1:19" x14ac:dyDescent="0.35">
      <c r="A2823">
        <v>2822</v>
      </c>
      <c r="B2823">
        <v>35</v>
      </c>
      <c r="C2823" t="s">
        <v>141</v>
      </c>
      <c r="D2823" t="s">
        <v>59</v>
      </c>
      <c r="E2823" t="s">
        <v>30</v>
      </c>
      <c r="F2823">
        <v>72</v>
      </c>
      <c r="G2823" t="s">
        <v>130</v>
      </c>
      <c r="H2823" t="s">
        <v>11</v>
      </c>
      <c r="I2823" t="s">
        <v>66</v>
      </c>
      <c r="J2823" t="s">
        <v>41</v>
      </c>
      <c r="K2823">
        <v>4.5</v>
      </c>
      <c r="L2823" t="s">
        <v>140</v>
      </c>
      <c r="M2823" t="s">
        <v>42</v>
      </c>
      <c r="N2823" t="s">
        <v>140</v>
      </c>
      <c r="O2823">
        <v>37</v>
      </c>
      <c r="P2823" t="s">
        <v>16</v>
      </c>
      <c r="Q2823" t="s">
        <v>76</v>
      </c>
      <c r="R2823" t="str" cm="1">
        <f t="array" ref="R2823">_xlfn.IFS(B2823&lt;31,"Young-Adult",B2823&lt;41,"Adult",B2823&lt;61,"Middle-aged",B2823&gt;=61,"Senior")</f>
        <v>Adult</v>
      </c>
      <c r="S2823" cm="1">
        <f t="array" ref="S2823">_xlfn.IFS(Q2823 ="Fortnightly",14,Q2823="Weekly",7,Q2823="Monthly",30,Q2823="Quarterly",90,Q2823="Bi-Weekly",14,Q2823="Annually",365,Q2823="Every 3 Months",90,TRUE,"NOT FOUND")</f>
        <v>30</v>
      </c>
    </row>
    <row r="2824" spans="1:19" x14ac:dyDescent="0.35">
      <c r="A2824">
        <v>2823</v>
      </c>
      <c r="B2824">
        <v>61</v>
      </c>
      <c r="C2824" t="s">
        <v>141</v>
      </c>
      <c r="D2824" t="s">
        <v>75</v>
      </c>
      <c r="E2824" t="s">
        <v>9</v>
      </c>
      <c r="F2824">
        <v>37</v>
      </c>
      <c r="G2824" t="s">
        <v>115</v>
      </c>
      <c r="H2824" t="s">
        <v>24</v>
      </c>
      <c r="I2824" t="s">
        <v>98</v>
      </c>
      <c r="J2824" t="s">
        <v>45</v>
      </c>
      <c r="K2824">
        <v>4.0999999999999996</v>
      </c>
      <c r="L2824" t="s">
        <v>140</v>
      </c>
      <c r="M2824" t="s">
        <v>42</v>
      </c>
      <c r="N2824" t="s">
        <v>140</v>
      </c>
      <c r="O2824">
        <v>33</v>
      </c>
      <c r="P2824" t="s">
        <v>34</v>
      </c>
      <c r="Q2824" t="s">
        <v>46</v>
      </c>
      <c r="R2824" t="str" cm="1">
        <f t="array" ref="R2824">_xlfn.IFS(B2824&lt;31,"Young-Adult",B2824&lt;41,"Adult",B2824&lt;61,"Middle-aged",B2824&gt;=61,"Senior")</f>
        <v>Senior</v>
      </c>
      <c r="S2824" cm="1">
        <f t="array" ref="S2824">_xlfn.IFS(Q2824 ="Fortnightly",14,Q2824="Weekly",7,Q2824="Monthly",30,Q2824="Quarterly",90,Q2824="Bi-Weekly",14,Q2824="Annually",365,Q2824="Every 3 Months",90,TRUE,"NOT FOUND")</f>
        <v>90</v>
      </c>
    </row>
    <row r="2825" spans="1:19" x14ac:dyDescent="0.35">
      <c r="A2825">
        <v>2824</v>
      </c>
      <c r="B2825">
        <v>26</v>
      </c>
      <c r="C2825" t="s">
        <v>141</v>
      </c>
      <c r="D2825" t="s">
        <v>69</v>
      </c>
      <c r="E2825" t="s">
        <v>9</v>
      </c>
      <c r="F2825">
        <v>63</v>
      </c>
      <c r="G2825" t="s">
        <v>128</v>
      </c>
      <c r="H2825" t="s">
        <v>32</v>
      </c>
      <c r="I2825" t="s">
        <v>66</v>
      </c>
      <c r="J2825" t="s">
        <v>41</v>
      </c>
      <c r="K2825">
        <v>4.5</v>
      </c>
      <c r="L2825" t="s">
        <v>140</v>
      </c>
      <c r="M2825" t="s">
        <v>42</v>
      </c>
      <c r="N2825" t="s">
        <v>140</v>
      </c>
      <c r="O2825">
        <v>47</v>
      </c>
      <c r="P2825" t="s">
        <v>74</v>
      </c>
      <c r="Q2825" t="s">
        <v>64</v>
      </c>
      <c r="R2825" t="str" cm="1">
        <f t="array" ref="R2825">_xlfn.IFS(B2825&lt;31,"Young-Adult",B2825&lt;41,"Adult",B2825&lt;61,"Middle-aged",B2825&gt;=61,"Senior")</f>
        <v>Young-Adult</v>
      </c>
      <c r="S2825" cm="1">
        <f t="array" ref="S2825">_xlfn.IFS(Q2825 ="Fortnightly",14,Q2825="Weekly",7,Q2825="Monthly",30,Q2825="Quarterly",90,Q2825="Bi-Weekly",14,Q2825="Annually",365,Q2825="Every 3 Months",90,TRUE,"NOT FOUND")</f>
        <v>14</v>
      </c>
    </row>
    <row r="2826" spans="1:19" x14ac:dyDescent="0.35">
      <c r="A2826">
        <v>2825</v>
      </c>
      <c r="B2826">
        <v>39</v>
      </c>
      <c r="C2826" t="s">
        <v>141</v>
      </c>
      <c r="D2826" t="s">
        <v>112</v>
      </c>
      <c r="E2826" t="s">
        <v>55</v>
      </c>
      <c r="F2826">
        <v>90</v>
      </c>
      <c r="G2826" t="s">
        <v>128</v>
      </c>
      <c r="H2826" t="s">
        <v>32</v>
      </c>
      <c r="I2826" t="s">
        <v>61</v>
      </c>
      <c r="J2826" t="s">
        <v>45</v>
      </c>
      <c r="K2826">
        <v>4</v>
      </c>
      <c r="L2826" t="s">
        <v>140</v>
      </c>
      <c r="M2826" t="s">
        <v>26</v>
      </c>
      <c r="N2826" t="s">
        <v>140</v>
      </c>
      <c r="O2826">
        <v>49</v>
      </c>
      <c r="P2826" t="s">
        <v>74</v>
      </c>
      <c r="Q2826" t="s">
        <v>46</v>
      </c>
      <c r="R2826" t="str" cm="1">
        <f t="array" ref="R2826">_xlfn.IFS(B2826&lt;31,"Young-Adult",B2826&lt;41,"Adult",B2826&lt;61,"Middle-aged",B2826&gt;=61,"Senior")</f>
        <v>Adult</v>
      </c>
      <c r="S2826" cm="1">
        <f t="array" ref="S2826">_xlfn.IFS(Q2826 ="Fortnightly",14,Q2826="Weekly",7,Q2826="Monthly",30,Q2826="Quarterly",90,Q2826="Bi-Weekly",14,Q2826="Annually",365,Q2826="Every 3 Months",90,TRUE,"NOT FOUND")</f>
        <v>90</v>
      </c>
    </row>
    <row r="2827" spans="1:19" x14ac:dyDescent="0.35">
      <c r="A2827">
        <v>2826</v>
      </c>
      <c r="B2827">
        <v>69</v>
      </c>
      <c r="C2827" t="s">
        <v>141</v>
      </c>
      <c r="D2827" t="s">
        <v>54</v>
      </c>
      <c r="E2827" t="s">
        <v>55</v>
      </c>
      <c r="F2827">
        <v>62</v>
      </c>
      <c r="G2827" t="s">
        <v>86</v>
      </c>
      <c r="H2827" t="s">
        <v>32</v>
      </c>
      <c r="I2827" t="s">
        <v>122</v>
      </c>
      <c r="J2827" t="s">
        <v>13</v>
      </c>
      <c r="K2827">
        <v>4.3</v>
      </c>
      <c r="L2827" t="s">
        <v>140</v>
      </c>
      <c r="M2827" t="s">
        <v>58</v>
      </c>
      <c r="N2827" t="s">
        <v>140</v>
      </c>
      <c r="O2827">
        <v>28</v>
      </c>
      <c r="P2827" t="s">
        <v>63</v>
      </c>
      <c r="Q2827" t="s">
        <v>37</v>
      </c>
      <c r="R2827" t="str" cm="1">
        <f t="array" ref="R2827">_xlfn.IFS(B2827&lt;31,"Young-Adult",B2827&lt;41,"Adult",B2827&lt;61,"Middle-aged",B2827&gt;=61,"Senior")</f>
        <v>Senior</v>
      </c>
      <c r="S2827" cm="1">
        <f t="array" ref="S2827">_xlfn.IFS(Q2827 ="Fortnightly",14,Q2827="Weekly",7,Q2827="Monthly",30,Q2827="Quarterly",90,Q2827="Bi-Weekly",14,Q2827="Annually",365,Q2827="Every 3 Months",90,TRUE,"NOT FOUND")</f>
        <v>365</v>
      </c>
    </row>
    <row r="2828" spans="1:19" x14ac:dyDescent="0.35">
      <c r="A2828">
        <v>2827</v>
      </c>
      <c r="B2828">
        <v>32</v>
      </c>
      <c r="C2828" t="s">
        <v>141</v>
      </c>
      <c r="D2828" t="s">
        <v>54</v>
      </c>
      <c r="E2828" t="s">
        <v>55</v>
      </c>
      <c r="F2828">
        <v>43</v>
      </c>
      <c r="G2828" t="s">
        <v>91</v>
      </c>
      <c r="H2828" t="s">
        <v>11</v>
      </c>
      <c r="I2828" t="s">
        <v>98</v>
      </c>
      <c r="J2828" t="s">
        <v>45</v>
      </c>
      <c r="K2828">
        <v>3.6</v>
      </c>
      <c r="L2828" t="s">
        <v>140</v>
      </c>
      <c r="M2828" t="s">
        <v>15</v>
      </c>
      <c r="N2828" t="s">
        <v>140</v>
      </c>
      <c r="O2828">
        <v>23</v>
      </c>
      <c r="P2828" t="s">
        <v>16</v>
      </c>
      <c r="Q2828" t="s">
        <v>37</v>
      </c>
      <c r="R2828" t="str" cm="1">
        <f t="array" ref="R2828">_xlfn.IFS(B2828&lt;31,"Young-Adult",B2828&lt;41,"Adult",B2828&lt;61,"Middle-aged",B2828&gt;=61,"Senior")</f>
        <v>Adult</v>
      </c>
      <c r="S2828" cm="1">
        <f t="array" ref="S2828">_xlfn.IFS(Q2828 ="Fortnightly",14,Q2828="Weekly",7,Q2828="Monthly",30,Q2828="Quarterly",90,Q2828="Bi-Weekly",14,Q2828="Annually",365,Q2828="Every 3 Months",90,TRUE,"NOT FOUND")</f>
        <v>365</v>
      </c>
    </row>
    <row r="2829" spans="1:19" x14ac:dyDescent="0.35">
      <c r="A2829">
        <v>2828</v>
      </c>
      <c r="B2829">
        <v>20</v>
      </c>
      <c r="C2829" t="s">
        <v>141</v>
      </c>
      <c r="D2829" t="s">
        <v>8</v>
      </c>
      <c r="E2829" t="s">
        <v>9</v>
      </c>
      <c r="F2829">
        <v>96</v>
      </c>
      <c r="G2829" t="s">
        <v>138</v>
      </c>
      <c r="H2829" t="s">
        <v>32</v>
      </c>
      <c r="I2829" t="s">
        <v>124</v>
      </c>
      <c r="J2829" t="s">
        <v>45</v>
      </c>
      <c r="K2829">
        <v>3.1</v>
      </c>
      <c r="L2829" t="s">
        <v>140</v>
      </c>
      <c r="M2829" t="s">
        <v>33</v>
      </c>
      <c r="N2829" t="s">
        <v>140</v>
      </c>
      <c r="O2829">
        <v>11</v>
      </c>
      <c r="P2829" t="s">
        <v>63</v>
      </c>
      <c r="Q2829" t="s">
        <v>64</v>
      </c>
      <c r="R2829" t="str" cm="1">
        <f t="array" ref="R2829">_xlfn.IFS(B2829&lt;31,"Young-Adult",B2829&lt;41,"Adult",B2829&lt;61,"Middle-aged",B2829&gt;=61,"Senior")</f>
        <v>Young-Adult</v>
      </c>
      <c r="S2829" cm="1">
        <f t="array" ref="S2829">_xlfn.IFS(Q2829 ="Fortnightly",14,Q2829="Weekly",7,Q2829="Monthly",30,Q2829="Quarterly",90,Q2829="Bi-Weekly",14,Q2829="Annually",365,Q2829="Every 3 Months",90,TRUE,"NOT FOUND")</f>
        <v>14</v>
      </c>
    </row>
    <row r="2830" spans="1:19" x14ac:dyDescent="0.35">
      <c r="A2830">
        <v>2829</v>
      </c>
      <c r="B2830">
        <v>25</v>
      </c>
      <c r="C2830" t="s">
        <v>141</v>
      </c>
      <c r="D2830" t="s">
        <v>107</v>
      </c>
      <c r="E2830" t="s">
        <v>55</v>
      </c>
      <c r="F2830">
        <v>83</v>
      </c>
      <c r="G2830" t="s">
        <v>110</v>
      </c>
      <c r="H2830" t="s">
        <v>11</v>
      </c>
      <c r="I2830" t="s">
        <v>81</v>
      </c>
      <c r="J2830" t="s">
        <v>45</v>
      </c>
      <c r="K2830">
        <v>2.6</v>
      </c>
      <c r="L2830" t="s">
        <v>140</v>
      </c>
      <c r="M2830" t="s">
        <v>42</v>
      </c>
      <c r="N2830" t="s">
        <v>140</v>
      </c>
      <c r="O2830">
        <v>33</v>
      </c>
      <c r="P2830" t="s">
        <v>34</v>
      </c>
      <c r="Q2830" t="s">
        <v>46</v>
      </c>
      <c r="R2830" t="str" cm="1">
        <f t="array" ref="R2830">_xlfn.IFS(B2830&lt;31,"Young-Adult",B2830&lt;41,"Adult",B2830&lt;61,"Middle-aged",B2830&gt;=61,"Senior")</f>
        <v>Young-Adult</v>
      </c>
      <c r="S2830" cm="1">
        <f t="array" ref="S2830">_xlfn.IFS(Q2830 ="Fortnightly",14,Q2830="Weekly",7,Q2830="Monthly",30,Q2830="Quarterly",90,Q2830="Bi-Weekly",14,Q2830="Annually",365,Q2830="Every 3 Months",90,TRUE,"NOT FOUND")</f>
        <v>90</v>
      </c>
    </row>
    <row r="2831" spans="1:19" x14ac:dyDescent="0.35">
      <c r="A2831">
        <v>2830</v>
      </c>
      <c r="B2831">
        <v>56</v>
      </c>
      <c r="C2831" t="s">
        <v>141</v>
      </c>
      <c r="D2831" t="s">
        <v>94</v>
      </c>
      <c r="E2831" t="s">
        <v>55</v>
      </c>
      <c r="F2831">
        <v>67</v>
      </c>
      <c r="G2831" t="s">
        <v>105</v>
      </c>
      <c r="H2831" t="s">
        <v>80</v>
      </c>
      <c r="I2831" t="s">
        <v>73</v>
      </c>
      <c r="J2831" t="s">
        <v>45</v>
      </c>
      <c r="K2831">
        <v>3.4</v>
      </c>
      <c r="L2831" t="s">
        <v>140</v>
      </c>
      <c r="M2831" t="s">
        <v>33</v>
      </c>
      <c r="N2831" t="s">
        <v>140</v>
      </c>
      <c r="O2831">
        <v>47</v>
      </c>
      <c r="P2831" t="s">
        <v>21</v>
      </c>
      <c r="Q2831" t="s">
        <v>28</v>
      </c>
      <c r="R2831" t="str" cm="1">
        <f t="array" ref="R2831">_xlfn.IFS(B2831&lt;31,"Young-Adult",B2831&lt;41,"Adult",B2831&lt;61,"Middle-aged",B2831&gt;=61,"Senior")</f>
        <v>Middle-aged</v>
      </c>
      <c r="S2831" cm="1">
        <f t="array" ref="S2831">_xlfn.IFS(Q2831 ="Fortnightly",14,Q2831="Weekly",7,Q2831="Monthly",30,Q2831="Quarterly",90,Q2831="Bi-Weekly",14,Q2831="Annually",365,Q2831="Every 3 Months",90,TRUE,"NOT FOUND")</f>
        <v>7</v>
      </c>
    </row>
    <row r="2832" spans="1:19" x14ac:dyDescent="0.35">
      <c r="A2832">
        <v>2831</v>
      </c>
      <c r="B2832">
        <v>63</v>
      </c>
      <c r="C2832" t="s">
        <v>141</v>
      </c>
      <c r="D2832" t="s">
        <v>75</v>
      </c>
      <c r="E2832" t="s">
        <v>9</v>
      </c>
      <c r="F2832">
        <v>90</v>
      </c>
      <c r="G2832" t="s">
        <v>35</v>
      </c>
      <c r="H2832" t="s">
        <v>11</v>
      </c>
      <c r="I2832" t="s">
        <v>97</v>
      </c>
      <c r="J2832" t="s">
        <v>25</v>
      </c>
      <c r="K2832">
        <v>2.9</v>
      </c>
      <c r="L2832" t="s">
        <v>140</v>
      </c>
      <c r="M2832" t="s">
        <v>62</v>
      </c>
      <c r="N2832" t="s">
        <v>140</v>
      </c>
      <c r="O2832">
        <v>13</v>
      </c>
      <c r="P2832" t="s">
        <v>16</v>
      </c>
      <c r="Q2832" t="s">
        <v>85</v>
      </c>
      <c r="R2832" t="str" cm="1">
        <f t="array" ref="R2832">_xlfn.IFS(B2832&lt;31,"Young-Adult",B2832&lt;41,"Adult",B2832&lt;61,"Middle-aged",B2832&gt;=61,"Senior")</f>
        <v>Senior</v>
      </c>
      <c r="S2832" cm="1">
        <f t="array" ref="S2832">_xlfn.IFS(Q2832 ="Fortnightly",14,Q2832="Weekly",7,Q2832="Monthly",30,Q2832="Quarterly",90,Q2832="Bi-Weekly",14,Q2832="Annually",365,Q2832="Every 3 Months",90,TRUE,"NOT FOUND")</f>
        <v>90</v>
      </c>
    </row>
    <row r="2833" spans="1:19" x14ac:dyDescent="0.35">
      <c r="A2833">
        <v>2832</v>
      </c>
      <c r="B2833">
        <v>34</v>
      </c>
      <c r="C2833" t="s">
        <v>141</v>
      </c>
      <c r="D2833" t="s">
        <v>92</v>
      </c>
      <c r="E2833" t="s">
        <v>9</v>
      </c>
      <c r="F2833">
        <v>53</v>
      </c>
      <c r="G2833" t="s">
        <v>129</v>
      </c>
      <c r="H2833" t="s">
        <v>11</v>
      </c>
      <c r="I2833" t="s">
        <v>57</v>
      </c>
      <c r="J2833" t="s">
        <v>13</v>
      </c>
      <c r="K2833">
        <v>5</v>
      </c>
      <c r="L2833" t="s">
        <v>140</v>
      </c>
      <c r="M2833" t="s">
        <v>15</v>
      </c>
      <c r="N2833" t="s">
        <v>140</v>
      </c>
      <c r="O2833">
        <v>4</v>
      </c>
      <c r="P2833" t="s">
        <v>27</v>
      </c>
      <c r="Q2833" t="s">
        <v>28</v>
      </c>
      <c r="R2833" t="str" cm="1">
        <f t="array" ref="R2833">_xlfn.IFS(B2833&lt;31,"Young-Adult",B2833&lt;41,"Adult",B2833&lt;61,"Middle-aged",B2833&gt;=61,"Senior")</f>
        <v>Adult</v>
      </c>
      <c r="S2833" cm="1">
        <f t="array" ref="S2833">_xlfn.IFS(Q2833 ="Fortnightly",14,Q2833="Weekly",7,Q2833="Monthly",30,Q2833="Quarterly",90,Q2833="Bi-Weekly",14,Q2833="Annually",365,Q2833="Every 3 Months",90,TRUE,"NOT FOUND")</f>
        <v>7</v>
      </c>
    </row>
    <row r="2834" spans="1:19" x14ac:dyDescent="0.35">
      <c r="A2834">
        <v>2833</v>
      </c>
      <c r="B2834">
        <v>29</v>
      </c>
      <c r="C2834" t="s">
        <v>141</v>
      </c>
      <c r="D2834" t="s">
        <v>107</v>
      </c>
      <c r="E2834" t="s">
        <v>55</v>
      </c>
      <c r="F2834">
        <v>37</v>
      </c>
      <c r="G2834" t="s">
        <v>116</v>
      </c>
      <c r="H2834" t="s">
        <v>32</v>
      </c>
      <c r="I2834" t="s">
        <v>124</v>
      </c>
      <c r="J2834" t="s">
        <v>41</v>
      </c>
      <c r="K2834">
        <v>4.5999999999999996</v>
      </c>
      <c r="L2834" t="s">
        <v>140</v>
      </c>
      <c r="M2834" t="s">
        <v>42</v>
      </c>
      <c r="N2834" t="s">
        <v>140</v>
      </c>
      <c r="O2834">
        <v>40</v>
      </c>
      <c r="P2834" t="s">
        <v>34</v>
      </c>
      <c r="Q2834" t="s">
        <v>46</v>
      </c>
      <c r="R2834" t="str" cm="1">
        <f t="array" ref="R2834">_xlfn.IFS(B2834&lt;31,"Young-Adult",B2834&lt;41,"Adult",B2834&lt;61,"Middle-aged",B2834&gt;=61,"Senior")</f>
        <v>Young-Adult</v>
      </c>
      <c r="S2834" cm="1">
        <f t="array" ref="S2834">_xlfn.IFS(Q2834 ="Fortnightly",14,Q2834="Weekly",7,Q2834="Monthly",30,Q2834="Quarterly",90,Q2834="Bi-Weekly",14,Q2834="Annually",365,Q2834="Every 3 Months",90,TRUE,"NOT FOUND")</f>
        <v>90</v>
      </c>
    </row>
    <row r="2835" spans="1:19" x14ac:dyDescent="0.35">
      <c r="A2835">
        <v>2834</v>
      </c>
      <c r="B2835">
        <v>43</v>
      </c>
      <c r="C2835" t="s">
        <v>141</v>
      </c>
      <c r="D2835" t="s">
        <v>22</v>
      </c>
      <c r="E2835" t="s">
        <v>9</v>
      </c>
      <c r="F2835">
        <v>56</v>
      </c>
      <c r="G2835" t="s">
        <v>60</v>
      </c>
      <c r="H2835" t="s">
        <v>32</v>
      </c>
      <c r="I2835" t="s">
        <v>73</v>
      </c>
      <c r="J2835" t="s">
        <v>45</v>
      </c>
      <c r="K2835">
        <v>3.3</v>
      </c>
      <c r="L2835" t="s">
        <v>140</v>
      </c>
      <c r="M2835" t="s">
        <v>26</v>
      </c>
      <c r="N2835" t="s">
        <v>140</v>
      </c>
      <c r="O2835">
        <v>19</v>
      </c>
      <c r="P2835" t="s">
        <v>21</v>
      </c>
      <c r="Q2835" t="s">
        <v>76</v>
      </c>
      <c r="R2835" t="str" cm="1">
        <f t="array" ref="R2835">_xlfn.IFS(B2835&lt;31,"Young-Adult",B2835&lt;41,"Adult",B2835&lt;61,"Middle-aged",B2835&gt;=61,"Senior")</f>
        <v>Middle-aged</v>
      </c>
      <c r="S2835" cm="1">
        <f t="array" ref="S2835">_xlfn.IFS(Q2835 ="Fortnightly",14,Q2835="Weekly",7,Q2835="Monthly",30,Q2835="Quarterly",90,Q2835="Bi-Weekly",14,Q2835="Annually",365,Q2835="Every 3 Months",90,TRUE,"NOT FOUND")</f>
        <v>30</v>
      </c>
    </row>
    <row r="2836" spans="1:19" x14ac:dyDescent="0.35">
      <c r="A2836">
        <v>2835</v>
      </c>
      <c r="B2836">
        <v>39</v>
      </c>
      <c r="C2836" t="s">
        <v>141</v>
      </c>
      <c r="D2836" t="s">
        <v>90</v>
      </c>
      <c r="E2836" t="s">
        <v>51</v>
      </c>
      <c r="F2836">
        <v>43</v>
      </c>
      <c r="G2836" t="s">
        <v>93</v>
      </c>
      <c r="H2836" t="s">
        <v>32</v>
      </c>
      <c r="I2836" t="s">
        <v>114</v>
      </c>
      <c r="J2836" t="s">
        <v>45</v>
      </c>
      <c r="K2836">
        <v>2.9</v>
      </c>
      <c r="L2836" t="s">
        <v>140</v>
      </c>
      <c r="M2836" t="s">
        <v>58</v>
      </c>
      <c r="N2836" t="s">
        <v>140</v>
      </c>
      <c r="O2836">
        <v>17</v>
      </c>
      <c r="P2836" t="s">
        <v>27</v>
      </c>
      <c r="Q2836" t="s">
        <v>28</v>
      </c>
      <c r="R2836" t="str" cm="1">
        <f t="array" ref="R2836">_xlfn.IFS(B2836&lt;31,"Young-Adult",B2836&lt;41,"Adult",B2836&lt;61,"Middle-aged",B2836&gt;=61,"Senior")</f>
        <v>Adult</v>
      </c>
      <c r="S2836" cm="1">
        <f t="array" ref="S2836">_xlfn.IFS(Q2836 ="Fortnightly",14,Q2836="Weekly",7,Q2836="Monthly",30,Q2836="Quarterly",90,Q2836="Bi-Weekly",14,Q2836="Annually",365,Q2836="Every 3 Months",90,TRUE,"NOT FOUND")</f>
        <v>7</v>
      </c>
    </row>
    <row r="2837" spans="1:19" x14ac:dyDescent="0.35">
      <c r="A2837">
        <v>2836</v>
      </c>
      <c r="B2837">
        <v>33</v>
      </c>
      <c r="C2837" t="s">
        <v>141</v>
      </c>
      <c r="D2837" t="s">
        <v>101</v>
      </c>
      <c r="E2837" t="s">
        <v>9</v>
      </c>
      <c r="F2837">
        <v>84</v>
      </c>
      <c r="G2837" t="s">
        <v>117</v>
      </c>
      <c r="H2837" t="s">
        <v>24</v>
      </c>
      <c r="I2837" t="s">
        <v>57</v>
      </c>
      <c r="J2837" t="s">
        <v>13</v>
      </c>
      <c r="K2837">
        <v>4.9000000000000004</v>
      </c>
      <c r="L2837" t="s">
        <v>140</v>
      </c>
      <c r="M2837" t="s">
        <v>26</v>
      </c>
      <c r="N2837" t="s">
        <v>140</v>
      </c>
      <c r="O2837">
        <v>7</v>
      </c>
      <c r="P2837" t="s">
        <v>16</v>
      </c>
      <c r="Q2837" t="s">
        <v>37</v>
      </c>
      <c r="R2837" t="str" cm="1">
        <f t="array" ref="R2837">_xlfn.IFS(B2837&lt;31,"Young-Adult",B2837&lt;41,"Adult",B2837&lt;61,"Middle-aged",B2837&gt;=61,"Senior")</f>
        <v>Adult</v>
      </c>
      <c r="S2837" cm="1">
        <f t="array" ref="S2837">_xlfn.IFS(Q2837 ="Fortnightly",14,Q2837="Weekly",7,Q2837="Monthly",30,Q2837="Quarterly",90,Q2837="Bi-Weekly",14,Q2837="Annually",365,Q2837="Every 3 Months",90,TRUE,"NOT FOUND")</f>
        <v>365</v>
      </c>
    </row>
    <row r="2838" spans="1:19" x14ac:dyDescent="0.35">
      <c r="A2838">
        <v>2837</v>
      </c>
      <c r="B2838">
        <v>51</v>
      </c>
      <c r="C2838" t="s">
        <v>141</v>
      </c>
      <c r="D2838" t="s">
        <v>83</v>
      </c>
      <c r="E2838" t="s">
        <v>9</v>
      </c>
      <c r="F2838">
        <v>50</v>
      </c>
      <c r="G2838" t="s">
        <v>39</v>
      </c>
      <c r="H2838" t="s">
        <v>32</v>
      </c>
      <c r="I2838" t="s">
        <v>49</v>
      </c>
      <c r="J2838" t="s">
        <v>13</v>
      </c>
      <c r="K2838">
        <v>5</v>
      </c>
      <c r="L2838" t="s">
        <v>140</v>
      </c>
      <c r="M2838" t="s">
        <v>58</v>
      </c>
      <c r="N2838" t="s">
        <v>140</v>
      </c>
      <c r="O2838">
        <v>21</v>
      </c>
      <c r="P2838" t="s">
        <v>21</v>
      </c>
      <c r="Q2838" t="s">
        <v>64</v>
      </c>
      <c r="R2838" t="str" cm="1">
        <f t="array" ref="R2838">_xlfn.IFS(B2838&lt;31,"Young-Adult",B2838&lt;41,"Adult",B2838&lt;61,"Middle-aged",B2838&gt;=61,"Senior")</f>
        <v>Middle-aged</v>
      </c>
      <c r="S2838" cm="1">
        <f t="array" ref="S2838">_xlfn.IFS(Q2838 ="Fortnightly",14,Q2838="Weekly",7,Q2838="Monthly",30,Q2838="Quarterly",90,Q2838="Bi-Weekly",14,Q2838="Annually",365,Q2838="Every 3 Months",90,TRUE,"NOT FOUND")</f>
        <v>14</v>
      </c>
    </row>
    <row r="2839" spans="1:19" x14ac:dyDescent="0.35">
      <c r="A2839">
        <v>2838</v>
      </c>
      <c r="B2839">
        <v>65</v>
      </c>
      <c r="C2839" t="s">
        <v>141</v>
      </c>
      <c r="D2839" t="s">
        <v>59</v>
      </c>
      <c r="E2839" t="s">
        <v>30</v>
      </c>
      <c r="F2839">
        <v>88</v>
      </c>
      <c r="G2839" t="s">
        <v>78</v>
      </c>
      <c r="H2839" t="s">
        <v>32</v>
      </c>
      <c r="I2839" t="s">
        <v>98</v>
      </c>
      <c r="J2839" t="s">
        <v>41</v>
      </c>
      <c r="K2839">
        <v>4.5</v>
      </c>
      <c r="L2839" t="s">
        <v>140</v>
      </c>
      <c r="M2839" t="s">
        <v>15</v>
      </c>
      <c r="N2839" t="s">
        <v>140</v>
      </c>
      <c r="O2839">
        <v>44</v>
      </c>
      <c r="P2839" t="s">
        <v>34</v>
      </c>
      <c r="Q2839" t="s">
        <v>28</v>
      </c>
      <c r="R2839" t="str" cm="1">
        <f t="array" ref="R2839">_xlfn.IFS(B2839&lt;31,"Young-Adult",B2839&lt;41,"Adult",B2839&lt;61,"Middle-aged",B2839&gt;=61,"Senior")</f>
        <v>Senior</v>
      </c>
      <c r="S2839" cm="1">
        <f t="array" ref="S2839">_xlfn.IFS(Q2839 ="Fortnightly",14,Q2839="Weekly",7,Q2839="Monthly",30,Q2839="Quarterly",90,Q2839="Bi-Weekly",14,Q2839="Annually",365,Q2839="Every 3 Months",90,TRUE,"NOT FOUND")</f>
        <v>7</v>
      </c>
    </row>
    <row r="2840" spans="1:19" x14ac:dyDescent="0.35">
      <c r="A2840">
        <v>2839</v>
      </c>
      <c r="B2840">
        <v>51</v>
      </c>
      <c r="C2840" t="s">
        <v>141</v>
      </c>
      <c r="D2840" t="s">
        <v>90</v>
      </c>
      <c r="E2840" t="s">
        <v>51</v>
      </c>
      <c r="F2840">
        <v>50</v>
      </c>
      <c r="G2840" t="s">
        <v>19</v>
      </c>
      <c r="H2840" t="s">
        <v>32</v>
      </c>
      <c r="I2840" t="s">
        <v>132</v>
      </c>
      <c r="J2840" t="s">
        <v>45</v>
      </c>
      <c r="K2840">
        <v>3.7</v>
      </c>
      <c r="L2840" t="s">
        <v>140</v>
      </c>
      <c r="M2840" t="s">
        <v>26</v>
      </c>
      <c r="N2840" t="s">
        <v>140</v>
      </c>
      <c r="O2840">
        <v>2</v>
      </c>
      <c r="P2840" t="s">
        <v>63</v>
      </c>
      <c r="Q2840" t="s">
        <v>28</v>
      </c>
      <c r="R2840" t="str" cm="1">
        <f t="array" ref="R2840">_xlfn.IFS(B2840&lt;31,"Young-Adult",B2840&lt;41,"Adult",B2840&lt;61,"Middle-aged",B2840&gt;=61,"Senior")</f>
        <v>Middle-aged</v>
      </c>
      <c r="S2840" cm="1">
        <f t="array" ref="S2840">_xlfn.IFS(Q2840 ="Fortnightly",14,Q2840="Weekly",7,Q2840="Monthly",30,Q2840="Quarterly",90,Q2840="Bi-Weekly",14,Q2840="Annually",365,Q2840="Every 3 Months",90,TRUE,"NOT FOUND")</f>
        <v>7</v>
      </c>
    </row>
    <row r="2841" spans="1:19" x14ac:dyDescent="0.35">
      <c r="A2841">
        <v>2840</v>
      </c>
      <c r="B2841">
        <v>70</v>
      </c>
      <c r="C2841" t="s">
        <v>141</v>
      </c>
      <c r="D2841" t="s">
        <v>107</v>
      </c>
      <c r="E2841" t="s">
        <v>55</v>
      </c>
      <c r="F2841">
        <v>80</v>
      </c>
      <c r="G2841" t="s">
        <v>135</v>
      </c>
      <c r="H2841" t="s">
        <v>11</v>
      </c>
      <c r="I2841" t="s">
        <v>73</v>
      </c>
      <c r="J2841" t="s">
        <v>41</v>
      </c>
      <c r="K2841">
        <v>2.8</v>
      </c>
      <c r="L2841" t="s">
        <v>140</v>
      </c>
      <c r="M2841" t="s">
        <v>62</v>
      </c>
      <c r="N2841" t="s">
        <v>140</v>
      </c>
      <c r="O2841">
        <v>30</v>
      </c>
      <c r="P2841" t="s">
        <v>63</v>
      </c>
      <c r="Q2841" t="s">
        <v>76</v>
      </c>
      <c r="R2841" t="str" cm="1">
        <f t="array" ref="R2841">_xlfn.IFS(B2841&lt;31,"Young-Adult",B2841&lt;41,"Adult",B2841&lt;61,"Middle-aged",B2841&gt;=61,"Senior")</f>
        <v>Senior</v>
      </c>
      <c r="S2841" cm="1">
        <f t="array" ref="S2841">_xlfn.IFS(Q2841 ="Fortnightly",14,Q2841="Weekly",7,Q2841="Monthly",30,Q2841="Quarterly",90,Q2841="Bi-Weekly",14,Q2841="Annually",365,Q2841="Every 3 Months",90,TRUE,"NOT FOUND")</f>
        <v>30</v>
      </c>
    </row>
    <row r="2842" spans="1:19" x14ac:dyDescent="0.35">
      <c r="A2842">
        <v>2841</v>
      </c>
      <c r="B2842">
        <v>40</v>
      </c>
      <c r="C2842" t="s">
        <v>141</v>
      </c>
      <c r="D2842" t="s">
        <v>101</v>
      </c>
      <c r="E2842" t="s">
        <v>9</v>
      </c>
      <c r="F2842">
        <v>47</v>
      </c>
      <c r="G2842" t="s">
        <v>52</v>
      </c>
      <c r="H2842" t="s">
        <v>11</v>
      </c>
      <c r="I2842" t="s">
        <v>57</v>
      </c>
      <c r="J2842" t="s">
        <v>25</v>
      </c>
      <c r="K2842">
        <v>3.5</v>
      </c>
      <c r="L2842" t="s">
        <v>140</v>
      </c>
      <c r="M2842" t="s">
        <v>62</v>
      </c>
      <c r="N2842" t="s">
        <v>140</v>
      </c>
      <c r="O2842">
        <v>41</v>
      </c>
      <c r="P2842" t="s">
        <v>21</v>
      </c>
      <c r="Q2842" t="s">
        <v>37</v>
      </c>
      <c r="R2842" t="str" cm="1">
        <f t="array" ref="R2842">_xlfn.IFS(B2842&lt;31,"Young-Adult",B2842&lt;41,"Adult",B2842&lt;61,"Middle-aged",B2842&gt;=61,"Senior")</f>
        <v>Adult</v>
      </c>
      <c r="S2842" cm="1">
        <f t="array" ref="S2842">_xlfn.IFS(Q2842 ="Fortnightly",14,Q2842="Weekly",7,Q2842="Monthly",30,Q2842="Quarterly",90,Q2842="Bi-Weekly",14,Q2842="Annually",365,Q2842="Every 3 Months",90,TRUE,"NOT FOUND")</f>
        <v>365</v>
      </c>
    </row>
    <row r="2843" spans="1:19" x14ac:dyDescent="0.35">
      <c r="A2843">
        <v>2842</v>
      </c>
      <c r="B2843">
        <v>19</v>
      </c>
      <c r="C2843" t="s">
        <v>141</v>
      </c>
      <c r="D2843" t="s">
        <v>69</v>
      </c>
      <c r="E2843" t="s">
        <v>9</v>
      </c>
      <c r="F2843">
        <v>33</v>
      </c>
      <c r="G2843" t="s">
        <v>111</v>
      </c>
      <c r="H2843" t="s">
        <v>80</v>
      </c>
      <c r="I2843" t="s">
        <v>124</v>
      </c>
      <c r="J2843" t="s">
        <v>13</v>
      </c>
      <c r="K2843">
        <v>3</v>
      </c>
      <c r="L2843" t="s">
        <v>140</v>
      </c>
      <c r="M2843" t="s">
        <v>58</v>
      </c>
      <c r="N2843" t="s">
        <v>140</v>
      </c>
      <c r="O2843">
        <v>31</v>
      </c>
      <c r="P2843" t="s">
        <v>21</v>
      </c>
      <c r="Q2843" t="s">
        <v>28</v>
      </c>
      <c r="R2843" t="str" cm="1">
        <f t="array" ref="R2843">_xlfn.IFS(B2843&lt;31,"Young-Adult",B2843&lt;41,"Adult",B2843&lt;61,"Middle-aged",B2843&gt;=61,"Senior")</f>
        <v>Young-Adult</v>
      </c>
      <c r="S2843" cm="1">
        <f t="array" ref="S2843">_xlfn.IFS(Q2843 ="Fortnightly",14,Q2843="Weekly",7,Q2843="Monthly",30,Q2843="Quarterly",90,Q2843="Bi-Weekly",14,Q2843="Annually",365,Q2843="Every 3 Months",90,TRUE,"NOT FOUND")</f>
        <v>7</v>
      </c>
    </row>
    <row r="2844" spans="1:19" x14ac:dyDescent="0.35">
      <c r="A2844">
        <v>2843</v>
      </c>
      <c r="B2844">
        <v>28</v>
      </c>
      <c r="C2844" t="s">
        <v>141</v>
      </c>
      <c r="D2844" t="s">
        <v>50</v>
      </c>
      <c r="E2844" t="s">
        <v>51</v>
      </c>
      <c r="F2844">
        <v>100</v>
      </c>
      <c r="G2844" t="s">
        <v>105</v>
      </c>
      <c r="H2844" t="s">
        <v>11</v>
      </c>
      <c r="I2844" t="s">
        <v>84</v>
      </c>
      <c r="J2844" t="s">
        <v>45</v>
      </c>
      <c r="K2844">
        <v>4.3</v>
      </c>
      <c r="L2844" t="s">
        <v>140</v>
      </c>
      <c r="M2844" t="s">
        <v>42</v>
      </c>
      <c r="N2844" t="s">
        <v>140</v>
      </c>
      <c r="O2844">
        <v>48</v>
      </c>
      <c r="P2844" t="s">
        <v>74</v>
      </c>
      <c r="Q2844" t="s">
        <v>46</v>
      </c>
      <c r="R2844" t="str" cm="1">
        <f t="array" ref="R2844">_xlfn.IFS(B2844&lt;31,"Young-Adult",B2844&lt;41,"Adult",B2844&lt;61,"Middle-aged",B2844&gt;=61,"Senior")</f>
        <v>Young-Adult</v>
      </c>
      <c r="S2844" cm="1">
        <f t="array" ref="S2844">_xlfn.IFS(Q2844 ="Fortnightly",14,Q2844="Weekly",7,Q2844="Monthly",30,Q2844="Quarterly",90,Q2844="Bi-Weekly",14,Q2844="Annually",365,Q2844="Every 3 Months",90,TRUE,"NOT FOUND")</f>
        <v>90</v>
      </c>
    </row>
    <row r="2845" spans="1:19" x14ac:dyDescent="0.35">
      <c r="A2845">
        <v>2844</v>
      </c>
      <c r="B2845">
        <v>51</v>
      </c>
      <c r="C2845" t="s">
        <v>141</v>
      </c>
      <c r="D2845" t="s">
        <v>18</v>
      </c>
      <c r="E2845" t="s">
        <v>9</v>
      </c>
      <c r="F2845">
        <v>26</v>
      </c>
      <c r="G2845" t="s">
        <v>111</v>
      </c>
      <c r="H2845" t="s">
        <v>32</v>
      </c>
      <c r="I2845" t="s">
        <v>40</v>
      </c>
      <c r="J2845" t="s">
        <v>41</v>
      </c>
      <c r="K2845">
        <v>3.6</v>
      </c>
      <c r="L2845" t="s">
        <v>140</v>
      </c>
      <c r="M2845" t="s">
        <v>62</v>
      </c>
      <c r="N2845" t="s">
        <v>140</v>
      </c>
      <c r="O2845">
        <v>41</v>
      </c>
      <c r="P2845" t="s">
        <v>16</v>
      </c>
      <c r="Q2845" t="s">
        <v>28</v>
      </c>
      <c r="R2845" t="str" cm="1">
        <f t="array" ref="R2845">_xlfn.IFS(B2845&lt;31,"Young-Adult",B2845&lt;41,"Adult",B2845&lt;61,"Middle-aged",B2845&gt;=61,"Senior")</f>
        <v>Middle-aged</v>
      </c>
      <c r="S2845" cm="1">
        <f t="array" ref="S2845">_xlfn.IFS(Q2845 ="Fortnightly",14,Q2845="Weekly",7,Q2845="Monthly",30,Q2845="Quarterly",90,Q2845="Bi-Weekly",14,Q2845="Annually",365,Q2845="Every 3 Months",90,TRUE,"NOT FOUND")</f>
        <v>7</v>
      </c>
    </row>
    <row r="2846" spans="1:19" x14ac:dyDescent="0.35">
      <c r="A2846">
        <v>2845</v>
      </c>
      <c r="B2846">
        <v>32</v>
      </c>
      <c r="C2846" t="s">
        <v>141</v>
      </c>
      <c r="D2846" t="s">
        <v>112</v>
      </c>
      <c r="E2846" t="s">
        <v>55</v>
      </c>
      <c r="F2846">
        <v>79</v>
      </c>
      <c r="G2846" t="s">
        <v>118</v>
      </c>
      <c r="H2846" t="s">
        <v>32</v>
      </c>
      <c r="I2846" t="s">
        <v>114</v>
      </c>
      <c r="J2846" t="s">
        <v>41</v>
      </c>
      <c r="K2846">
        <v>4.4000000000000004</v>
      </c>
      <c r="L2846" t="s">
        <v>140</v>
      </c>
      <c r="M2846" t="s">
        <v>42</v>
      </c>
      <c r="N2846" t="s">
        <v>140</v>
      </c>
      <c r="O2846">
        <v>42</v>
      </c>
      <c r="P2846" t="s">
        <v>16</v>
      </c>
      <c r="Q2846" t="s">
        <v>37</v>
      </c>
      <c r="R2846" t="str" cm="1">
        <f t="array" ref="R2846">_xlfn.IFS(B2846&lt;31,"Young-Adult",B2846&lt;41,"Adult",B2846&lt;61,"Middle-aged",B2846&gt;=61,"Senior")</f>
        <v>Adult</v>
      </c>
      <c r="S2846" cm="1">
        <f t="array" ref="S2846">_xlfn.IFS(Q2846 ="Fortnightly",14,Q2846="Weekly",7,Q2846="Monthly",30,Q2846="Quarterly",90,Q2846="Bi-Weekly",14,Q2846="Annually",365,Q2846="Every 3 Months",90,TRUE,"NOT FOUND")</f>
        <v>365</v>
      </c>
    </row>
    <row r="2847" spans="1:19" x14ac:dyDescent="0.35">
      <c r="A2847">
        <v>2846</v>
      </c>
      <c r="B2847">
        <v>26</v>
      </c>
      <c r="C2847" t="s">
        <v>141</v>
      </c>
      <c r="D2847" t="s">
        <v>120</v>
      </c>
      <c r="E2847" t="s">
        <v>55</v>
      </c>
      <c r="F2847">
        <v>77</v>
      </c>
      <c r="G2847" t="s">
        <v>135</v>
      </c>
      <c r="H2847" t="s">
        <v>11</v>
      </c>
      <c r="I2847" t="s">
        <v>81</v>
      </c>
      <c r="J2847" t="s">
        <v>41</v>
      </c>
      <c r="K2847">
        <v>4.0999999999999996</v>
      </c>
      <c r="L2847" t="s">
        <v>140</v>
      </c>
      <c r="M2847" t="s">
        <v>15</v>
      </c>
      <c r="N2847" t="s">
        <v>140</v>
      </c>
      <c r="O2847">
        <v>39</v>
      </c>
      <c r="P2847" t="s">
        <v>74</v>
      </c>
      <c r="Q2847" t="s">
        <v>85</v>
      </c>
      <c r="R2847" t="str" cm="1">
        <f t="array" ref="R2847">_xlfn.IFS(B2847&lt;31,"Young-Adult",B2847&lt;41,"Adult",B2847&lt;61,"Middle-aged",B2847&gt;=61,"Senior")</f>
        <v>Young-Adult</v>
      </c>
      <c r="S2847" cm="1">
        <f t="array" ref="S2847">_xlfn.IFS(Q2847 ="Fortnightly",14,Q2847="Weekly",7,Q2847="Monthly",30,Q2847="Quarterly",90,Q2847="Bi-Weekly",14,Q2847="Annually",365,Q2847="Every 3 Months",90,TRUE,"NOT FOUND")</f>
        <v>90</v>
      </c>
    </row>
    <row r="2848" spans="1:19" x14ac:dyDescent="0.35">
      <c r="A2848">
        <v>2847</v>
      </c>
      <c r="B2848">
        <v>50</v>
      </c>
      <c r="C2848" t="s">
        <v>141</v>
      </c>
      <c r="D2848" t="s">
        <v>113</v>
      </c>
      <c r="E2848" t="s">
        <v>9</v>
      </c>
      <c r="F2848">
        <v>36</v>
      </c>
      <c r="G2848" t="s">
        <v>89</v>
      </c>
      <c r="H2848" t="s">
        <v>80</v>
      </c>
      <c r="I2848" t="s">
        <v>82</v>
      </c>
      <c r="J2848" t="s">
        <v>45</v>
      </c>
      <c r="K2848">
        <v>2.8</v>
      </c>
      <c r="L2848" t="s">
        <v>140</v>
      </c>
      <c r="M2848" t="s">
        <v>33</v>
      </c>
      <c r="N2848" t="s">
        <v>140</v>
      </c>
      <c r="O2848">
        <v>15</v>
      </c>
      <c r="P2848" t="s">
        <v>34</v>
      </c>
      <c r="Q2848" t="s">
        <v>64</v>
      </c>
      <c r="R2848" t="str" cm="1">
        <f t="array" ref="R2848">_xlfn.IFS(B2848&lt;31,"Young-Adult",B2848&lt;41,"Adult",B2848&lt;61,"Middle-aged",B2848&gt;=61,"Senior")</f>
        <v>Middle-aged</v>
      </c>
      <c r="S2848" cm="1">
        <f t="array" ref="S2848">_xlfn.IFS(Q2848 ="Fortnightly",14,Q2848="Weekly",7,Q2848="Monthly",30,Q2848="Quarterly",90,Q2848="Bi-Weekly",14,Q2848="Annually",365,Q2848="Every 3 Months",90,TRUE,"NOT FOUND")</f>
        <v>14</v>
      </c>
    </row>
    <row r="2849" spans="1:19" x14ac:dyDescent="0.35">
      <c r="A2849">
        <v>2848</v>
      </c>
      <c r="B2849">
        <v>68</v>
      </c>
      <c r="C2849" t="s">
        <v>141</v>
      </c>
      <c r="D2849" t="s">
        <v>94</v>
      </c>
      <c r="E2849" t="s">
        <v>55</v>
      </c>
      <c r="F2849">
        <v>21</v>
      </c>
      <c r="G2849" t="s">
        <v>127</v>
      </c>
      <c r="H2849" t="s">
        <v>11</v>
      </c>
      <c r="I2849" t="s">
        <v>49</v>
      </c>
      <c r="J2849" t="s">
        <v>13</v>
      </c>
      <c r="K2849">
        <v>2.8</v>
      </c>
      <c r="L2849" t="s">
        <v>140</v>
      </c>
      <c r="M2849" t="s">
        <v>26</v>
      </c>
      <c r="N2849" t="s">
        <v>140</v>
      </c>
      <c r="O2849">
        <v>3</v>
      </c>
      <c r="P2849" t="s">
        <v>34</v>
      </c>
      <c r="Q2849" t="s">
        <v>85</v>
      </c>
      <c r="R2849" t="str" cm="1">
        <f t="array" ref="R2849">_xlfn.IFS(B2849&lt;31,"Young-Adult",B2849&lt;41,"Adult",B2849&lt;61,"Middle-aged",B2849&gt;=61,"Senior")</f>
        <v>Senior</v>
      </c>
      <c r="S2849" cm="1">
        <f t="array" ref="S2849">_xlfn.IFS(Q2849 ="Fortnightly",14,Q2849="Weekly",7,Q2849="Monthly",30,Q2849="Quarterly",90,Q2849="Bi-Weekly",14,Q2849="Annually",365,Q2849="Every 3 Months",90,TRUE,"NOT FOUND")</f>
        <v>90</v>
      </c>
    </row>
    <row r="2850" spans="1:19" x14ac:dyDescent="0.35">
      <c r="A2850">
        <v>2849</v>
      </c>
      <c r="B2850">
        <v>33</v>
      </c>
      <c r="C2850" t="s">
        <v>141</v>
      </c>
      <c r="D2850" t="s">
        <v>125</v>
      </c>
      <c r="E2850" t="s">
        <v>30</v>
      </c>
      <c r="F2850">
        <v>72</v>
      </c>
      <c r="G2850" t="s">
        <v>138</v>
      </c>
      <c r="H2850" t="s">
        <v>11</v>
      </c>
      <c r="I2850" t="s">
        <v>12</v>
      </c>
      <c r="J2850" t="s">
        <v>45</v>
      </c>
      <c r="K2850">
        <v>4.9000000000000004</v>
      </c>
      <c r="L2850" t="s">
        <v>140</v>
      </c>
      <c r="M2850" t="s">
        <v>62</v>
      </c>
      <c r="N2850" t="s">
        <v>140</v>
      </c>
      <c r="O2850">
        <v>28</v>
      </c>
      <c r="P2850" t="s">
        <v>63</v>
      </c>
      <c r="Q2850" t="s">
        <v>46</v>
      </c>
      <c r="R2850" t="str" cm="1">
        <f t="array" ref="R2850">_xlfn.IFS(B2850&lt;31,"Young-Adult",B2850&lt;41,"Adult",B2850&lt;61,"Middle-aged",B2850&gt;=61,"Senior")</f>
        <v>Adult</v>
      </c>
      <c r="S2850" cm="1">
        <f t="array" ref="S2850">_xlfn.IFS(Q2850 ="Fortnightly",14,Q2850="Weekly",7,Q2850="Monthly",30,Q2850="Quarterly",90,Q2850="Bi-Weekly",14,Q2850="Annually",365,Q2850="Every 3 Months",90,TRUE,"NOT FOUND")</f>
        <v>90</v>
      </c>
    </row>
    <row r="2851" spans="1:19" x14ac:dyDescent="0.35">
      <c r="A2851">
        <v>2850</v>
      </c>
      <c r="B2851">
        <v>56</v>
      </c>
      <c r="C2851" t="s">
        <v>141</v>
      </c>
      <c r="D2851" t="s">
        <v>50</v>
      </c>
      <c r="E2851" t="s">
        <v>51</v>
      </c>
      <c r="F2851">
        <v>25</v>
      </c>
      <c r="G2851" t="s">
        <v>70</v>
      </c>
      <c r="H2851" t="s">
        <v>32</v>
      </c>
      <c r="I2851" t="s">
        <v>68</v>
      </c>
      <c r="J2851" t="s">
        <v>25</v>
      </c>
      <c r="K2851">
        <v>4.0999999999999996</v>
      </c>
      <c r="L2851" t="s">
        <v>140</v>
      </c>
      <c r="M2851" t="s">
        <v>15</v>
      </c>
      <c r="N2851" t="s">
        <v>140</v>
      </c>
      <c r="O2851">
        <v>27</v>
      </c>
      <c r="P2851" t="s">
        <v>34</v>
      </c>
      <c r="Q2851" t="s">
        <v>64</v>
      </c>
      <c r="R2851" t="str" cm="1">
        <f t="array" ref="R2851">_xlfn.IFS(B2851&lt;31,"Young-Adult",B2851&lt;41,"Adult",B2851&lt;61,"Middle-aged",B2851&gt;=61,"Senior")</f>
        <v>Middle-aged</v>
      </c>
      <c r="S2851" cm="1">
        <f t="array" ref="S2851">_xlfn.IFS(Q2851 ="Fortnightly",14,Q2851="Weekly",7,Q2851="Monthly",30,Q2851="Quarterly",90,Q2851="Bi-Weekly",14,Q2851="Annually",365,Q2851="Every 3 Months",90,TRUE,"NOT FOUND")</f>
        <v>14</v>
      </c>
    </row>
    <row r="2852" spans="1:19" x14ac:dyDescent="0.35">
      <c r="A2852">
        <v>2851</v>
      </c>
      <c r="B2852">
        <v>57</v>
      </c>
      <c r="C2852" t="s">
        <v>141</v>
      </c>
      <c r="D2852" t="s">
        <v>18</v>
      </c>
      <c r="E2852" t="s">
        <v>9</v>
      </c>
      <c r="F2852">
        <v>79</v>
      </c>
      <c r="G2852" t="s">
        <v>133</v>
      </c>
      <c r="H2852" t="s">
        <v>32</v>
      </c>
      <c r="I2852" t="s">
        <v>53</v>
      </c>
      <c r="J2852" t="s">
        <v>25</v>
      </c>
      <c r="K2852">
        <v>3</v>
      </c>
      <c r="L2852" t="s">
        <v>140</v>
      </c>
      <c r="M2852" t="s">
        <v>62</v>
      </c>
      <c r="N2852" t="s">
        <v>140</v>
      </c>
      <c r="O2852">
        <v>36</v>
      </c>
      <c r="P2852" t="s">
        <v>74</v>
      </c>
      <c r="Q2852" t="s">
        <v>37</v>
      </c>
      <c r="R2852" t="str" cm="1">
        <f t="array" ref="R2852">_xlfn.IFS(B2852&lt;31,"Young-Adult",B2852&lt;41,"Adult",B2852&lt;61,"Middle-aged",B2852&gt;=61,"Senior")</f>
        <v>Middle-aged</v>
      </c>
      <c r="S2852" cm="1">
        <f t="array" ref="S2852">_xlfn.IFS(Q2852 ="Fortnightly",14,Q2852="Weekly",7,Q2852="Monthly",30,Q2852="Quarterly",90,Q2852="Bi-Weekly",14,Q2852="Annually",365,Q2852="Every 3 Months",90,TRUE,"NOT FOUND")</f>
        <v>365</v>
      </c>
    </row>
    <row r="2853" spans="1:19" x14ac:dyDescent="0.35">
      <c r="A2853">
        <v>2852</v>
      </c>
      <c r="B2853">
        <v>58</v>
      </c>
      <c r="C2853" t="s">
        <v>141</v>
      </c>
      <c r="D2853" t="s">
        <v>8</v>
      </c>
      <c r="E2853" t="s">
        <v>9</v>
      </c>
      <c r="F2853">
        <v>73</v>
      </c>
      <c r="G2853" t="s">
        <v>95</v>
      </c>
      <c r="H2853" t="s">
        <v>11</v>
      </c>
      <c r="I2853" t="s">
        <v>73</v>
      </c>
      <c r="J2853" t="s">
        <v>41</v>
      </c>
      <c r="K2853">
        <v>3</v>
      </c>
      <c r="L2853" t="s">
        <v>140</v>
      </c>
      <c r="M2853" t="s">
        <v>62</v>
      </c>
      <c r="N2853" t="s">
        <v>140</v>
      </c>
      <c r="O2853">
        <v>42</v>
      </c>
      <c r="P2853" t="s">
        <v>74</v>
      </c>
      <c r="Q2853" t="s">
        <v>76</v>
      </c>
      <c r="R2853" t="str" cm="1">
        <f t="array" ref="R2853">_xlfn.IFS(B2853&lt;31,"Young-Adult",B2853&lt;41,"Adult",B2853&lt;61,"Middle-aged",B2853&gt;=61,"Senior")</f>
        <v>Middle-aged</v>
      </c>
      <c r="S2853" cm="1">
        <f t="array" ref="S2853">_xlfn.IFS(Q2853 ="Fortnightly",14,Q2853="Weekly",7,Q2853="Monthly",30,Q2853="Quarterly",90,Q2853="Bi-Weekly",14,Q2853="Annually",365,Q2853="Every 3 Months",90,TRUE,"NOT FOUND")</f>
        <v>30</v>
      </c>
    </row>
    <row r="2854" spans="1:19" x14ac:dyDescent="0.35">
      <c r="A2854">
        <v>2853</v>
      </c>
      <c r="B2854">
        <v>40</v>
      </c>
      <c r="C2854" t="s">
        <v>141</v>
      </c>
      <c r="D2854" t="s">
        <v>121</v>
      </c>
      <c r="E2854" t="s">
        <v>55</v>
      </c>
      <c r="F2854">
        <v>71</v>
      </c>
      <c r="G2854" t="s">
        <v>72</v>
      </c>
      <c r="H2854" t="s">
        <v>32</v>
      </c>
      <c r="I2854" t="s">
        <v>124</v>
      </c>
      <c r="J2854" t="s">
        <v>25</v>
      </c>
      <c r="K2854">
        <v>3</v>
      </c>
      <c r="L2854" t="s">
        <v>140</v>
      </c>
      <c r="M2854" t="s">
        <v>62</v>
      </c>
      <c r="N2854" t="s">
        <v>140</v>
      </c>
      <c r="O2854">
        <v>30</v>
      </c>
      <c r="P2854" t="s">
        <v>16</v>
      </c>
      <c r="Q2854" t="s">
        <v>28</v>
      </c>
      <c r="R2854" t="str" cm="1">
        <f t="array" ref="R2854">_xlfn.IFS(B2854&lt;31,"Young-Adult",B2854&lt;41,"Adult",B2854&lt;61,"Middle-aged",B2854&gt;=61,"Senior")</f>
        <v>Adult</v>
      </c>
      <c r="S2854" cm="1">
        <f t="array" ref="S2854">_xlfn.IFS(Q2854 ="Fortnightly",14,Q2854="Weekly",7,Q2854="Monthly",30,Q2854="Quarterly",90,Q2854="Bi-Weekly",14,Q2854="Annually",365,Q2854="Every 3 Months",90,TRUE,"NOT FOUND")</f>
        <v>7</v>
      </c>
    </row>
    <row r="2855" spans="1:19" x14ac:dyDescent="0.35">
      <c r="A2855">
        <v>2854</v>
      </c>
      <c r="B2855">
        <v>37</v>
      </c>
      <c r="C2855" t="s">
        <v>141</v>
      </c>
      <c r="D2855" t="s">
        <v>112</v>
      </c>
      <c r="E2855" t="s">
        <v>55</v>
      </c>
      <c r="F2855">
        <v>48</v>
      </c>
      <c r="G2855" t="s">
        <v>126</v>
      </c>
      <c r="H2855" t="s">
        <v>32</v>
      </c>
      <c r="I2855" t="s">
        <v>124</v>
      </c>
      <c r="J2855" t="s">
        <v>13</v>
      </c>
      <c r="K2855">
        <v>3.2</v>
      </c>
      <c r="L2855" t="s">
        <v>140</v>
      </c>
      <c r="M2855" t="s">
        <v>33</v>
      </c>
      <c r="N2855" t="s">
        <v>140</v>
      </c>
      <c r="O2855">
        <v>9</v>
      </c>
      <c r="P2855" t="s">
        <v>34</v>
      </c>
      <c r="Q2855" t="s">
        <v>28</v>
      </c>
      <c r="R2855" t="str" cm="1">
        <f t="array" ref="R2855">_xlfn.IFS(B2855&lt;31,"Young-Adult",B2855&lt;41,"Adult",B2855&lt;61,"Middle-aged",B2855&gt;=61,"Senior")</f>
        <v>Adult</v>
      </c>
      <c r="S2855" cm="1">
        <f t="array" ref="S2855">_xlfn.IFS(Q2855 ="Fortnightly",14,Q2855="Weekly",7,Q2855="Monthly",30,Q2855="Quarterly",90,Q2855="Bi-Weekly",14,Q2855="Annually",365,Q2855="Every 3 Months",90,TRUE,"NOT FOUND")</f>
        <v>7</v>
      </c>
    </row>
    <row r="2856" spans="1:19" x14ac:dyDescent="0.35">
      <c r="A2856">
        <v>2855</v>
      </c>
      <c r="B2856">
        <v>36</v>
      </c>
      <c r="C2856" t="s">
        <v>141</v>
      </c>
      <c r="D2856" t="s">
        <v>29</v>
      </c>
      <c r="E2856" t="s">
        <v>30</v>
      </c>
      <c r="F2856">
        <v>28</v>
      </c>
      <c r="G2856" t="s">
        <v>67</v>
      </c>
      <c r="H2856" t="s">
        <v>32</v>
      </c>
      <c r="I2856" t="s">
        <v>106</v>
      </c>
      <c r="J2856" t="s">
        <v>45</v>
      </c>
      <c r="K2856">
        <v>2.7</v>
      </c>
      <c r="L2856" t="s">
        <v>140</v>
      </c>
      <c r="M2856" t="s">
        <v>62</v>
      </c>
      <c r="N2856" t="s">
        <v>140</v>
      </c>
      <c r="O2856">
        <v>25</v>
      </c>
      <c r="P2856" t="s">
        <v>16</v>
      </c>
      <c r="Q2856" t="s">
        <v>76</v>
      </c>
      <c r="R2856" t="str" cm="1">
        <f t="array" ref="R2856">_xlfn.IFS(B2856&lt;31,"Young-Adult",B2856&lt;41,"Adult",B2856&lt;61,"Middle-aged",B2856&gt;=61,"Senior")</f>
        <v>Adult</v>
      </c>
      <c r="S2856" cm="1">
        <f t="array" ref="S2856">_xlfn.IFS(Q2856 ="Fortnightly",14,Q2856="Weekly",7,Q2856="Monthly",30,Q2856="Quarterly",90,Q2856="Bi-Weekly",14,Q2856="Annually",365,Q2856="Every 3 Months",90,TRUE,"NOT FOUND")</f>
        <v>30</v>
      </c>
    </row>
    <row r="2857" spans="1:19" x14ac:dyDescent="0.35">
      <c r="A2857">
        <v>2856</v>
      </c>
      <c r="B2857">
        <v>29</v>
      </c>
      <c r="C2857" t="s">
        <v>141</v>
      </c>
      <c r="D2857" t="s">
        <v>125</v>
      </c>
      <c r="E2857" t="s">
        <v>30</v>
      </c>
      <c r="F2857">
        <v>95</v>
      </c>
      <c r="G2857" t="s">
        <v>79</v>
      </c>
      <c r="H2857" t="s">
        <v>24</v>
      </c>
      <c r="I2857" t="s">
        <v>20</v>
      </c>
      <c r="J2857" t="s">
        <v>13</v>
      </c>
      <c r="K2857">
        <v>3.8</v>
      </c>
      <c r="L2857" t="s">
        <v>140</v>
      </c>
      <c r="M2857" t="s">
        <v>58</v>
      </c>
      <c r="N2857" t="s">
        <v>140</v>
      </c>
      <c r="O2857">
        <v>33</v>
      </c>
      <c r="P2857" t="s">
        <v>34</v>
      </c>
      <c r="Q2857" t="s">
        <v>46</v>
      </c>
      <c r="R2857" t="str" cm="1">
        <f t="array" ref="R2857">_xlfn.IFS(B2857&lt;31,"Young-Adult",B2857&lt;41,"Adult",B2857&lt;61,"Middle-aged",B2857&gt;=61,"Senior")</f>
        <v>Young-Adult</v>
      </c>
      <c r="S2857" cm="1">
        <f t="array" ref="S2857">_xlfn.IFS(Q2857 ="Fortnightly",14,Q2857="Weekly",7,Q2857="Monthly",30,Q2857="Quarterly",90,Q2857="Bi-Weekly",14,Q2857="Annually",365,Q2857="Every 3 Months",90,TRUE,"NOT FOUND")</f>
        <v>90</v>
      </c>
    </row>
    <row r="2858" spans="1:19" x14ac:dyDescent="0.35">
      <c r="A2858">
        <v>2857</v>
      </c>
      <c r="B2858">
        <v>65</v>
      </c>
      <c r="C2858" t="s">
        <v>141</v>
      </c>
      <c r="D2858" t="s">
        <v>90</v>
      </c>
      <c r="E2858" t="s">
        <v>51</v>
      </c>
      <c r="F2858">
        <v>48</v>
      </c>
      <c r="G2858" t="s">
        <v>134</v>
      </c>
      <c r="H2858" t="s">
        <v>32</v>
      </c>
      <c r="I2858" t="s">
        <v>114</v>
      </c>
      <c r="J2858" t="s">
        <v>13</v>
      </c>
      <c r="K2858">
        <v>3.5</v>
      </c>
      <c r="L2858" t="s">
        <v>140</v>
      </c>
      <c r="M2858" t="s">
        <v>58</v>
      </c>
      <c r="N2858" t="s">
        <v>140</v>
      </c>
      <c r="O2858">
        <v>31</v>
      </c>
      <c r="P2858" t="s">
        <v>27</v>
      </c>
      <c r="Q2858" t="s">
        <v>76</v>
      </c>
      <c r="R2858" t="str" cm="1">
        <f t="array" ref="R2858">_xlfn.IFS(B2858&lt;31,"Young-Adult",B2858&lt;41,"Adult",B2858&lt;61,"Middle-aged",B2858&gt;=61,"Senior")</f>
        <v>Senior</v>
      </c>
      <c r="S2858" cm="1">
        <f t="array" ref="S2858">_xlfn.IFS(Q2858 ="Fortnightly",14,Q2858="Weekly",7,Q2858="Monthly",30,Q2858="Quarterly",90,Q2858="Bi-Weekly",14,Q2858="Annually",365,Q2858="Every 3 Months",90,TRUE,"NOT FOUND")</f>
        <v>30</v>
      </c>
    </row>
    <row r="2859" spans="1:19" x14ac:dyDescent="0.35">
      <c r="A2859">
        <v>2858</v>
      </c>
      <c r="B2859">
        <v>44</v>
      </c>
      <c r="C2859" t="s">
        <v>141</v>
      </c>
      <c r="D2859" t="s">
        <v>69</v>
      </c>
      <c r="E2859" t="s">
        <v>9</v>
      </c>
      <c r="F2859">
        <v>93</v>
      </c>
      <c r="G2859" t="s">
        <v>128</v>
      </c>
      <c r="H2859" t="s">
        <v>24</v>
      </c>
      <c r="I2859" t="s">
        <v>20</v>
      </c>
      <c r="J2859" t="s">
        <v>25</v>
      </c>
      <c r="K2859">
        <v>3.8</v>
      </c>
      <c r="L2859" t="s">
        <v>140</v>
      </c>
      <c r="M2859" t="s">
        <v>33</v>
      </c>
      <c r="N2859" t="s">
        <v>140</v>
      </c>
      <c r="O2859">
        <v>35</v>
      </c>
      <c r="P2859" t="s">
        <v>74</v>
      </c>
      <c r="Q2859" t="s">
        <v>76</v>
      </c>
      <c r="R2859" t="str" cm="1">
        <f t="array" ref="R2859">_xlfn.IFS(B2859&lt;31,"Young-Adult",B2859&lt;41,"Adult",B2859&lt;61,"Middle-aged",B2859&gt;=61,"Senior")</f>
        <v>Middle-aged</v>
      </c>
      <c r="S2859" cm="1">
        <f t="array" ref="S2859">_xlfn.IFS(Q2859 ="Fortnightly",14,Q2859="Weekly",7,Q2859="Monthly",30,Q2859="Quarterly",90,Q2859="Bi-Weekly",14,Q2859="Annually",365,Q2859="Every 3 Months",90,TRUE,"NOT FOUND")</f>
        <v>30</v>
      </c>
    </row>
    <row r="2860" spans="1:19" x14ac:dyDescent="0.35">
      <c r="A2860">
        <v>2859</v>
      </c>
      <c r="B2860">
        <v>34</v>
      </c>
      <c r="C2860" t="s">
        <v>141</v>
      </c>
      <c r="D2860" t="s">
        <v>22</v>
      </c>
      <c r="E2860" t="s">
        <v>9</v>
      </c>
      <c r="F2860">
        <v>87</v>
      </c>
      <c r="G2860" t="s">
        <v>116</v>
      </c>
      <c r="H2860" t="s">
        <v>11</v>
      </c>
      <c r="I2860" t="s">
        <v>73</v>
      </c>
      <c r="J2860" t="s">
        <v>41</v>
      </c>
      <c r="K2860">
        <v>3.8</v>
      </c>
      <c r="L2860" t="s">
        <v>140</v>
      </c>
      <c r="M2860" t="s">
        <v>58</v>
      </c>
      <c r="N2860" t="s">
        <v>140</v>
      </c>
      <c r="O2860">
        <v>46</v>
      </c>
      <c r="P2860" t="s">
        <v>63</v>
      </c>
      <c r="Q2860" t="s">
        <v>76</v>
      </c>
      <c r="R2860" t="str" cm="1">
        <f t="array" ref="R2860">_xlfn.IFS(B2860&lt;31,"Young-Adult",B2860&lt;41,"Adult",B2860&lt;61,"Middle-aged",B2860&gt;=61,"Senior")</f>
        <v>Adult</v>
      </c>
      <c r="S2860" cm="1">
        <f t="array" ref="S2860">_xlfn.IFS(Q2860 ="Fortnightly",14,Q2860="Weekly",7,Q2860="Monthly",30,Q2860="Quarterly",90,Q2860="Bi-Weekly",14,Q2860="Annually",365,Q2860="Every 3 Months",90,TRUE,"NOT FOUND")</f>
        <v>30</v>
      </c>
    </row>
    <row r="2861" spans="1:19" x14ac:dyDescent="0.35">
      <c r="A2861">
        <v>2860</v>
      </c>
      <c r="B2861">
        <v>31</v>
      </c>
      <c r="C2861" t="s">
        <v>141</v>
      </c>
      <c r="D2861" t="s">
        <v>47</v>
      </c>
      <c r="E2861" t="s">
        <v>9</v>
      </c>
      <c r="F2861">
        <v>32</v>
      </c>
      <c r="G2861" t="s">
        <v>128</v>
      </c>
      <c r="H2861" t="s">
        <v>11</v>
      </c>
      <c r="I2861" t="s">
        <v>122</v>
      </c>
      <c r="J2861" t="s">
        <v>45</v>
      </c>
      <c r="K2861">
        <v>3.4</v>
      </c>
      <c r="L2861" t="s">
        <v>140</v>
      </c>
      <c r="M2861" t="s">
        <v>15</v>
      </c>
      <c r="N2861" t="s">
        <v>140</v>
      </c>
      <c r="O2861">
        <v>29</v>
      </c>
      <c r="P2861" t="s">
        <v>63</v>
      </c>
      <c r="Q2861" t="s">
        <v>37</v>
      </c>
      <c r="R2861" t="str" cm="1">
        <f t="array" ref="R2861">_xlfn.IFS(B2861&lt;31,"Young-Adult",B2861&lt;41,"Adult",B2861&lt;61,"Middle-aged",B2861&gt;=61,"Senior")</f>
        <v>Adult</v>
      </c>
      <c r="S2861" cm="1">
        <f t="array" ref="S2861">_xlfn.IFS(Q2861 ="Fortnightly",14,Q2861="Weekly",7,Q2861="Monthly",30,Q2861="Quarterly",90,Q2861="Bi-Weekly",14,Q2861="Annually",365,Q2861="Every 3 Months",90,TRUE,"NOT FOUND")</f>
        <v>365</v>
      </c>
    </row>
    <row r="2862" spans="1:19" x14ac:dyDescent="0.35">
      <c r="A2862">
        <v>2861</v>
      </c>
      <c r="B2862">
        <v>28</v>
      </c>
      <c r="C2862" t="s">
        <v>141</v>
      </c>
      <c r="D2862" t="s">
        <v>43</v>
      </c>
      <c r="E2862" t="s">
        <v>9</v>
      </c>
      <c r="F2862">
        <v>38</v>
      </c>
      <c r="G2862" t="s">
        <v>31</v>
      </c>
      <c r="H2862" t="s">
        <v>32</v>
      </c>
      <c r="I2862" t="s">
        <v>68</v>
      </c>
      <c r="J2862" t="s">
        <v>25</v>
      </c>
      <c r="K2862">
        <v>2.9</v>
      </c>
      <c r="L2862" t="s">
        <v>140</v>
      </c>
      <c r="M2862" t="s">
        <v>33</v>
      </c>
      <c r="N2862" t="s">
        <v>140</v>
      </c>
      <c r="O2862">
        <v>49</v>
      </c>
      <c r="P2862" t="s">
        <v>63</v>
      </c>
      <c r="Q2862" t="s">
        <v>28</v>
      </c>
      <c r="R2862" t="str" cm="1">
        <f t="array" ref="R2862">_xlfn.IFS(B2862&lt;31,"Young-Adult",B2862&lt;41,"Adult",B2862&lt;61,"Middle-aged",B2862&gt;=61,"Senior")</f>
        <v>Young-Adult</v>
      </c>
      <c r="S2862" cm="1">
        <f t="array" ref="S2862">_xlfn.IFS(Q2862 ="Fortnightly",14,Q2862="Weekly",7,Q2862="Monthly",30,Q2862="Quarterly",90,Q2862="Bi-Weekly",14,Q2862="Annually",365,Q2862="Every 3 Months",90,TRUE,"NOT FOUND")</f>
        <v>7</v>
      </c>
    </row>
    <row r="2863" spans="1:19" x14ac:dyDescent="0.35">
      <c r="A2863">
        <v>2862</v>
      </c>
      <c r="B2863">
        <v>66</v>
      </c>
      <c r="C2863" t="s">
        <v>141</v>
      </c>
      <c r="D2863" t="s">
        <v>50</v>
      </c>
      <c r="E2863" t="s">
        <v>51</v>
      </c>
      <c r="F2863">
        <v>54</v>
      </c>
      <c r="G2863" t="s">
        <v>116</v>
      </c>
      <c r="H2863" t="s">
        <v>32</v>
      </c>
      <c r="I2863" t="s">
        <v>73</v>
      </c>
      <c r="J2863" t="s">
        <v>45</v>
      </c>
      <c r="K2863">
        <v>3.4</v>
      </c>
      <c r="L2863" t="s">
        <v>140</v>
      </c>
      <c r="M2863" t="s">
        <v>26</v>
      </c>
      <c r="N2863" t="s">
        <v>140</v>
      </c>
      <c r="O2863">
        <v>27</v>
      </c>
      <c r="P2863" t="s">
        <v>27</v>
      </c>
      <c r="Q2863" t="s">
        <v>76</v>
      </c>
      <c r="R2863" t="str" cm="1">
        <f t="array" ref="R2863">_xlfn.IFS(B2863&lt;31,"Young-Adult",B2863&lt;41,"Adult",B2863&lt;61,"Middle-aged",B2863&gt;=61,"Senior")</f>
        <v>Senior</v>
      </c>
      <c r="S2863" cm="1">
        <f t="array" ref="S2863">_xlfn.IFS(Q2863 ="Fortnightly",14,Q2863="Weekly",7,Q2863="Monthly",30,Q2863="Quarterly",90,Q2863="Bi-Weekly",14,Q2863="Annually",365,Q2863="Every 3 Months",90,TRUE,"NOT FOUND")</f>
        <v>30</v>
      </c>
    </row>
    <row r="2864" spans="1:19" x14ac:dyDescent="0.35">
      <c r="A2864">
        <v>2863</v>
      </c>
      <c r="B2864">
        <v>68</v>
      </c>
      <c r="C2864" t="s">
        <v>141</v>
      </c>
      <c r="D2864" t="s">
        <v>50</v>
      </c>
      <c r="E2864" t="s">
        <v>51</v>
      </c>
      <c r="F2864">
        <v>75</v>
      </c>
      <c r="G2864" t="s">
        <v>65</v>
      </c>
      <c r="H2864" t="s">
        <v>24</v>
      </c>
      <c r="I2864" t="s">
        <v>71</v>
      </c>
      <c r="J2864" t="s">
        <v>41</v>
      </c>
      <c r="K2864">
        <v>4.7</v>
      </c>
      <c r="L2864" t="s">
        <v>140</v>
      </c>
      <c r="M2864" t="s">
        <v>62</v>
      </c>
      <c r="N2864" t="s">
        <v>140</v>
      </c>
      <c r="O2864">
        <v>5</v>
      </c>
      <c r="P2864" t="s">
        <v>63</v>
      </c>
      <c r="Q2864" t="s">
        <v>85</v>
      </c>
      <c r="R2864" t="str" cm="1">
        <f t="array" ref="R2864">_xlfn.IFS(B2864&lt;31,"Young-Adult",B2864&lt;41,"Adult",B2864&lt;61,"Middle-aged",B2864&gt;=61,"Senior")</f>
        <v>Senior</v>
      </c>
      <c r="S2864" cm="1">
        <f t="array" ref="S2864">_xlfn.IFS(Q2864 ="Fortnightly",14,Q2864="Weekly",7,Q2864="Monthly",30,Q2864="Quarterly",90,Q2864="Bi-Weekly",14,Q2864="Annually",365,Q2864="Every 3 Months",90,TRUE,"NOT FOUND")</f>
        <v>90</v>
      </c>
    </row>
    <row r="2865" spans="1:19" x14ac:dyDescent="0.35">
      <c r="A2865">
        <v>2864</v>
      </c>
      <c r="B2865">
        <v>37</v>
      </c>
      <c r="C2865" t="s">
        <v>141</v>
      </c>
      <c r="D2865" t="s">
        <v>101</v>
      </c>
      <c r="E2865" t="s">
        <v>9</v>
      </c>
      <c r="F2865">
        <v>56</v>
      </c>
      <c r="G2865" t="s">
        <v>127</v>
      </c>
      <c r="H2865" t="s">
        <v>32</v>
      </c>
      <c r="I2865" t="s">
        <v>122</v>
      </c>
      <c r="J2865" t="s">
        <v>45</v>
      </c>
      <c r="K2865">
        <v>3.9</v>
      </c>
      <c r="L2865" t="s">
        <v>140</v>
      </c>
      <c r="M2865" t="s">
        <v>58</v>
      </c>
      <c r="N2865" t="s">
        <v>140</v>
      </c>
      <c r="O2865">
        <v>18</v>
      </c>
      <c r="P2865" t="s">
        <v>16</v>
      </c>
      <c r="Q2865" t="s">
        <v>76</v>
      </c>
      <c r="R2865" t="str" cm="1">
        <f t="array" ref="R2865">_xlfn.IFS(B2865&lt;31,"Young-Adult",B2865&lt;41,"Adult",B2865&lt;61,"Middle-aged",B2865&gt;=61,"Senior")</f>
        <v>Adult</v>
      </c>
      <c r="S2865" cm="1">
        <f t="array" ref="S2865">_xlfn.IFS(Q2865 ="Fortnightly",14,Q2865="Weekly",7,Q2865="Monthly",30,Q2865="Quarterly",90,Q2865="Bi-Weekly",14,Q2865="Annually",365,Q2865="Every 3 Months",90,TRUE,"NOT FOUND")</f>
        <v>30</v>
      </c>
    </row>
    <row r="2866" spans="1:19" x14ac:dyDescent="0.35">
      <c r="A2866">
        <v>2865</v>
      </c>
      <c r="B2866">
        <v>58</v>
      </c>
      <c r="C2866" t="s">
        <v>141</v>
      </c>
      <c r="D2866" t="s">
        <v>18</v>
      </c>
      <c r="E2866" t="s">
        <v>9</v>
      </c>
      <c r="F2866">
        <v>43</v>
      </c>
      <c r="G2866" t="s">
        <v>103</v>
      </c>
      <c r="H2866" t="s">
        <v>24</v>
      </c>
      <c r="I2866" t="s">
        <v>20</v>
      </c>
      <c r="J2866" t="s">
        <v>45</v>
      </c>
      <c r="K2866">
        <v>3.6</v>
      </c>
      <c r="L2866" t="s">
        <v>140</v>
      </c>
      <c r="M2866" t="s">
        <v>62</v>
      </c>
      <c r="N2866" t="s">
        <v>140</v>
      </c>
      <c r="O2866">
        <v>31</v>
      </c>
      <c r="P2866" t="s">
        <v>16</v>
      </c>
      <c r="Q2866" t="s">
        <v>28</v>
      </c>
      <c r="R2866" t="str" cm="1">
        <f t="array" ref="R2866">_xlfn.IFS(B2866&lt;31,"Young-Adult",B2866&lt;41,"Adult",B2866&lt;61,"Middle-aged",B2866&gt;=61,"Senior")</f>
        <v>Middle-aged</v>
      </c>
      <c r="S2866" cm="1">
        <f t="array" ref="S2866">_xlfn.IFS(Q2866 ="Fortnightly",14,Q2866="Weekly",7,Q2866="Monthly",30,Q2866="Quarterly",90,Q2866="Bi-Weekly",14,Q2866="Annually",365,Q2866="Every 3 Months",90,TRUE,"NOT FOUND")</f>
        <v>7</v>
      </c>
    </row>
    <row r="2867" spans="1:19" x14ac:dyDescent="0.35">
      <c r="A2867">
        <v>2866</v>
      </c>
      <c r="B2867">
        <v>28</v>
      </c>
      <c r="C2867" t="s">
        <v>141</v>
      </c>
      <c r="D2867" t="s">
        <v>75</v>
      </c>
      <c r="E2867" t="s">
        <v>9</v>
      </c>
      <c r="F2867">
        <v>97</v>
      </c>
      <c r="G2867" t="s">
        <v>87</v>
      </c>
      <c r="H2867" t="s">
        <v>32</v>
      </c>
      <c r="I2867" t="s">
        <v>53</v>
      </c>
      <c r="J2867" t="s">
        <v>45</v>
      </c>
      <c r="K2867">
        <v>3.7</v>
      </c>
      <c r="L2867" t="s">
        <v>140</v>
      </c>
      <c r="M2867" t="s">
        <v>26</v>
      </c>
      <c r="N2867" t="s">
        <v>140</v>
      </c>
      <c r="O2867">
        <v>27</v>
      </c>
      <c r="P2867" t="s">
        <v>21</v>
      </c>
      <c r="Q2867" t="s">
        <v>17</v>
      </c>
      <c r="R2867" t="str" cm="1">
        <f t="array" ref="R2867">_xlfn.IFS(B2867&lt;31,"Young-Adult",B2867&lt;41,"Adult",B2867&lt;61,"Middle-aged",B2867&gt;=61,"Senior")</f>
        <v>Young-Adult</v>
      </c>
      <c r="S2867" cm="1">
        <f t="array" ref="S2867">_xlfn.IFS(Q2867 ="Fortnightly",14,Q2867="Weekly",7,Q2867="Monthly",30,Q2867="Quarterly",90,Q2867="Bi-Weekly",14,Q2867="Annually",365,Q2867="Every 3 Months",90,TRUE,"NOT FOUND")</f>
        <v>14</v>
      </c>
    </row>
    <row r="2868" spans="1:19" x14ac:dyDescent="0.35">
      <c r="A2868">
        <v>2867</v>
      </c>
      <c r="B2868">
        <v>54</v>
      </c>
      <c r="C2868" t="s">
        <v>141</v>
      </c>
      <c r="D2868" t="s">
        <v>8</v>
      </c>
      <c r="E2868" t="s">
        <v>9</v>
      </c>
      <c r="F2868">
        <v>75</v>
      </c>
      <c r="G2868" t="s">
        <v>127</v>
      </c>
      <c r="H2868" t="s">
        <v>24</v>
      </c>
      <c r="I2868" t="s">
        <v>71</v>
      </c>
      <c r="J2868" t="s">
        <v>41</v>
      </c>
      <c r="K2868">
        <v>3.1</v>
      </c>
      <c r="L2868" t="s">
        <v>140</v>
      </c>
      <c r="M2868" t="s">
        <v>26</v>
      </c>
      <c r="N2868" t="s">
        <v>140</v>
      </c>
      <c r="O2868">
        <v>19</v>
      </c>
      <c r="P2868" t="s">
        <v>21</v>
      </c>
      <c r="Q2868" t="s">
        <v>37</v>
      </c>
      <c r="R2868" t="str" cm="1">
        <f t="array" ref="R2868">_xlfn.IFS(B2868&lt;31,"Young-Adult",B2868&lt;41,"Adult",B2868&lt;61,"Middle-aged",B2868&gt;=61,"Senior")</f>
        <v>Middle-aged</v>
      </c>
      <c r="S2868" cm="1">
        <f t="array" ref="S2868">_xlfn.IFS(Q2868 ="Fortnightly",14,Q2868="Weekly",7,Q2868="Monthly",30,Q2868="Quarterly",90,Q2868="Bi-Weekly",14,Q2868="Annually",365,Q2868="Every 3 Months",90,TRUE,"NOT FOUND")</f>
        <v>365</v>
      </c>
    </row>
    <row r="2869" spans="1:19" x14ac:dyDescent="0.35">
      <c r="A2869">
        <v>2868</v>
      </c>
      <c r="B2869">
        <v>21</v>
      </c>
      <c r="C2869" t="s">
        <v>141</v>
      </c>
      <c r="D2869" t="s">
        <v>38</v>
      </c>
      <c r="E2869" t="s">
        <v>30</v>
      </c>
      <c r="F2869">
        <v>55</v>
      </c>
      <c r="G2869" t="s">
        <v>100</v>
      </c>
      <c r="H2869" t="s">
        <v>11</v>
      </c>
      <c r="I2869" t="s">
        <v>40</v>
      </c>
      <c r="J2869" t="s">
        <v>41</v>
      </c>
      <c r="K2869">
        <v>4.9000000000000004</v>
      </c>
      <c r="L2869" t="s">
        <v>140</v>
      </c>
      <c r="M2869" t="s">
        <v>33</v>
      </c>
      <c r="N2869" t="s">
        <v>140</v>
      </c>
      <c r="O2869">
        <v>33</v>
      </c>
      <c r="P2869" t="s">
        <v>21</v>
      </c>
      <c r="Q2869" t="s">
        <v>17</v>
      </c>
      <c r="R2869" t="str" cm="1">
        <f t="array" ref="R2869">_xlfn.IFS(B2869&lt;31,"Young-Adult",B2869&lt;41,"Adult",B2869&lt;61,"Middle-aged",B2869&gt;=61,"Senior")</f>
        <v>Young-Adult</v>
      </c>
      <c r="S2869" cm="1">
        <f t="array" ref="S2869">_xlfn.IFS(Q2869 ="Fortnightly",14,Q2869="Weekly",7,Q2869="Monthly",30,Q2869="Quarterly",90,Q2869="Bi-Weekly",14,Q2869="Annually",365,Q2869="Every 3 Months",90,TRUE,"NOT FOUND")</f>
        <v>14</v>
      </c>
    </row>
    <row r="2870" spans="1:19" x14ac:dyDescent="0.35">
      <c r="A2870">
        <v>2869</v>
      </c>
      <c r="B2870">
        <v>45</v>
      </c>
      <c r="C2870" t="s">
        <v>141</v>
      </c>
      <c r="D2870" t="s">
        <v>120</v>
      </c>
      <c r="E2870" t="s">
        <v>55</v>
      </c>
      <c r="F2870">
        <v>49</v>
      </c>
      <c r="G2870" t="s">
        <v>100</v>
      </c>
      <c r="H2870" t="s">
        <v>32</v>
      </c>
      <c r="I2870" t="s">
        <v>82</v>
      </c>
      <c r="J2870" t="s">
        <v>13</v>
      </c>
      <c r="K2870">
        <v>2.6</v>
      </c>
      <c r="L2870" t="s">
        <v>140</v>
      </c>
      <c r="M2870" t="s">
        <v>33</v>
      </c>
      <c r="N2870" t="s">
        <v>140</v>
      </c>
      <c r="O2870">
        <v>42</v>
      </c>
      <c r="P2870" t="s">
        <v>34</v>
      </c>
      <c r="Q2870" t="s">
        <v>85</v>
      </c>
      <c r="R2870" t="str" cm="1">
        <f t="array" ref="R2870">_xlfn.IFS(B2870&lt;31,"Young-Adult",B2870&lt;41,"Adult",B2870&lt;61,"Middle-aged",B2870&gt;=61,"Senior")</f>
        <v>Middle-aged</v>
      </c>
      <c r="S2870" cm="1">
        <f t="array" ref="S2870">_xlfn.IFS(Q2870 ="Fortnightly",14,Q2870="Weekly",7,Q2870="Monthly",30,Q2870="Quarterly",90,Q2870="Bi-Weekly",14,Q2870="Annually",365,Q2870="Every 3 Months",90,TRUE,"NOT FOUND")</f>
        <v>90</v>
      </c>
    </row>
    <row r="2871" spans="1:19" x14ac:dyDescent="0.35">
      <c r="A2871">
        <v>2870</v>
      </c>
      <c r="B2871">
        <v>57</v>
      </c>
      <c r="C2871" t="s">
        <v>141</v>
      </c>
      <c r="D2871" t="s">
        <v>113</v>
      </c>
      <c r="E2871" t="s">
        <v>9</v>
      </c>
      <c r="F2871">
        <v>58</v>
      </c>
      <c r="G2871" t="s">
        <v>130</v>
      </c>
      <c r="H2871" t="s">
        <v>32</v>
      </c>
      <c r="I2871" t="s">
        <v>40</v>
      </c>
      <c r="J2871" t="s">
        <v>41</v>
      </c>
      <c r="K2871">
        <v>4.2</v>
      </c>
      <c r="L2871" t="s">
        <v>140</v>
      </c>
      <c r="M2871" t="s">
        <v>42</v>
      </c>
      <c r="N2871" t="s">
        <v>140</v>
      </c>
      <c r="O2871">
        <v>16</v>
      </c>
      <c r="P2871" t="s">
        <v>63</v>
      </c>
      <c r="Q2871" t="s">
        <v>28</v>
      </c>
      <c r="R2871" t="str" cm="1">
        <f t="array" ref="R2871">_xlfn.IFS(B2871&lt;31,"Young-Adult",B2871&lt;41,"Adult",B2871&lt;61,"Middle-aged",B2871&gt;=61,"Senior")</f>
        <v>Middle-aged</v>
      </c>
      <c r="S2871" cm="1">
        <f t="array" ref="S2871">_xlfn.IFS(Q2871 ="Fortnightly",14,Q2871="Weekly",7,Q2871="Monthly",30,Q2871="Quarterly",90,Q2871="Bi-Weekly",14,Q2871="Annually",365,Q2871="Every 3 Months",90,TRUE,"NOT FOUND")</f>
        <v>7</v>
      </c>
    </row>
    <row r="2872" spans="1:19" x14ac:dyDescent="0.35">
      <c r="A2872">
        <v>2871</v>
      </c>
      <c r="B2872">
        <v>47</v>
      </c>
      <c r="C2872" t="s">
        <v>141</v>
      </c>
      <c r="D2872" t="s">
        <v>94</v>
      </c>
      <c r="E2872" t="s">
        <v>55</v>
      </c>
      <c r="F2872">
        <v>34</v>
      </c>
      <c r="G2872" t="s">
        <v>102</v>
      </c>
      <c r="H2872" t="s">
        <v>32</v>
      </c>
      <c r="I2872" t="s">
        <v>132</v>
      </c>
      <c r="J2872" t="s">
        <v>13</v>
      </c>
      <c r="K2872">
        <v>4.8</v>
      </c>
      <c r="L2872" t="s">
        <v>140</v>
      </c>
      <c r="M2872" t="s">
        <v>26</v>
      </c>
      <c r="N2872" t="s">
        <v>140</v>
      </c>
      <c r="O2872">
        <v>49</v>
      </c>
      <c r="P2872" t="s">
        <v>74</v>
      </c>
      <c r="Q2872" t="s">
        <v>85</v>
      </c>
      <c r="R2872" t="str" cm="1">
        <f t="array" ref="R2872">_xlfn.IFS(B2872&lt;31,"Young-Adult",B2872&lt;41,"Adult",B2872&lt;61,"Middle-aged",B2872&gt;=61,"Senior")</f>
        <v>Middle-aged</v>
      </c>
      <c r="S2872" cm="1">
        <f t="array" ref="S2872">_xlfn.IFS(Q2872 ="Fortnightly",14,Q2872="Weekly",7,Q2872="Monthly",30,Q2872="Quarterly",90,Q2872="Bi-Weekly",14,Q2872="Annually",365,Q2872="Every 3 Months",90,TRUE,"NOT FOUND")</f>
        <v>90</v>
      </c>
    </row>
    <row r="2873" spans="1:19" x14ac:dyDescent="0.35">
      <c r="A2873">
        <v>2872</v>
      </c>
      <c r="B2873">
        <v>46</v>
      </c>
      <c r="C2873" t="s">
        <v>141</v>
      </c>
      <c r="D2873" t="s">
        <v>47</v>
      </c>
      <c r="E2873" t="s">
        <v>9</v>
      </c>
      <c r="F2873">
        <v>43</v>
      </c>
      <c r="G2873" t="s">
        <v>123</v>
      </c>
      <c r="H2873" t="s">
        <v>24</v>
      </c>
      <c r="I2873" t="s">
        <v>82</v>
      </c>
      <c r="J2873" t="s">
        <v>41</v>
      </c>
      <c r="K2873">
        <v>2.7</v>
      </c>
      <c r="L2873" t="s">
        <v>140</v>
      </c>
      <c r="M2873" t="s">
        <v>58</v>
      </c>
      <c r="N2873" t="s">
        <v>140</v>
      </c>
      <c r="O2873">
        <v>40</v>
      </c>
      <c r="P2873" t="s">
        <v>16</v>
      </c>
      <c r="Q2873" t="s">
        <v>64</v>
      </c>
      <c r="R2873" t="str" cm="1">
        <f t="array" ref="R2873">_xlfn.IFS(B2873&lt;31,"Young-Adult",B2873&lt;41,"Adult",B2873&lt;61,"Middle-aged",B2873&gt;=61,"Senior")</f>
        <v>Middle-aged</v>
      </c>
      <c r="S2873" cm="1">
        <f t="array" ref="S2873">_xlfn.IFS(Q2873 ="Fortnightly",14,Q2873="Weekly",7,Q2873="Monthly",30,Q2873="Quarterly",90,Q2873="Bi-Weekly",14,Q2873="Annually",365,Q2873="Every 3 Months",90,TRUE,"NOT FOUND")</f>
        <v>14</v>
      </c>
    </row>
    <row r="2874" spans="1:19" x14ac:dyDescent="0.35">
      <c r="A2874">
        <v>2873</v>
      </c>
      <c r="B2874">
        <v>63</v>
      </c>
      <c r="C2874" t="s">
        <v>141</v>
      </c>
      <c r="D2874" t="s">
        <v>94</v>
      </c>
      <c r="E2874" t="s">
        <v>55</v>
      </c>
      <c r="F2874">
        <v>48</v>
      </c>
      <c r="G2874" t="s">
        <v>127</v>
      </c>
      <c r="H2874" t="s">
        <v>11</v>
      </c>
      <c r="I2874" t="s">
        <v>66</v>
      </c>
      <c r="J2874" t="s">
        <v>45</v>
      </c>
      <c r="K2874">
        <v>2.6</v>
      </c>
      <c r="L2874" t="s">
        <v>140</v>
      </c>
      <c r="M2874" t="s">
        <v>33</v>
      </c>
      <c r="N2874" t="s">
        <v>140</v>
      </c>
      <c r="O2874">
        <v>5</v>
      </c>
      <c r="P2874" t="s">
        <v>21</v>
      </c>
      <c r="Q2874" t="s">
        <v>37</v>
      </c>
      <c r="R2874" t="str" cm="1">
        <f t="array" ref="R2874">_xlfn.IFS(B2874&lt;31,"Young-Adult",B2874&lt;41,"Adult",B2874&lt;61,"Middle-aged",B2874&gt;=61,"Senior")</f>
        <v>Senior</v>
      </c>
      <c r="S2874" cm="1">
        <f t="array" ref="S2874">_xlfn.IFS(Q2874 ="Fortnightly",14,Q2874="Weekly",7,Q2874="Monthly",30,Q2874="Quarterly",90,Q2874="Bi-Weekly",14,Q2874="Annually",365,Q2874="Every 3 Months",90,TRUE,"NOT FOUND")</f>
        <v>365</v>
      </c>
    </row>
    <row r="2875" spans="1:19" x14ac:dyDescent="0.35">
      <c r="A2875">
        <v>2874</v>
      </c>
      <c r="B2875">
        <v>44</v>
      </c>
      <c r="C2875" t="s">
        <v>141</v>
      </c>
      <c r="D2875" t="s">
        <v>18</v>
      </c>
      <c r="E2875" t="s">
        <v>9</v>
      </c>
      <c r="F2875">
        <v>40</v>
      </c>
      <c r="G2875" t="s">
        <v>44</v>
      </c>
      <c r="H2875" t="s">
        <v>32</v>
      </c>
      <c r="I2875" t="s">
        <v>73</v>
      </c>
      <c r="J2875" t="s">
        <v>25</v>
      </c>
      <c r="K2875">
        <v>2.6</v>
      </c>
      <c r="L2875" t="s">
        <v>140</v>
      </c>
      <c r="M2875" t="s">
        <v>26</v>
      </c>
      <c r="N2875" t="s">
        <v>140</v>
      </c>
      <c r="O2875">
        <v>8</v>
      </c>
      <c r="P2875" t="s">
        <v>63</v>
      </c>
      <c r="Q2875" t="s">
        <v>76</v>
      </c>
      <c r="R2875" t="str" cm="1">
        <f t="array" ref="R2875">_xlfn.IFS(B2875&lt;31,"Young-Adult",B2875&lt;41,"Adult",B2875&lt;61,"Middle-aged",B2875&gt;=61,"Senior")</f>
        <v>Middle-aged</v>
      </c>
      <c r="S2875" cm="1">
        <f t="array" ref="S2875">_xlfn.IFS(Q2875 ="Fortnightly",14,Q2875="Weekly",7,Q2875="Monthly",30,Q2875="Quarterly",90,Q2875="Bi-Weekly",14,Q2875="Annually",365,Q2875="Every 3 Months",90,TRUE,"NOT FOUND")</f>
        <v>30</v>
      </c>
    </row>
    <row r="2876" spans="1:19" x14ac:dyDescent="0.35">
      <c r="A2876">
        <v>2875</v>
      </c>
      <c r="B2876">
        <v>36</v>
      </c>
      <c r="C2876" t="s">
        <v>141</v>
      </c>
      <c r="D2876" t="s">
        <v>43</v>
      </c>
      <c r="E2876" t="s">
        <v>9</v>
      </c>
      <c r="F2876">
        <v>29</v>
      </c>
      <c r="G2876" t="s">
        <v>100</v>
      </c>
      <c r="H2876" t="s">
        <v>11</v>
      </c>
      <c r="I2876" t="s">
        <v>53</v>
      </c>
      <c r="J2876" t="s">
        <v>41</v>
      </c>
      <c r="K2876">
        <v>3.1</v>
      </c>
      <c r="L2876" t="s">
        <v>140</v>
      </c>
      <c r="M2876" t="s">
        <v>42</v>
      </c>
      <c r="N2876" t="s">
        <v>140</v>
      </c>
      <c r="O2876">
        <v>2</v>
      </c>
      <c r="P2876" t="s">
        <v>74</v>
      </c>
      <c r="Q2876" t="s">
        <v>37</v>
      </c>
      <c r="R2876" t="str" cm="1">
        <f t="array" ref="R2876">_xlfn.IFS(B2876&lt;31,"Young-Adult",B2876&lt;41,"Adult",B2876&lt;61,"Middle-aged",B2876&gt;=61,"Senior")</f>
        <v>Adult</v>
      </c>
      <c r="S2876" cm="1">
        <f t="array" ref="S2876">_xlfn.IFS(Q2876 ="Fortnightly",14,Q2876="Weekly",7,Q2876="Monthly",30,Q2876="Quarterly",90,Q2876="Bi-Weekly",14,Q2876="Annually",365,Q2876="Every 3 Months",90,TRUE,"NOT FOUND")</f>
        <v>365</v>
      </c>
    </row>
    <row r="2877" spans="1:19" x14ac:dyDescent="0.35">
      <c r="A2877">
        <v>2876</v>
      </c>
      <c r="B2877">
        <v>24</v>
      </c>
      <c r="C2877" t="s">
        <v>141</v>
      </c>
      <c r="D2877" t="s">
        <v>83</v>
      </c>
      <c r="E2877" t="s">
        <v>9</v>
      </c>
      <c r="F2877">
        <v>81</v>
      </c>
      <c r="G2877" t="s">
        <v>10</v>
      </c>
      <c r="H2877" t="s">
        <v>32</v>
      </c>
      <c r="I2877" t="s">
        <v>57</v>
      </c>
      <c r="J2877" t="s">
        <v>45</v>
      </c>
      <c r="K2877">
        <v>2.6</v>
      </c>
      <c r="L2877" t="s">
        <v>140</v>
      </c>
      <c r="M2877" t="s">
        <v>26</v>
      </c>
      <c r="N2877" t="s">
        <v>140</v>
      </c>
      <c r="O2877">
        <v>14</v>
      </c>
      <c r="P2877" t="s">
        <v>74</v>
      </c>
      <c r="Q2877" t="s">
        <v>28</v>
      </c>
      <c r="R2877" t="str" cm="1">
        <f t="array" ref="R2877">_xlfn.IFS(B2877&lt;31,"Young-Adult",B2877&lt;41,"Adult",B2877&lt;61,"Middle-aged",B2877&gt;=61,"Senior")</f>
        <v>Young-Adult</v>
      </c>
      <c r="S2877" cm="1">
        <f t="array" ref="S2877">_xlfn.IFS(Q2877 ="Fortnightly",14,Q2877="Weekly",7,Q2877="Monthly",30,Q2877="Quarterly",90,Q2877="Bi-Weekly",14,Q2877="Annually",365,Q2877="Every 3 Months",90,TRUE,"NOT FOUND")</f>
        <v>7</v>
      </c>
    </row>
    <row r="2878" spans="1:19" x14ac:dyDescent="0.35">
      <c r="A2878">
        <v>2877</v>
      </c>
      <c r="B2878">
        <v>65</v>
      </c>
      <c r="C2878" t="s">
        <v>141</v>
      </c>
      <c r="D2878" t="s">
        <v>92</v>
      </c>
      <c r="E2878" t="s">
        <v>9</v>
      </c>
      <c r="F2878">
        <v>84</v>
      </c>
      <c r="G2878" t="s">
        <v>118</v>
      </c>
      <c r="H2878" t="s">
        <v>32</v>
      </c>
      <c r="I2878" t="s">
        <v>49</v>
      </c>
      <c r="J2878" t="s">
        <v>25</v>
      </c>
      <c r="K2878">
        <v>3.4</v>
      </c>
      <c r="L2878" t="s">
        <v>140</v>
      </c>
      <c r="M2878" t="s">
        <v>58</v>
      </c>
      <c r="N2878" t="s">
        <v>140</v>
      </c>
      <c r="O2878">
        <v>5</v>
      </c>
      <c r="P2878" t="s">
        <v>63</v>
      </c>
      <c r="Q2878" t="s">
        <v>17</v>
      </c>
      <c r="R2878" t="str" cm="1">
        <f t="array" ref="R2878">_xlfn.IFS(B2878&lt;31,"Young-Adult",B2878&lt;41,"Adult",B2878&lt;61,"Middle-aged",B2878&gt;=61,"Senior")</f>
        <v>Senior</v>
      </c>
      <c r="S2878" cm="1">
        <f t="array" ref="S2878">_xlfn.IFS(Q2878 ="Fortnightly",14,Q2878="Weekly",7,Q2878="Monthly",30,Q2878="Quarterly",90,Q2878="Bi-Weekly",14,Q2878="Annually",365,Q2878="Every 3 Months",90,TRUE,"NOT FOUND")</f>
        <v>14</v>
      </c>
    </row>
    <row r="2879" spans="1:19" x14ac:dyDescent="0.35">
      <c r="A2879">
        <v>2878</v>
      </c>
      <c r="B2879">
        <v>32</v>
      </c>
      <c r="C2879" t="s">
        <v>141</v>
      </c>
      <c r="D2879" t="s">
        <v>113</v>
      </c>
      <c r="E2879" t="s">
        <v>9</v>
      </c>
      <c r="F2879">
        <v>46</v>
      </c>
      <c r="G2879" t="s">
        <v>115</v>
      </c>
      <c r="H2879" t="s">
        <v>32</v>
      </c>
      <c r="I2879" t="s">
        <v>53</v>
      </c>
      <c r="J2879" t="s">
        <v>41</v>
      </c>
      <c r="K2879">
        <v>3.6</v>
      </c>
      <c r="L2879" t="s">
        <v>140</v>
      </c>
      <c r="M2879" t="s">
        <v>42</v>
      </c>
      <c r="N2879" t="s">
        <v>140</v>
      </c>
      <c r="O2879">
        <v>34</v>
      </c>
      <c r="P2879" t="s">
        <v>16</v>
      </c>
      <c r="Q2879" t="s">
        <v>76</v>
      </c>
      <c r="R2879" t="str" cm="1">
        <f t="array" ref="R2879">_xlfn.IFS(B2879&lt;31,"Young-Adult",B2879&lt;41,"Adult",B2879&lt;61,"Middle-aged",B2879&gt;=61,"Senior")</f>
        <v>Adult</v>
      </c>
      <c r="S2879" cm="1">
        <f t="array" ref="S2879">_xlfn.IFS(Q2879 ="Fortnightly",14,Q2879="Weekly",7,Q2879="Monthly",30,Q2879="Quarterly",90,Q2879="Bi-Weekly",14,Q2879="Annually",365,Q2879="Every 3 Months",90,TRUE,"NOT FOUND")</f>
        <v>30</v>
      </c>
    </row>
    <row r="2880" spans="1:19" x14ac:dyDescent="0.35">
      <c r="A2880">
        <v>2879</v>
      </c>
      <c r="B2880">
        <v>63</v>
      </c>
      <c r="C2880" t="s">
        <v>141</v>
      </c>
      <c r="D2880" t="s">
        <v>69</v>
      </c>
      <c r="E2880" t="s">
        <v>9</v>
      </c>
      <c r="F2880">
        <v>86</v>
      </c>
      <c r="G2880" t="s">
        <v>87</v>
      </c>
      <c r="H2880" t="s">
        <v>11</v>
      </c>
      <c r="I2880" t="s">
        <v>36</v>
      </c>
      <c r="J2880" t="s">
        <v>41</v>
      </c>
      <c r="K2880">
        <v>4.3</v>
      </c>
      <c r="L2880" t="s">
        <v>140</v>
      </c>
      <c r="M2880" t="s">
        <v>33</v>
      </c>
      <c r="N2880" t="s">
        <v>140</v>
      </c>
      <c r="O2880">
        <v>13</v>
      </c>
      <c r="P2880" t="s">
        <v>63</v>
      </c>
      <c r="Q2880" t="s">
        <v>37</v>
      </c>
      <c r="R2880" t="str" cm="1">
        <f t="array" ref="R2880">_xlfn.IFS(B2880&lt;31,"Young-Adult",B2880&lt;41,"Adult",B2880&lt;61,"Middle-aged",B2880&gt;=61,"Senior")</f>
        <v>Senior</v>
      </c>
      <c r="S2880" cm="1">
        <f t="array" ref="S2880">_xlfn.IFS(Q2880 ="Fortnightly",14,Q2880="Weekly",7,Q2880="Monthly",30,Q2880="Quarterly",90,Q2880="Bi-Weekly",14,Q2880="Annually",365,Q2880="Every 3 Months",90,TRUE,"NOT FOUND")</f>
        <v>365</v>
      </c>
    </row>
    <row r="2881" spans="1:19" x14ac:dyDescent="0.35">
      <c r="A2881">
        <v>2880</v>
      </c>
      <c r="B2881">
        <v>62</v>
      </c>
      <c r="C2881" t="s">
        <v>141</v>
      </c>
      <c r="D2881" t="s">
        <v>8</v>
      </c>
      <c r="E2881" t="s">
        <v>9</v>
      </c>
      <c r="F2881">
        <v>57</v>
      </c>
      <c r="G2881" t="s">
        <v>102</v>
      </c>
      <c r="H2881" t="s">
        <v>80</v>
      </c>
      <c r="I2881" t="s">
        <v>36</v>
      </c>
      <c r="J2881" t="s">
        <v>13</v>
      </c>
      <c r="K2881">
        <v>4.9000000000000004</v>
      </c>
      <c r="L2881" t="s">
        <v>140</v>
      </c>
      <c r="M2881" t="s">
        <v>26</v>
      </c>
      <c r="N2881" t="s">
        <v>140</v>
      </c>
      <c r="O2881">
        <v>31</v>
      </c>
      <c r="P2881" t="s">
        <v>16</v>
      </c>
      <c r="Q2881" t="s">
        <v>37</v>
      </c>
      <c r="R2881" t="str" cm="1">
        <f t="array" ref="R2881">_xlfn.IFS(B2881&lt;31,"Young-Adult",B2881&lt;41,"Adult",B2881&lt;61,"Middle-aged",B2881&gt;=61,"Senior")</f>
        <v>Senior</v>
      </c>
      <c r="S2881" cm="1">
        <f t="array" ref="S2881">_xlfn.IFS(Q2881 ="Fortnightly",14,Q2881="Weekly",7,Q2881="Monthly",30,Q2881="Quarterly",90,Q2881="Bi-Weekly",14,Q2881="Annually",365,Q2881="Every 3 Months",90,TRUE,"NOT FOUND")</f>
        <v>365</v>
      </c>
    </row>
    <row r="2882" spans="1:19" x14ac:dyDescent="0.35">
      <c r="A2882">
        <v>2881</v>
      </c>
      <c r="B2882">
        <v>19</v>
      </c>
      <c r="C2882" t="s">
        <v>141</v>
      </c>
      <c r="D2882" t="s">
        <v>75</v>
      </c>
      <c r="E2882" t="s">
        <v>9</v>
      </c>
      <c r="F2882">
        <v>61</v>
      </c>
      <c r="G2882" t="s">
        <v>91</v>
      </c>
      <c r="H2882" t="s">
        <v>11</v>
      </c>
      <c r="I2882" t="s">
        <v>106</v>
      </c>
      <c r="J2882" t="s">
        <v>13</v>
      </c>
      <c r="K2882">
        <v>4.8</v>
      </c>
      <c r="L2882" t="s">
        <v>140</v>
      </c>
      <c r="M2882" t="s">
        <v>62</v>
      </c>
      <c r="N2882" t="s">
        <v>140</v>
      </c>
      <c r="O2882">
        <v>43</v>
      </c>
      <c r="P2882" t="s">
        <v>34</v>
      </c>
      <c r="Q2882" t="s">
        <v>46</v>
      </c>
      <c r="R2882" t="str" cm="1">
        <f t="array" ref="R2882">_xlfn.IFS(B2882&lt;31,"Young-Adult",B2882&lt;41,"Adult",B2882&lt;61,"Middle-aged",B2882&gt;=61,"Senior")</f>
        <v>Young-Adult</v>
      </c>
      <c r="S2882" cm="1">
        <f t="array" ref="S2882">_xlfn.IFS(Q2882 ="Fortnightly",14,Q2882="Weekly",7,Q2882="Monthly",30,Q2882="Quarterly",90,Q2882="Bi-Weekly",14,Q2882="Annually",365,Q2882="Every 3 Months",90,TRUE,"NOT FOUND")</f>
        <v>90</v>
      </c>
    </row>
    <row r="2883" spans="1:19" x14ac:dyDescent="0.35">
      <c r="A2883">
        <v>2882</v>
      </c>
      <c r="B2883">
        <v>38</v>
      </c>
      <c r="C2883" t="s">
        <v>141</v>
      </c>
      <c r="D2883" t="s">
        <v>120</v>
      </c>
      <c r="E2883" t="s">
        <v>55</v>
      </c>
      <c r="F2883">
        <v>90</v>
      </c>
      <c r="G2883" t="s">
        <v>93</v>
      </c>
      <c r="H2883" t="s">
        <v>32</v>
      </c>
      <c r="I2883" t="s">
        <v>97</v>
      </c>
      <c r="J2883" t="s">
        <v>13</v>
      </c>
      <c r="K2883">
        <v>4.2</v>
      </c>
      <c r="L2883" t="s">
        <v>140</v>
      </c>
      <c r="M2883" t="s">
        <v>26</v>
      </c>
      <c r="N2883" t="s">
        <v>140</v>
      </c>
      <c r="O2883">
        <v>6</v>
      </c>
      <c r="P2883" t="s">
        <v>63</v>
      </c>
      <c r="Q2883" t="s">
        <v>37</v>
      </c>
      <c r="R2883" t="str" cm="1">
        <f t="array" ref="R2883">_xlfn.IFS(B2883&lt;31,"Young-Adult",B2883&lt;41,"Adult",B2883&lt;61,"Middle-aged",B2883&gt;=61,"Senior")</f>
        <v>Adult</v>
      </c>
      <c r="S2883" cm="1">
        <f t="array" ref="S2883">_xlfn.IFS(Q2883 ="Fortnightly",14,Q2883="Weekly",7,Q2883="Monthly",30,Q2883="Quarterly",90,Q2883="Bi-Weekly",14,Q2883="Annually",365,Q2883="Every 3 Months",90,TRUE,"NOT FOUND")</f>
        <v>365</v>
      </c>
    </row>
    <row r="2884" spans="1:19" x14ac:dyDescent="0.35">
      <c r="A2884">
        <v>2883</v>
      </c>
      <c r="B2884">
        <v>59</v>
      </c>
      <c r="C2884" t="s">
        <v>141</v>
      </c>
      <c r="D2884" t="s">
        <v>8</v>
      </c>
      <c r="E2884" t="s">
        <v>9</v>
      </c>
      <c r="F2884">
        <v>51</v>
      </c>
      <c r="G2884" t="s">
        <v>89</v>
      </c>
      <c r="H2884" t="s">
        <v>11</v>
      </c>
      <c r="I2884" t="s">
        <v>68</v>
      </c>
      <c r="J2884" t="s">
        <v>13</v>
      </c>
      <c r="K2884">
        <v>2.6</v>
      </c>
      <c r="L2884" t="s">
        <v>140</v>
      </c>
      <c r="M2884" t="s">
        <v>62</v>
      </c>
      <c r="N2884" t="s">
        <v>140</v>
      </c>
      <c r="O2884">
        <v>23</v>
      </c>
      <c r="P2884" t="s">
        <v>27</v>
      </c>
      <c r="Q2884" t="s">
        <v>64</v>
      </c>
      <c r="R2884" t="str" cm="1">
        <f t="array" ref="R2884">_xlfn.IFS(B2884&lt;31,"Young-Adult",B2884&lt;41,"Adult",B2884&lt;61,"Middle-aged",B2884&gt;=61,"Senior")</f>
        <v>Middle-aged</v>
      </c>
      <c r="S2884" cm="1">
        <f t="array" ref="S2884">_xlfn.IFS(Q2884 ="Fortnightly",14,Q2884="Weekly",7,Q2884="Monthly",30,Q2884="Quarterly",90,Q2884="Bi-Weekly",14,Q2884="Annually",365,Q2884="Every 3 Months",90,TRUE,"NOT FOUND")</f>
        <v>14</v>
      </c>
    </row>
    <row r="2885" spans="1:19" x14ac:dyDescent="0.35">
      <c r="A2885">
        <v>2884</v>
      </c>
      <c r="B2885">
        <v>22</v>
      </c>
      <c r="C2885" t="s">
        <v>141</v>
      </c>
      <c r="D2885" t="s">
        <v>113</v>
      </c>
      <c r="E2885" t="s">
        <v>9</v>
      </c>
      <c r="F2885">
        <v>48</v>
      </c>
      <c r="G2885" t="s">
        <v>31</v>
      </c>
      <c r="H2885" t="s">
        <v>80</v>
      </c>
      <c r="I2885" t="s">
        <v>53</v>
      </c>
      <c r="J2885" t="s">
        <v>25</v>
      </c>
      <c r="K2885">
        <v>3.2</v>
      </c>
      <c r="L2885" t="s">
        <v>140</v>
      </c>
      <c r="M2885" t="s">
        <v>42</v>
      </c>
      <c r="N2885" t="s">
        <v>140</v>
      </c>
      <c r="O2885">
        <v>10</v>
      </c>
      <c r="P2885" t="s">
        <v>34</v>
      </c>
      <c r="Q2885" t="s">
        <v>28</v>
      </c>
      <c r="R2885" t="str" cm="1">
        <f t="array" ref="R2885">_xlfn.IFS(B2885&lt;31,"Young-Adult",B2885&lt;41,"Adult",B2885&lt;61,"Middle-aged",B2885&gt;=61,"Senior")</f>
        <v>Young-Adult</v>
      </c>
      <c r="S2885" cm="1">
        <f t="array" ref="S2885">_xlfn.IFS(Q2885 ="Fortnightly",14,Q2885="Weekly",7,Q2885="Monthly",30,Q2885="Quarterly",90,Q2885="Bi-Weekly",14,Q2885="Annually",365,Q2885="Every 3 Months",90,TRUE,"NOT FOUND")</f>
        <v>7</v>
      </c>
    </row>
    <row r="2886" spans="1:19" x14ac:dyDescent="0.35">
      <c r="A2886">
        <v>2885</v>
      </c>
      <c r="B2886">
        <v>55</v>
      </c>
      <c r="C2886" t="s">
        <v>141</v>
      </c>
      <c r="D2886" t="s">
        <v>125</v>
      </c>
      <c r="E2886" t="s">
        <v>30</v>
      </c>
      <c r="F2886">
        <v>50</v>
      </c>
      <c r="G2886" t="s">
        <v>60</v>
      </c>
      <c r="H2886" t="s">
        <v>32</v>
      </c>
      <c r="I2886" t="s">
        <v>61</v>
      </c>
      <c r="J2886" t="s">
        <v>41</v>
      </c>
      <c r="K2886">
        <v>3.4</v>
      </c>
      <c r="L2886" t="s">
        <v>140</v>
      </c>
      <c r="M2886" t="s">
        <v>58</v>
      </c>
      <c r="N2886" t="s">
        <v>140</v>
      </c>
      <c r="O2886">
        <v>47</v>
      </c>
      <c r="P2886" t="s">
        <v>27</v>
      </c>
      <c r="Q2886" t="s">
        <v>85</v>
      </c>
      <c r="R2886" t="str" cm="1">
        <f t="array" ref="R2886">_xlfn.IFS(B2886&lt;31,"Young-Adult",B2886&lt;41,"Adult",B2886&lt;61,"Middle-aged",B2886&gt;=61,"Senior")</f>
        <v>Middle-aged</v>
      </c>
      <c r="S2886" cm="1">
        <f t="array" ref="S2886">_xlfn.IFS(Q2886 ="Fortnightly",14,Q2886="Weekly",7,Q2886="Monthly",30,Q2886="Quarterly",90,Q2886="Bi-Weekly",14,Q2886="Annually",365,Q2886="Every 3 Months",90,TRUE,"NOT FOUND")</f>
        <v>90</v>
      </c>
    </row>
    <row r="2887" spans="1:19" x14ac:dyDescent="0.35">
      <c r="A2887">
        <v>2886</v>
      </c>
      <c r="B2887">
        <v>29</v>
      </c>
      <c r="C2887" t="s">
        <v>141</v>
      </c>
      <c r="D2887" t="s">
        <v>120</v>
      </c>
      <c r="E2887" t="s">
        <v>55</v>
      </c>
      <c r="F2887">
        <v>82</v>
      </c>
      <c r="G2887" t="s">
        <v>95</v>
      </c>
      <c r="H2887" t="s">
        <v>32</v>
      </c>
      <c r="I2887" t="s">
        <v>122</v>
      </c>
      <c r="J2887" t="s">
        <v>41</v>
      </c>
      <c r="K2887">
        <v>3.5</v>
      </c>
      <c r="L2887" t="s">
        <v>140</v>
      </c>
      <c r="M2887" t="s">
        <v>33</v>
      </c>
      <c r="N2887" t="s">
        <v>140</v>
      </c>
      <c r="O2887">
        <v>14</v>
      </c>
      <c r="P2887" t="s">
        <v>27</v>
      </c>
      <c r="Q2887" t="s">
        <v>64</v>
      </c>
      <c r="R2887" t="str" cm="1">
        <f t="array" ref="R2887">_xlfn.IFS(B2887&lt;31,"Young-Adult",B2887&lt;41,"Adult",B2887&lt;61,"Middle-aged",B2887&gt;=61,"Senior")</f>
        <v>Young-Adult</v>
      </c>
      <c r="S2887" cm="1">
        <f t="array" ref="S2887">_xlfn.IFS(Q2887 ="Fortnightly",14,Q2887="Weekly",7,Q2887="Monthly",30,Q2887="Quarterly",90,Q2887="Bi-Weekly",14,Q2887="Annually",365,Q2887="Every 3 Months",90,TRUE,"NOT FOUND")</f>
        <v>14</v>
      </c>
    </row>
    <row r="2888" spans="1:19" x14ac:dyDescent="0.35">
      <c r="A2888">
        <v>2887</v>
      </c>
      <c r="B2888">
        <v>42</v>
      </c>
      <c r="C2888" t="s">
        <v>141</v>
      </c>
      <c r="D2888" t="s">
        <v>112</v>
      </c>
      <c r="E2888" t="s">
        <v>55</v>
      </c>
      <c r="F2888">
        <v>33</v>
      </c>
      <c r="G2888" t="s">
        <v>128</v>
      </c>
      <c r="H2888" t="s">
        <v>11</v>
      </c>
      <c r="I2888" t="s">
        <v>132</v>
      </c>
      <c r="J2888" t="s">
        <v>25</v>
      </c>
      <c r="K2888">
        <v>4.2</v>
      </c>
      <c r="L2888" t="s">
        <v>140</v>
      </c>
      <c r="M2888" t="s">
        <v>26</v>
      </c>
      <c r="N2888" t="s">
        <v>140</v>
      </c>
      <c r="O2888">
        <v>29</v>
      </c>
      <c r="P2888" t="s">
        <v>34</v>
      </c>
      <c r="Q2888" t="s">
        <v>28</v>
      </c>
      <c r="R2888" t="str" cm="1">
        <f t="array" ref="R2888">_xlfn.IFS(B2888&lt;31,"Young-Adult",B2888&lt;41,"Adult",B2888&lt;61,"Middle-aged",B2888&gt;=61,"Senior")</f>
        <v>Middle-aged</v>
      </c>
      <c r="S2888" cm="1">
        <f t="array" ref="S2888">_xlfn.IFS(Q2888 ="Fortnightly",14,Q2888="Weekly",7,Q2888="Monthly",30,Q2888="Quarterly",90,Q2888="Bi-Weekly",14,Q2888="Annually",365,Q2888="Every 3 Months",90,TRUE,"NOT FOUND")</f>
        <v>7</v>
      </c>
    </row>
    <row r="2889" spans="1:19" x14ac:dyDescent="0.35">
      <c r="A2889">
        <v>2888</v>
      </c>
      <c r="B2889">
        <v>23</v>
      </c>
      <c r="C2889" t="s">
        <v>141</v>
      </c>
      <c r="D2889" t="s">
        <v>29</v>
      </c>
      <c r="E2889" t="s">
        <v>30</v>
      </c>
      <c r="F2889">
        <v>28</v>
      </c>
      <c r="G2889" t="s">
        <v>10</v>
      </c>
      <c r="H2889" t="s">
        <v>11</v>
      </c>
      <c r="I2889" t="s">
        <v>132</v>
      </c>
      <c r="J2889" t="s">
        <v>13</v>
      </c>
      <c r="K2889">
        <v>2.8</v>
      </c>
      <c r="L2889" t="s">
        <v>140</v>
      </c>
      <c r="M2889" t="s">
        <v>15</v>
      </c>
      <c r="N2889" t="s">
        <v>140</v>
      </c>
      <c r="O2889">
        <v>12</v>
      </c>
      <c r="P2889" t="s">
        <v>21</v>
      </c>
      <c r="Q2889" t="s">
        <v>64</v>
      </c>
      <c r="R2889" t="str" cm="1">
        <f t="array" ref="R2889">_xlfn.IFS(B2889&lt;31,"Young-Adult",B2889&lt;41,"Adult",B2889&lt;61,"Middle-aged",B2889&gt;=61,"Senior")</f>
        <v>Young-Adult</v>
      </c>
      <c r="S2889" cm="1">
        <f t="array" ref="S2889">_xlfn.IFS(Q2889 ="Fortnightly",14,Q2889="Weekly",7,Q2889="Monthly",30,Q2889="Quarterly",90,Q2889="Bi-Weekly",14,Q2889="Annually",365,Q2889="Every 3 Months",90,TRUE,"NOT FOUND")</f>
        <v>14</v>
      </c>
    </row>
    <row r="2890" spans="1:19" x14ac:dyDescent="0.35">
      <c r="A2890">
        <v>2889</v>
      </c>
      <c r="B2890">
        <v>70</v>
      </c>
      <c r="C2890" t="s">
        <v>141</v>
      </c>
      <c r="D2890" t="s">
        <v>92</v>
      </c>
      <c r="E2890" t="s">
        <v>9</v>
      </c>
      <c r="F2890">
        <v>42</v>
      </c>
      <c r="G2890" t="s">
        <v>138</v>
      </c>
      <c r="H2890" t="s">
        <v>11</v>
      </c>
      <c r="I2890" t="s">
        <v>84</v>
      </c>
      <c r="J2890" t="s">
        <v>25</v>
      </c>
      <c r="K2890">
        <v>5</v>
      </c>
      <c r="L2890" t="s">
        <v>140</v>
      </c>
      <c r="M2890" t="s">
        <v>58</v>
      </c>
      <c r="N2890" t="s">
        <v>140</v>
      </c>
      <c r="O2890">
        <v>25</v>
      </c>
      <c r="P2890" t="s">
        <v>74</v>
      </c>
      <c r="Q2890" t="s">
        <v>46</v>
      </c>
      <c r="R2890" t="str" cm="1">
        <f t="array" ref="R2890">_xlfn.IFS(B2890&lt;31,"Young-Adult",B2890&lt;41,"Adult",B2890&lt;61,"Middle-aged",B2890&gt;=61,"Senior")</f>
        <v>Senior</v>
      </c>
      <c r="S2890" cm="1">
        <f t="array" ref="S2890">_xlfn.IFS(Q2890 ="Fortnightly",14,Q2890="Weekly",7,Q2890="Monthly",30,Q2890="Quarterly",90,Q2890="Bi-Weekly",14,Q2890="Annually",365,Q2890="Every 3 Months",90,TRUE,"NOT FOUND")</f>
        <v>90</v>
      </c>
    </row>
    <row r="2891" spans="1:19" x14ac:dyDescent="0.35">
      <c r="A2891">
        <v>2890</v>
      </c>
      <c r="B2891">
        <v>64</v>
      </c>
      <c r="C2891" t="s">
        <v>141</v>
      </c>
      <c r="D2891" t="s">
        <v>77</v>
      </c>
      <c r="E2891" t="s">
        <v>55</v>
      </c>
      <c r="F2891">
        <v>43</v>
      </c>
      <c r="G2891" t="s">
        <v>136</v>
      </c>
      <c r="H2891" t="s">
        <v>32</v>
      </c>
      <c r="I2891" t="s">
        <v>49</v>
      </c>
      <c r="J2891" t="s">
        <v>45</v>
      </c>
      <c r="K2891">
        <v>3.3</v>
      </c>
      <c r="L2891" t="s">
        <v>140</v>
      </c>
      <c r="M2891" t="s">
        <v>62</v>
      </c>
      <c r="N2891" t="s">
        <v>140</v>
      </c>
      <c r="O2891">
        <v>21</v>
      </c>
      <c r="P2891" t="s">
        <v>16</v>
      </c>
      <c r="Q2891" t="s">
        <v>37</v>
      </c>
      <c r="R2891" t="str" cm="1">
        <f t="array" ref="R2891">_xlfn.IFS(B2891&lt;31,"Young-Adult",B2891&lt;41,"Adult",B2891&lt;61,"Middle-aged",B2891&gt;=61,"Senior")</f>
        <v>Senior</v>
      </c>
      <c r="S2891" cm="1">
        <f t="array" ref="S2891">_xlfn.IFS(Q2891 ="Fortnightly",14,Q2891="Weekly",7,Q2891="Monthly",30,Q2891="Quarterly",90,Q2891="Bi-Weekly",14,Q2891="Annually",365,Q2891="Every 3 Months",90,TRUE,"NOT FOUND")</f>
        <v>365</v>
      </c>
    </row>
    <row r="2892" spans="1:19" x14ac:dyDescent="0.35">
      <c r="A2892">
        <v>2891</v>
      </c>
      <c r="B2892">
        <v>39</v>
      </c>
      <c r="C2892" t="s">
        <v>141</v>
      </c>
      <c r="D2892" t="s">
        <v>22</v>
      </c>
      <c r="E2892" t="s">
        <v>9</v>
      </c>
      <c r="F2892">
        <v>55</v>
      </c>
      <c r="G2892" t="s">
        <v>102</v>
      </c>
      <c r="H2892" t="s">
        <v>32</v>
      </c>
      <c r="I2892" t="s">
        <v>71</v>
      </c>
      <c r="J2892" t="s">
        <v>13</v>
      </c>
      <c r="K2892">
        <v>3.7</v>
      </c>
      <c r="L2892" t="s">
        <v>140</v>
      </c>
      <c r="M2892" t="s">
        <v>26</v>
      </c>
      <c r="N2892" t="s">
        <v>140</v>
      </c>
      <c r="O2892">
        <v>23</v>
      </c>
      <c r="P2892" t="s">
        <v>27</v>
      </c>
      <c r="Q2892" t="s">
        <v>76</v>
      </c>
      <c r="R2892" t="str" cm="1">
        <f t="array" ref="R2892">_xlfn.IFS(B2892&lt;31,"Young-Adult",B2892&lt;41,"Adult",B2892&lt;61,"Middle-aged",B2892&gt;=61,"Senior")</f>
        <v>Adult</v>
      </c>
      <c r="S2892" cm="1">
        <f t="array" ref="S2892">_xlfn.IFS(Q2892 ="Fortnightly",14,Q2892="Weekly",7,Q2892="Monthly",30,Q2892="Quarterly",90,Q2892="Bi-Weekly",14,Q2892="Annually",365,Q2892="Every 3 Months",90,TRUE,"NOT FOUND")</f>
        <v>30</v>
      </c>
    </row>
    <row r="2893" spans="1:19" x14ac:dyDescent="0.35">
      <c r="A2893">
        <v>2892</v>
      </c>
      <c r="B2893">
        <v>47</v>
      </c>
      <c r="C2893" t="s">
        <v>141</v>
      </c>
      <c r="D2893" t="s">
        <v>101</v>
      </c>
      <c r="E2893" t="s">
        <v>9</v>
      </c>
      <c r="F2893">
        <v>73</v>
      </c>
      <c r="G2893" t="s">
        <v>111</v>
      </c>
      <c r="H2893" t="s">
        <v>80</v>
      </c>
      <c r="I2893" t="s">
        <v>82</v>
      </c>
      <c r="J2893" t="s">
        <v>13</v>
      </c>
      <c r="K2893">
        <v>2.5</v>
      </c>
      <c r="L2893" t="s">
        <v>140</v>
      </c>
      <c r="M2893" t="s">
        <v>26</v>
      </c>
      <c r="N2893" t="s">
        <v>140</v>
      </c>
      <c r="O2893">
        <v>10</v>
      </c>
      <c r="P2893" t="s">
        <v>34</v>
      </c>
      <c r="Q2893" t="s">
        <v>76</v>
      </c>
      <c r="R2893" t="str" cm="1">
        <f t="array" ref="R2893">_xlfn.IFS(B2893&lt;31,"Young-Adult",B2893&lt;41,"Adult",B2893&lt;61,"Middle-aged",B2893&gt;=61,"Senior")</f>
        <v>Middle-aged</v>
      </c>
      <c r="S2893" cm="1">
        <f t="array" ref="S2893">_xlfn.IFS(Q2893 ="Fortnightly",14,Q2893="Weekly",7,Q2893="Monthly",30,Q2893="Quarterly",90,Q2893="Bi-Weekly",14,Q2893="Annually",365,Q2893="Every 3 Months",90,TRUE,"NOT FOUND")</f>
        <v>30</v>
      </c>
    </row>
    <row r="2894" spans="1:19" x14ac:dyDescent="0.35">
      <c r="A2894">
        <v>2893</v>
      </c>
      <c r="B2894">
        <v>22</v>
      </c>
      <c r="C2894" t="s">
        <v>141</v>
      </c>
      <c r="D2894" t="s">
        <v>69</v>
      </c>
      <c r="E2894" t="s">
        <v>9</v>
      </c>
      <c r="F2894">
        <v>39</v>
      </c>
      <c r="G2894" t="s">
        <v>95</v>
      </c>
      <c r="H2894" t="s">
        <v>32</v>
      </c>
      <c r="I2894" t="s">
        <v>73</v>
      </c>
      <c r="J2894" t="s">
        <v>25</v>
      </c>
      <c r="K2894">
        <v>3.2</v>
      </c>
      <c r="L2894" t="s">
        <v>140</v>
      </c>
      <c r="M2894" t="s">
        <v>42</v>
      </c>
      <c r="N2894" t="s">
        <v>140</v>
      </c>
      <c r="O2894">
        <v>47</v>
      </c>
      <c r="P2894" t="s">
        <v>27</v>
      </c>
      <c r="Q2894" t="s">
        <v>76</v>
      </c>
      <c r="R2894" t="str" cm="1">
        <f t="array" ref="R2894">_xlfn.IFS(B2894&lt;31,"Young-Adult",B2894&lt;41,"Adult",B2894&lt;61,"Middle-aged",B2894&gt;=61,"Senior")</f>
        <v>Young-Adult</v>
      </c>
      <c r="S2894" cm="1">
        <f t="array" ref="S2894">_xlfn.IFS(Q2894 ="Fortnightly",14,Q2894="Weekly",7,Q2894="Monthly",30,Q2894="Quarterly",90,Q2894="Bi-Weekly",14,Q2894="Annually",365,Q2894="Every 3 Months",90,TRUE,"NOT FOUND")</f>
        <v>30</v>
      </c>
    </row>
    <row r="2895" spans="1:19" x14ac:dyDescent="0.35">
      <c r="A2895">
        <v>2894</v>
      </c>
      <c r="B2895">
        <v>69</v>
      </c>
      <c r="C2895" t="s">
        <v>141</v>
      </c>
      <c r="D2895" t="s">
        <v>121</v>
      </c>
      <c r="E2895" t="s">
        <v>55</v>
      </c>
      <c r="F2895">
        <v>20</v>
      </c>
      <c r="G2895" t="s">
        <v>10</v>
      </c>
      <c r="H2895" t="s">
        <v>24</v>
      </c>
      <c r="I2895" t="s">
        <v>109</v>
      </c>
      <c r="J2895" t="s">
        <v>25</v>
      </c>
      <c r="K2895">
        <v>3.1</v>
      </c>
      <c r="L2895" t="s">
        <v>140</v>
      </c>
      <c r="M2895" t="s">
        <v>26</v>
      </c>
      <c r="N2895" t="s">
        <v>140</v>
      </c>
      <c r="O2895">
        <v>44</v>
      </c>
      <c r="P2895" t="s">
        <v>74</v>
      </c>
      <c r="Q2895" t="s">
        <v>85</v>
      </c>
      <c r="R2895" t="str" cm="1">
        <f t="array" ref="R2895">_xlfn.IFS(B2895&lt;31,"Young-Adult",B2895&lt;41,"Adult",B2895&lt;61,"Middle-aged",B2895&gt;=61,"Senior")</f>
        <v>Senior</v>
      </c>
      <c r="S2895" cm="1">
        <f t="array" ref="S2895">_xlfn.IFS(Q2895 ="Fortnightly",14,Q2895="Weekly",7,Q2895="Monthly",30,Q2895="Quarterly",90,Q2895="Bi-Weekly",14,Q2895="Annually",365,Q2895="Every 3 Months",90,TRUE,"NOT FOUND")</f>
        <v>90</v>
      </c>
    </row>
    <row r="2896" spans="1:19" x14ac:dyDescent="0.35">
      <c r="A2896">
        <v>2895</v>
      </c>
      <c r="B2896">
        <v>35</v>
      </c>
      <c r="C2896" t="s">
        <v>141</v>
      </c>
      <c r="D2896" t="s">
        <v>94</v>
      </c>
      <c r="E2896" t="s">
        <v>55</v>
      </c>
      <c r="F2896">
        <v>32</v>
      </c>
      <c r="G2896" t="s">
        <v>10</v>
      </c>
      <c r="H2896" t="s">
        <v>24</v>
      </c>
      <c r="I2896" t="s">
        <v>98</v>
      </c>
      <c r="J2896" t="s">
        <v>25</v>
      </c>
      <c r="K2896">
        <v>3.5</v>
      </c>
      <c r="L2896" t="s">
        <v>140</v>
      </c>
      <c r="M2896" t="s">
        <v>42</v>
      </c>
      <c r="N2896" t="s">
        <v>140</v>
      </c>
      <c r="O2896">
        <v>41</v>
      </c>
      <c r="P2896" t="s">
        <v>16</v>
      </c>
      <c r="Q2896" t="s">
        <v>37</v>
      </c>
      <c r="R2896" t="str" cm="1">
        <f t="array" ref="R2896">_xlfn.IFS(B2896&lt;31,"Young-Adult",B2896&lt;41,"Adult",B2896&lt;61,"Middle-aged",B2896&gt;=61,"Senior")</f>
        <v>Adult</v>
      </c>
      <c r="S2896" cm="1">
        <f t="array" ref="S2896">_xlfn.IFS(Q2896 ="Fortnightly",14,Q2896="Weekly",7,Q2896="Monthly",30,Q2896="Quarterly",90,Q2896="Bi-Weekly",14,Q2896="Annually",365,Q2896="Every 3 Months",90,TRUE,"NOT FOUND")</f>
        <v>365</v>
      </c>
    </row>
    <row r="2897" spans="1:19" x14ac:dyDescent="0.35">
      <c r="A2897">
        <v>2896</v>
      </c>
      <c r="B2897">
        <v>56</v>
      </c>
      <c r="C2897" t="s">
        <v>141</v>
      </c>
      <c r="D2897" t="s">
        <v>92</v>
      </c>
      <c r="E2897" t="s">
        <v>9</v>
      </c>
      <c r="F2897">
        <v>86</v>
      </c>
      <c r="G2897" t="s">
        <v>44</v>
      </c>
      <c r="H2897" t="s">
        <v>11</v>
      </c>
      <c r="I2897" t="s">
        <v>84</v>
      </c>
      <c r="J2897" t="s">
        <v>41</v>
      </c>
      <c r="K2897">
        <v>4.5999999999999996</v>
      </c>
      <c r="L2897" t="s">
        <v>140</v>
      </c>
      <c r="M2897" t="s">
        <v>42</v>
      </c>
      <c r="N2897" t="s">
        <v>140</v>
      </c>
      <c r="O2897">
        <v>29</v>
      </c>
      <c r="P2897" t="s">
        <v>63</v>
      </c>
      <c r="Q2897" t="s">
        <v>76</v>
      </c>
      <c r="R2897" t="str" cm="1">
        <f t="array" ref="R2897">_xlfn.IFS(B2897&lt;31,"Young-Adult",B2897&lt;41,"Adult",B2897&lt;61,"Middle-aged",B2897&gt;=61,"Senior")</f>
        <v>Middle-aged</v>
      </c>
      <c r="S2897" cm="1">
        <f t="array" ref="S2897">_xlfn.IFS(Q2897 ="Fortnightly",14,Q2897="Weekly",7,Q2897="Monthly",30,Q2897="Quarterly",90,Q2897="Bi-Weekly",14,Q2897="Annually",365,Q2897="Every 3 Months",90,TRUE,"NOT FOUND")</f>
        <v>30</v>
      </c>
    </row>
    <row r="2898" spans="1:19" x14ac:dyDescent="0.35">
      <c r="A2898">
        <v>2897</v>
      </c>
      <c r="B2898">
        <v>30</v>
      </c>
      <c r="C2898" t="s">
        <v>141</v>
      </c>
      <c r="D2898" t="s">
        <v>8</v>
      </c>
      <c r="E2898" t="s">
        <v>9</v>
      </c>
      <c r="F2898">
        <v>91</v>
      </c>
      <c r="G2898" t="s">
        <v>67</v>
      </c>
      <c r="H2898" t="s">
        <v>32</v>
      </c>
      <c r="I2898" t="s">
        <v>53</v>
      </c>
      <c r="J2898" t="s">
        <v>41</v>
      </c>
      <c r="K2898">
        <v>3.3</v>
      </c>
      <c r="L2898" t="s">
        <v>140</v>
      </c>
      <c r="M2898" t="s">
        <v>26</v>
      </c>
      <c r="N2898" t="s">
        <v>140</v>
      </c>
      <c r="O2898">
        <v>2</v>
      </c>
      <c r="P2898" t="s">
        <v>16</v>
      </c>
      <c r="Q2898" t="s">
        <v>85</v>
      </c>
      <c r="R2898" t="str" cm="1">
        <f t="array" ref="R2898">_xlfn.IFS(B2898&lt;31,"Young-Adult",B2898&lt;41,"Adult",B2898&lt;61,"Middle-aged",B2898&gt;=61,"Senior")</f>
        <v>Young-Adult</v>
      </c>
      <c r="S2898" cm="1">
        <f t="array" ref="S2898">_xlfn.IFS(Q2898 ="Fortnightly",14,Q2898="Weekly",7,Q2898="Monthly",30,Q2898="Quarterly",90,Q2898="Bi-Weekly",14,Q2898="Annually",365,Q2898="Every 3 Months",90,TRUE,"NOT FOUND")</f>
        <v>90</v>
      </c>
    </row>
    <row r="2899" spans="1:19" x14ac:dyDescent="0.35">
      <c r="A2899">
        <v>2898</v>
      </c>
      <c r="B2899">
        <v>43</v>
      </c>
      <c r="C2899" t="s">
        <v>141</v>
      </c>
      <c r="D2899" t="s">
        <v>90</v>
      </c>
      <c r="E2899" t="s">
        <v>51</v>
      </c>
      <c r="F2899">
        <v>59</v>
      </c>
      <c r="G2899" t="s">
        <v>44</v>
      </c>
      <c r="H2899" t="s">
        <v>11</v>
      </c>
      <c r="I2899" t="s">
        <v>71</v>
      </c>
      <c r="J2899" t="s">
        <v>45</v>
      </c>
      <c r="K2899">
        <v>2.5</v>
      </c>
      <c r="L2899" t="s">
        <v>140</v>
      </c>
      <c r="M2899" t="s">
        <v>26</v>
      </c>
      <c r="N2899" t="s">
        <v>140</v>
      </c>
      <c r="O2899">
        <v>2</v>
      </c>
      <c r="P2899" t="s">
        <v>21</v>
      </c>
      <c r="Q2899" t="s">
        <v>17</v>
      </c>
      <c r="R2899" t="str" cm="1">
        <f t="array" ref="R2899">_xlfn.IFS(B2899&lt;31,"Young-Adult",B2899&lt;41,"Adult",B2899&lt;61,"Middle-aged",B2899&gt;=61,"Senior")</f>
        <v>Middle-aged</v>
      </c>
      <c r="S2899" cm="1">
        <f t="array" ref="S2899">_xlfn.IFS(Q2899 ="Fortnightly",14,Q2899="Weekly",7,Q2899="Monthly",30,Q2899="Quarterly",90,Q2899="Bi-Weekly",14,Q2899="Annually",365,Q2899="Every 3 Months",90,TRUE,"NOT FOUND")</f>
        <v>14</v>
      </c>
    </row>
    <row r="2900" spans="1:19" x14ac:dyDescent="0.35">
      <c r="A2900">
        <v>2899</v>
      </c>
      <c r="B2900">
        <v>23</v>
      </c>
      <c r="C2900" t="s">
        <v>141</v>
      </c>
      <c r="D2900" t="s">
        <v>38</v>
      </c>
      <c r="E2900" t="s">
        <v>30</v>
      </c>
      <c r="F2900">
        <v>33</v>
      </c>
      <c r="G2900" t="s">
        <v>115</v>
      </c>
      <c r="H2900" t="s">
        <v>80</v>
      </c>
      <c r="I2900" t="s">
        <v>88</v>
      </c>
      <c r="J2900" t="s">
        <v>41</v>
      </c>
      <c r="K2900">
        <v>4.5999999999999996</v>
      </c>
      <c r="L2900" t="s">
        <v>140</v>
      </c>
      <c r="M2900" t="s">
        <v>15</v>
      </c>
      <c r="N2900" t="s">
        <v>140</v>
      </c>
      <c r="O2900">
        <v>29</v>
      </c>
      <c r="P2900" t="s">
        <v>27</v>
      </c>
      <c r="Q2900" t="s">
        <v>37</v>
      </c>
      <c r="R2900" t="str" cm="1">
        <f t="array" ref="R2900">_xlfn.IFS(B2900&lt;31,"Young-Adult",B2900&lt;41,"Adult",B2900&lt;61,"Middle-aged",B2900&gt;=61,"Senior")</f>
        <v>Young-Adult</v>
      </c>
      <c r="S2900" cm="1">
        <f t="array" ref="S2900">_xlfn.IFS(Q2900 ="Fortnightly",14,Q2900="Weekly",7,Q2900="Monthly",30,Q2900="Quarterly",90,Q2900="Bi-Weekly",14,Q2900="Annually",365,Q2900="Every 3 Months",90,TRUE,"NOT FOUND")</f>
        <v>365</v>
      </c>
    </row>
    <row r="2901" spans="1:19" x14ac:dyDescent="0.35">
      <c r="A2901">
        <v>2900</v>
      </c>
      <c r="B2901">
        <v>50</v>
      </c>
      <c r="C2901" t="s">
        <v>141</v>
      </c>
      <c r="D2901" t="s">
        <v>125</v>
      </c>
      <c r="E2901" t="s">
        <v>30</v>
      </c>
      <c r="F2901">
        <v>64</v>
      </c>
      <c r="G2901" t="s">
        <v>133</v>
      </c>
      <c r="H2901" t="s">
        <v>32</v>
      </c>
      <c r="I2901" t="s">
        <v>68</v>
      </c>
      <c r="J2901" t="s">
        <v>25</v>
      </c>
      <c r="K2901">
        <v>4.2</v>
      </c>
      <c r="L2901" t="s">
        <v>140</v>
      </c>
      <c r="M2901" t="s">
        <v>58</v>
      </c>
      <c r="N2901" t="s">
        <v>140</v>
      </c>
      <c r="O2901">
        <v>22</v>
      </c>
      <c r="P2901" t="s">
        <v>63</v>
      </c>
      <c r="Q2901" t="s">
        <v>17</v>
      </c>
      <c r="R2901" t="str" cm="1">
        <f t="array" ref="R2901">_xlfn.IFS(B2901&lt;31,"Young-Adult",B2901&lt;41,"Adult",B2901&lt;61,"Middle-aged",B2901&gt;=61,"Senior")</f>
        <v>Middle-aged</v>
      </c>
      <c r="S2901" cm="1">
        <f t="array" ref="S2901">_xlfn.IFS(Q2901 ="Fortnightly",14,Q2901="Weekly",7,Q2901="Monthly",30,Q2901="Quarterly",90,Q2901="Bi-Weekly",14,Q2901="Annually",365,Q2901="Every 3 Months",90,TRUE,"NOT FOUND")</f>
        <v>14</v>
      </c>
    </row>
    <row r="2902" spans="1:19" x14ac:dyDescent="0.35">
      <c r="A2902">
        <v>2901</v>
      </c>
      <c r="B2902">
        <v>41</v>
      </c>
      <c r="C2902" t="s">
        <v>141</v>
      </c>
      <c r="D2902" t="s">
        <v>8</v>
      </c>
      <c r="E2902" t="s">
        <v>9</v>
      </c>
      <c r="F2902">
        <v>67</v>
      </c>
      <c r="G2902" t="s">
        <v>116</v>
      </c>
      <c r="H2902" t="s">
        <v>80</v>
      </c>
      <c r="I2902" t="s">
        <v>71</v>
      </c>
      <c r="J2902" t="s">
        <v>13</v>
      </c>
      <c r="K2902">
        <v>4</v>
      </c>
      <c r="L2902" t="s">
        <v>140</v>
      </c>
      <c r="M2902" t="s">
        <v>42</v>
      </c>
      <c r="N2902" t="s">
        <v>140</v>
      </c>
      <c r="O2902">
        <v>23</v>
      </c>
      <c r="P2902" t="s">
        <v>21</v>
      </c>
      <c r="Q2902" t="s">
        <v>64</v>
      </c>
      <c r="R2902" t="str" cm="1">
        <f t="array" ref="R2902">_xlfn.IFS(B2902&lt;31,"Young-Adult",B2902&lt;41,"Adult",B2902&lt;61,"Middle-aged",B2902&gt;=61,"Senior")</f>
        <v>Middle-aged</v>
      </c>
      <c r="S2902" cm="1">
        <f t="array" ref="S2902">_xlfn.IFS(Q2902 ="Fortnightly",14,Q2902="Weekly",7,Q2902="Monthly",30,Q2902="Quarterly",90,Q2902="Bi-Weekly",14,Q2902="Annually",365,Q2902="Every 3 Months",90,TRUE,"NOT FOUND")</f>
        <v>14</v>
      </c>
    </row>
    <row r="2903" spans="1:19" x14ac:dyDescent="0.35">
      <c r="A2903">
        <v>2902</v>
      </c>
      <c r="B2903">
        <v>41</v>
      </c>
      <c r="C2903" t="s">
        <v>141</v>
      </c>
      <c r="D2903" t="s">
        <v>8</v>
      </c>
      <c r="E2903" t="s">
        <v>9</v>
      </c>
      <c r="F2903">
        <v>43</v>
      </c>
      <c r="G2903" t="s">
        <v>78</v>
      </c>
      <c r="H2903" t="s">
        <v>11</v>
      </c>
      <c r="I2903" t="s">
        <v>66</v>
      </c>
      <c r="J2903" t="s">
        <v>13</v>
      </c>
      <c r="K2903">
        <v>2.6</v>
      </c>
      <c r="L2903" t="s">
        <v>140</v>
      </c>
      <c r="M2903" t="s">
        <v>26</v>
      </c>
      <c r="N2903" t="s">
        <v>140</v>
      </c>
      <c r="O2903">
        <v>46</v>
      </c>
      <c r="P2903" t="s">
        <v>27</v>
      </c>
      <c r="Q2903" t="s">
        <v>46</v>
      </c>
      <c r="R2903" t="str" cm="1">
        <f t="array" ref="R2903">_xlfn.IFS(B2903&lt;31,"Young-Adult",B2903&lt;41,"Adult",B2903&lt;61,"Middle-aged",B2903&gt;=61,"Senior")</f>
        <v>Middle-aged</v>
      </c>
      <c r="S2903" cm="1">
        <f t="array" ref="S2903">_xlfn.IFS(Q2903 ="Fortnightly",14,Q2903="Weekly",7,Q2903="Monthly",30,Q2903="Quarterly",90,Q2903="Bi-Weekly",14,Q2903="Annually",365,Q2903="Every 3 Months",90,TRUE,"NOT FOUND")</f>
        <v>90</v>
      </c>
    </row>
    <row r="2904" spans="1:19" x14ac:dyDescent="0.35">
      <c r="A2904">
        <v>2903</v>
      </c>
      <c r="B2904">
        <v>27</v>
      </c>
      <c r="C2904" t="s">
        <v>141</v>
      </c>
      <c r="D2904" t="s">
        <v>125</v>
      </c>
      <c r="E2904" t="s">
        <v>30</v>
      </c>
      <c r="F2904">
        <v>32</v>
      </c>
      <c r="G2904" t="s">
        <v>86</v>
      </c>
      <c r="H2904" t="s">
        <v>24</v>
      </c>
      <c r="I2904" t="s">
        <v>109</v>
      </c>
      <c r="J2904" t="s">
        <v>25</v>
      </c>
      <c r="K2904">
        <v>4.5999999999999996</v>
      </c>
      <c r="L2904" t="s">
        <v>140</v>
      </c>
      <c r="M2904" t="s">
        <v>42</v>
      </c>
      <c r="N2904" t="s">
        <v>140</v>
      </c>
      <c r="O2904">
        <v>19</v>
      </c>
      <c r="P2904" t="s">
        <v>34</v>
      </c>
      <c r="Q2904" t="s">
        <v>64</v>
      </c>
      <c r="R2904" t="str" cm="1">
        <f t="array" ref="R2904">_xlfn.IFS(B2904&lt;31,"Young-Adult",B2904&lt;41,"Adult",B2904&lt;61,"Middle-aged",B2904&gt;=61,"Senior")</f>
        <v>Young-Adult</v>
      </c>
      <c r="S2904" cm="1">
        <f t="array" ref="S2904">_xlfn.IFS(Q2904 ="Fortnightly",14,Q2904="Weekly",7,Q2904="Monthly",30,Q2904="Quarterly",90,Q2904="Bi-Weekly",14,Q2904="Annually",365,Q2904="Every 3 Months",90,TRUE,"NOT FOUND")</f>
        <v>14</v>
      </c>
    </row>
    <row r="2905" spans="1:19" x14ac:dyDescent="0.35">
      <c r="A2905">
        <v>2904</v>
      </c>
      <c r="B2905">
        <v>38</v>
      </c>
      <c r="C2905" t="s">
        <v>141</v>
      </c>
      <c r="D2905" t="s">
        <v>107</v>
      </c>
      <c r="E2905" t="s">
        <v>55</v>
      </c>
      <c r="F2905">
        <v>39</v>
      </c>
      <c r="G2905" t="s">
        <v>67</v>
      </c>
      <c r="H2905" t="s">
        <v>24</v>
      </c>
      <c r="I2905" t="s">
        <v>73</v>
      </c>
      <c r="J2905" t="s">
        <v>25</v>
      </c>
      <c r="K2905">
        <v>3.5</v>
      </c>
      <c r="L2905" t="s">
        <v>140</v>
      </c>
      <c r="M2905" t="s">
        <v>58</v>
      </c>
      <c r="N2905" t="s">
        <v>140</v>
      </c>
      <c r="O2905">
        <v>24</v>
      </c>
      <c r="P2905" t="s">
        <v>27</v>
      </c>
      <c r="Q2905" t="s">
        <v>85</v>
      </c>
      <c r="R2905" t="str" cm="1">
        <f t="array" ref="R2905">_xlfn.IFS(B2905&lt;31,"Young-Adult",B2905&lt;41,"Adult",B2905&lt;61,"Middle-aged",B2905&gt;=61,"Senior")</f>
        <v>Adult</v>
      </c>
      <c r="S2905" cm="1">
        <f t="array" ref="S2905">_xlfn.IFS(Q2905 ="Fortnightly",14,Q2905="Weekly",7,Q2905="Monthly",30,Q2905="Quarterly",90,Q2905="Bi-Weekly",14,Q2905="Annually",365,Q2905="Every 3 Months",90,TRUE,"NOT FOUND")</f>
        <v>90</v>
      </c>
    </row>
    <row r="2906" spans="1:19" x14ac:dyDescent="0.35">
      <c r="A2906">
        <v>2905</v>
      </c>
      <c r="B2906">
        <v>41</v>
      </c>
      <c r="C2906" t="s">
        <v>141</v>
      </c>
      <c r="D2906" t="s">
        <v>29</v>
      </c>
      <c r="E2906" t="s">
        <v>30</v>
      </c>
      <c r="F2906">
        <v>41</v>
      </c>
      <c r="G2906" t="s">
        <v>134</v>
      </c>
      <c r="H2906" t="s">
        <v>32</v>
      </c>
      <c r="I2906" t="s">
        <v>12</v>
      </c>
      <c r="J2906" t="s">
        <v>25</v>
      </c>
      <c r="K2906">
        <v>4</v>
      </c>
      <c r="L2906" t="s">
        <v>140</v>
      </c>
      <c r="M2906" t="s">
        <v>58</v>
      </c>
      <c r="N2906" t="s">
        <v>140</v>
      </c>
      <c r="O2906">
        <v>43</v>
      </c>
      <c r="P2906" t="s">
        <v>16</v>
      </c>
      <c r="Q2906" t="s">
        <v>76</v>
      </c>
      <c r="R2906" t="str" cm="1">
        <f t="array" ref="R2906">_xlfn.IFS(B2906&lt;31,"Young-Adult",B2906&lt;41,"Adult",B2906&lt;61,"Middle-aged",B2906&gt;=61,"Senior")</f>
        <v>Middle-aged</v>
      </c>
      <c r="S2906" cm="1">
        <f t="array" ref="S2906">_xlfn.IFS(Q2906 ="Fortnightly",14,Q2906="Weekly",7,Q2906="Monthly",30,Q2906="Quarterly",90,Q2906="Bi-Weekly",14,Q2906="Annually",365,Q2906="Every 3 Months",90,TRUE,"NOT FOUND")</f>
        <v>30</v>
      </c>
    </row>
    <row r="2907" spans="1:19" x14ac:dyDescent="0.35">
      <c r="A2907">
        <v>2906</v>
      </c>
      <c r="B2907">
        <v>58</v>
      </c>
      <c r="C2907" t="s">
        <v>141</v>
      </c>
      <c r="D2907" t="s">
        <v>77</v>
      </c>
      <c r="E2907" t="s">
        <v>55</v>
      </c>
      <c r="F2907">
        <v>53</v>
      </c>
      <c r="G2907" t="s">
        <v>72</v>
      </c>
      <c r="H2907" t="s">
        <v>11</v>
      </c>
      <c r="I2907" t="s">
        <v>82</v>
      </c>
      <c r="J2907" t="s">
        <v>13</v>
      </c>
      <c r="K2907">
        <v>4.8</v>
      </c>
      <c r="L2907" t="s">
        <v>140</v>
      </c>
      <c r="M2907" t="s">
        <v>42</v>
      </c>
      <c r="N2907" t="s">
        <v>140</v>
      </c>
      <c r="O2907">
        <v>14</v>
      </c>
      <c r="P2907" t="s">
        <v>74</v>
      </c>
      <c r="Q2907" t="s">
        <v>17</v>
      </c>
      <c r="R2907" t="str" cm="1">
        <f t="array" ref="R2907">_xlfn.IFS(B2907&lt;31,"Young-Adult",B2907&lt;41,"Adult",B2907&lt;61,"Middle-aged",B2907&gt;=61,"Senior")</f>
        <v>Middle-aged</v>
      </c>
      <c r="S2907" cm="1">
        <f t="array" ref="S2907">_xlfn.IFS(Q2907 ="Fortnightly",14,Q2907="Weekly",7,Q2907="Monthly",30,Q2907="Quarterly",90,Q2907="Bi-Weekly",14,Q2907="Annually",365,Q2907="Every 3 Months",90,TRUE,"NOT FOUND")</f>
        <v>14</v>
      </c>
    </row>
    <row r="2908" spans="1:19" x14ac:dyDescent="0.35">
      <c r="A2908">
        <v>2907</v>
      </c>
      <c r="B2908">
        <v>58</v>
      </c>
      <c r="C2908" t="s">
        <v>141</v>
      </c>
      <c r="D2908" t="s">
        <v>50</v>
      </c>
      <c r="E2908" t="s">
        <v>51</v>
      </c>
      <c r="F2908">
        <v>27</v>
      </c>
      <c r="G2908" t="s">
        <v>129</v>
      </c>
      <c r="H2908" t="s">
        <v>32</v>
      </c>
      <c r="I2908" t="s">
        <v>114</v>
      </c>
      <c r="J2908" t="s">
        <v>25</v>
      </c>
      <c r="K2908">
        <v>3.9</v>
      </c>
      <c r="L2908" t="s">
        <v>140</v>
      </c>
      <c r="M2908" t="s">
        <v>42</v>
      </c>
      <c r="N2908" t="s">
        <v>140</v>
      </c>
      <c r="O2908">
        <v>7</v>
      </c>
      <c r="P2908" t="s">
        <v>16</v>
      </c>
      <c r="Q2908" t="s">
        <v>37</v>
      </c>
      <c r="R2908" t="str" cm="1">
        <f t="array" ref="R2908">_xlfn.IFS(B2908&lt;31,"Young-Adult",B2908&lt;41,"Adult",B2908&lt;61,"Middle-aged",B2908&gt;=61,"Senior")</f>
        <v>Middle-aged</v>
      </c>
      <c r="S2908" cm="1">
        <f t="array" ref="S2908">_xlfn.IFS(Q2908 ="Fortnightly",14,Q2908="Weekly",7,Q2908="Monthly",30,Q2908="Quarterly",90,Q2908="Bi-Weekly",14,Q2908="Annually",365,Q2908="Every 3 Months",90,TRUE,"NOT FOUND")</f>
        <v>365</v>
      </c>
    </row>
    <row r="2909" spans="1:19" x14ac:dyDescent="0.35">
      <c r="A2909">
        <v>2908</v>
      </c>
      <c r="B2909">
        <v>19</v>
      </c>
      <c r="C2909" t="s">
        <v>141</v>
      </c>
      <c r="D2909" t="s">
        <v>77</v>
      </c>
      <c r="E2909" t="s">
        <v>55</v>
      </c>
      <c r="F2909">
        <v>82</v>
      </c>
      <c r="G2909" t="s">
        <v>116</v>
      </c>
      <c r="H2909" t="s">
        <v>80</v>
      </c>
      <c r="I2909" t="s">
        <v>81</v>
      </c>
      <c r="J2909" t="s">
        <v>41</v>
      </c>
      <c r="K2909">
        <v>3.7</v>
      </c>
      <c r="L2909" t="s">
        <v>140</v>
      </c>
      <c r="M2909" t="s">
        <v>33</v>
      </c>
      <c r="N2909" t="s">
        <v>140</v>
      </c>
      <c r="O2909">
        <v>50</v>
      </c>
      <c r="P2909" t="s">
        <v>34</v>
      </c>
      <c r="Q2909" t="s">
        <v>64</v>
      </c>
      <c r="R2909" t="str" cm="1">
        <f t="array" ref="R2909">_xlfn.IFS(B2909&lt;31,"Young-Adult",B2909&lt;41,"Adult",B2909&lt;61,"Middle-aged",B2909&gt;=61,"Senior")</f>
        <v>Young-Adult</v>
      </c>
      <c r="S2909" cm="1">
        <f t="array" ref="S2909">_xlfn.IFS(Q2909 ="Fortnightly",14,Q2909="Weekly",7,Q2909="Monthly",30,Q2909="Quarterly",90,Q2909="Bi-Weekly",14,Q2909="Annually",365,Q2909="Every 3 Months",90,TRUE,"NOT FOUND")</f>
        <v>14</v>
      </c>
    </row>
    <row r="2910" spans="1:19" x14ac:dyDescent="0.35">
      <c r="A2910">
        <v>2909</v>
      </c>
      <c r="B2910">
        <v>43</v>
      </c>
      <c r="C2910" t="s">
        <v>141</v>
      </c>
      <c r="D2910" t="s">
        <v>8</v>
      </c>
      <c r="E2910" t="s">
        <v>9</v>
      </c>
      <c r="F2910">
        <v>87</v>
      </c>
      <c r="G2910" t="s">
        <v>93</v>
      </c>
      <c r="H2910" t="s">
        <v>32</v>
      </c>
      <c r="I2910" t="s">
        <v>106</v>
      </c>
      <c r="J2910" t="s">
        <v>13</v>
      </c>
      <c r="K2910">
        <v>3.1</v>
      </c>
      <c r="L2910" t="s">
        <v>140</v>
      </c>
      <c r="M2910" t="s">
        <v>62</v>
      </c>
      <c r="N2910" t="s">
        <v>140</v>
      </c>
      <c r="O2910">
        <v>15</v>
      </c>
      <c r="P2910" t="s">
        <v>74</v>
      </c>
      <c r="Q2910" t="s">
        <v>85</v>
      </c>
      <c r="R2910" t="str" cm="1">
        <f t="array" ref="R2910">_xlfn.IFS(B2910&lt;31,"Young-Adult",B2910&lt;41,"Adult",B2910&lt;61,"Middle-aged",B2910&gt;=61,"Senior")</f>
        <v>Middle-aged</v>
      </c>
      <c r="S2910" cm="1">
        <f t="array" ref="S2910">_xlfn.IFS(Q2910 ="Fortnightly",14,Q2910="Weekly",7,Q2910="Monthly",30,Q2910="Quarterly",90,Q2910="Bi-Weekly",14,Q2910="Annually",365,Q2910="Every 3 Months",90,TRUE,"NOT FOUND")</f>
        <v>90</v>
      </c>
    </row>
    <row r="2911" spans="1:19" x14ac:dyDescent="0.35">
      <c r="A2911">
        <v>2910</v>
      </c>
      <c r="B2911">
        <v>27</v>
      </c>
      <c r="C2911" t="s">
        <v>141</v>
      </c>
      <c r="D2911" t="s">
        <v>120</v>
      </c>
      <c r="E2911" t="s">
        <v>55</v>
      </c>
      <c r="F2911">
        <v>78</v>
      </c>
      <c r="G2911" t="s">
        <v>48</v>
      </c>
      <c r="H2911" t="s">
        <v>32</v>
      </c>
      <c r="I2911" t="s">
        <v>114</v>
      </c>
      <c r="J2911" t="s">
        <v>13</v>
      </c>
      <c r="K2911">
        <v>3</v>
      </c>
      <c r="L2911" t="s">
        <v>140</v>
      </c>
      <c r="M2911" t="s">
        <v>33</v>
      </c>
      <c r="N2911" t="s">
        <v>140</v>
      </c>
      <c r="O2911">
        <v>40</v>
      </c>
      <c r="P2911" t="s">
        <v>27</v>
      </c>
      <c r="Q2911" t="s">
        <v>85</v>
      </c>
      <c r="R2911" t="str" cm="1">
        <f t="array" ref="R2911">_xlfn.IFS(B2911&lt;31,"Young-Adult",B2911&lt;41,"Adult",B2911&lt;61,"Middle-aged",B2911&gt;=61,"Senior")</f>
        <v>Young-Adult</v>
      </c>
      <c r="S2911" cm="1">
        <f t="array" ref="S2911">_xlfn.IFS(Q2911 ="Fortnightly",14,Q2911="Weekly",7,Q2911="Monthly",30,Q2911="Quarterly",90,Q2911="Bi-Weekly",14,Q2911="Annually",365,Q2911="Every 3 Months",90,TRUE,"NOT FOUND")</f>
        <v>90</v>
      </c>
    </row>
    <row r="2912" spans="1:19" x14ac:dyDescent="0.35">
      <c r="A2912">
        <v>2911</v>
      </c>
      <c r="B2912">
        <v>32</v>
      </c>
      <c r="C2912" t="s">
        <v>141</v>
      </c>
      <c r="D2912" t="s">
        <v>121</v>
      </c>
      <c r="E2912" t="s">
        <v>55</v>
      </c>
      <c r="F2912">
        <v>32</v>
      </c>
      <c r="G2912" t="s">
        <v>79</v>
      </c>
      <c r="H2912" t="s">
        <v>32</v>
      </c>
      <c r="I2912" t="s">
        <v>132</v>
      </c>
      <c r="J2912" t="s">
        <v>41</v>
      </c>
      <c r="K2912">
        <v>2.9</v>
      </c>
      <c r="L2912" t="s">
        <v>140</v>
      </c>
      <c r="M2912" t="s">
        <v>62</v>
      </c>
      <c r="N2912" t="s">
        <v>140</v>
      </c>
      <c r="O2912">
        <v>41</v>
      </c>
      <c r="P2912" t="s">
        <v>27</v>
      </c>
      <c r="Q2912" t="s">
        <v>76</v>
      </c>
      <c r="R2912" t="str" cm="1">
        <f t="array" ref="R2912">_xlfn.IFS(B2912&lt;31,"Young-Adult",B2912&lt;41,"Adult",B2912&lt;61,"Middle-aged",B2912&gt;=61,"Senior")</f>
        <v>Adult</v>
      </c>
      <c r="S2912" cm="1">
        <f t="array" ref="S2912">_xlfn.IFS(Q2912 ="Fortnightly",14,Q2912="Weekly",7,Q2912="Monthly",30,Q2912="Quarterly",90,Q2912="Bi-Weekly",14,Q2912="Annually",365,Q2912="Every 3 Months",90,TRUE,"NOT FOUND")</f>
        <v>30</v>
      </c>
    </row>
    <row r="2913" spans="1:19" x14ac:dyDescent="0.35">
      <c r="A2913">
        <v>2912</v>
      </c>
      <c r="B2913">
        <v>28</v>
      </c>
      <c r="C2913" t="s">
        <v>141</v>
      </c>
      <c r="D2913" t="s">
        <v>113</v>
      </c>
      <c r="E2913" t="s">
        <v>9</v>
      </c>
      <c r="F2913">
        <v>38</v>
      </c>
      <c r="G2913" t="s">
        <v>111</v>
      </c>
      <c r="H2913" t="s">
        <v>80</v>
      </c>
      <c r="I2913" t="s">
        <v>109</v>
      </c>
      <c r="J2913" t="s">
        <v>45</v>
      </c>
      <c r="K2913">
        <v>2.9</v>
      </c>
      <c r="L2913" t="s">
        <v>140</v>
      </c>
      <c r="M2913" t="s">
        <v>33</v>
      </c>
      <c r="N2913" t="s">
        <v>140</v>
      </c>
      <c r="O2913">
        <v>34</v>
      </c>
      <c r="P2913" t="s">
        <v>16</v>
      </c>
      <c r="Q2913" t="s">
        <v>46</v>
      </c>
      <c r="R2913" t="str" cm="1">
        <f t="array" ref="R2913">_xlfn.IFS(B2913&lt;31,"Young-Adult",B2913&lt;41,"Adult",B2913&lt;61,"Middle-aged",B2913&gt;=61,"Senior")</f>
        <v>Young-Adult</v>
      </c>
      <c r="S2913" cm="1">
        <f t="array" ref="S2913">_xlfn.IFS(Q2913 ="Fortnightly",14,Q2913="Weekly",7,Q2913="Monthly",30,Q2913="Quarterly",90,Q2913="Bi-Weekly",14,Q2913="Annually",365,Q2913="Every 3 Months",90,TRUE,"NOT FOUND")</f>
        <v>90</v>
      </c>
    </row>
    <row r="2914" spans="1:19" x14ac:dyDescent="0.35">
      <c r="A2914">
        <v>2913</v>
      </c>
      <c r="B2914">
        <v>48</v>
      </c>
      <c r="C2914" t="s">
        <v>141</v>
      </c>
      <c r="D2914" t="s">
        <v>59</v>
      </c>
      <c r="E2914" t="s">
        <v>30</v>
      </c>
      <c r="F2914">
        <v>37</v>
      </c>
      <c r="G2914" t="s">
        <v>35</v>
      </c>
      <c r="H2914" t="s">
        <v>32</v>
      </c>
      <c r="I2914" t="s">
        <v>122</v>
      </c>
      <c r="J2914" t="s">
        <v>13</v>
      </c>
      <c r="K2914">
        <v>4</v>
      </c>
      <c r="L2914" t="s">
        <v>140</v>
      </c>
      <c r="M2914" t="s">
        <v>42</v>
      </c>
      <c r="N2914" t="s">
        <v>140</v>
      </c>
      <c r="O2914">
        <v>27</v>
      </c>
      <c r="P2914" t="s">
        <v>21</v>
      </c>
      <c r="Q2914" t="s">
        <v>64</v>
      </c>
      <c r="R2914" t="str" cm="1">
        <f t="array" ref="R2914">_xlfn.IFS(B2914&lt;31,"Young-Adult",B2914&lt;41,"Adult",B2914&lt;61,"Middle-aged",B2914&gt;=61,"Senior")</f>
        <v>Middle-aged</v>
      </c>
      <c r="S2914" cm="1">
        <f t="array" ref="S2914">_xlfn.IFS(Q2914 ="Fortnightly",14,Q2914="Weekly",7,Q2914="Monthly",30,Q2914="Quarterly",90,Q2914="Bi-Weekly",14,Q2914="Annually",365,Q2914="Every 3 Months",90,TRUE,"NOT FOUND")</f>
        <v>14</v>
      </c>
    </row>
    <row r="2915" spans="1:19" x14ac:dyDescent="0.35">
      <c r="A2915">
        <v>2914</v>
      </c>
      <c r="B2915">
        <v>43</v>
      </c>
      <c r="C2915" t="s">
        <v>141</v>
      </c>
      <c r="D2915" t="s">
        <v>50</v>
      </c>
      <c r="E2915" t="s">
        <v>51</v>
      </c>
      <c r="F2915">
        <v>83</v>
      </c>
      <c r="G2915" t="s">
        <v>39</v>
      </c>
      <c r="H2915" t="s">
        <v>11</v>
      </c>
      <c r="I2915" t="s">
        <v>97</v>
      </c>
      <c r="J2915" t="s">
        <v>13</v>
      </c>
      <c r="K2915">
        <v>3.5</v>
      </c>
      <c r="L2915" t="s">
        <v>140</v>
      </c>
      <c r="M2915" t="s">
        <v>15</v>
      </c>
      <c r="N2915" t="s">
        <v>140</v>
      </c>
      <c r="O2915">
        <v>12</v>
      </c>
      <c r="P2915" t="s">
        <v>21</v>
      </c>
      <c r="Q2915" t="s">
        <v>85</v>
      </c>
      <c r="R2915" t="str" cm="1">
        <f t="array" ref="R2915">_xlfn.IFS(B2915&lt;31,"Young-Adult",B2915&lt;41,"Adult",B2915&lt;61,"Middle-aged",B2915&gt;=61,"Senior")</f>
        <v>Middle-aged</v>
      </c>
      <c r="S2915" cm="1">
        <f t="array" ref="S2915">_xlfn.IFS(Q2915 ="Fortnightly",14,Q2915="Weekly",7,Q2915="Monthly",30,Q2915="Quarterly",90,Q2915="Bi-Weekly",14,Q2915="Annually",365,Q2915="Every 3 Months",90,TRUE,"NOT FOUND")</f>
        <v>90</v>
      </c>
    </row>
    <row r="2916" spans="1:19" x14ac:dyDescent="0.35">
      <c r="A2916">
        <v>2915</v>
      </c>
      <c r="B2916">
        <v>45</v>
      </c>
      <c r="C2916" t="s">
        <v>141</v>
      </c>
      <c r="D2916" t="s">
        <v>18</v>
      </c>
      <c r="E2916" t="s">
        <v>9</v>
      </c>
      <c r="F2916">
        <v>72</v>
      </c>
      <c r="G2916" t="s">
        <v>126</v>
      </c>
      <c r="H2916" t="s">
        <v>32</v>
      </c>
      <c r="I2916" t="s">
        <v>122</v>
      </c>
      <c r="J2916" t="s">
        <v>45</v>
      </c>
      <c r="K2916">
        <v>3.8</v>
      </c>
      <c r="L2916" t="s">
        <v>140</v>
      </c>
      <c r="M2916" t="s">
        <v>15</v>
      </c>
      <c r="N2916" t="s">
        <v>140</v>
      </c>
      <c r="O2916">
        <v>1</v>
      </c>
      <c r="P2916" t="s">
        <v>74</v>
      </c>
      <c r="Q2916" t="s">
        <v>64</v>
      </c>
      <c r="R2916" t="str" cm="1">
        <f t="array" ref="R2916">_xlfn.IFS(B2916&lt;31,"Young-Adult",B2916&lt;41,"Adult",B2916&lt;61,"Middle-aged",B2916&gt;=61,"Senior")</f>
        <v>Middle-aged</v>
      </c>
      <c r="S2916" cm="1">
        <f t="array" ref="S2916">_xlfn.IFS(Q2916 ="Fortnightly",14,Q2916="Weekly",7,Q2916="Monthly",30,Q2916="Quarterly",90,Q2916="Bi-Weekly",14,Q2916="Annually",365,Q2916="Every 3 Months",90,TRUE,"NOT FOUND")</f>
        <v>14</v>
      </c>
    </row>
    <row r="2917" spans="1:19" x14ac:dyDescent="0.35">
      <c r="A2917">
        <v>2916</v>
      </c>
      <c r="B2917">
        <v>26</v>
      </c>
      <c r="C2917" t="s">
        <v>141</v>
      </c>
      <c r="D2917" t="s">
        <v>43</v>
      </c>
      <c r="E2917" t="s">
        <v>9</v>
      </c>
      <c r="F2917">
        <v>30</v>
      </c>
      <c r="G2917" t="s">
        <v>35</v>
      </c>
      <c r="H2917" t="s">
        <v>32</v>
      </c>
      <c r="I2917" t="s">
        <v>97</v>
      </c>
      <c r="J2917" t="s">
        <v>45</v>
      </c>
      <c r="K2917">
        <v>4.5</v>
      </c>
      <c r="L2917" t="s">
        <v>140</v>
      </c>
      <c r="M2917" t="s">
        <v>15</v>
      </c>
      <c r="N2917" t="s">
        <v>140</v>
      </c>
      <c r="O2917">
        <v>39</v>
      </c>
      <c r="P2917" t="s">
        <v>74</v>
      </c>
      <c r="Q2917" t="s">
        <v>64</v>
      </c>
      <c r="R2917" t="str" cm="1">
        <f t="array" ref="R2917">_xlfn.IFS(B2917&lt;31,"Young-Adult",B2917&lt;41,"Adult",B2917&lt;61,"Middle-aged",B2917&gt;=61,"Senior")</f>
        <v>Young-Adult</v>
      </c>
      <c r="S2917" cm="1">
        <f t="array" ref="S2917">_xlfn.IFS(Q2917 ="Fortnightly",14,Q2917="Weekly",7,Q2917="Monthly",30,Q2917="Quarterly",90,Q2917="Bi-Weekly",14,Q2917="Annually",365,Q2917="Every 3 Months",90,TRUE,"NOT FOUND")</f>
        <v>14</v>
      </c>
    </row>
    <row r="2918" spans="1:19" x14ac:dyDescent="0.35">
      <c r="A2918">
        <v>2917</v>
      </c>
      <c r="B2918">
        <v>62</v>
      </c>
      <c r="C2918" t="s">
        <v>141</v>
      </c>
      <c r="D2918" t="s">
        <v>47</v>
      </c>
      <c r="E2918" t="s">
        <v>9</v>
      </c>
      <c r="F2918">
        <v>66</v>
      </c>
      <c r="G2918" t="s">
        <v>89</v>
      </c>
      <c r="H2918" t="s">
        <v>32</v>
      </c>
      <c r="I2918" t="s">
        <v>84</v>
      </c>
      <c r="J2918" t="s">
        <v>13</v>
      </c>
      <c r="K2918">
        <v>2.7</v>
      </c>
      <c r="L2918" t="s">
        <v>140</v>
      </c>
      <c r="M2918" t="s">
        <v>15</v>
      </c>
      <c r="N2918" t="s">
        <v>140</v>
      </c>
      <c r="O2918">
        <v>13</v>
      </c>
      <c r="P2918" t="s">
        <v>27</v>
      </c>
      <c r="Q2918" t="s">
        <v>64</v>
      </c>
      <c r="R2918" t="str" cm="1">
        <f t="array" ref="R2918">_xlfn.IFS(B2918&lt;31,"Young-Adult",B2918&lt;41,"Adult",B2918&lt;61,"Middle-aged",B2918&gt;=61,"Senior")</f>
        <v>Senior</v>
      </c>
      <c r="S2918" cm="1">
        <f t="array" ref="S2918">_xlfn.IFS(Q2918 ="Fortnightly",14,Q2918="Weekly",7,Q2918="Monthly",30,Q2918="Quarterly",90,Q2918="Bi-Weekly",14,Q2918="Annually",365,Q2918="Every 3 Months",90,TRUE,"NOT FOUND")</f>
        <v>14</v>
      </c>
    </row>
    <row r="2919" spans="1:19" x14ac:dyDescent="0.35">
      <c r="A2919">
        <v>2918</v>
      </c>
      <c r="B2919">
        <v>58</v>
      </c>
      <c r="C2919" t="s">
        <v>141</v>
      </c>
      <c r="D2919" t="s">
        <v>43</v>
      </c>
      <c r="E2919" t="s">
        <v>9</v>
      </c>
      <c r="F2919">
        <v>45</v>
      </c>
      <c r="G2919" t="s">
        <v>100</v>
      </c>
      <c r="H2919" t="s">
        <v>80</v>
      </c>
      <c r="I2919" t="s">
        <v>40</v>
      </c>
      <c r="J2919" t="s">
        <v>13</v>
      </c>
      <c r="K2919">
        <v>2.9</v>
      </c>
      <c r="L2919" t="s">
        <v>140</v>
      </c>
      <c r="M2919" t="s">
        <v>62</v>
      </c>
      <c r="N2919" t="s">
        <v>140</v>
      </c>
      <c r="O2919">
        <v>50</v>
      </c>
      <c r="P2919" t="s">
        <v>16</v>
      </c>
      <c r="Q2919" t="s">
        <v>37</v>
      </c>
      <c r="R2919" t="str" cm="1">
        <f t="array" ref="R2919">_xlfn.IFS(B2919&lt;31,"Young-Adult",B2919&lt;41,"Adult",B2919&lt;61,"Middle-aged",B2919&gt;=61,"Senior")</f>
        <v>Middle-aged</v>
      </c>
      <c r="S2919" cm="1">
        <f t="array" ref="S2919">_xlfn.IFS(Q2919 ="Fortnightly",14,Q2919="Weekly",7,Q2919="Monthly",30,Q2919="Quarterly",90,Q2919="Bi-Weekly",14,Q2919="Annually",365,Q2919="Every 3 Months",90,TRUE,"NOT FOUND")</f>
        <v>365</v>
      </c>
    </row>
    <row r="2920" spans="1:19" x14ac:dyDescent="0.35">
      <c r="A2920">
        <v>2919</v>
      </c>
      <c r="B2920">
        <v>19</v>
      </c>
      <c r="C2920" t="s">
        <v>141</v>
      </c>
      <c r="D2920" t="s">
        <v>77</v>
      </c>
      <c r="E2920" t="s">
        <v>55</v>
      </c>
      <c r="F2920">
        <v>73</v>
      </c>
      <c r="G2920" t="s">
        <v>72</v>
      </c>
      <c r="H2920" t="s">
        <v>24</v>
      </c>
      <c r="I2920" t="s">
        <v>82</v>
      </c>
      <c r="J2920" t="s">
        <v>45</v>
      </c>
      <c r="K2920">
        <v>4.9000000000000004</v>
      </c>
      <c r="L2920" t="s">
        <v>140</v>
      </c>
      <c r="M2920" t="s">
        <v>26</v>
      </c>
      <c r="N2920" t="s">
        <v>140</v>
      </c>
      <c r="O2920">
        <v>36</v>
      </c>
      <c r="P2920" t="s">
        <v>21</v>
      </c>
      <c r="Q2920" t="s">
        <v>28</v>
      </c>
      <c r="R2920" t="str" cm="1">
        <f t="array" ref="R2920">_xlfn.IFS(B2920&lt;31,"Young-Adult",B2920&lt;41,"Adult",B2920&lt;61,"Middle-aged",B2920&gt;=61,"Senior")</f>
        <v>Young-Adult</v>
      </c>
      <c r="S2920" cm="1">
        <f t="array" ref="S2920">_xlfn.IFS(Q2920 ="Fortnightly",14,Q2920="Weekly",7,Q2920="Monthly",30,Q2920="Quarterly",90,Q2920="Bi-Weekly",14,Q2920="Annually",365,Q2920="Every 3 Months",90,TRUE,"NOT FOUND")</f>
        <v>7</v>
      </c>
    </row>
    <row r="2921" spans="1:19" x14ac:dyDescent="0.35">
      <c r="A2921">
        <v>2920</v>
      </c>
      <c r="B2921">
        <v>64</v>
      </c>
      <c r="C2921" t="s">
        <v>141</v>
      </c>
      <c r="D2921" t="s">
        <v>59</v>
      </c>
      <c r="E2921" t="s">
        <v>30</v>
      </c>
      <c r="F2921">
        <v>67</v>
      </c>
      <c r="G2921" t="s">
        <v>136</v>
      </c>
      <c r="H2921" t="s">
        <v>11</v>
      </c>
      <c r="I2921" t="s">
        <v>49</v>
      </c>
      <c r="J2921" t="s">
        <v>13</v>
      </c>
      <c r="K2921">
        <v>3.8</v>
      </c>
      <c r="L2921" t="s">
        <v>140</v>
      </c>
      <c r="M2921" t="s">
        <v>42</v>
      </c>
      <c r="N2921" t="s">
        <v>140</v>
      </c>
      <c r="O2921">
        <v>31</v>
      </c>
      <c r="P2921" t="s">
        <v>74</v>
      </c>
      <c r="Q2921" t="s">
        <v>76</v>
      </c>
      <c r="R2921" t="str" cm="1">
        <f t="array" ref="R2921">_xlfn.IFS(B2921&lt;31,"Young-Adult",B2921&lt;41,"Adult",B2921&lt;61,"Middle-aged",B2921&gt;=61,"Senior")</f>
        <v>Senior</v>
      </c>
      <c r="S2921" cm="1">
        <f t="array" ref="S2921">_xlfn.IFS(Q2921 ="Fortnightly",14,Q2921="Weekly",7,Q2921="Monthly",30,Q2921="Quarterly",90,Q2921="Bi-Weekly",14,Q2921="Annually",365,Q2921="Every 3 Months",90,TRUE,"NOT FOUND")</f>
        <v>30</v>
      </c>
    </row>
    <row r="2922" spans="1:19" x14ac:dyDescent="0.35">
      <c r="A2922">
        <v>2921</v>
      </c>
      <c r="B2922">
        <v>33</v>
      </c>
      <c r="C2922" t="s">
        <v>141</v>
      </c>
      <c r="D2922" t="s">
        <v>77</v>
      </c>
      <c r="E2922" t="s">
        <v>55</v>
      </c>
      <c r="F2922">
        <v>72</v>
      </c>
      <c r="G2922" t="s">
        <v>93</v>
      </c>
      <c r="H2922" t="s">
        <v>80</v>
      </c>
      <c r="I2922" t="s">
        <v>98</v>
      </c>
      <c r="J2922" t="s">
        <v>25</v>
      </c>
      <c r="K2922">
        <v>4.9000000000000004</v>
      </c>
      <c r="L2922" t="s">
        <v>140</v>
      </c>
      <c r="M2922" t="s">
        <v>26</v>
      </c>
      <c r="N2922" t="s">
        <v>140</v>
      </c>
      <c r="O2922">
        <v>3</v>
      </c>
      <c r="P2922" t="s">
        <v>74</v>
      </c>
      <c r="Q2922" t="s">
        <v>64</v>
      </c>
      <c r="R2922" t="str" cm="1">
        <f t="array" ref="R2922">_xlfn.IFS(B2922&lt;31,"Young-Adult",B2922&lt;41,"Adult",B2922&lt;61,"Middle-aged",B2922&gt;=61,"Senior")</f>
        <v>Adult</v>
      </c>
      <c r="S2922" cm="1">
        <f t="array" ref="S2922">_xlfn.IFS(Q2922 ="Fortnightly",14,Q2922="Weekly",7,Q2922="Monthly",30,Q2922="Quarterly",90,Q2922="Bi-Weekly",14,Q2922="Annually",365,Q2922="Every 3 Months",90,TRUE,"NOT FOUND")</f>
        <v>14</v>
      </c>
    </row>
    <row r="2923" spans="1:19" x14ac:dyDescent="0.35">
      <c r="A2923">
        <v>2922</v>
      </c>
      <c r="B2923">
        <v>20</v>
      </c>
      <c r="C2923" t="s">
        <v>141</v>
      </c>
      <c r="D2923" t="s">
        <v>54</v>
      </c>
      <c r="E2923" t="s">
        <v>55</v>
      </c>
      <c r="F2923">
        <v>24</v>
      </c>
      <c r="G2923" t="s">
        <v>138</v>
      </c>
      <c r="H2923" t="s">
        <v>32</v>
      </c>
      <c r="I2923" t="s">
        <v>97</v>
      </c>
      <c r="J2923" t="s">
        <v>45</v>
      </c>
      <c r="K2923">
        <v>4.5999999999999996</v>
      </c>
      <c r="L2923" t="s">
        <v>140</v>
      </c>
      <c r="M2923" t="s">
        <v>42</v>
      </c>
      <c r="N2923" t="s">
        <v>140</v>
      </c>
      <c r="O2923">
        <v>11</v>
      </c>
      <c r="P2923" t="s">
        <v>21</v>
      </c>
      <c r="Q2923" t="s">
        <v>17</v>
      </c>
      <c r="R2923" t="str" cm="1">
        <f t="array" ref="R2923">_xlfn.IFS(B2923&lt;31,"Young-Adult",B2923&lt;41,"Adult",B2923&lt;61,"Middle-aged",B2923&gt;=61,"Senior")</f>
        <v>Young-Adult</v>
      </c>
      <c r="S2923" cm="1">
        <f t="array" ref="S2923">_xlfn.IFS(Q2923 ="Fortnightly",14,Q2923="Weekly",7,Q2923="Monthly",30,Q2923="Quarterly",90,Q2923="Bi-Weekly",14,Q2923="Annually",365,Q2923="Every 3 Months",90,TRUE,"NOT FOUND")</f>
        <v>14</v>
      </c>
    </row>
    <row r="2924" spans="1:19" x14ac:dyDescent="0.35">
      <c r="A2924">
        <v>2923</v>
      </c>
      <c r="B2924">
        <v>45</v>
      </c>
      <c r="C2924" t="s">
        <v>141</v>
      </c>
      <c r="D2924" t="s">
        <v>77</v>
      </c>
      <c r="E2924" t="s">
        <v>55</v>
      </c>
      <c r="F2924">
        <v>68</v>
      </c>
      <c r="G2924" t="s">
        <v>10</v>
      </c>
      <c r="H2924" t="s">
        <v>11</v>
      </c>
      <c r="I2924" t="s">
        <v>106</v>
      </c>
      <c r="J2924" t="s">
        <v>13</v>
      </c>
      <c r="K2924">
        <v>3.5</v>
      </c>
      <c r="L2924" t="s">
        <v>140</v>
      </c>
      <c r="M2924" t="s">
        <v>15</v>
      </c>
      <c r="N2924" t="s">
        <v>140</v>
      </c>
      <c r="O2924">
        <v>16</v>
      </c>
      <c r="P2924" t="s">
        <v>34</v>
      </c>
      <c r="Q2924" t="s">
        <v>46</v>
      </c>
      <c r="R2924" t="str" cm="1">
        <f t="array" ref="R2924">_xlfn.IFS(B2924&lt;31,"Young-Adult",B2924&lt;41,"Adult",B2924&lt;61,"Middle-aged",B2924&gt;=61,"Senior")</f>
        <v>Middle-aged</v>
      </c>
      <c r="S2924" cm="1">
        <f t="array" ref="S2924">_xlfn.IFS(Q2924 ="Fortnightly",14,Q2924="Weekly",7,Q2924="Monthly",30,Q2924="Quarterly",90,Q2924="Bi-Weekly",14,Q2924="Annually",365,Q2924="Every 3 Months",90,TRUE,"NOT FOUND")</f>
        <v>90</v>
      </c>
    </row>
    <row r="2925" spans="1:19" x14ac:dyDescent="0.35">
      <c r="A2925">
        <v>2924</v>
      </c>
      <c r="B2925">
        <v>28</v>
      </c>
      <c r="C2925" t="s">
        <v>141</v>
      </c>
      <c r="D2925" t="s">
        <v>43</v>
      </c>
      <c r="E2925" t="s">
        <v>9</v>
      </c>
      <c r="F2925">
        <v>70</v>
      </c>
      <c r="G2925" t="s">
        <v>126</v>
      </c>
      <c r="H2925" t="s">
        <v>32</v>
      </c>
      <c r="I2925" t="s">
        <v>124</v>
      </c>
      <c r="J2925" t="s">
        <v>25</v>
      </c>
      <c r="K2925">
        <v>4.2</v>
      </c>
      <c r="L2925" t="s">
        <v>140</v>
      </c>
      <c r="M2925" t="s">
        <v>58</v>
      </c>
      <c r="N2925" t="s">
        <v>140</v>
      </c>
      <c r="O2925">
        <v>12</v>
      </c>
      <c r="P2925" t="s">
        <v>21</v>
      </c>
      <c r="Q2925" t="s">
        <v>46</v>
      </c>
      <c r="R2925" t="str" cm="1">
        <f t="array" ref="R2925">_xlfn.IFS(B2925&lt;31,"Young-Adult",B2925&lt;41,"Adult",B2925&lt;61,"Middle-aged",B2925&gt;=61,"Senior")</f>
        <v>Young-Adult</v>
      </c>
      <c r="S2925" cm="1">
        <f t="array" ref="S2925">_xlfn.IFS(Q2925 ="Fortnightly",14,Q2925="Weekly",7,Q2925="Monthly",30,Q2925="Quarterly",90,Q2925="Bi-Weekly",14,Q2925="Annually",365,Q2925="Every 3 Months",90,TRUE,"NOT FOUND")</f>
        <v>90</v>
      </c>
    </row>
    <row r="2926" spans="1:19" x14ac:dyDescent="0.35">
      <c r="A2926">
        <v>2925</v>
      </c>
      <c r="B2926">
        <v>47</v>
      </c>
      <c r="C2926" t="s">
        <v>141</v>
      </c>
      <c r="D2926" t="s">
        <v>43</v>
      </c>
      <c r="E2926" t="s">
        <v>9</v>
      </c>
      <c r="F2926">
        <v>64</v>
      </c>
      <c r="G2926" t="s">
        <v>31</v>
      </c>
      <c r="H2926" t="s">
        <v>11</v>
      </c>
      <c r="I2926" t="s">
        <v>114</v>
      </c>
      <c r="J2926" t="s">
        <v>13</v>
      </c>
      <c r="K2926">
        <v>3.7</v>
      </c>
      <c r="L2926" t="s">
        <v>140</v>
      </c>
      <c r="M2926" t="s">
        <v>26</v>
      </c>
      <c r="N2926" t="s">
        <v>140</v>
      </c>
      <c r="O2926">
        <v>37</v>
      </c>
      <c r="P2926" t="s">
        <v>74</v>
      </c>
      <c r="Q2926" t="s">
        <v>85</v>
      </c>
      <c r="R2926" t="str" cm="1">
        <f t="array" ref="R2926">_xlfn.IFS(B2926&lt;31,"Young-Adult",B2926&lt;41,"Adult",B2926&lt;61,"Middle-aged",B2926&gt;=61,"Senior")</f>
        <v>Middle-aged</v>
      </c>
      <c r="S2926" cm="1">
        <f t="array" ref="S2926">_xlfn.IFS(Q2926 ="Fortnightly",14,Q2926="Weekly",7,Q2926="Monthly",30,Q2926="Quarterly",90,Q2926="Bi-Weekly",14,Q2926="Annually",365,Q2926="Every 3 Months",90,TRUE,"NOT FOUND")</f>
        <v>90</v>
      </c>
    </row>
    <row r="2927" spans="1:19" x14ac:dyDescent="0.35">
      <c r="A2927">
        <v>2926</v>
      </c>
      <c r="B2927">
        <v>54</v>
      </c>
      <c r="C2927" t="s">
        <v>141</v>
      </c>
      <c r="D2927" t="s">
        <v>18</v>
      </c>
      <c r="E2927" t="s">
        <v>9</v>
      </c>
      <c r="F2927">
        <v>91</v>
      </c>
      <c r="G2927" t="s">
        <v>103</v>
      </c>
      <c r="H2927" t="s">
        <v>32</v>
      </c>
      <c r="I2927" t="s">
        <v>20</v>
      </c>
      <c r="J2927" t="s">
        <v>25</v>
      </c>
      <c r="K2927">
        <v>2.8</v>
      </c>
      <c r="L2927" t="s">
        <v>140</v>
      </c>
      <c r="M2927" t="s">
        <v>62</v>
      </c>
      <c r="N2927" t="s">
        <v>140</v>
      </c>
      <c r="O2927">
        <v>43</v>
      </c>
      <c r="P2927" t="s">
        <v>27</v>
      </c>
      <c r="Q2927" t="s">
        <v>85</v>
      </c>
      <c r="R2927" t="str" cm="1">
        <f t="array" ref="R2927">_xlfn.IFS(B2927&lt;31,"Young-Adult",B2927&lt;41,"Adult",B2927&lt;61,"Middle-aged",B2927&gt;=61,"Senior")</f>
        <v>Middle-aged</v>
      </c>
      <c r="S2927" cm="1">
        <f t="array" ref="S2927">_xlfn.IFS(Q2927 ="Fortnightly",14,Q2927="Weekly",7,Q2927="Monthly",30,Q2927="Quarterly",90,Q2927="Bi-Weekly",14,Q2927="Annually",365,Q2927="Every 3 Months",90,TRUE,"NOT FOUND")</f>
        <v>90</v>
      </c>
    </row>
    <row r="2928" spans="1:19" x14ac:dyDescent="0.35">
      <c r="A2928">
        <v>2927</v>
      </c>
      <c r="B2928">
        <v>64</v>
      </c>
      <c r="C2928" t="s">
        <v>141</v>
      </c>
      <c r="D2928" t="s">
        <v>54</v>
      </c>
      <c r="E2928" t="s">
        <v>55</v>
      </c>
      <c r="F2928">
        <v>82</v>
      </c>
      <c r="G2928" t="s">
        <v>116</v>
      </c>
      <c r="H2928" t="s">
        <v>32</v>
      </c>
      <c r="I2928" t="s">
        <v>12</v>
      </c>
      <c r="J2928" t="s">
        <v>13</v>
      </c>
      <c r="K2928">
        <v>4.8</v>
      </c>
      <c r="L2928" t="s">
        <v>140</v>
      </c>
      <c r="M2928" t="s">
        <v>58</v>
      </c>
      <c r="N2928" t="s">
        <v>140</v>
      </c>
      <c r="O2928">
        <v>9</v>
      </c>
      <c r="P2928" t="s">
        <v>21</v>
      </c>
      <c r="Q2928" t="s">
        <v>28</v>
      </c>
      <c r="R2928" t="str" cm="1">
        <f t="array" ref="R2928">_xlfn.IFS(B2928&lt;31,"Young-Adult",B2928&lt;41,"Adult",B2928&lt;61,"Middle-aged",B2928&gt;=61,"Senior")</f>
        <v>Senior</v>
      </c>
      <c r="S2928" cm="1">
        <f t="array" ref="S2928">_xlfn.IFS(Q2928 ="Fortnightly",14,Q2928="Weekly",7,Q2928="Monthly",30,Q2928="Quarterly",90,Q2928="Bi-Weekly",14,Q2928="Annually",365,Q2928="Every 3 Months",90,TRUE,"NOT FOUND")</f>
        <v>7</v>
      </c>
    </row>
    <row r="2929" spans="1:19" x14ac:dyDescent="0.35">
      <c r="A2929">
        <v>2928</v>
      </c>
      <c r="B2929">
        <v>45</v>
      </c>
      <c r="C2929" t="s">
        <v>141</v>
      </c>
      <c r="D2929" t="s">
        <v>43</v>
      </c>
      <c r="E2929" t="s">
        <v>9</v>
      </c>
      <c r="F2929">
        <v>24</v>
      </c>
      <c r="G2929" t="s">
        <v>56</v>
      </c>
      <c r="H2929" t="s">
        <v>32</v>
      </c>
      <c r="I2929" t="s">
        <v>82</v>
      </c>
      <c r="J2929" t="s">
        <v>41</v>
      </c>
      <c r="K2929">
        <v>2.7</v>
      </c>
      <c r="L2929" t="s">
        <v>140</v>
      </c>
      <c r="M2929" t="s">
        <v>15</v>
      </c>
      <c r="N2929" t="s">
        <v>140</v>
      </c>
      <c r="O2929">
        <v>15</v>
      </c>
      <c r="P2929" t="s">
        <v>16</v>
      </c>
      <c r="Q2929" t="s">
        <v>64</v>
      </c>
      <c r="R2929" t="str" cm="1">
        <f t="array" ref="R2929">_xlfn.IFS(B2929&lt;31,"Young-Adult",B2929&lt;41,"Adult",B2929&lt;61,"Middle-aged",B2929&gt;=61,"Senior")</f>
        <v>Middle-aged</v>
      </c>
      <c r="S2929" cm="1">
        <f t="array" ref="S2929">_xlfn.IFS(Q2929 ="Fortnightly",14,Q2929="Weekly",7,Q2929="Monthly",30,Q2929="Quarterly",90,Q2929="Bi-Weekly",14,Q2929="Annually",365,Q2929="Every 3 Months",90,TRUE,"NOT FOUND")</f>
        <v>14</v>
      </c>
    </row>
    <row r="2930" spans="1:19" x14ac:dyDescent="0.35">
      <c r="A2930">
        <v>2929</v>
      </c>
      <c r="B2930">
        <v>40</v>
      </c>
      <c r="C2930" t="s">
        <v>141</v>
      </c>
      <c r="D2930" t="s">
        <v>94</v>
      </c>
      <c r="E2930" t="s">
        <v>55</v>
      </c>
      <c r="F2930">
        <v>80</v>
      </c>
      <c r="G2930" t="s">
        <v>78</v>
      </c>
      <c r="H2930" t="s">
        <v>11</v>
      </c>
      <c r="I2930" t="s">
        <v>122</v>
      </c>
      <c r="J2930" t="s">
        <v>25</v>
      </c>
      <c r="K2930">
        <v>3.6</v>
      </c>
      <c r="L2930" t="s">
        <v>140</v>
      </c>
      <c r="M2930" t="s">
        <v>62</v>
      </c>
      <c r="N2930" t="s">
        <v>140</v>
      </c>
      <c r="O2930">
        <v>17</v>
      </c>
      <c r="P2930" t="s">
        <v>27</v>
      </c>
      <c r="Q2930" t="s">
        <v>28</v>
      </c>
      <c r="R2930" t="str" cm="1">
        <f t="array" ref="R2930">_xlfn.IFS(B2930&lt;31,"Young-Adult",B2930&lt;41,"Adult",B2930&lt;61,"Middle-aged",B2930&gt;=61,"Senior")</f>
        <v>Adult</v>
      </c>
      <c r="S2930" cm="1">
        <f t="array" ref="S2930">_xlfn.IFS(Q2930 ="Fortnightly",14,Q2930="Weekly",7,Q2930="Monthly",30,Q2930="Quarterly",90,Q2930="Bi-Weekly",14,Q2930="Annually",365,Q2930="Every 3 Months",90,TRUE,"NOT FOUND")</f>
        <v>7</v>
      </c>
    </row>
    <row r="2931" spans="1:19" x14ac:dyDescent="0.35">
      <c r="A2931">
        <v>2930</v>
      </c>
      <c r="B2931">
        <v>31</v>
      </c>
      <c r="C2931" t="s">
        <v>141</v>
      </c>
      <c r="D2931" t="s">
        <v>113</v>
      </c>
      <c r="E2931" t="s">
        <v>9</v>
      </c>
      <c r="F2931">
        <v>53</v>
      </c>
      <c r="G2931" t="s">
        <v>19</v>
      </c>
      <c r="H2931" t="s">
        <v>80</v>
      </c>
      <c r="I2931" t="s">
        <v>40</v>
      </c>
      <c r="J2931" t="s">
        <v>13</v>
      </c>
      <c r="K2931">
        <v>4.5</v>
      </c>
      <c r="L2931" t="s">
        <v>140</v>
      </c>
      <c r="M2931" t="s">
        <v>33</v>
      </c>
      <c r="N2931" t="s">
        <v>140</v>
      </c>
      <c r="O2931">
        <v>42</v>
      </c>
      <c r="P2931" t="s">
        <v>16</v>
      </c>
      <c r="Q2931" t="s">
        <v>17</v>
      </c>
      <c r="R2931" t="str" cm="1">
        <f t="array" ref="R2931">_xlfn.IFS(B2931&lt;31,"Young-Adult",B2931&lt;41,"Adult",B2931&lt;61,"Middle-aged",B2931&gt;=61,"Senior")</f>
        <v>Adult</v>
      </c>
      <c r="S2931" cm="1">
        <f t="array" ref="S2931">_xlfn.IFS(Q2931 ="Fortnightly",14,Q2931="Weekly",7,Q2931="Monthly",30,Q2931="Quarterly",90,Q2931="Bi-Weekly",14,Q2931="Annually",365,Q2931="Every 3 Months",90,TRUE,"NOT FOUND")</f>
        <v>14</v>
      </c>
    </row>
    <row r="2932" spans="1:19" x14ac:dyDescent="0.35">
      <c r="A2932">
        <v>2931</v>
      </c>
      <c r="B2932">
        <v>38</v>
      </c>
      <c r="C2932" t="s">
        <v>141</v>
      </c>
      <c r="D2932" t="s">
        <v>101</v>
      </c>
      <c r="E2932" t="s">
        <v>9</v>
      </c>
      <c r="F2932">
        <v>50</v>
      </c>
      <c r="G2932" t="s">
        <v>79</v>
      </c>
      <c r="H2932" t="s">
        <v>32</v>
      </c>
      <c r="I2932" t="s">
        <v>109</v>
      </c>
      <c r="J2932" t="s">
        <v>25</v>
      </c>
      <c r="K2932">
        <v>4</v>
      </c>
      <c r="L2932" t="s">
        <v>140</v>
      </c>
      <c r="M2932" t="s">
        <v>26</v>
      </c>
      <c r="N2932" t="s">
        <v>140</v>
      </c>
      <c r="O2932">
        <v>14</v>
      </c>
      <c r="P2932" t="s">
        <v>16</v>
      </c>
      <c r="Q2932" t="s">
        <v>76</v>
      </c>
      <c r="R2932" t="str" cm="1">
        <f t="array" ref="R2932">_xlfn.IFS(B2932&lt;31,"Young-Adult",B2932&lt;41,"Adult",B2932&lt;61,"Middle-aged",B2932&gt;=61,"Senior")</f>
        <v>Adult</v>
      </c>
      <c r="S2932" cm="1">
        <f t="array" ref="S2932">_xlfn.IFS(Q2932 ="Fortnightly",14,Q2932="Weekly",7,Q2932="Monthly",30,Q2932="Quarterly",90,Q2932="Bi-Weekly",14,Q2932="Annually",365,Q2932="Every 3 Months",90,TRUE,"NOT FOUND")</f>
        <v>30</v>
      </c>
    </row>
    <row r="2933" spans="1:19" x14ac:dyDescent="0.35">
      <c r="A2933">
        <v>2932</v>
      </c>
      <c r="B2933">
        <v>36</v>
      </c>
      <c r="C2933" t="s">
        <v>141</v>
      </c>
      <c r="D2933" t="s">
        <v>94</v>
      </c>
      <c r="E2933" t="s">
        <v>55</v>
      </c>
      <c r="F2933">
        <v>31</v>
      </c>
      <c r="G2933" t="s">
        <v>78</v>
      </c>
      <c r="H2933" t="s">
        <v>32</v>
      </c>
      <c r="I2933" t="s">
        <v>124</v>
      </c>
      <c r="J2933" t="s">
        <v>45</v>
      </c>
      <c r="K2933">
        <v>4.5</v>
      </c>
      <c r="L2933" t="s">
        <v>140</v>
      </c>
      <c r="M2933" t="s">
        <v>58</v>
      </c>
      <c r="N2933" t="s">
        <v>140</v>
      </c>
      <c r="O2933">
        <v>49</v>
      </c>
      <c r="P2933" t="s">
        <v>27</v>
      </c>
      <c r="Q2933" t="s">
        <v>64</v>
      </c>
      <c r="R2933" t="str" cm="1">
        <f t="array" ref="R2933">_xlfn.IFS(B2933&lt;31,"Young-Adult",B2933&lt;41,"Adult",B2933&lt;61,"Middle-aged",B2933&gt;=61,"Senior")</f>
        <v>Adult</v>
      </c>
      <c r="S2933" cm="1">
        <f t="array" ref="S2933">_xlfn.IFS(Q2933 ="Fortnightly",14,Q2933="Weekly",7,Q2933="Monthly",30,Q2933="Quarterly",90,Q2933="Bi-Weekly",14,Q2933="Annually",365,Q2933="Every 3 Months",90,TRUE,"NOT FOUND")</f>
        <v>14</v>
      </c>
    </row>
    <row r="2934" spans="1:19" x14ac:dyDescent="0.35">
      <c r="A2934">
        <v>2933</v>
      </c>
      <c r="B2934">
        <v>65</v>
      </c>
      <c r="C2934" t="s">
        <v>141</v>
      </c>
      <c r="D2934" t="s">
        <v>120</v>
      </c>
      <c r="E2934" t="s">
        <v>55</v>
      </c>
      <c r="F2934">
        <v>88</v>
      </c>
      <c r="G2934" t="s">
        <v>108</v>
      </c>
      <c r="H2934" t="s">
        <v>11</v>
      </c>
      <c r="I2934" t="s">
        <v>82</v>
      </c>
      <c r="J2934" t="s">
        <v>25</v>
      </c>
      <c r="K2934">
        <v>3.9</v>
      </c>
      <c r="L2934" t="s">
        <v>140</v>
      </c>
      <c r="M2934" t="s">
        <v>15</v>
      </c>
      <c r="N2934" t="s">
        <v>140</v>
      </c>
      <c r="O2934">
        <v>3</v>
      </c>
      <c r="P2934" t="s">
        <v>34</v>
      </c>
      <c r="Q2934" t="s">
        <v>46</v>
      </c>
      <c r="R2934" t="str" cm="1">
        <f t="array" ref="R2934">_xlfn.IFS(B2934&lt;31,"Young-Adult",B2934&lt;41,"Adult",B2934&lt;61,"Middle-aged",B2934&gt;=61,"Senior")</f>
        <v>Senior</v>
      </c>
      <c r="S2934" cm="1">
        <f t="array" ref="S2934">_xlfn.IFS(Q2934 ="Fortnightly",14,Q2934="Weekly",7,Q2934="Monthly",30,Q2934="Quarterly",90,Q2934="Bi-Weekly",14,Q2934="Annually",365,Q2934="Every 3 Months",90,TRUE,"NOT FOUND")</f>
        <v>90</v>
      </c>
    </row>
    <row r="2935" spans="1:19" x14ac:dyDescent="0.35">
      <c r="A2935">
        <v>2934</v>
      </c>
      <c r="B2935">
        <v>27</v>
      </c>
      <c r="C2935" t="s">
        <v>141</v>
      </c>
      <c r="D2935" t="s">
        <v>112</v>
      </c>
      <c r="E2935" t="s">
        <v>55</v>
      </c>
      <c r="F2935">
        <v>52</v>
      </c>
      <c r="G2935" t="s">
        <v>103</v>
      </c>
      <c r="H2935" t="s">
        <v>32</v>
      </c>
      <c r="I2935" t="s">
        <v>98</v>
      </c>
      <c r="J2935" t="s">
        <v>41</v>
      </c>
      <c r="K2935">
        <v>3.8</v>
      </c>
      <c r="L2935" t="s">
        <v>140</v>
      </c>
      <c r="M2935" t="s">
        <v>42</v>
      </c>
      <c r="N2935" t="s">
        <v>140</v>
      </c>
      <c r="O2935">
        <v>28</v>
      </c>
      <c r="P2935" t="s">
        <v>16</v>
      </c>
      <c r="Q2935" t="s">
        <v>76</v>
      </c>
      <c r="R2935" t="str" cm="1">
        <f t="array" ref="R2935">_xlfn.IFS(B2935&lt;31,"Young-Adult",B2935&lt;41,"Adult",B2935&lt;61,"Middle-aged",B2935&gt;=61,"Senior")</f>
        <v>Young-Adult</v>
      </c>
      <c r="S2935" cm="1">
        <f t="array" ref="S2935">_xlfn.IFS(Q2935 ="Fortnightly",14,Q2935="Weekly",7,Q2935="Monthly",30,Q2935="Quarterly",90,Q2935="Bi-Weekly",14,Q2935="Annually",365,Q2935="Every 3 Months",90,TRUE,"NOT FOUND")</f>
        <v>30</v>
      </c>
    </row>
    <row r="2936" spans="1:19" x14ac:dyDescent="0.35">
      <c r="A2936">
        <v>2935</v>
      </c>
      <c r="B2936">
        <v>38</v>
      </c>
      <c r="C2936" t="s">
        <v>141</v>
      </c>
      <c r="D2936" t="s">
        <v>131</v>
      </c>
      <c r="E2936" t="s">
        <v>55</v>
      </c>
      <c r="F2936">
        <v>22</v>
      </c>
      <c r="G2936" t="s">
        <v>123</v>
      </c>
      <c r="H2936" t="s">
        <v>32</v>
      </c>
      <c r="I2936" t="s">
        <v>109</v>
      </c>
      <c r="J2936" t="s">
        <v>45</v>
      </c>
      <c r="K2936">
        <v>4.7</v>
      </c>
      <c r="L2936" t="s">
        <v>140</v>
      </c>
      <c r="M2936" t="s">
        <v>33</v>
      </c>
      <c r="N2936" t="s">
        <v>140</v>
      </c>
      <c r="O2936">
        <v>41</v>
      </c>
      <c r="P2936" t="s">
        <v>63</v>
      </c>
      <c r="Q2936" t="s">
        <v>46</v>
      </c>
      <c r="R2936" t="str" cm="1">
        <f t="array" ref="R2936">_xlfn.IFS(B2936&lt;31,"Young-Adult",B2936&lt;41,"Adult",B2936&lt;61,"Middle-aged",B2936&gt;=61,"Senior")</f>
        <v>Adult</v>
      </c>
      <c r="S2936" cm="1">
        <f t="array" ref="S2936">_xlfn.IFS(Q2936 ="Fortnightly",14,Q2936="Weekly",7,Q2936="Monthly",30,Q2936="Quarterly",90,Q2936="Bi-Weekly",14,Q2936="Annually",365,Q2936="Every 3 Months",90,TRUE,"NOT FOUND")</f>
        <v>90</v>
      </c>
    </row>
    <row r="2937" spans="1:19" x14ac:dyDescent="0.35">
      <c r="A2937">
        <v>2936</v>
      </c>
      <c r="B2937">
        <v>58</v>
      </c>
      <c r="C2937" t="s">
        <v>141</v>
      </c>
      <c r="D2937" t="s">
        <v>38</v>
      </c>
      <c r="E2937" t="s">
        <v>30</v>
      </c>
      <c r="F2937">
        <v>27</v>
      </c>
      <c r="G2937" t="s">
        <v>86</v>
      </c>
      <c r="H2937" t="s">
        <v>80</v>
      </c>
      <c r="I2937" t="s">
        <v>12</v>
      </c>
      <c r="J2937" t="s">
        <v>25</v>
      </c>
      <c r="K2937">
        <v>4.5999999999999996</v>
      </c>
      <c r="L2937" t="s">
        <v>140</v>
      </c>
      <c r="M2937" t="s">
        <v>42</v>
      </c>
      <c r="N2937" t="s">
        <v>140</v>
      </c>
      <c r="O2937">
        <v>11</v>
      </c>
      <c r="P2937" t="s">
        <v>16</v>
      </c>
      <c r="Q2937" t="s">
        <v>28</v>
      </c>
      <c r="R2937" t="str" cm="1">
        <f t="array" ref="R2937">_xlfn.IFS(B2937&lt;31,"Young-Adult",B2937&lt;41,"Adult",B2937&lt;61,"Middle-aged",B2937&gt;=61,"Senior")</f>
        <v>Middle-aged</v>
      </c>
      <c r="S2937" cm="1">
        <f t="array" ref="S2937">_xlfn.IFS(Q2937 ="Fortnightly",14,Q2937="Weekly",7,Q2937="Monthly",30,Q2937="Quarterly",90,Q2937="Bi-Weekly",14,Q2937="Annually",365,Q2937="Every 3 Months",90,TRUE,"NOT FOUND")</f>
        <v>7</v>
      </c>
    </row>
    <row r="2938" spans="1:19" x14ac:dyDescent="0.35">
      <c r="A2938">
        <v>2937</v>
      </c>
      <c r="B2938">
        <v>31</v>
      </c>
      <c r="C2938" t="s">
        <v>141</v>
      </c>
      <c r="D2938" t="s">
        <v>75</v>
      </c>
      <c r="E2938" t="s">
        <v>9</v>
      </c>
      <c r="F2938">
        <v>34</v>
      </c>
      <c r="G2938" t="s">
        <v>137</v>
      </c>
      <c r="H2938" t="s">
        <v>32</v>
      </c>
      <c r="I2938" t="s">
        <v>40</v>
      </c>
      <c r="J2938" t="s">
        <v>25</v>
      </c>
      <c r="K2938">
        <v>3.6</v>
      </c>
      <c r="L2938" t="s">
        <v>140</v>
      </c>
      <c r="M2938" t="s">
        <v>15</v>
      </c>
      <c r="N2938" t="s">
        <v>140</v>
      </c>
      <c r="O2938">
        <v>46</v>
      </c>
      <c r="P2938" t="s">
        <v>34</v>
      </c>
      <c r="Q2938" t="s">
        <v>28</v>
      </c>
      <c r="R2938" t="str" cm="1">
        <f t="array" ref="R2938">_xlfn.IFS(B2938&lt;31,"Young-Adult",B2938&lt;41,"Adult",B2938&lt;61,"Middle-aged",B2938&gt;=61,"Senior")</f>
        <v>Adult</v>
      </c>
      <c r="S2938" cm="1">
        <f t="array" ref="S2938">_xlfn.IFS(Q2938 ="Fortnightly",14,Q2938="Weekly",7,Q2938="Monthly",30,Q2938="Quarterly",90,Q2938="Bi-Weekly",14,Q2938="Annually",365,Q2938="Every 3 Months",90,TRUE,"NOT FOUND")</f>
        <v>7</v>
      </c>
    </row>
    <row r="2939" spans="1:19" x14ac:dyDescent="0.35">
      <c r="A2939">
        <v>2938</v>
      </c>
      <c r="B2939">
        <v>28</v>
      </c>
      <c r="C2939" t="s">
        <v>141</v>
      </c>
      <c r="D2939" t="s">
        <v>54</v>
      </c>
      <c r="E2939" t="s">
        <v>55</v>
      </c>
      <c r="F2939">
        <v>39</v>
      </c>
      <c r="G2939" t="s">
        <v>52</v>
      </c>
      <c r="H2939" t="s">
        <v>32</v>
      </c>
      <c r="I2939" t="s">
        <v>40</v>
      </c>
      <c r="J2939" t="s">
        <v>25</v>
      </c>
      <c r="K2939">
        <v>4.3</v>
      </c>
      <c r="L2939" t="s">
        <v>140</v>
      </c>
      <c r="M2939" t="s">
        <v>58</v>
      </c>
      <c r="N2939" t="s">
        <v>140</v>
      </c>
      <c r="O2939">
        <v>15</v>
      </c>
      <c r="P2939" t="s">
        <v>27</v>
      </c>
      <c r="Q2939" t="s">
        <v>28</v>
      </c>
      <c r="R2939" t="str" cm="1">
        <f t="array" ref="R2939">_xlfn.IFS(B2939&lt;31,"Young-Adult",B2939&lt;41,"Adult",B2939&lt;61,"Middle-aged",B2939&gt;=61,"Senior")</f>
        <v>Young-Adult</v>
      </c>
      <c r="S2939" cm="1">
        <f t="array" ref="S2939">_xlfn.IFS(Q2939 ="Fortnightly",14,Q2939="Weekly",7,Q2939="Monthly",30,Q2939="Quarterly",90,Q2939="Bi-Weekly",14,Q2939="Annually",365,Q2939="Every 3 Months",90,TRUE,"NOT FOUND")</f>
        <v>7</v>
      </c>
    </row>
    <row r="2940" spans="1:19" x14ac:dyDescent="0.35">
      <c r="A2940">
        <v>2939</v>
      </c>
      <c r="B2940">
        <v>28</v>
      </c>
      <c r="C2940" t="s">
        <v>141</v>
      </c>
      <c r="D2940" t="s">
        <v>77</v>
      </c>
      <c r="E2940" t="s">
        <v>55</v>
      </c>
      <c r="F2940">
        <v>53</v>
      </c>
      <c r="G2940" t="s">
        <v>19</v>
      </c>
      <c r="H2940" t="s">
        <v>32</v>
      </c>
      <c r="I2940" t="s">
        <v>71</v>
      </c>
      <c r="J2940" t="s">
        <v>45</v>
      </c>
      <c r="K2940">
        <v>3</v>
      </c>
      <c r="L2940" t="s">
        <v>140</v>
      </c>
      <c r="M2940" t="s">
        <v>42</v>
      </c>
      <c r="N2940" t="s">
        <v>140</v>
      </c>
      <c r="O2940">
        <v>15</v>
      </c>
      <c r="P2940" t="s">
        <v>21</v>
      </c>
      <c r="Q2940" t="s">
        <v>76</v>
      </c>
      <c r="R2940" t="str" cm="1">
        <f t="array" ref="R2940">_xlfn.IFS(B2940&lt;31,"Young-Adult",B2940&lt;41,"Adult",B2940&lt;61,"Middle-aged",B2940&gt;=61,"Senior")</f>
        <v>Young-Adult</v>
      </c>
      <c r="S2940" cm="1">
        <f t="array" ref="S2940">_xlfn.IFS(Q2940 ="Fortnightly",14,Q2940="Weekly",7,Q2940="Monthly",30,Q2940="Quarterly",90,Q2940="Bi-Weekly",14,Q2940="Annually",365,Q2940="Every 3 Months",90,TRUE,"NOT FOUND")</f>
        <v>30</v>
      </c>
    </row>
    <row r="2941" spans="1:19" x14ac:dyDescent="0.35">
      <c r="A2941">
        <v>2940</v>
      </c>
      <c r="B2941">
        <v>32</v>
      </c>
      <c r="C2941" t="s">
        <v>141</v>
      </c>
      <c r="D2941" t="s">
        <v>18</v>
      </c>
      <c r="E2941" t="s">
        <v>9</v>
      </c>
      <c r="F2941">
        <v>46</v>
      </c>
      <c r="G2941" t="s">
        <v>10</v>
      </c>
      <c r="H2941" t="s">
        <v>32</v>
      </c>
      <c r="I2941" t="s">
        <v>106</v>
      </c>
      <c r="J2941" t="s">
        <v>13</v>
      </c>
      <c r="K2941">
        <v>4.3</v>
      </c>
      <c r="L2941" t="s">
        <v>140</v>
      </c>
      <c r="M2941" t="s">
        <v>15</v>
      </c>
      <c r="N2941" t="s">
        <v>140</v>
      </c>
      <c r="O2941">
        <v>34</v>
      </c>
      <c r="P2941" t="s">
        <v>16</v>
      </c>
      <c r="Q2941" t="s">
        <v>28</v>
      </c>
      <c r="R2941" t="str" cm="1">
        <f t="array" ref="R2941">_xlfn.IFS(B2941&lt;31,"Young-Adult",B2941&lt;41,"Adult",B2941&lt;61,"Middle-aged",B2941&gt;=61,"Senior")</f>
        <v>Adult</v>
      </c>
      <c r="S2941" cm="1">
        <f t="array" ref="S2941">_xlfn.IFS(Q2941 ="Fortnightly",14,Q2941="Weekly",7,Q2941="Monthly",30,Q2941="Quarterly",90,Q2941="Bi-Weekly",14,Q2941="Annually",365,Q2941="Every 3 Months",90,TRUE,"NOT FOUND")</f>
        <v>7</v>
      </c>
    </row>
    <row r="2942" spans="1:19" x14ac:dyDescent="0.35">
      <c r="A2942">
        <v>2941</v>
      </c>
      <c r="B2942">
        <v>61</v>
      </c>
      <c r="C2942" t="s">
        <v>141</v>
      </c>
      <c r="D2942" t="s">
        <v>54</v>
      </c>
      <c r="E2942" t="s">
        <v>55</v>
      </c>
      <c r="F2942">
        <v>85</v>
      </c>
      <c r="G2942" t="s">
        <v>23</v>
      </c>
      <c r="H2942" t="s">
        <v>11</v>
      </c>
      <c r="I2942" t="s">
        <v>106</v>
      </c>
      <c r="J2942" t="s">
        <v>41</v>
      </c>
      <c r="K2942">
        <v>4.8</v>
      </c>
      <c r="L2942" t="s">
        <v>140</v>
      </c>
      <c r="M2942" t="s">
        <v>33</v>
      </c>
      <c r="N2942" t="s">
        <v>140</v>
      </c>
      <c r="O2942">
        <v>13</v>
      </c>
      <c r="P2942" t="s">
        <v>21</v>
      </c>
      <c r="Q2942" t="s">
        <v>76</v>
      </c>
      <c r="R2942" t="str" cm="1">
        <f t="array" ref="R2942">_xlfn.IFS(B2942&lt;31,"Young-Adult",B2942&lt;41,"Adult",B2942&lt;61,"Middle-aged",B2942&gt;=61,"Senior")</f>
        <v>Senior</v>
      </c>
      <c r="S2942" cm="1">
        <f t="array" ref="S2942">_xlfn.IFS(Q2942 ="Fortnightly",14,Q2942="Weekly",7,Q2942="Monthly",30,Q2942="Quarterly",90,Q2942="Bi-Weekly",14,Q2942="Annually",365,Q2942="Every 3 Months",90,TRUE,"NOT FOUND")</f>
        <v>30</v>
      </c>
    </row>
    <row r="2943" spans="1:19" x14ac:dyDescent="0.35">
      <c r="A2943">
        <v>2942</v>
      </c>
      <c r="B2943">
        <v>38</v>
      </c>
      <c r="C2943" t="s">
        <v>141</v>
      </c>
      <c r="D2943" t="s">
        <v>75</v>
      </c>
      <c r="E2943" t="s">
        <v>9</v>
      </c>
      <c r="F2943">
        <v>86</v>
      </c>
      <c r="G2943" t="s">
        <v>126</v>
      </c>
      <c r="H2943" t="s">
        <v>11</v>
      </c>
      <c r="I2943" t="s">
        <v>61</v>
      </c>
      <c r="J2943" t="s">
        <v>25</v>
      </c>
      <c r="K2943">
        <v>3.7</v>
      </c>
      <c r="L2943" t="s">
        <v>140</v>
      </c>
      <c r="M2943" t="s">
        <v>26</v>
      </c>
      <c r="N2943" t="s">
        <v>140</v>
      </c>
      <c r="O2943">
        <v>27</v>
      </c>
      <c r="P2943" t="s">
        <v>34</v>
      </c>
      <c r="Q2943" t="s">
        <v>76</v>
      </c>
      <c r="R2943" t="str" cm="1">
        <f t="array" ref="R2943">_xlfn.IFS(B2943&lt;31,"Young-Adult",B2943&lt;41,"Adult",B2943&lt;61,"Middle-aged",B2943&gt;=61,"Senior")</f>
        <v>Adult</v>
      </c>
      <c r="S2943" cm="1">
        <f t="array" ref="S2943">_xlfn.IFS(Q2943 ="Fortnightly",14,Q2943="Weekly",7,Q2943="Monthly",30,Q2943="Quarterly",90,Q2943="Bi-Weekly",14,Q2943="Annually",365,Q2943="Every 3 Months",90,TRUE,"NOT FOUND")</f>
        <v>30</v>
      </c>
    </row>
    <row r="2944" spans="1:19" x14ac:dyDescent="0.35">
      <c r="A2944">
        <v>2943</v>
      </c>
      <c r="B2944">
        <v>54</v>
      </c>
      <c r="C2944" t="s">
        <v>141</v>
      </c>
      <c r="D2944" t="s">
        <v>113</v>
      </c>
      <c r="E2944" t="s">
        <v>9</v>
      </c>
      <c r="F2944">
        <v>63</v>
      </c>
      <c r="G2944" t="s">
        <v>65</v>
      </c>
      <c r="H2944" t="s">
        <v>32</v>
      </c>
      <c r="I2944" t="s">
        <v>98</v>
      </c>
      <c r="J2944" t="s">
        <v>41</v>
      </c>
      <c r="K2944">
        <v>2.6</v>
      </c>
      <c r="L2944" t="s">
        <v>140</v>
      </c>
      <c r="M2944" t="s">
        <v>26</v>
      </c>
      <c r="N2944" t="s">
        <v>140</v>
      </c>
      <c r="O2944">
        <v>37</v>
      </c>
      <c r="P2944" t="s">
        <v>63</v>
      </c>
      <c r="Q2944" t="s">
        <v>28</v>
      </c>
      <c r="R2944" t="str" cm="1">
        <f t="array" ref="R2944">_xlfn.IFS(B2944&lt;31,"Young-Adult",B2944&lt;41,"Adult",B2944&lt;61,"Middle-aged",B2944&gt;=61,"Senior")</f>
        <v>Middle-aged</v>
      </c>
      <c r="S2944" cm="1">
        <f t="array" ref="S2944">_xlfn.IFS(Q2944 ="Fortnightly",14,Q2944="Weekly",7,Q2944="Monthly",30,Q2944="Quarterly",90,Q2944="Bi-Weekly",14,Q2944="Annually",365,Q2944="Every 3 Months",90,TRUE,"NOT FOUND")</f>
        <v>7</v>
      </c>
    </row>
    <row r="2945" spans="1:19" x14ac:dyDescent="0.35">
      <c r="A2945">
        <v>2944</v>
      </c>
      <c r="B2945">
        <v>29</v>
      </c>
      <c r="C2945" t="s">
        <v>141</v>
      </c>
      <c r="D2945" t="s">
        <v>43</v>
      </c>
      <c r="E2945" t="s">
        <v>9</v>
      </c>
      <c r="F2945">
        <v>44</v>
      </c>
      <c r="G2945" t="s">
        <v>129</v>
      </c>
      <c r="H2945" t="s">
        <v>32</v>
      </c>
      <c r="I2945" t="s">
        <v>109</v>
      </c>
      <c r="J2945" t="s">
        <v>25</v>
      </c>
      <c r="K2945">
        <v>3.4</v>
      </c>
      <c r="L2945" t="s">
        <v>140</v>
      </c>
      <c r="M2945" t="s">
        <v>42</v>
      </c>
      <c r="N2945" t="s">
        <v>140</v>
      </c>
      <c r="O2945">
        <v>37</v>
      </c>
      <c r="P2945" t="s">
        <v>27</v>
      </c>
      <c r="Q2945" t="s">
        <v>76</v>
      </c>
      <c r="R2945" t="str" cm="1">
        <f t="array" ref="R2945">_xlfn.IFS(B2945&lt;31,"Young-Adult",B2945&lt;41,"Adult",B2945&lt;61,"Middle-aged",B2945&gt;=61,"Senior")</f>
        <v>Young-Adult</v>
      </c>
      <c r="S2945" cm="1">
        <f t="array" ref="S2945">_xlfn.IFS(Q2945 ="Fortnightly",14,Q2945="Weekly",7,Q2945="Monthly",30,Q2945="Quarterly",90,Q2945="Bi-Weekly",14,Q2945="Annually",365,Q2945="Every 3 Months",90,TRUE,"NOT FOUND")</f>
        <v>30</v>
      </c>
    </row>
    <row r="2946" spans="1:19" x14ac:dyDescent="0.35">
      <c r="A2946">
        <v>2945</v>
      </c>
      <c r="B2946">
        <v>50</v>
      </c>
      <c r="C2946" t="s">
        <v>141</v>
      </c>
      <c r="D2946" t="s">
        <v>38</v>
      </c>
      <c r="E2946" t="s">
        <v>30</v>
      </c>
      <c r="F2946">
        <v>95</v>
      </c>
      <c r="G2946" t="s">
        <v>72</v>
      </c>
      <c r="H2946" t="s">
        <v>80</v>
      </c>
      <c r="I2946" t="s">
        <v>97</v>
      </c>
      <c r="J2946" t="s">
        <v>41</v>
      </c>
      <c r="K2946">
        <v>3.9</v>
      </c>
      <c r="L2946" t="s">
        <v>140</v>
      </c>
      <c r="M2946" t="s">
        <v>26</v>
      </c>
      <c r="N2946" t="s">
        <v>140</v>
      </c>
      <c r="O2946">
        <v>4</v>
      </c>
      <c r="P2946" t="s">
        <v>16</v>
      </c>
      <c r="Q2946" t="s">
        <v>85</v>
      </c>
      <c r="R2946" t="str" cm="1">
        <f t="array" ref="R2946">_xlfn.IFS(B2946&lt;31,"Young-Adult",B2946&lt;41,"Adult",B2946&lt;61,"Middle-aged",B2946&gt;=61,"Senior")</f>
        <v>Middle-aged</v>
      </c>
      <c r="S2946" cm="1">
        <f t="array" ref="S2946">_xlfn.IFS(Q2946 ="Fortnightly",14,Q2946="Weekly",7,Q2946="Monthly",30,Q2946="Quarterly",90,Q2946="Bi-Weekly",14,Q2946="Annually",365,Q2946="Every 3 Months",90,TRUE,"NOT FOUND")</f>
        <v>90</v>
      </c>
    </row>
    <row r="2947" spans="1:19" x14ac:dyDescent="0.35">
      <c r="A2947">
        <v>2946</v>
      </c>
      <c r="B2947">
        <v>32</v>
      </c>
      <c r="C2947" t="s">
        <v>141</v>
      </c>
      <c r="D2947" t="s">
        <v>121</v>
      </c>
      <c r="E2947" t="s">
        <v>55</v>
      </c>
      <c r="F2947">
        <v>49</v>
      </c>
      <c r="G2947" t="s">
        <v>67</v>
      </c>
      <c r="H2947" t="s">
        <v>32</v>
      </c>
      <c r="I2947" t="s">
        <v>49</v>
      </c>
      <c r="J2947" t="s">
        <v>41</v>
      </c>
      <c r="K2947">
        <v>4.8</v>
      </c>
      <c r="L2947" t="s">
        <v>140</v>
      </c>
      <c r="M2947" t="s">
        <v>26</v>
      </c>
      <c r="N2947" t="s">
        <v>140</v>
      </c>
      <c r="O2947">
        <v>1</v>
      </c>
      <c r="P2947" t="s">
        <v>27</v>
      </c>
      <c r="Q2947" t="s">
        <v>85</v>
      </c>
      <c r="R2947" t="str" cm="1">
        <f t="array" ref="R2947">_xlfn.IFS(B2947&lt;31,"Young-Adult",B2947&lt;41,"Adult",B2947&lt;61,"Middle-aged",B2947&gt;=61,"Senior")</f>
        <v>Adult</v>
      </c>
      <c r="S2947" cm="1">
        <f t="array" ref="S2947">_xlfn.IFS(Q2947 ="Fortnightly",14,Q2947="Weekly",7,Q2947="Monthly",30,Q2947="Quarterly",90,Q2947="Bi-Weekly",14,Q2947="Annually",365,Q2947="Every 3 Months",90,TRUE,"NOT FOUND")</f>
        <v>90</v>
      </c>
    </row>
    <row r="2948" spans="1:19" x14ac:dyDescent="0.35">
      <c r="A2948">
        <v>2947</v>
      </c>
      <c r="B2948">
        <v>38</v>
      </c>
      <c r="C2948" t="s">
        <v>141</v>
      </c>
      <c r="D2948" t="s">
        <v>83</v>
      </c>
      <c r="E2948" t="s">
        <v>9</v>
      </c>
      <c r="F2948">
        <v>77</v>
      </c>
      <c r="G2948" t="s">
        <v>65</v>
      </c>
      <c r="H2948" t="s">
        <v>11</v>
      </c>
      <c r="I2948" t="s">
        <v>61</v>
      </c>
      <c r="J2948" t="s">
        <v>25</v>
      </c>
      <c r="K2948">
        <v>2.8</v>
      </c>
      <c r="L2948" t="s">
        <v>140</v>
      </c>
      <c r="M2948" t="s">
        <v>26</v>
      </c>
      <c r="N2948" t="s">
        <v>140</v>
      </c>
      <c r="O2948">
        <v>29</v>
      </c>
      <c r="P2948" t="s">
        <v>63</v>
      </c>
      <c r="Q2948" t="s">
        <v>46</v>
      </c>
      <c r="R2948" t="str" cm="1">
        <f t="array" ref="R2948">_xlfn.IFS(B2948&lt;31,"Young-Adult",B2948&lt;41,"Adult",B2948&lt;61,"Middle-aged",B2948&gt;=61,"Senior")</f>
        <v>Adult</v>
      </c>
      <c r="S2948" cm="1">
        <f t="array" ref="S2948">_xlfn.IFS(Q2948 ="Fortnightly",14,Q2948="Weekly",7,Q2948="Monthly",30,Q2948="Quarterly",90,Q2948="Bi-Weekly",14,Q2948="Annually",365,Q2948="Every 3 Months",90,TRUE,"NOT FOUND")</f>
        <v>90</v>
      </c>
    </row>
    <row r="2949" spans="1:19" x14ac:dyDescent="0.35">
      <c r="A2949">
        <v>2948</v>
      </c>
      <c r="B2949">
        <v>52</v>
      </c>
      <c r="C2949" t="s">
        <v>141</v>
      </c>
      <c r="D2949" t="s">
        <v>94</v>
      </c>
      <c r="E2949" t="s">
        <v>55</v>
      </c>
      <c r="F2949">
        <v>63</v>
      </c>
      <c r="G2949" t="s">
        <v>133</v>
      </c>
      <c r="H2949" t="s">
        <v>11</v>
      </c>
      <c r="I2949" t="s">
        <v>88</v>
      </c>
      <c r="J2949" t="s">
        <v>25</v>
      </c>
      <c r="K2949">
        <v>4.4000000000000004</v>
      </c>
      <c r="L2949" t="s">
        <v>140</v>
      </c>
      <c r="M2949" t="s">
        <v>42</v>
      </c>
      <c r="N2949" t="s">
        <v>140</v>
      </c>
      <c r="O2949">
        <v>50</v>
      </c>
      <c r="P2949" t="s">
        <v>16</v>
      </c>
      <c r="Q2949" t="s">
        <v>37</v>
      </c>
      <c r="R2949" t="str" cm="1">
        <f t="array" ref="R2949">_xlfn.IFS(B2949&lt;31,"Young-Adult",B2949&lt;41,"Adult",B2949&lt;61,"Middle-aged",B2949&gt;=61,"Senior")</f>
        <v>Middle-aged</v>
      </c>
      <c r="S2949" cm="1">
        <f t="array" ref="S2949">_xlfn.IFS(Q2949 ="Fortnightly",14,Q2949="Weekly",7,Q2949="Monthly",30,Q2949="Quarterly",90,Q2949="Bi-Weekly",14,Q2949="Annually",365,Q2949="Every 3 Months",90,TRUE,"NOT FOUND")</f>
        <v>365</v>
      </c>
    </row>
    <row r="2950" spans="1:19" x14ac:dyDescent="0.35">
      <c r="A2950">
        <v>2949</v>
      </c>
      <c r="B2950">
        <v>61</v>
      </c>
      <c r="C2950" t="s">
        <v>141</v>
      </c>
      <c r="D2950" t="s">
        <v>83</v>
      </c>
      <c r="E2950" t="s">
        <v>9</v>
      </c>
      <c r="F2950">
        <v>83</v>
      </c>
      <c r="G2950" t="s">
        <v>117</v>
      </c>
      <c r="H2950" t="s">
        <v>32</v>
      </c>
      <c r="I2950" t="s">
        <v>71</v>
      </c>
      <c r="J2950" t="s">
        <v>13</v>
      </c>
      <c r="K2950">
        <v>3.1</v>
      </c>
      <c r="L2950" t="s">
        <v>140</v>
      </c>
      <c r="M2950" t="s">
        <v>42</v>
      </c>
      <c r="N2950" t="s">
        <v>140</v>
      </c>
      <c r="O2950">
        <v>38</v>
      </c>
      <c r="P2950" t="s">
        <v>74</v>
      </c>
      <c r="Q2950" t="s">
        <v>64</v>
      </c>
      <c r="R2950" t="str" cm="1">
        <f t="array" ref="R2950">_xlfn.IFS(B2950&lt;31,"Young-Adult",B2950&lt;41,"Adult",B2950&lt;61,"Middle-aged",B2950&gt;=61,"Senior")</f>
        <v>Senior</v>
      </c>
      <c r="S2950" cm="1">
        <f t="array" ref="S2950">_xlfn.IFS(Q2950 ="Fortnightly",14,Q2950="Weekly",7,Q2950="Monthly",30,Q2950="Quarterly",90,Q2950="Bi-Weekly",14,Q2950="Annually",365,Q2950="Every 3 Months",90,TRUE,"NOT FOUND")</f>
        <v>14</v>
      </c>
    </row>
    <row r="2951" spans="1:19" x14ac:dyDescent="0.35">
      <c r="A2951">
        <v>2950</v>
      </c>
      <c r="B2951">
        <v>25</v>
      </c>
      <c r="C2951" t="s">
        <v>141</v>
      </c>
      <c r="D2951" t="s">
        <v>94</v>
      </c>
      <c r="E2951" t="s">
        <v>55</v>
      </c>
      <c r="F2951">
        <v>93</v>
      </c>
      <c r="G2951" t="s">
        <v>134</v>
      </c>
      <c r="H2951" t="s">
        <v>32</v>
      </c>
      <c r="I2951" t="s">
        <v>88</v>
      </c>
      <c r="J2951" t="s">
        <v>25</v>
      </c>
      <c r="K2951">
        <v>3.8</v>
      </c>
      <c r="L2951" t="s">
        <v>140</v>
      </c>
      <c r="M2951" t="s">
        <v>62</v>
      </c>
      <c r="N2951" t="s">
        <v>140</v>
      </c>
      <c r="O2951">
        <v>15</v>
      </c>
      <c r="P2951" t="s">
        <v>34</v>
      </c>
      <c r="Q2951" t="s">
        <v>37</v>
      </c>
      <c r="R2951" t="str" cm="1">
        <f t="array" ref="R2951">_xlfn.IFS(B2951&lt;31,"Young-Adult",B2951&lt;41,"Adult",B2951&lt;61,"Middle-aged",B2951&gt;=61,"Senior")</f>
        <v>Young-Adult</v>
      </c>
      <c r="S2951" cm="1">
        <f t="array" ref="S2951">_xlfn.IFS(Q2951 ="Fortnightly",14,Q2951="Weekly",7,Q2951="Monthly",30,Q2951="Quarterly",90,Q2951="Bi-Weekly",14,Q2951="Annually",365,Q2951="Every 3 Months",90,TRUE,"NOT FOUND")</f>
        <v>365</v>
      </c>
    </row>
    <row r="2952" spans="1:19" x14ac:dyDescent="0.35">
      <c r="A2952">
        <v>2951</v>
      </c>
      <c r="B2952">
        <v>22</v>
      </c>
      <c r="C2952" t="s">
        <v>141</v>
      </c>
      <c r="D2952" t="s">
        <v>22</v>
      </c>
      <c r="E2952" t="s">
        <v>9</v>
      </c>
      <c r="F2952">
        <v>91</v>
      </c>
      <c r="G2952" t="s">
        <v>134</v>
      </c>
      <c r="H2952" t="s">
        <v>24</v>
      </c>
      <c r="I2952" t="s">
        <v>20</v>
      </c>
      <c r="J2952" t="s">
        <v>13</v>
      </c>
      <c r="K2952">
        <v>4.0999999999999996</v>
      </c>
      <c r="L2952" t="s">
        <v>140</v>
      </c>
      <c r="M2952" t="s">
        <v>58</v>
      </c>
      <c r="N2952" t="s">
        <v>140</v>
      </c>
      <c r="O2952">
        <v>44</v>
      </c>
      <c r="P2952" t="s">
        <v>74</v>
      </c>
      <c r="Q2952" t="s">
        <v>85</v>
      </c>
      <c r="R2952" t="str" cm="1">
        <f t="array" ref="R2952">_xlfn.IFS(B2952&lt;31,"Young-Adult",B2952&lt;41,"Adult",B2952&lt;61,"Middle-aged",B2952&gt;=61,"Senior")</f>
        <v>Young-Adult</v>
      </c>
      <c r="S2952" cm="1">
        <f t="array" ref="S2952">_xlfn.IFS(Q2952 ="Fortnightly",14,Q2952="Weekly",7,Q2952="Monthly",30,Q2952="Quarterly",90,Q2952="Bi-Weekly",14,Q2952="Annually",365,Q2952="Every 3 Months",90,TRUE,"NOT FOUND")</f>
        <v>90</v>
      </c>
    </row>
    <row r="2953" spans="1:19" x14ac:dyDescent="0.35">
      <c r="A2953">
        <v>2952</v>
      </c>
      <c r="B2953">
        <v>47</v>
      </c>
      <c r="C2953" t="s">
        <v>141</v>
      </c>
      <c r="D2953" t="s">
        <v>107</v>
      </c>
      <c r="E2953" t="s">
        <v>55</v>
      </c>
      <c r="F2953">
        <v>99</v>
      </c>
      <c r="G2953" t="s">
        <v>60</v>
      </c>
      <c r="H2953" t="s">
        <v>11</v>
      </c>
      <c r="I2953" t="s">
        <v>20</v>
      </c>
      <c r="J2953" t="s">
        <v>45</v>
      </c>
      <c r="K2953">
        <v>4.5999999999999996</v>
      </c>
      <c r="L2953" t="s">
        <v>140</v>
      </c>
      <c r="M2953" t="s">
        <v>26</v>
      </c>
      <c r="N2953" t="s">
        <v>140</v>
      </c>
      <c r="O2953">
        <v>14</v>
      </c>
      <c r="P2953" t="s">
        <v>21</v>
      </c>
      <c r="Q2953" t="s">
        <v>28</v>
      </c>
      <c r="R2953" t="str" cm="1">
        <f t="array" ref="R2953">_xlfn.IFS(B2953&lt;31,"Young-Adult",B2953&lt;41,"Adult",B2953&lt;61,"Middle-aged",B2953&gt;=61,"Senior")</f>
        <v>Middle-aged</v>
      </c>
      <c r="S2953" cm="1">
        <f t="array" ref="S2953">_xlfn.IFS(Q2953 ="Fortnightly",14,Q2953="Weekly",7,Q2953="Monthly",30,Q2953="Quarterly",90,Q2953="Bi-Weekly",14,Q2953="Annually",365,Q2953="Every 3 Months",90,TRUE,"NOT FOUND")</f>
        <v>7</v>
      </c>
    </row>
    <row r="2954" spans="1:19" x14ac:dyDescent="0.35">
      <c r="A2954">
        <v>2953</v>
      </c>
      <c r="B2954">
        <v>50</v>
      </c>
      <c r="C2954" t="s">
        <v>141</v>
      </c>
      <c r="D2954" t="s">
        <v>121</v>
      </c>
      <c r="E2954" t="s">
        <v>55</v>
      </c>
      <c r="F2954">
        <v>24</v>
      </c>
      <c r="G2954" t="s">
        <v>78</v>
      </c>
      <c r="H2954" t="s">
        <v>32</v>
      </c>
      <c r="I2954" t="s">
        <v>88</v>
      </c>
      <c r="J2954" t="s">
        <v>25</v>
      </c>
      <c r="K2954">
        <v>4.9000000000000004</v>
      </c>
      <c r="L2954" t="s">
        <v>140</v>
      </c>
      <c r="M2954" t="s">
        <v>33</v>
      </c>
      <c r="N2954" t="s">
        <v>140</v>
      </c>
      <c r="O2954">
        <v>5</v>
      </c>
      <c r="P2954" t="s">
        <v>74</v>
      </c>
      <c r="Q2954" t="s">
        <v>76</v>
      </c>
      <c r="R2954" t="str" cm="1">
        <f t="array" ref="R2954">_xlfn.IFS(B2954&lt;31,"Young-Adult",B2954&lt;41,"Adult",B2954&lt;61,"Middle-aged",B2954&gt;=61,"Senior")</f>
        <v>Middle-aged</v>
      </c>
      <c r="S2954" cm="1">
        <f t="array" ref="S2954">_xlfn.IFS(Q2954 ="Fortnightly",14,Q2954="Weekly",7,Q2954="Monthly",30,Q2954="Quarterly",90,Q2954="Bi-Weekly",14,Q2954="Annually",365,Q2954="Every 3 Months",90,TRUE,"NOT FOUND")</f>
        <v>30</v>
      </c>
    </row>
    <row r="2955" spans="1:19" x14ac:dyDescent="0.35">
      <c r="A2955">
        <v>2954</v>
      </c>
      <c r="B2955">
        <v>45</v>
      </c>
      <c r="C2955" t="s">
        <v>141</v>
      </c>
      <c r="D2955" t="s">
        <v>69</v>
      </c>
      <c r="E2955" t="s">
        <v>9</v>
      </c>
      <c r="F2955">
        <v>82</v>
      </c>
      <c r="G2955" t="s">
        <v>116</v>
      </c>
      <c r="H2955" t="s">
        <v>32</v>
      </c>
      <c r="I2955" t="s">
        <v>53</v>
      </c>
      <c r="J2955" t="s">
        <v>41</v>
      </c>
      <c r="K2955">
        <v>4.8</v>
      </c>
      <c r="L2955" t="s">
        <v>140</v>
      </c>
      <c r="M2955" t="s">
        <v>33</v>
      </c>
      <c r="N2955" t="s">
        <v>140</v>
      </c>
      <c r="O2955">
        <v>11</v>
      </c>
      <c r="P2955" t="s">
        <v>27</v>
      </c>
      <c r="Q2955" t="s">
        <v>37</v>
      </c>
      <c r="R2955" t="str" cm="1">
        <f t="array" ref="R2955">_xlfn.IFS(B2955&lt;31,"Young-Adult",B2955&lt;41,"Adult",B2955&lt;61,"Middle-aged",B2955&gt;=61,"Senior")</f>
        <v>Middle-aged</v>
      </c>
      <c r="S2955" cm="1">
        <f t="array" ref="S2955">_xlfn.IFS(Q2955 ="Fortnightly",14,Q2955="Weekly",7,Q2955="Monthly",30,Q2955="Quarterly",90,Q2955="Bi-Weekly",14,Q2955="Annually",365,Q2955="Every 3 Months",90,TRUE,"NOT FOUND")</f>
        <v>365</v>
      </c>
    </row>
    <row r="2956" spans="1:19" x14ac:dyDescent="0.35">
      <c r="A2956">
        <v>2955</v>
      </c>
      <c r="B2956">
        <v>33</v>
      </c>
      <c r="C2956" t="s">
        <v>141</v>
      </c>
      <c r="D2956" t="s">
        <v>101</v>
      </c>
      <c r="E2956" t="s">
        <v>9</v>
      </c>
      <c r="F2956">
        <v>28</v>
      </c>
      <c r="G2956" t="s">
        <v>135</v>
      </c>
      <c r="H2956" t="s">
        <v>32</v>
      </c>
      <c r="I2956" t="s">
        <v>114</v>
      </c>
      <c r="J2956" t="s">
        <v>13</v>
      </c>
      <c r="K2956">
        <v>3.9</v>
      </c>
      <c r="L2956" t="s">
        <v>140</v>
      </c>
      <c r="M2956" t="s">
        <v>15</v>
      </c>
      <c r="N2956" t="s">
        <v>140</v>
      </c>
      <c r="O2956">
        <v>15</v>
      </c>
      <c r="P2956" t="s">
        <v>27</v>
      </c>
      <c r="Q2956" t="s">
        <v>37</v>
      </c>
      <c r="R2956" t="str" cm="1">
        <f t="array" ref="R2956">_xlfn.IFS(B2956&lt;31,"Young-Adult",B2956&lt;41,"Adult",B2956&lt;61,"Middle-aged",B2956&gt;=61,"Senior")</f>
        <v>Adult</v>
      </c>
      <c r="S2956" cm="1">
        <f t="array" ref="S2956">_xlfn.IFS(Q2956 ="Fortnightly",14,Q2956="Weekly",7,Q2956="Monthly",30,Q2956="Quarterly",90,Q2956="Bi-Weekly",14,Q2956="Annually",365,Q2956="Every 3 Months",90,TRUE,"NOT FOUND")</f>
        <v>365</v>
      </c>
    </row>
    <row r="2957" spans="1:19" x14ac:dyDescent="0.35">
      <c r="A2957">
        <v>2956</v>
      </c>
      <c r="B2957">
        <v>42</v>
      </c>
      <c r="C2957" t="s">
        <v>141</v>
      </c>
      <c r="D2957" t="s">
        <v>125</v>
      </c>
      <c r="E2957" t="s">
        <v>30</v>
      </c>
      <c r="F2957">
        <v>67</v>
      </c>
      <c r="G2957" t="s">
        <v>117</v>
      </c>
      <c r="H2957" t="s">
        <v>32</v>
      </c>
      <c r="I2957" t="s">
        <v>53</v>
      </c>
      <c r="J2957" t="s">
        <v>13</v>
      </c>
      <c r="K2957">
        <v>2.6</v>
      </c>
      <c r="L2957" t="s">
        <v>140</v>
      </c>
      <c r="M2957" t="s">
        <v>26</v>
      </c>
      <c r="N2957" t="s">
        <v>140</v>
      </c>
      <c r="O2957">
        <v>46</v>
      </c>
      <c r="P2957" t="s">
        <v>27</v>
      </c>
      <c r="Q2957" t="s">
        <v>37</v>
      </c>
      <c r="R2957" t="str" cm="1">
        <f t="array" ref="R2957">_xlfn.IFS(B2957&lt;31,"Young-Adult",B2957&lt;41,"Adult",B2957&lt;61,"Middle-aged",B2957&gt;=61,"Senior")</f>
        <v>Middle-aged</v>
      </c>
      <c r="S2957" cm="1">
        <f t="array" ref="S2957">_xlfn.IFS(Q2957 ="Fortnightly",14,Q2957="Weekly",7,Q2957="Monthly",30,Q2957="Quarterly",90,Q2957="Bi-Weekly",14,Q2957="Annually",365,Q2957="Every 3 Months",90,TRUE,"NOT FOUND")</f>
        <v>365</v>
      </c>
    </row>
    <row r="2958" spans="1:19" x14ac:dyDescent="0.35">
      <c r="A2958">
        <v>2957</v>
      </c>
      <c r="B2958">
        <v>52</v>
      </c>
      <c r="C2958" t="s">
        <v>141</v>
      </c>
      <c r="D2958" t="s">
        <v>69</v>
      </c>
      <c r="E2958" t="s">
        <v>9</v>
      </c>
      <c r="F2958">
        <v>88</v>
      </c>
      <c r="G2958" t="s">
        <v>44</v>
      </c>
      <c r="H2958" t="s">
        <v>32</v>
      </c>
      <c r="I2958" t="s">
        <v>66</v>
      </c>
      <c r="J2958" t="s">
        <v>45</v>
      </c>
      <c r="K2958">
        <v>3.7</v>
      </c>
      <c r="L2958" t="s">
        <v>140</v>
      </c>
      <c r="M2958" t="s">
        <v>42</v>
      </c>
      <c r="N2958" t="s">
        <v>140</v>
      </c>
      <c r="O2958">
        <v>30</v>
      </c>
      <c r="P2958" t="s">
        <v>16</v>
      </c>
      <c r="Q2958" t="s">
        <v>76</v>
      </c>
      <c r="R2958" t="str" cm="1">
        <f t="array" ref="R2958">_xlfn.IFS(B2958&lt;31,"Young-Adult",B2958&lt;41,"Adult",B2958&lt;61,"Middle-aged",B2958&gt;=61,"Senior")</f>
        <v>Middle-aged</v>
      </c>
      <c r="S2958" cm="1">
        <f t="array" ref="S2958">_xlfn.IFS(Q2958 ="Fortnightly",14,Q2958="Weekly",7,Q2958="Monthly",30,Q2958="Quarterly",90,Q2958="Bi-Weekly",14,Q2958="Annually",365,Q2958="Every 3 Months",90,TRUE,"NOT FOUND")</f>
        <v>30</v>
      </c>
    </row>
    <row r="2959" spans="1:19" x14ac:dyDescent="0.35">
      <c r="A2959">
        <v>2958</v>
      </c>
      <c r="B2959">
        <v>69</v>
      </c>
      <c r="C2959" t="s">
        <v>141</v>
      </c>
      <c r="D2959" t="s">
        <v>94</v>
      </c>
      <c r="E2959" t="s">
        <v>55</v>
      </c>
      <c r="F2959">
        <v>70</v>
      </c>
      <c r="G2959" t="s">
        <v>135</v>
      </c>
      <c r="H2959" t="s">
        <v>24</v>
      </c>
      <c r="I2959" t="s">
        <v>12</v>
      </c>
      <c r="J2959" t="s">
        <v>45</v>
      </c>
      <c r="K2959">
        <v>4.7</v>
      </c>
      <c r="L2959" t="s">
        <v>140</v>
      </c>
      <c r="M2959" t="s">
        <v>42</v>
      </c>
      <c r="N2959" t="s">
        <v>140</v>
      </c>
      <c r="O2959">
        <v>2</v>
      </c>
      <c r="P2959" t="s">
        <v>21</v>
      </c>
      <c r="Q2959" t="s">
        <v>37</v>
      </c>
      <c r="R2959" t="str" cm="1">
        <f t="array" ref="R2959">_xlfn.IFS(B2959&lt;31,"Young-Adult",B2959&lt;41,"Adult",B2959&lt;61,"Middle-aged",B2959&gt;=61,"Senior")</f>
        <v>Senior</v>
      </c>
      <c r="S2959" cm="1">
        <f t="array" ref="S2959">_xlfn.IFS(Q2959 ="Fortnightly",14,Q2959="Weekly",7,Q2959="Monthly",30,Q2959="Quarterly",90,Q2959="Bi-Weekly",14,Q2959="Annually",365,Q2959="Every 3 Months",90,TRUE,"NOT FOUND")</f>
        <v>365</v>
      </c>
    </row>
    <row r="2960" spans="1:19" x14ac:dyDescent="0.35">
      <c r="A2960">
        <v>2959</v>
      </c>
      <c r="B2960">
        <v>55</v>
      </c>
      <c r="C2960" t="s">
        <v>141</v>
      </c>
      <c r="D2960" t="s">
        <v>75</v>
      </c>
      <c r="E2960" t="s">
        <v>9</v>
      </c>
      <c r="F2960">
        <v>100</v>
      </c>
      <c r="G2960" t="s">
        <v>111</v>
      </c>
      <c r="H2960" t="s">
        <v>32</v>
      </c>
      <c r="I2960" t="s">
        <v>82</v>
      </c>
      <c r="J2960" t="s">
        <v>41</v>
      </c>
      <c r="K2960">
        <v>4.5</v>
      </c>
      <c r="L2960" t="s">
        <v>140</v>
      </c>
      <c r="M2960" t="s">
        <v>42</v>
      </c>
      <c r="N2960" t="s">
        <v>140</v>
      </c>
      <c r="O2960">
        <v>28</v>
      </c>
      <c r="P2960" t="s">
        <v>34</v>
      </c>
      <c r="Q2960" t="s">
        <v>76</v>
      </c>
      <c r="R2960" t="str" cm="1">
        <f t="array" ref="R2960">_xlfn.IFS(B2960&lt;31,"Young-Adult",B2960&lt;41,"Adult",B2960&lt;61,"Middle-aged",B2960&gt;=61,"Senior")</f>
        <v>Middle-aged</v>
      </c>
      <c r="S2960" cm="1">
        <f t="array" ref="S2960">_xlfn.IFS(Q2960 ="Fortnightly",14,Q2960="Weekly",7,Q2960="Monthly",30,Q2960="Quarterly",90,Q2960="Bi-Weekly",14,Q2960="Annually",365,Q2960="Every 3 Months",90,TRUE,"NOT FOUND")</f>
        <v>30</v>
      </c>
    </row>
    <row r="2961" spans="1:19" x14ac:dyDescent="0.35">
      <c r="A2961">
        <v>2960</v>
      </c>
      <c r="B2961">
        <v>38</v>
      </c>
      <c r="C2961" t="s">
        <v>141</v>
      </c>
      <c r="D2961" t="s">
        <v>54</v>
      </c>
      <c r="E2961" t="s">
        <v>55</v>
      </c>
      <c r="F2961">
        <v>28</v>
      </c>
      <c r="G2961" t="s">
        <v>93</v>
      </c>
      <c r="H2961" t="s">
        <v>11</v>
      </c>
      <c r="I2961" t="s">
        <v>20</v>
      </c>
      <c r="J2961" t="s">
        <v>41</v>
      </c>
      <c r="K2961">
        <v>4.7</v>
      </c>
      <c r="L2961" t="s">
        <v>140</v>
      </c>
      <c r="M2961" t="s">
        <v>26</v>
      </c>
      <c r="N2961" t="s">
        <v>140</v>
      </c>
      <c r="O2961">
        <v>9</v>
      </c>
      <c r="P2961" t="s">
        <v>34</v>
      </c>
      <c r="Q2961" t="s">
        <v>46</v>
      </c>
      <c r="R2961" t="str" cm="1">
        <f t="array" ref="R2961">_xlfn.IFS(B2961&lt;31,"Young-Adult",B2961&lt;41,"Adult",B2961&lt;61,"Middle-aged",B2961&gt;=61,"Senior")</f>
        <v>Adult</v>
      </c>
      <c r="S2961" cm="1">
        <f t="array" ref="S2961">_xlfn.IFS(Q2961 ="Fortnightly",14,Q2961="Weekly",7,Q2961="Monthly",30,Q2961="Quarterly",90,Q2961="Bi-Weekly",14,Q2961="Annually",365,Q2961="Every 3 Months",90,TRUE,"NOT FOUND")</f>
        <v>90</v>
      </c>
    </row>
    <row r="2962" spans="1:19" x14ac:dyDescent="0.35">
      <c r="A2962">
        <v>2961</v>
      </c>
      <c r="B2962">
        <v>57</v>
      </c>
      <c r="C2962" t="s">
        <v>141</v>
      </c>
      <c r="D2962" t="s">
        <v>50</v>
      </c>
      <c r="E2962" t="s">
        <v>51</v>
      </c>
      <c r="F2962">
        <v>48</v>
      </c>
      <c r="G2962" t="s">
        <v>104</v>
      </c>
      <c r="H2962" t="s">
        <v>24</v>
      </c>
      <c r="I2962" t="s">
        <v>66</v>
      </c>
      <c r="J2962" t="s">
        <v>25</v>
      </c>
      <c r="K2962">
        <v>3.6</v>
      </c>
      <c r="L2962" t="s">
        <v>140</v>
      </c>
      <c r="M2962" t="s">
        <v>42</v>
      </c>
      <c r="N2962" t="s">
        <v>140</v>
      </c>
      <c r="O2962">
        <v>47</v>
      </c>
      <c r="P2962" t="s">
        <v>27</v>
      </c>
      <c r="Q2962" t="s">
        <v>28</v>
      </c>
      <c r="R2962" t="str" cm="1">
        <f t="array" ref="R2962">_xlfn.IFS(B2962&lt;31,"Young-Adult",B2962&lt;41,"Adult",B2962&lt;61,"Middle-aged",B2962&gt;=61,"Senior")</f>
        <v>Middle-aged</v>
      </c>
      <c r="S2962" cm="1">
        <f t="array" ref="S2962">_xlfn.IFS(Q2962 ="Fortnightly",14,Q2962="Weekly",7,Q2962="Monthly",30,Q2962="Quarterly",90,Q2962="Bi-Weekly",14,Q2962="Annually",365,Q2962="Every 3 Months",90,TRUE,"NOT FOUND")</f>
        <v>7</v>
      </c>
    </row>
    <row r="2963" spans="1:19" x14ac:dyDescent="0.35">
      <c r="A2963">
        <v>2962</v>
      </c>
      <c r="B2963">
        <v>33</v>
      </c>
      <c r="C2963" t="s">
        <v>141</v>
      </c>
      <c r="D2963" t="s">
        <v>92</v>
      </c>
      <c r="E2963" t="s">
        <v>9</v>
      </c>
      <c r="F2963">
        <v>43</v>
      </c>
      <c r="G2963" t="s">
        <v>70</v>
      </c>
      <c r="H2963" t="s">
        <v>24</v>
      </c>
      <c r="I2963" t="s">
        <v>68</v>
      </c>
      <c r="J2963" t="s">
        <v>45</v>
      </c>
      <c r="K2963">
        <v>2.8</v>
      </c>
      <c r="L2963" t="s">
        <v>140</v>
      </c>
      <c r="M2963" t="s">
        <v>26</v>
      </c>
      <c r="N2963" t="s">
        <v>140</v>
      </c>
      <c r="O2963">
        <v>21</v>
      </c>
      <c r="P2963" t="s">
        <v>74</v>
      </c>
      <c r="Q2963" t="s">
        <v>64</v>
      </c>
      <c r="R2963" t="str" cm="1">
        <f t="array" ref="R2963">_xlfn.IFS(B2963&lt;31,"Young-Adult",B2963&lt;41,"Adult",B2963&lt;61,"Middle-aged",B2963&gt;=61,"Senior")</f>
        <v>Adult</v>
      </c>
      <c r="S2963" cm="1">
        <f t="array" ref="S2963">_xlfn.IFS(Q2963 ="Fortnightly",14,Q2963="Weekly",7,Q2963="Monthly",30,Q2963="Quarterly",90,Q2963="Bi-Weekly",14,Q2963="Annually",365,Q2963="Every 3 Months",90,TRUE,"NOT FOUND")</f>
        <v>14</v>
      </c>
    </row>
    <row r="2964" spans="1:19" x14ac:dyDescent="0.35">
      <c r="A2964">
        <v>2963</v>
      </c>
      <c r="B2964">
        <v>57</v>
      </c>
      <c r="C2964" t="s">
        <v>141</v>
      </c>
      <c r="D2964" t="s">
        <v>83</v>
      </c>
      <c r="E2964" t="s">
        <v>9</v>
      </c>
      <c r="F2964">
        <v>40</v>
      </c>
      <c r="G2964" t="s">
        <v>87</v>
      </c>
      <c r="H2964" t="s">
        <v>11</v>
      </c>
      <c r="I2964" t="s">
        <v>57</v>
      </c>
      <c r="J2964" t="s">
        <v>45</v>
      </c>
      <c r="K2964">
        <v>4</v>
      </c>
      <c r="L2964" t="s">
        <v>140</v>
      </c>
      <c r="M2964" t="s">
        <v>15</v>
      </c>
      <c r="N2964" t="s">
        <v>140</v>
      </c>
      <c r="O2964">
        <v>42</v>
      </c>
      <c r="P2964" t="s">
        <v>27</v>
      </c>
      <c r="Q2964" t="s">
        <v>85</v>
      </c>
      <c r="R2964" t="str" cm="1">
        <f t="array" ref="R2964">_xlfn.IFS(B2964&lt;31,"Young-Adult",B2964&lt;41,"Adult",B2964&lt;61,"Middle-aged",B2964&gt;=61,"Senior")</f>
        <v>Middle-aged</v>
      </c>
      <c r="S2964" cm="1">
        <f t="array" ref="S2964">_xlfn.IFS(Q2964 ="Fortnightly",14,Q2964="Weekly",7,Q2964="Monthly",30,Q2964="Quarterly",90,Q2964="Bi-Weekly",14,Q2964="Annually",365,Q2964="Every 3 Months",90,TRUE,"NOT FOUND")</f>
        <v>90</v>
      </c>
    </row>
    <row r="2965" spans="1:19" x14ac:dyDescent="0.35">
      <c r="A2965">
        <v>2964</v>
      </c>
      <c r="B2965">
        <v>52</v>
      </c>
      <c r="C2965" t="s">
        <v>141</v>
      </c>
      <c r="D2965" t="s">
        <v>125</v>
      </c>
      <c r="E2965" t="s">
        <v>30</v>
      </c>
      <c r="F2965">
        <v>97</v>
      </c>
      <c r="G2965" t="s">
        <v>19</v>
      </c>
      <c r="H2965" t="s">
        <v>32</v>
      </c>
      <c r="I2965" t="s">
        <v>98</v>
      </c>
      <c r="J2965" t="s">
        <v>25</v>
      </c>
      <c r="K2965">
        <v>3.6</v>
      </c>
      <c r="L2965" t="s">
        <v>140</v>
      </c>
      <c r="M2965" t="s">
        <v>26</v>
      </c>
      <c r="N2965" t="s">
        <v>140</v>
      </c>
      <c r="O2965">
        <v>28</v>
      </c>
      <c r="P2965" t="s">
        <v>27</v>
      </c>
      <c r="Q2965" t="s">
        <v>28</v>
      </c>
      <c r="R2965" t="str" cm="1">
        <f t="array" ref="R2965">_xlfn.IFS(B2965&lt;31,"Young-Adult",B2965&lt;41,"Adult",B2965&lt;61,"Middle-aged",B2965&gt;=61,"Senior")</f>
        <v>Middle-aged</v>
      </c>
      <c r="S2965" cm="1">
        <f t="array" ref="S2965">_xlfn.IFS(Q2965 ="Fortnightly",14,Q2965="Weekly",7,Q2965="Monthly",30,Q2965="Quarterly",90,Q2965="Bi-Weekly",14,Q2965="Annually",365,Q2965="Every 3 Months",90,TRUE,"NOT FOUND")</f>
        <v>7</v>
      </c>
    </row>
    <row r="2966" spans="1:19" x14ac:dyDescent="0.35">
      <c r="A2966">
        <v>2965</v>
      </c>
      <c r="B2966">
        <v>44</v>
      </c>
      <c r="C2966" t="s">
        <v>141</v>
      </c>
      <c r="D2966" t="s">
        <v>50</v>
      </c>
      <c r="E2966" t="s">
        <v>51</v>
      </c>
      <c r="F2966">
        <v>25</v>
      </c>
      <c r="G2966" t="s">
        <v>111</v>
      </c>
      <c r="H2966" t="s">
        <v>24</v>
      </c>
      <c r="I2966" t="s">
        <v>40</v>
      </c>
      <c r="J2966" t="s">
        <v>45</v>
      </c>
      <c r="K2966">
        <v>3.8</v>
      </c>
      <c r="L2966" t="s">
        <v>140</v>
      </c>
      <c r="M2966" t="s">
        <v>58</v>
      </c>
      <c r="N2966" t="s">
        <v>140</v>
      </c>
      <c r="O2966">
        <v>13</v>
      </c>
      <c r="P2966" t="s">
        <v>16</v>
      </c>
      <c r="Q2966" t="s">
        <v>17</v>
      </c>
      <c r="R2966" t="str" cm="1">
        <f t="array" ref="R2966">_xlfn.IFS(B2966&lt;31,"Young-Adult",B2966&lt;41,"Adult",B2966&lt;61,"Middle-aged",B2966&gt;=61,"Senior")</f>
        <v>Middle-aged</v>
      </c>
      <c r="S2966" cm="1">
        <f t="array" ref="S2966">_xlfn.IFS(Q2966 ="Fortnightly",14,Q2966="Weekly",7,Q2966="Monthly",30,Q2966="Quarterly",90,Q2966="Bi-Weekly",14,Q2966="Annually",365,Q2966="Every 3 Months",90,TRUE,"NOT FOUND")</f>
        <v>14</v>
      </c>
    </row>
    <row r="2967" spans="1:19" x14ac:dyDescent="0.35">
      <c r="A2967">
        <v>2966</v>
      </c>
      <c r="B2967">
        <v>48</v>
      </c>
      <c r="C2967" t="s">
        <v>141</v>
      </c>
      <c r="D2967" t="s">
        <v>107</v>
      </c>
      <c r="E2967" t="s">
        <v>55</v>
      </c>
      <c r="F2967">
        <v>45</v>
      </c>
      <c r="G2967" t="s">
        <v>67</v>
      </c>
      <c r="H2967" t="s">
        <v>32</v>
      </c>
      <c r="I2967" t="s">
        <v>132</v>
      </c>
      <c r="J2967" t="s">
        <v>41</v>
      </c>
      <c r="K2967">
        <v>4.4000000000000004</v>
      </c>
      <c r="L2967" t="s">
        <v>140</v>
      </c>
      <c r="M2967" t="s">
        <v>42</v>
      </c>
      <c r="N2967" t="s">
        <v>140</v>
      </c>
      <c r="O2967">
        <v>25</v>
      </c>
      <c r="P2967" t="s">
        <v>34</v>
      </c>
      <c r="Q2967" t="s">
        <v>17</v>
      </c>
      <c r="R2967" t="str" cm="1">
        <f t="array" ref="R2967">_xlfn.IFS(B2967&lt;31,"Young-Adult",B2967&lt;41,"Adult",B2967&lt;61,"Middle-aged",B2967&gt;=61,"Senior")</f>
        <v>Middle-aged</v>
      </c>
      <c r="S2967" cm="1">
        <f t="array" ref="S2967">_xlfn.IFS(Q2967 ="Fortnightly",14,Q2967="Weekly",7,Q2967="Monthly",30,Q2967="Quarterly",90,Q2967="Bi-Weekly",14,Q2967="Annually",365,Q2967="Every 3 Months",90,TRUE,"NOT FOUND")</f>
        <v>14</v>
      </c>
    </row>
    <row r="2968" spans="1:19" x14ac:dyDescent="0.35">
      <c r="A2968">
        <v>2967</v>
      </c>
      <c r="B2968">
        <v>52</v>
      </c>
      <c r="C2968" t="s">
        <v>141</v>
      </c>
      <c r="D2968" t="s">
        <v>125</v>
      </c>
      <c r="E2968" t="s">
        <v>30</v>
      </c>
      <c r="F2968">
        <v>49</v>
      </c>
      <c r="G2968" t="s">
        <v>89</v>
      </c>
      <c r="H2968" t="s">
        <v>11</v>
      </c>
      <c r="I2968" t="s">
        <v>109</v>
      </c>
      <c r="J2968" t="s">
        <v>45</v>
      </c>
      <c r="K2968">
        <v>2.8</v>
      </c>
      <c r="L2968" t="s">
        <v>140</v>
      </c>
      <c r="M2968" t="s">
        <v>62</v>
      </c>
      <c r="N2968" t="s">
        <v>140</v>
      </c>
      <c r="O2968">
        <v>38</v>
      </c>
      <c r="P2968" t="s">
        <v>74</v>
      </c>
      <c r="Q2968" t="s">
        <v>85</v>
      </c>
      <c r="R2968" t="str" cm="1">
        <f t="array" ref="R2968">_xlfn.IFS(B2968&lt;31,"Young-Adult",B2968&lt;41,"Adult",B2968&lt;61,"Middle-aged",B2968&gt;=61,"Senior")</f>
        <v>Middle-aged</v>
      </c>
      <c r="S2968" cm="1">
        <f t="array" ref="S2968">_xlfn.IFS(Q2968 ="Fortnightly",14,Q2968="Weekly",7,Q2968="Monthly",30,Q2968="Quarterly",90,Q2968="Bi-Weekly",14,Q2968="Annually",365,Q2968="Every 3 Months",90,TRUE,"NOT FOUND")</f>
        <v>90</v>
      </c>
    </row>
    <row r="2969" spans="1:19" x14ac:dyDescent="0.35">
      <c r="A2969">
        <v>2968</v>
      </c>
      <c r="B2969">
        <v>34</v>
      </c>
      <c r="C2969" t="s">
        <v>141</v>
      </c>
      <c r="D2969" t="s">
        <v>38</v>
      </c>
      <c r="E2969" t="s">
        <v>30</v>
      </c>
      <c r="F2969">
        <v>36</v>
      </c>
      <c r="G2969" t="s">
        <v>104</v>
      </c>
      <c r="H2969" t="s">
        <v>11</v>
      </c>
      <c r="I2969" t="s">
        <v>53</v>
      </c>
      <c r="J2969" t="s">
        <v>41</v>
      </c>
      <c r="K2969">
        <v>3.4</v>
      </c>
      <c r="L2969" t="s">
        <v>140</v>
      </c>
      <c r="M2969" t="s">
        <v>26</v>
      </c>
      <c r="N2969" t="s">
        <v>140</v>
      </c>
      <c r="O2969">
        <v>40</v>
      </c>
      <c r="P2969" t="s">
        <v>16</v>
      </c>
      <c r="Q2969" t="s">
        <v>37</v>
      </c>
      <c r="R2969" t="str" cm="1">
        <f t="array" ref="R2969">_xlfn.IFS(B2969&lt;31,"Young-Adult",B2969&lt;41,"Adult",B2969&lt;61,"Middle-aged",B2969&gt;=61,"Senior")</f>
        <v>Adult</v>
      </c>
      <c r="S2969" cm="1">
        <f t="array" ref="S2969">_xlfn.IFS(Q2969 ="Fortnightly",14,Q2969="Weekly",7,Q2969="Monthly",30,Q2969="Quarterly",90,Q2969="Bi-Weekly",14,Q2969="Annually",365,Q2969="Every 3 Months",90,TRUE,"NOT FOUND")</f>
        <v>365</v>
      </c>
    </row>
    <row r="2970" spans="1:19" x14ac:dyDescent="0.35">
      <c r="A2970">
        <v>2969</v>
      </c>
      <c r="B2970">
        <v>26</v>
      </c>
      <c r="C2970" t="s">
        <v>141</v>
      </c>
      <c r="D2970" t="s">
        <v>18</v>
      </c>
      <c r="E2970" t="s">
        <v>9</v>
      </c>
      <c r="F2970">
        <v>48</v>
      </c>
      <c r="G2970" t="s">
        <v>119</v>
      </c>
      <c r="H2970" t="s">
        <v>24</v>
      </c>
      <c r="I2970" t="s">
        <v>12</v>
      </c>
      <c r="J2970" t="s">
        <v>45</v>
      </c>
      <c r="K2970">
        <v>4.9000000000000004</v>
      </c>
      <c r="L2970" t="s">
        <v>140</v>
      </c>
      <c r="M2970" t="s">
        <v>15</v>
      </c>
      <c r="N2970" t="s">
        <v>140</v>
      </c>
      <c r="O2970">
        <v>25</v>
      </c>
      <c r="P2970" t="s">
        <v>21</v>
      </c>
      <c r="Q2970" t="s">
        <v>85</v>
      </c>
      <c r="R2970" t="str" cm="1">
        <f t="array" ref="R2970">_xlfn.IFS(B2970&lt;31,"Young-Adult",B2970&lt;41,"Adult",B2970&lt;61,"Middle-aged",B2970&gt;=61,"Senior")</f>
        <v>Young-Adult</v>
      </c>
      <c r="S2970" cm="1">
        <f t="array" ref="S2970">_xlfn.IFS(Q2970 ="Fortnightly",14,Q2970="Weekly",7,Q2970="Monthly",30,Q2970="Quarterly",90,Q2970="Bi-Weekly",14,Q2970="Annually",365,Q2970="Every 3 Months",90,TRUE,"NOT FOUND")</f>
        <v>90</v>
      </c>
    </row>
    <row r="2971" spans="1:19" x14ac:dyDescent="0.35">
      <c r="A2971">
        <v>2970</v>
      </c>
      <c r="B2971">
        <v>36</v>
      </c>
      <c r="C2971" t="s">
        <v>141</v>
      </c>
      <c r="D2971" t="s">
        <v>121</v>
      </c>
      <c r="E2971" t="s">
        <v>55</v>
      </c>
      <c r="F2971">
        <v>62</v>
      </c>
      <c r="G2971" t="s">
        <v>117</v>
      </c>
      <c r="H2971" t="s">
        <v>24</v>
      </c>
      <c r="I2971" t="s">
        <v>132</v>
      </c>
      <c r="J2971" t="s">
        <v>45</v>
      </c>
      <c r="K2971">
        <v>4.3</v>
      </c>
      <c r="L2971" t="s">
        <v>140</v>
      </c>
      <c r="M2971" t="s">
        <v>33</v>
      </c>
      <c r="N2971" t="s">
        <v>140</v>
      </c>
      <c r="O2971">
        <v>20</v>
      </c>
      <c r="P2971" t="s">
        <v>21</v>
      </c>
      <c r="Q2971" t="s">
        <v>85</v>
      </c>
      <c r="R2971" t="str" cm="1">
        <f t="array" ref="R2971">_xlfn.IFS(B2971&lt;31,"Young-Adult",B2971&lt;41,"Adult",B2971&lt;61,"Middle-aged",B2971&gt;=61,"Senior")</f>
        <v>Adult</v>
      </c>
      <c r="S2971" cm="1">
        <f t="array" ref="S2971">_xlfn.IFS(Q2971 ="Fortnightly",14,Q2971="Weekly",7,Q2971="Monthly",30,Q2971="Quarterly",90,Q2971="Bi-Weekly",14,Q2971="Annually",365,Q2971="Every 3 Months",90,TRUE,"NOT FOUND")</f>
        <v>90</v>
      </c>
    </row>
    <row r="2972" spans="1:19" x14ac:dyDescent="0.35">
      <c r="A2972">
        <v>2971</v>
      </c>
      <c r="B2972">
        <v>24</v>
      </c>
      <c r="C2972" t="s">
        <v>141</v>
      </c>
      <c r="D2972" t="s">
        <v>94</v>
      </c>
      <c r="E2972" t="s">
        <v>55</v>
      </c>
      <c r="F2972">
        <v>74</v>
      </c>
      <c r="G2972" t="s">
        <v>99</v>
      </c>
      <c r="H2972" t="s">
        <v>32</v>
      </c>
      <c r="I2972" t="s">
        <v>40</v>
      </c>
      <c r="J2972" t="s">
        <v>13</v>
      </c>
      <c r="K2972">
        <v>3.4</v>
      </c>
      <c r="L2972" t="s">
        <v>140</v>
      </c>
      <c r="M2972" t="s">
        <v>26</v>
      </c>
      <c r="N2972" t="s">
        <v>140</v>
      </c>
      <c r="O2972">
        <v>44</v>
      </c>
      <c r="P2972" t="s">
        <v>27</v>
      </c>
      <c r="Q2972" t="s">
        <v>64</v>
      </c>
      <c r="R2972" t="str" cm="1">
        <f t="array" ref="R2972">_xlfn.IFS(B2972&lt;31,"Young-Adult",B2972&lt;41,"Adult",B2972&lt;61,"Middle-aged",B2972&gt;=61,"Senior")</f>
        <v>Young-Adult</v>
      </c>
      <c r="S2972" cm="1">
        <f t="array" ref="S2972">_xlfn.IFS(Q2972 ="Fortnightly",14,Q2972="Weekly",7,Q2972="Monthly",30,Q2972="Quarterly",90,Q2972="Bi-Weekly",14,Q2972="Annually",365,Q2972="Every 3 Months",90,TRUE,"NOT FOUND")</f>
        <v>14</v>
      </c>
    </row>
    <row r="2973" spans="1:19" x14ac:dyDescent="0.35">
      <c r="A2973">
        <v>2972</v>
      </c>
      <c r="B2973">
        <v>30</v>
      </c>
      <c r="C2973" t="s">
        <v>141</v>
      </c>
      <c r="D2973" t="s">
        <v>54</v>
      </c>
      <c r="E2973" t="s">
        <v>55</v>
      </c>
      <c r="F2973">
        <v>100</v>
      </c>
      <c r="G2973" t="s">
        <v>128</v>
      </c>
      <c r="H2973" t="s">
        <v>11</v>
      </c>
      <c r="I2973" t="s">
        <v>122</v>
      </c>
      <c r="J2973" t="s">
        <v>45</v>
      </c>
      <c r="K2973">
        <v>3.9</v>
      </c>
      <c r="L2973" t="s">
        <v>140</v>
      </c>
      <c r="M2973" t="s">
        <v>33</v>
      </c>
      <c r="N2973" t="s">
        <v>140</v>
      </c>
      <c r="O2973">
        <v>9</v>
      </c>
      <c r="P2973" t="s">
        <v>34</v>
      </c>
      <c r="Q2973" t="s">
        <v>85</v>
      </c>
      <c r="R2973" t="str" cm="1">
        <f t="array" ref="R2973">_xlfn.IFS(B2973&lt;31,"Young-Adult",B2973&lt;41,"Adult",B2973&lt;61,"Middle-aged",B2973&gt;=61,"Senior")</f>
        <v>Young-Adult</v>
      </c>
      <c r="S2973" cm="1">
        <f t="array" ref="S2973">_xlfn.IFS(Q2973 ="Fortnightly",14,Q2973="Weekly",7,Q2973="Monthly",30,Q2973="Quarterly",90,Q2973="Bi-Weekly",14,Q2973="Annually",365,Q2973="Every 3 Months",90,TRUE,"NOT FOUND")</f>
        <v>90</v>
      </c>
    </row>
    <row r="2974" spans="1:19" x14ac:dyDescent="0.35">
      <c r="A2974">
        <v>2973</v>
      </c>
      <c r="B2974">
        <v>31</v>
      </c>
      <c r="C2974" t="s">
        <v>141</v>
      </c>
      <c r="D2974" t="s">
        <v>90</v>
      </c>
      <c r="E2974" t="s">
        <v>51</v>
      </c>
      <c r="F2974">
        <v>39</v>
      </c>
      <c r="G2974" t="s">
        <v>72</v>
      </c>
      <c r="H2974" t="s">
        <v>24</v>
      </c>
      <c r="I2974" t="s">
        <v>114</v>
      </c>
      <c r="J2974" t="s">
        <v>45</v>
      </c>
      <c r="K2974">
        <v>4.2</v>
      </c>
      <c r="L2974" t="s">
        <v>140</v>
      </c>
      <c r="M2974" t="s">
        <v>26</v>
      </c>
      <c r="N2974" t="s">
        <v>140</v>
      </c>
      <c r="O2974">
        <v>11</v>
      </c>
      <c r="P2974" t="s">
        <v>16</v>
      </c>
      <c r="Q2974" t="s">
        <v>85</v>
      </c>
      <c r="R2974" t="str" cm="1">
        <f t="array" ref="R2974">_xlfn.IFS(B2974&lt;31,"Young-Adult",B2974&lt;41,"Adult",B2974&lt;61,"Middle-aged",B2974&gt;=61,"Senior")</f>
        <v>Adult</v>
      </c>
      <c r="S2974" cm="1">
        <f t="array" ref="S2974">_xlfn.IFS(Q2974 ="Fortnightly",14,Q2974="Weekly",7,Q2974="Monthly",30,Q2974="Quarterly",90,Q2974="Bi-Weekly",14,Q2974="Annually",365,Q2974="Every 3 Months",90,TRUE,"NOT FOUND")</f>
        <v>90</v>
      </c>
    </row>
    <row r="2975" spans="1:19" x14ac:dyDescent="0.35">
      <c r="A2975">
        <v>2974</v>
      </c>
      <c r="B2975">
        <v>25</v>
      </c>
      <c r="C2975" t="s">
        <v>141</v>
      </c>
      <c r="D2975" t="s">
        <v>125</v>
      </c>
      <c r="E2975" t="s">
        <v>30</v>
      </c>
      <c r="F2975">
        <v>65</v>
      </c>
      <c r="G2975" t="s">
        <v>104</v>
      </c>
      <c r="H2975" t="s">
        <v>32</v>
      </c>
      <c r="I2975" t="s">
        <v>132</v>
      </c>
      <c r="J2975" t="s">
        <v>41</v>
      </c>
      <c r="K2975">
        <v>2.7</v>
      </c>
      <c r="L2975" t="s">
        <v>140</v>
      </c>
      <c r="M2975" t="s">
        <v>62</v>
      </c>
      <c r="N2975" t="s">
        <v>140</v>
      </c>
      <c r="O2975">
        <v>3</v>
      </c>
      <c r="P2975" t="s">
        <v>63</v>
      </c>
      <c r="Q2975" t="s">
        <v>17</v>
      </c>
      <c r="R2975" t="str" cm="1">
        <f t="array" ref="R2975">_xlfn.IFS(B2975&lt;31,"Young-Adult",B2975&lt;41,"Adult",B2975&lt;61,"Middle-aged",B2975&gt;=61,"Senior")</f>
        <v>Young-Adult</v>
      </c>
      <c r="S2975" cm="1">
        <f t="array" ref="S2975">_xlfn.IFS(Q2975 ="Fortnightly",14,Q2975="Weekly",7,Q2975="Monthly",30,Q2975="Quarterly",90,Q2975="Bi-Weekly",14,Q2975="Annually",365,Q2975="Every 3 Months",90,TRUE,"NOT FOUND")</f>
        <v>14</v>
      </c>
    </row>
    <row r="2976" spans="1:19" x14ac:dyDescent="0.35">
      <c r="A2976">
        <v>2975</v>
      </c>
      <c r="B2976">
        <v>57</v>
      </c>
      <c r="C2976" t="s">
        <v>141</v>
      </c>
      <c r="D2976" t="s">
        <v>38</v>
      </c>
      <c r="E2976" t="s">
        <v>30</v>
      </c>
      <c r="F2976">
        <v>99</v>
      </c>
      <c r="G2976" t="s">
        <v>110</v>
      </c>
      <c r="H2976" t="s">
        <v>80</v>
      </c>
      <c r="I2976" t="s">
        <v>88</v>
      </c>
      <c r="J2976" t="s">
        <v>41</v>
      </c>
      <c r="K2976">
        <v>4.0999999999999996</v>
      </c>
      <c r="L2976" t="s">
        <v>140</v>
      </c>
      <c r="M2976" t="s">
        <v>62</v>
      </c>
      <c r="N2976" t="s">
        <v>140</v>
      </c>
      <c r="O2976">
        <v>34</v>
      </c>
      <c r="P2976" t="s">
        <v>27</v>
      </c>
      <c r="Q2976" t="s">
        <v>28</v>
      </c>
      <c r="R2976" t="str" cm="1">
        <f t="array" ref="R2976">_xlfn.IFS(B2976&lt;31,"Young-Adult",B2976&lt;41,"Adult",B2976&lt;61,"Middle-aged",B2976&gt;=61,"Senior")</f>
        <v>Middle-aged</v>
      </c>
      <c r="S2976" cm="1">
        <f t="array" ref="S2976">_xlfn.IFS(Q2976 ="Fortnightly",14,Q2976="Weekly",7,Q2976="Monthly",30,Q2976="Quarterly",90,Q2976="Bi-Weekly",14,Q2976="Annually",365,Q2976="Every 3 Months",90,TRUE,"NOT FOUND")</f>
        <v>7</v>
      </c>
    </row>
    <row r="2977" spans="1:19" x14ac:dyDescent="0.35">
      <c r="A2977">
        <v>2976</v>
      </c>
      <c r="B2977">
        <v>61</v>
      </c>
      <c r="C2977" t="s">
        <v>141</v>
      </c>
      <c r="D2977" t="s">
        <v>107</v>
      </c>
      <c r="E2977" t="s">
        <v>55</v>
      </c>
      <c r="F2977">
        <v>68</v>
      </c>
      <c r="G2977" t="s">
        <v>130</v>
      </c>
      <c r="H2977" t="s">
        <v>80</v>
      </c>
      <c r="I2977" t="s">
        <v>81</v>
      </c>
      <c r="J2977" t="s">
        <v>13</v>
      </c>
      <c r="K2977">
        <v>4.5</v>
      </c>
      <c r="L2977" t="s">
        <v>140</v>
      </c>
      <c r="M2977" t="s">
        <v>58</v>
      </c>
      <c r="N2977" t="s">
        <v>140</v>
      </c>
      <c r="O2977">
        <v>48</v>
      </c>
      <c r="P2977" t="s">
        <v>21</v>
      </c>
      <c r="Q2977" t="s">
        <v>85</v>
      </c>
      <c r="R2977" t="str" cm="1">
        <f t="array" ref="R2977">_xlfn.IFS(B2977&lt;31,"Young-Adult",B2977&lt;41,"Adult",B2977&lt;61,"Middle-aged",B2977&gt;=61,"Senior")</f>
        <v>Senior</v>
      </c>
      <c r="S2977" cm="1">
        <f t="array" ref="S2977">_xlfn.IFS(Q2977 ="Fortnightly",14,Q2977="Weekly",7,Q2977="Monthly",30,Q2977="Quarterly",90,Q2977="Bi-Weekly",14,Q2977="Annually",365,Q2977="Every 3 Months",90,TRUE,"NOT FOUND")</f>
        <v>90</v>
      </c>
    </row>
    <row r="2978" spans="1:19" x14ac:dyDescent="0.35">
      <c r="A2978">
        <v>2977</v>
      </c>
      <c r="B2978">
        <v>30</v>
      </c>
      <c r="C2978" t="s">
        <v>141</v>
      </c>
      <c r="D2978" t="s">
        <v>50</v>
      </c>
      <c r="E2978" t="s">
        <v>51</v>
      </c>
      <c r="F2978">
        <v>97</v>
      </c>
      <c r="G2978" t="s">
        <v>133</v>
      </c>
      <c r="H2978" t="s">
        <v>32</v>
      </c>
      <c r="I2978" t="s">
        <v>53</v>
      </c>
      <c r="J2978" t="s">
        <v>41</v>
      </c>
      <c r="K2978">
        <v>2.8</v>
      </c>
      <c r="L2978" t="s">
        <v>140</v>
      </c>
      <c r="M2978" t="s">
        <v>15</v>
      </c>
      <c r="N2978" t="s">
        <v>140</v>
      </c>
      <c r="O2978">
        <v>28</v>
      </c>
      <c r="P2978" t="s">
        <v>21</v>
      </c>
      <c r="Q2978" t="s">
        <v>17</v>
      </c>
      <c r="R2978" t="str" cm="1">
        <f t="array" ref="R2978">_xlfn.IFS(B2978&lt;31,"Young-Adult",B2978&lt;41,"Adult",B2978&lt;61,"Middle-aged",B2978&gt;=61,"Senior")</f>
        <v>Young-Adult</v>
      </c>
      <c r="S2978" cm="1">
        <f t="array" ref="S2978">_xlfn.IFS(Q2978 ="Fortnightly",14,Q2978="Weekly",7,Q2978="Monthly",30,Q2978="Quarterly",90,Q2978="Bi-Weekly",14,Q2978="Annually",365,Q2978="Every 3 Months",90,TRUE,"NOT FOUND")</f>
        <v>14</v>
      </c>
    </row>
    <row r="2979" spans="1:19" x14ac:dyDescent="0.35">
      <c r="A2979">
        <v>2978</v>
      </c>
      <c r="B2979">
        <v>38</v>
      </c>
      <c r="C2979" t="s">
        <v>141</v>
      </c>
      <c r="D2979" t="s">
        <v>47</v>
      </c>
      <c r="E2979" t="s">
        <v>9</v>
      </c>
      <c r="F2979">
        <v>47</v>
      </c>
      <c r="G2979" t="s">
        <v>137</v>
      </c>
      <c r="H2979" t="s">
        <v>11</v>
      </c>
      <c r="I2979" t="s">
        <v>68</v>
      </c>
      <c r="J2979" t="s">
        <v>13</v>
      </c>
      <c r="K2979">
        <v>3.4</v>
      </c>
      <c r="L2979" t="s">
        <v>140</v>
      </c>
      <c r="M2979" t="s">
        <v>42</v>
      </c>
      <c r="N2979" t="s">
        <v>140</v>
      </c>
      <c r="O2979">
        <v>20</v>
      </c>
      <c r="P2979" t="s">
        <v>16</v>
      </c>
      <c r="Q2979" t="s">
        <v>37</v>
      </c>
      <c r="R2979" t="str" cm="1">
        <f t="array" ref="R2979">_xlfn.IFS(B2979&lt;31,"Young-Adult",B2979&lt;41,"Adult",B2979&lt;61,"Middle-aged",B2979&gt;=61,"Senior")</f>
        <v>Adult</v>
      </c>
      <c r="S2979" cm="1">
        <f t="array" ref="S2979">_xlfn.IFS(Q2979 ="Fortnightly",14,Q2979="Weekly",7,Q2979="Monthly",30,Q2979="Quarterly",90,Q2979="Bi-Weekly",14,Q2979="Annually",365,Q2979="Every 3 Months",90,TRUE,"NOT FOUND")</f>
        <v>365</v>
      </c>
    </row>
    <row r="2980" spans="1:19" x14ac:dyDescent="0.35">
      <c r="A2980">
        <v>2979</v>
      </c>
      <c r="B2980">
        <v>53</v>
      </c>
      <c r="C2980" t="s">
        <v>141</v>
      </c>
      <c r="D2980" t="s">
        <v>47</v>
      </c>
      <c r="E2980" t="s">
        <v>9</v>
      </c>
      <c r="F2980">
        <v>56</v>
      </c>
      <c r="G2980" t="s">
        <v>123</v>
      </c>
      <c r="H2980" t="s">
        <v>24</v>
      </c>
      <c r="I2980" t="s">
        <v>97</v>
      </c>
      <c r="J2980" t="s">
        <v>25</v>
      </c>
      <c r="K2980">
        <v>3.9</v>
      </c>
      <c r="L2980" t="s">
        <v>140</v>
      </c>
      <c r="M2980" t="s">
        <v>26</v>
      </c>
      <c r="N2980" t="s">
        <v>140</v>
      </c>
      <c r="O2980">
        <v>49</v>
      </c>
      <c r="P2980" t="s">
        <v>63</v>
      </c>
      <c r="Q2980" t="s">
        <v>17</v>
      </c>
      <c r="R2980" t="str" cm="1">
        <f t="array" ref="R2980">_xlfn.IFS(B2980&lt;31,"Young-Adult",B2980&lt;41,"Adult",B2980&lt;61,"Middle-aged",B2980&gt;=61,"Senior")</f>
        <v>Middle-aged</v>
      </c>
      <c r="S2980" cm="1">
        <f t="array" ref="S2980">_xlfn.IFS(Q2980 ="Fortnightly",14,Q2980="Weekly",7,Q2980="Monthly",30,Q2980="Quarterly",90,Q2980="Bi-Weekly",14,Q2980="Annually",365,Q2980="Every 3 Months",90,TRUE,"NOT FOUND")</f>
        <v>14</v>
      </c>
    </row>
    <row r="2981" spans="1:19" x14ac:dyDescent="0.35">
      <c r="A2981">
        <v>2980</v>
      </c>
      <c r="B2981">
        <v>31</v>
      </c>
      <c r="C2981" t="s">
        <v>141</v>
      </c>
      <c r="D2981" t="s">
        <v>22</v>
      </c>
      <c r="E2981" t="s">
        <v>9</v>
      </c>
      <c r="F2981">
        <v>91</v>
      </c>
      <c r="G2981" t="s">
        <v>48</v>
      </c>
      <c r="H2981" t="s">
        <v>11</v>
      </c>
      <c r="I2981" t="s">
        <v>66</v>
      </c>
      <c r="J2981" t="s">
        <v>45</v>
      </c>
      <c r="K2981">
        <v>2.6</v>
      </c>
      <c r="L2981" t="s">
        <v>140</v>
      </c>
      <c r="M2981" t="s">
        <v>33</v>
      </c>
      <c r="N2981" t="s">
        <v>140</v>
      </c>
      <c r="O2981">
        <v>14</v>
      </c>
      <c r="P2981" t="s">
        <v>34</v>
      </c>
      <c r="Q2981" t="s">
        <v>28</v>
      </c>
      <c r="R2981" t="str" cm="1">
        <f t="array" ref="R2981">_xlfn.IFS(B2981&lt;31,"Young-Adult",B2981&lt;41,"Adult",B2981&lt;61,"Middle-aged",B2981&gt;=61,"Senior")</f>
        <v>Adult</v>
      </c>
      <c r="S2981" cm="1">
        <f t="array" ref="S2981">_xlfn.IFS(Q2981 ="Fortnightly",14,Q2981="Weekly",7,Q2981="Monthly",30,Q2981="Quarterly",90,Q2981="Bi-Weekly",14,Q2981="Annually",365,Q2981="Every 3 Months",90,TRUE,"NOT FOUND")</f>
        <v>7</v>
      </c>
    </row>
    <row r="2982" spans="1:19" x14ac:dyDescent="0.35">
      <c r="A2982">
        <v>2981</v>
      </c>
      <c r="B2982">
        <v>70</v>
      </c>
      <c r="C2982" t="s">
        <v>141</v>
      </c>
      <c r="D2982" t="s">
        <v>131</v>
      </c>
      <c r="E2982" t="s">
        <v>55</v>
      </c>
      <c r="F2982">
        <v>93</v>
      </c>
      <c r="G2982" t="s">
        <v>115</v>
      </c>
      <c r="H2982" t="s">
        <v>11</v>
      </c>
      <c r="I2982" t="s">
        <v>73</v>
      </c>
      <c r="J2982" t="s">
        <v>45</v>
      </c>
      <c r="K2982">
        <v>4.4000000000000004</v>
      </c>
      <c r="L2982" t="s">
        <v>140</v>
      </c>
      <c r="M2982" t="s">
        <v>58</v>
      </c>
      <c r="N2982" t="s">
        <v>140</v>
      </c>
      <c r="O2982">
        <v>9</v>
      </c>
      <c r="P2982" t="s">
        <v>63</v>
      </c>
      <c r="Q2982" t="s">
        <v>76</v>
      </c>
      <c r="R2982" t="str" cm="1">
        <f t="array" ref="R2982">_xlfn.IFS(B2982&lt;31,"Young-Adult",B2982&lt;41,"Adult",B2982&lt;61,"Middle-aged",B2982&gt;=61,"Senior")</f>
        <v>Senior</v>
      </c>
      <c r="S2982" cm="1">
        <f t="array" ref="S2982">_xlfn.IFS(Q2982 ="Fortnightly",14,Q2982="Weekly",7,Q2982="Monthly",30,Q2982="Quarterly",90,Q2982="Bi-Weekly",14,Q2982="Annually",365,Q2982="Every 3 Months",90,TRUE,"NOT FOUND")</f>
        <v>30</v>
      </c>
    </row>
    <row r="2983" spans="1:19" x14ac:dyDescent="0.35">
      <c r="A2983">
        <v>2982</v>
      </c>
      <c r="B2983">
        <v>21</v>
      </c>
      <c r="C2983" t="s">
        <v>141</v>
      </c>
      <c r="D2983" t="s">
        <v>83</v>
      </c>
      <c r="E2983" t="s">
        <v>9</v>
      </c>
      <c r="F2983">
        <v>36</v>
      </c>
      <c r="G2983" t="s">
        <v>67</v>
      </c>
      <c r="H2983" t="s">
        <v>11</v>
      </c>
      <c r="I2983" t="s">
        <v>57</v>
      </c>
      <c r="J2983" t="s">
        <v>13</v>
      </c>
      <c r="K2983">
        <v>4.9000000000000004</v>
      </c>
      <c r="L2983" t="s">
        <v>140</v>
      </c>
      <c r="M2983" t="s">
        <v>42</v>
      </c>
      <c r="N2983" t="s">
        <v>140</v>
      </c>
      <c r="O2983">
        <v>37</v>
      </c>
      <c r="P2983" t="s">
        <v>16</v>
      </c>
      <c r="Q2983" t="s">
        <v>37</v>
      </c>
      <c r="R2983" t="str" cm="1">
        <f t="array" ref="R2983">_xlfn.IFS(B2983&lt;31,"Young-Adult",B2983&lt;41,"Adult",B2983&lt;61,"Middle-aged",B2983&gt;=61,"Senior")</f>
        <v>Young-Adult</v>
      </c>
      <c r="S2983" cm="1">
        <f t="array" ref="S2983">_xlfn.IFS(Q2983 ="Fortnightly",14,Q2983="Weekly",7,Q2983="Monthly",30,Q2983="Quarterly",90,Q2983="Bi-Weekly",14,Q2983="Annually",365,Q2983="Every 3 Months",90,TRUE,"NOT FOUND")</f>
        <v>365</v>
      </c>
    </row>
    <row r="2984" spans="1:19" x14ac:dyDescent="0.35">
      <c r="A2984">
        <v>2983</v>
      </c>
      <c r="B2984">
        <v>33</v>
      </c>
      <c r="C2984" t="s">
        <v>141</v>
      </c>
      <c r="D2984" t="s">
        <v>69</v>
      </c>
      <c r="E2984" t="s">
        <v>9</v>
      </c>
      <c r="F2984">
        <v>45</v>
      </c>
      <c r="G2984" t="s">
        <v>138</v>
      </c>
      <c r="H2984" t="s">
        <v>32</v>
      </c>
      <c r="I2984" t="s">
        <v>109</v>
      </c>
      <c r="J2984" t="s">
        <v>41</v>
      </c>
      <c r="K2984">
        <v>3.6</v>
      </c>
      <c r="L2984" t="s">
        <v>140</v>
      </c>
      <c r="M2984" t="s">
        <v>62</v>
      </c>
      <c r="N2984" t="s">
        <v>140</v>
      </c>
      <c r="O2984">
        <v>4</v>
      </c>
      <c r="P2984" t="s">
        <v>27</v>
      </c>
      <c r="Q2984" t="s">
        <v>28</v>
      </c>
      <c r="R2984" t="str" cm="1">
        <f t="array" ref="R2984">_xlfn.IFS(B2984&lt;31,"Young-Adult",B2984&lt;41,"Adult",B2984&lt;61,"Middle-aged",B2984&gt;=61,"Senior")</f>
        <v>Adult</v>
      </c>
      <c r="S2984" cm="1">
        <f t="array" ref="S2984">_xlfn.IFS(Q2984 ="Fortnightly",14,Q2984="Weekly",7,Q2984="Monthly",30,Q2984="Quarterly",90,Q2984="Bi-Weekly",14,Q2984="Annually",365,Q2984="Every 3 Months",90,TRUE,"NOT FOUND")</f>
        <v>7</v>
      </c>
    </row>
    <row r="2985" spans="1:19" x14ac:dyDescent="0.35">
      <c r="A2985">
        <v>2984</v>
      </c>
      <c r="B2985">
        <v>60</v>
      </c>
      <c r="C2985" t="s">
        <v>141</v>
      </c>
      <c r="D2985" t="s">
        <v>83</v>
      </c>
      <c r="E2985" t="s">
        <v>9</v>
      </c>
      <c r="F2985">
        <v>44</v>
      </c>
      <c r="G2985" t="s">
        <v>52</v>
      </c>
      <c r="H2985" t="s">
        <v>32</v>
      </c>
      <c r="I2985" t="s">
        <v>49</v>
      </c>
      <c r="J2985" t="s">
        <v>13</v>
      </c>
      <c r="K2985">
        <v>2.8</v>
      </c>
      <c r="L2985" t="s">
        <v>140</v>
      </c>
      <c r="M2985" t="s">
        <v>58</v>
      </c>
      <c r="N2985" t="s">
        <v>140</v>
      </c>
      <c r="O2985">
        <v>1</v>
      </c>
      <c r="P2985" t="s">
        <v>27</v>
      </c>
      <c r="Q2985" t="s">
        <v>46</v>
      </c>
      <c r="R2985" t="str" cm="1">
        <f t="array" ref="R2985">_xlfn.IFS(B2985&lt;31,"Young-Adult",B2985&lt;41,"Adult",B2985&lt;61,"Middle-aged",B2985&gt;=61,"Senior")</f>
        <v>Middle-aged</v>
      </c>
      <c r="S2985" cm="1">
        <f t="array" ref="S2985">_xlfn.IFS(Q2985 ="Fortnightly",14,Q2985="Weekly",7,Q2985="Monthly",30,Q2985="Quarterly",90,Q2985="Bi-Weekly",14,Q2985="Annually",365,Q2985="Every 3 Months",90,TRUE,"NOT FOUND")</f>
        <v>90</v>
      </c>
    </row>
    <row r="2986" spans="1:19" x14ac:dyDescent="0.35">
      <c r="A2986">
        <v>2985</v>
      </c>
      <c r="B2986">
        <v>45</v>
      </c>
      <c r="C2986" t="s">
        <v>141</v>
      </c>
      <c r="D2986" t="s">
        <v>131</v>
      </c>
      <c r="E2986" t="s">
        <v>55</v>
      </c>
      <c r="F2986">
        <v>32</v>
      </c>
      <c r="G2986" t="s">
        <v>93</v>
      </c>
      <c r="H2986" t="s">
        <v>11</v>
      </c>
      <c r="I2986" t="s">
        <v>96</v>
      </c>
      <c r="J2986" t="s">
        <v>25</v>
      </c>
      <c r="K2986">
        <v>4.3</v>
      </c>
      <c r="L2986" t="s">
        <v>140</v>
      </c>
      <c r="M2986" t="s">
        <v>58</v>
      </c>
      <c r="N2986" t="s">
        <v>140</v>
      </c>
      <c r="O2986">
        <v>36</v>
      </c>
      <c r="P2986" t="s">
        <v>74</v>
      </c>
      <c r="Q2986" t="s">
        <v>64</v>
      </c>
      <c r="R2986" t="str" cm="1">
        <f t="array" ref="R2986">_xlfn.IFS(B2986&lt;31,"Young-Adult",B2986&lt;41,"Adult",B2986&lt;61,"Middle-aged",B2986&gt;=61,"Senior")</f>
        <v>Middle-aged</v>
      </c>
      <c r="S2986" cm="1">
        <f t="array" ref="S2986">_xlfn.IFS(Q2986 ="Fortnightly",14,Q2986="Weekly",7,Q2986="Monthly",30,Q2986="Quarterly",90,Q2986="Bi-Weekly",14,Q2986="Annually",365,Q2986="Every 3 Months",90,TRUE,"NOT FOUND")</f>
        <v>14</v>
      </c>
    </row>
    <row r="2987" spans="1:19" x14ac:dyDescent="0.35">
      <c r="A2987">
        <v>2986</v>
      </c>
      <c r="B2987">
        <v>46</v>
      </c>
      <c r="C2987" t="s">
        <v>141</v>
      </c>
      <c r="D2987" t="s">
        <v>121</v>
      </c>
      <c r="E2987" t="s">
        <v>55</v>
      </c>
      <c r="F2987">
        <v>36</v>
      </c>
      <c r="G2987" t="s">
        <v>65</v>
      </c>
      <c r="H2987" t="s">
        <v>24</v>
      </c>
      <c r="I2987" t="s">
        <v>73</v>
      </c>
      <c r="J2987" t="s">
        <v>41</v>
      </c>
      <c r="K2987">
        <v>3</v>
      </c>
      <c r="L2987" t="s">
        <v>140</v>
      </c>
      <c r="M2987" t="s">
        <v>15</v>
      </c>
      <c r="N2987" t="s">
        <v>140</v>
      </c>
      <c r="O2987">
        <v>21</v>
      </c>
      <c r="P2987" t="s">
        <v>21</v>
      </c>
      <c r="Q2987" t="s">
        <v>64</v>
      </c>
      <c r="R2987" t="str" cm="1">
        <f t="array" ref="R2987">_xlfn.IFS(B2987&lt;31,"Young-Adult",B2987&lt;41,"Adult",B2987&lt;61,"Middle-aged",B2987&gt;=61,"Senior")</f>
        <v>Middle-aged</v>
      </c>
      <c r="S2987" cm="1">
        <f t="array" ref="S2987">_xlfn.IFS(Q2987 ="Fortnightly",14,Q2987="Weekly",7,Q2987="Monthly",30,Q2987="Quarterly",90,Q2987="Bi-Weekly",14,Q2987="Annually",365,Q2987="Every 3 Months",90,TRUE,"NOT FOUND")</f>
        <v>14</v>
      </c>
    </row>
    <row r="2988" spans="1:19" x14ac:dyDescent="0.35">
      <c r="A2988">
        <v>2987</v>
      </c>
      <c r="B2988">
        <v>62</v>
      </c>
      <c r="C2988" t="s">
        <v>141</v>
      </c>
      <c r="D2988" t="s">
        <v>121</v>
      </c>
      <c r="E2988" t="s">
        <v>55</v>
      </c>
      <c r="F2988">
        <v>85</v>
      </c>
      <c r="G2988" t="s">
        <v>105</v>
      </c>
      <c r="H2988" t="s">
        <v>24</v>
      </c>
      <c r="I2988" t="s">
        <v>53</v>
      </c>
      <c r="J2988" t="s">
        <v>41</v>
      </c>
      <c r="K2988">
        <v>3.3</v>
      </c>
      <c r="L2988" t="s">
        <v>140</v>
      </c>
      <c r="M2988" t="s">
        <v>58</v>
      </c>
      <c r="N2988" t="s">
        <v>140</v>
      </c>
      <c r="O2988">
        <v>16</v>
      </c>
      <c r="P2988" t="s">
        <v>27</v>
      </c>
      <c r="Q2988" t="s">
        <v>76</v>
      </c>
      <c r="R2988" t="str" cm="1">
        <f t="array" ref="R2988">_xlfn.IFS(B2988&lt;31,"Young-Adult",B2988&lt;41,"Adult",B2988&lt;61,"Middle-aged",B2988&gt;=61,"Senior")</f>
        <v>Senior</v>
      </c>
      <c r="S2988" cm="1">
        <f t="array" ref="S2988">_xlfn.IFS(Q2988 ="Fortnightly",14,Q2988="Weekly",7,Q2988="Monthly",30,Q2988="Quarterly",90,Q2988="Bi-Weekly",14,Q2988="Annually",365,Q2988="Every 3 Months",90,TRUE,"NOT FOUND")</f>
        <v>30</v>
      </c>
    </row>
    <row r="2989" spans="1:19" x14ac:dyDescent="0.35">
      <c r="A2989">
        <v>2988</v>
      </c>
      <c r="B2989">
        <v>63</v>
      </c>
      <c r="C2989" t="s">
        <v>141</v>
      </c>
      <c r="D2989" t="s">
        <v>75</v>
      </c>
      <c r="E2989" t="s">
        <v>9</v>
      </c>
      <c r="F2989">
        <v>36</v>
      </c>
      <c r="G2989" t="s">
        <v>48</v>
      </c>
      <c r="H2989" t="s">
        <v>11</v>
      </c>
      <c r="I2989" t="s">
        <v>82</v>
      </c>
      <c r="J2989" t="s">
        <v>13</v>
      </c>
      <c r="K2989">
        <v>2.5</v>
      </c>
      <c r="L2989" t="s">
        <v>140</v>
      </c>
      <c r="M2989" t="s">
        <v>62</v>
      </c>
      <c r="N2989" t="s">
        <v>140</v>
      </c>
      <c r="O2989">
        <v>42</v>
      </c>
      <c r="P2989" t="s">
        <v>21</v>
      </c>
      <c r="Q2989" t="s">
        <v>76</v>
      </c>
      <c r="R2989" t="str" cm="1">
        <f t="array" ref="R2989">_xlfn.IFS(B2989&lt;31,"Young-Adult",B2989&lt;41,"Adult",B2989&lt;61,"Middle-aged",B2989&gt;=61,"Senior")</f>
        <v>Senior</v>
      </c>
      <c r="S2989" cm="1">
        <f t="array" ref="S2989">_xlfn.IFS(Q2989 ="Fortnightly",14,Q2989="Weekly",7,Q2989="Monthly",30,Q2989="Quarterly",90,Q2989="Bi-Weekly",14,Q2989="Annually",365,Q2989="Every 3 Months",90,TRUE,"NOT FOUND")</f>
        <v>30</v>
      </c>
    </row>
    <row r="2990" spans="1:19" x14ac:dyDescent="0.35">
      <c r="A2990">
        <v>2989</v>
      </c>
      <c r="B2990">
        <v>69</v>
      </c>
      <c r="C2990" t="s">
        <v>141</v>
      </c>
      <c r="D2990" t="s">
        <v>113</v>
      </c>
      <c r="E2990" t="s">
        <v>9</v>
      </c>
      <c r="F2990">
        <v>55</v>
      </c>
      <c r="G2990" t="s">
        <v>95</v>
      </c>
      <c r="H2990" t="s">
        <v>24</v>
      </c>
      <c r="I2990" t="s">
        <v>57</v>
      </c>
      <c r="J2990" t="s">
        <v>25</v>
      </c>
      <c r="K2990">
        <v>5</v>
      </c>
      <c r="L2990" t="s">
        <v>140</v>
      </c>
      <c r="M2990" t="s">
        <v>58</v>
      </c>
      <c r="N2990" t="s">
        <v>140</v>
      </c>
      <c r="O2990">
        <v>31</v>
      </c>
      <c r="P2990" t="s">
        <v>74</v>
      </c>
      <c r="Q2990" t="s">
        <v>76</v>
      </c>
      <c r="R2990" t="str" cm="1">
        <f t="array" ref="R2990">_xlfn.IFS(B2990&lt;31,"Young-Adult",B2990&lt;41,"Adult",B2990&lt;61,"Middle-aged",B2990&gt;=61,"Senior")</f>
        <v>Senior</v>
      </c>
      <c r="S2990" cm="1">
        <f t="array" ref="S2990">_xlfn.IFS(Q2990 ="Fortnightly",14,Q2990="Weekly",7,Q2990="Monthly",30,Q2990="Quarterly",90,Q2990="Bi-Weekly",14,Q2990="Annually",365,Q2990="Every 3 Months",90,TRUE,"NOT FOUND")</f>
        <v>30</v>
      </c>
    </row>
    <row r="2991" spans="1:19" x14ac:dyDescent="0.35">
      <c r="A2991">
        <v>2990</v>
      </c>
      <c r="B2991">
        <v>46</v>
      </c>
      <c r="C2991" t="s">
        <v>141</v>
      </c>
      <c r="D2991" t="s">
        <v>121</v>
      </c>
      <c r="E2991" t="s">
        <v>55</v>
      </c>
      <c r="F2991">
        <v>20</v>
      </c>
      <c r="G2991" t="s">
        <v>31</v>
      </c>
      <c r="H2991" t="s">
        <v>80</v>
      </c>
      <c r="I2991" t="s">
        <v>73</v>
      </c>
      <c r="J2991" t="s">
        <v>41</v>
      </c>
      <c r="K2991">
        <v>4.3</v>
      </c>
      <c r="L2991" t="s">
        <v>140</v>
      </c>
      <c r="M2991" t="s">
        <v>58</v>
      </c>
      <c r="N2991" t="s">
        <v>140</v>
      </c>
      <c r="O2991">
        <v>6</v>
      </c>
      <c r="P2991" t="s">
        <v>27</v>
      </c>
      <c r="Q2991" t="s">
        <v>28</v>
      </c>
      <c r="R2991" t="str" cm="1">
        <f t="array" ref="R2991">_xlfn.IFS(B2991&lt;31,"Young-Adult",B2991&lt;41,"Adult",B2991&lt;61,"Middle-aged",B2991&gt;=61,"Senior")</f>
        <v>Middle-aged</v>
      </c>
      <c r="S2991" cm="1">
        <f t="array" ref="S2991">_xlfn.IFS(Q2991 ="Fortnightly",14,Q2991="Weekly",7,Q2991="Monthly",30,Q2991="Quarterly",90,Q2991="Bi-Weekly",14,Q2991="Annually",365,Q2991="Every 3 Months",90,TRUE,"NOT FOUND")</f>
        <v>7</v>
      </c>
    </row>
    <row r="2992" spans="1:19" x14ac:dyDescent="0.35">
      <c r="A2992">
        <v>2991</v>
      </c>
      <c r="B2992">
        <v>69</v>
      </c>
      <c r="C2992" t="s">
        <v>141</v>
      </c>
      <c r="D2992" t="s">
        <v>43</v>
      </c>
      <c r="E2992" t="s">
        <v>9</v>
      </c>
      <c r="F2992">
        <v>91</v>
      </c>
      <c r="G2992" t="s">
        <v>103</v>
      </c>
      <c r="H2992" t="s">
        <v>32</v>
      </c>
      <c r="I2992" t="s">
        <v>73</v>
      </c>
      <c r="J2992" t="s">
        <v>45</v>
      </c>
      <c r="K2992">
        <v>4.2</v>
      </c>
      <c r="L2992" t="s">
        <v>140</v>
      </c>
      <c r="M2992" t="s">
        <v>26</v>
      </c>
      <c r="N2992" t="s">
        <v>140</v>
      </c>
      <c r="O2992">
        <v>24</v>
      </c>
      <c r="P2992" t="s">
        <v>16</v>
      </c>
      <c r="Q2992" t="s">
        <v>76</v>
      </c>
      <c r="R2992" t="str" cm="1">
        <f t="array" ref="R2992">_xlfn.IFS(B2992&lt;31,"Young-Adult",B2992&lt;41,"Adult",B2992&lt;61,"Middle-aged",B2992&gt;=61,"Senior")</f>
        <v>Senior</v>
      </c>
      <c r="S2992" cm="1">
        <f t="array" ref="S2992">_xlfn.IFS(Q2992 ="Fortnightly",14,Q2992="Weekly",7,Q2992="Monthly",30,Q2992="Quarterly",90,Q2992="Bi-Weekly",14,Q2992="Annually",365,Q2992="Every 3 Months",90,TRUE,"NOT FOUND")</f>
        <v>30</v>
      </c>
    </row>
    <row r="2993" spans="1:19" x14ac:dyDescent="0.35">
      <c r="A2993">
        <v>2992</v>
      </c>
      <c r="B2993">
        <v>66</v>
      </c>
      <c r="C2993" t="s">
        <v>141</v>
      </c>
      <c r="D2993" t="s">
        <v>69</v>
      </c>
      <c r="E2993" t="s">
        <v>9</v>
      </c>
      <c r="F2993">
        <v>71</v>
      </c>
      <c r="G2993" t="s">
        <v>128</v>
      </c>
      <c r="H2993" t="s">
        <v>11</v>
      </c>
      <c r="I2993" t="s">
        <v>84</v>
      </c>
      <c r="J2993" t="s">
        <v>41</v>
      </c>
      <c r="K2993">
        <v>3.9</v>
      </c>
      <c r="L2993" t="s">
        <v>140</v>
      </c>
      <c r="M2993" t="s">
        <v>42</v>
      </c>
      <c r="N2993" t="s">
        <v>140</v>
      </c>
      <c r="O2993">
        <v>7</v>
      </c>
      <c r="P2993" t="s">
        <v>34</v>
      </c>
      <c r="Q2993" t="s">
        <v>64</v>
      </c>
      <c r="R2993" t="str" cm="1">
        <f t="array" ref="R2993">_xlfn.IFS(B2993&lt;31,"Young-Adult",B2993&lt;41,"Adult",B2993&lt;61,"Middle-aged",B2993&gt;=61,"Senior")</f>
        <v>Senior</v>
      </c>
      <c r="S2993" cm="1">
        <f t="array" ref="S2993">_xlfn.IFS(Q2993 ="Fortnightly",14,Q2993="Weekly",7,Q2993="Monthly",30,Q2993="Quarterly",90,Q2993="Bi-Weekly",14,Q2993="Annually",365,Q2993="Every 3 Months",90,TRUE,"NOT FOUND")</f>
        <v>14</v>
      </c>
    </row>
    <row r="2994" spans="1:19" x14ac:dyDescent="0.35">
      <c r="A2994">
        <v>2993</v>
      </c>
      <c r="B2994">
        <v>41</v>
      </c>
      <c r="C2994" t="s">
        <v>141</v>
      </c>
      <c r="D2994" t="s">
        <v>113</v>
      </c>
      <c r="E2994" t="s">
        <v>9</v>
      </c>
      <c r="F2994">
        <v>64</v>
      </c>
      <c r="G2994" t="s">
        <v>102</v>
      </c>
      <c r="H2994" t="s">
        <v>32</v>
      </c>
      <c r="I2994" t="s">
        <v>49</v>
      </c>
      <c r="J2994" t="s">
        <v>25</v>
      </c>
      <c r="K2994">
        <v>3.9</v>
      </c>
      <c r="L2994" t="s">
        <v>140</v>
      </c>
      <c r="M2994" t="s">
        <v>62</v>
      </c>
      <c r="N2994" t="s">
        <v>140</v>
      </c>
      <c r="O2994">
        <v>25</v>
      </c>
      <c r="P2994" t="s">
        <v>16</v>
      </c>
      <c r="Q2994" t="s">
        <v>28</v>
      </c>
      <c r="R2994" t="str" cm="1">
        <f t="array" ref="R2994">_xlfn.IFS(B2994&lt;31,"Young-Adult",B2994&lt;41,"Adult",B2994&lt;61,"Middle-aged",B2994&gt;=61,"Senior")</f>
        <v>Middle-aged</v>
      </c>
      <c r="S2994" cm="1">
        <f t="array" ref="S2994">_xlfn.IFS(Q2994 ="Fortnightly",14,Q2994="Weekly",7,Q2994="Monthly",30,Q2994="Quarterly",90,Q2994="Bi-Weekly",14,Q2994="Annually",365,Q2994="Every 3 Months",90,TRUE,"NOT FOUND")</f>
        <v>7</v>
      </c>
    </row>
    <row r="2995" spans="1:19" x14ac:dyDescent="0.35">
      <c r="A2995">
        <v>2994</v>
      </c>
      <c r="B2995">
        <v>32</v>
      </c>
      <c r="C2995" t="s">
        <v>141</v>
      </c>
      <c r="D2995" t="s">
        <v>90</v>
      </c>
      <c r="E2995" t="s">
        <v>51</v>
      </c>
      <c r="F2995">
        <v>21</v>
      </c>
      <c r="G2995" t="s">
        <v>99</v>
      </c>
      <c r="H2995" t="s">
        <v>11</v>
      </c>
      <c r="I2995" t="s">
        <v>114</v>
      </c>
      <c r="J2995" t="s">
        <v>25</v>
      </c>
      <c r="K2995">
        <v>4.2</v>
      </c>
      <c r="L2995" t="s">
        <v>140</v>
      </c>
      <c r="M2995" t="s">
        <v>26</v>
      </c>
      <c r="N2995" t="s">
        <v>140</v>
      </c>
      <c r="O2995">
        <v>18</v>
      </c>
      <c r="P2995" t="s">
        <v>21</v>
      </c>
      <c r="Q2995" t="s">
        <v>64</v>
      </c>
      <c r="R2995" t="str" cm="1">
        <f t="array" ref="R2995">_xlfn.IFS(B2995&lt;31,"Young-Adult",B2995&lt;41,"Adult",B2995&lt;61,"Middle-aged",B2995&gt;=61,"Senior")</f>
        <v>Adult</v>
      </c>
      <c r="S2995" cm="1">
        <f t="array" ref="S2995">_xlfn.IFS(Q2995 ="Fortnightly",14,Q2995="Weekly",7,Q2995="Monthly",30,Q2995="Quarterly",90,Q2995="Bi-Weekly",14,Q2995="Annually",365,Q2995="Every 3 Months",90,TRUE,"NOT FOUND")</f>
        <v>14</v>
      </c>
    </row>
    <row r="2996" spans="1:19" x14ac:dyDescent="0.35">
      <c r="A2996">
        <v>2995</v>
      </c>
      <c r="B2996">
        <v>69</v>
      </c>
      <c r="C2996" t="s">
        <v>141</v>
      </c>
      <c r="D2996" t="s">
        <v>18</v>
      </c>
      <c r="E2996" t="s">
        <v>9</v>
      </c>
      <c r="F2996">
        <v>100</v>
      </c>
      <c r="G2996" t="s">
        <v>95</v>
      </c>
      <c r="H2996" t="s">
        <v>24</v>
      </c>
      <c r="I2996" t="s">
        <v>40</v>
      </c>
      <c r="J2996" t="s">
        <v>13</v>
      </c>
      <c r="K2996">
        <v>3.5</v>
      </c>
      <c r="L2996" t="s">
        <v>140</v>
      </c>
      <c r="M2996" t="s">
        <v>62</v>
      </c>
      <c r="N2996" t="s">
        <v>140</v>
      </c>
      <c r="O2996">
        <v>14</v>
      </c>
      <c r="P2996" t="s">
        <v>63</v>
      </c>
      <c r="Q2996" t="s">
        <v>46</v>
      </c>
      <c r="R2996" t="str" cm="1">
        <f t="array" ref="R2996">_xlfn.IFS(B2996&lt;31,"Young-Adult",B2996&lt;41,"Adult",B2996&lt;61,"Middle-aged",B2996&gt;=61,"Senior")</f>
        <v>Senior</v>
      </c>
      <c r="S2996" cm="1">
        <f t="array" ref="S2996">_xlfn.IFS(Q2996 ="Fortnightly",14,Q2996="Weekly",7,Q2996="Monthly",30,Q2996="Quarterly",90,Q2996="Bi-Weekly",14,Q2996="Annually",365,Q2996="Every 3 Months",90,TRUE,"NOT FOUND")</f>
        <v>90</v>
      </c>
    </row>
    <row r="2997" spans="1:19" x14ac:dyDescent="0.35">
      <c r="A2997">
        <v>2996</v>
      </c>
      <c r="B2997">
        <v>29</v>
      </c>
      <c r="C2997" t="s">
        <v>141</v>
      </c>
      <c r="D2997" t="s">
        <v>22</v>
      </c>
      <c r="E2997" t="s">
        <v>9</v>
      </c>
      <c r="F2997">
        <v>96</v>
      </c>
      <c r="G2997" t="s">
        <v>129</v>
      </c>
      <c r="H2997" t="s">
        <v>32</v>
      </c>
      <c r="I2997" t="s">
        <v>109</v>
      </c>
      <c r="J2997" t="s">
        <v>41</v>
      </c>
      <c r="K2997">
        <v>2.5</v>
      </c>
      <c r="L2997" t="s">
        <v>140</v>
      </c>
      <c r="M2997" t="s">
        <v>42</v>
      </c>
      <c r="N2997" t="s">
        <v>140</v>
      </c>
      <c r="O2997">
        <v>42</v>
      </c>
      <c r="P2997" t="s">
        <v>74</v>
      </c>
      <c r="Q2997" t="s">
        <v>64</v>
      </c>
      <c r="R2997" t="str" cm="1">
        <f t="array" ref="R2997">_xlfn.IFS(B2997&lt;31,"Young-Adult",B2997&lt;41,"Adult",B2997&lt;61,"Middle-aged",B2997&gt;=61,"Senior")</f>
        <v>Young-Adult</v>
      </c>
      <c r="S2997" cm="1">
        <f t="array" ref="S2997">_xlfn.IFS(Q2997 ="Fortnightly",14,Q2997="Weekly",7,Q2997="Monthly",30,Q2997="Quarterly",90,Q2997="Bi-Weekly",14,Q2997="Annually",365,Q2997="Every 3 Months",90,TRUE,"NOT FOUND")</f>
        <v>14</v>
      </c>
    </row>
    <row r="2998" spans="1:19" x14ac:dyDescent="0.35">
      <c r="A2998">
        <v>2997</v>
      </c>
      <c r="B2998">
        <v>70</v>
      </c>
      <c r="C2998" t="s">
        <v>141</v>
      </c>
      <c r="D2998" t="s">
        <v>94</v>
      </c>
      <c r="E2998" t="s">
        <v>55</v>
      </c>
      <c r="F2998">
        <v>91</v>
      </c>
      <c r="G2998" t="s">
        <v>128</v>
      </c>
      <c r="H2998" t="s">
        <v>32</v>
      </c>
      <c r="I2998" t="s">
        <v>40</v>
      </c>
      <c r="J2998" t="s">
        <v>25</v>
      </c>
      <c r="K2998">
        <v>2.9</v>
      </c>
      <c r="L2998" t="s">
        <v>140</v>
      </c>
      <c r="M2998" t="s">
        <v>15</v>
      </c>
      <c r="N2998" t="s">
        <v>140</v>
      </c>
      <c r="O2998">
        <v>6</v>
      </c>
      <c r="P2998" t="s">
        <v>16</v>
      </c>
      <c r="Q2998" t="s">
        <v>85</v>
      </c>
      <c r="R2998" t="str" cm="1">
        <f t="array" ref="R2998">_xlfn.IFS(B2998&lt;31,"Young-Adult",B2998&lt;41,"Adult",B2998&lt;61,"Middle-aged",B2998&gt;=61,"Senior")</f>
        <v>Senior</v>
      </c>
      <c r="S2998" cm="1">
        <f t="array" ref="S2998">_xlfn.IFS(Q2998 ="Fortnightly",14,Q2998="Weekly",7,Q2998="Monthly",30,Q2998="Quarterly",90,Q2998="Bi-Weekly",14,Q2998="Annually",365,Q2998="Every 3 Months",90,TRUE,"NOT FOUND")</f>
        <v>90</v>
      </c>
    </row>
    <row r="2999" spans="1:19" x14ac:dyDescent="0.35">
      <c r="A2999">
        <v>2998</v>
      </c>
      <c r="B2999">
        <v>41</v>
      </c>
      <c r="C2999" t="s">
        <v>141</v>
      </c>
      <c r="D2999" t="s">
        <v>18</v>
      </c>
      <c r="E2999" t="s">
        <v>9</v>
      </c>
      <c r="F2999">
        <v>40</v>
      </c>
      <c r="G2999" t="s">
        <v>123</v>
      </c>
      <c r="H2999" t="s">
        <v>24</v>
      </c>
      <c r="I2999" t="s">
        <v>122</v>
      </c>
      <c r="J2999" t="s">
        <v>25</v>
      </c>
      <c r="K2999">
        <v>2.7</v>
      </c>
      <c r="L2999" t="s">
        <v>140</v>
      </c>
      <c r="M2999" t="s">
        <v>33</v>
      </c>
      <c r="N2999" t="s">
        <v>140</v>
      </c>
      <c r="O2999">
        <v>14</v>
      </c>
      <c r="P2999" t="s">
        <v>16</v>
      </c>
      <c r="Q2999" t="s">
        <v>85</v>
      </c>
      <c r="R2999" t="str" cm="1">
        <f t="array" ref="R2999">_xlfn.IFS(B2999&lt;31,"Young-Adult",B2999&lt;41,"Adult",B2999&lt;61,"Middle-aged",B2999&gt;=61,"Senior")</f>
        <v>Middle-aged</v>
      </c>
      <c r="S2999" cm="1">
        <f t="array" ref="S2999">_xlfn.IFS(Q2999 ="Fortnightly",14,Q2999="Weekly",7,Q2999="Monthly",30,Q2999="Quarterly",90,Q2999="Bi-Weekly",14,Q2999="Annually",365,Q2999="Every 3 Months",90,TRUE,"NOT FOUND")</f>
        <v>90</v>
      </c>
    </row>
    <row r="3000" spans="1:19" x14ac:dyDescent="0.35">
      <c r="A3000">
        <v>2999</v>
      </c>
      <c r="B3000">
        <v>31</v>
      </c>
      <c r="C3000" t="s">
        <v>141</v>
      </c>
      <c r="D3000" t="s">
        <v>92</v>
      </c>
      <c r="E3000" t="s">
        <v>9</v>
      </c>
      <c r="F3000">
        <v>53</v>
      </c>
      <c r="G3000" t="s">
        <v>108</v>
      </c>
      <c r="H3000" t="s">
        <v>32</v>
      </c>
      <c r="I3000" t="s">
        <v>96</v>
      </c>
      <c r="J3000" t="s">
        <v>41</v>
      </c>
      <c r="K3000">
        <v>4.7</v>
      </c>
      <c r="L3000" t="s">
        <v>140</v>
      </c>
      <c r="M3000" t="s">
        <v>15</v>
      </c>
      <c r="N3000" t="s">
        <v>140</v>
      </c>
      <c r="O3000">
        <v>30</v>
      </c>
      <c r="P3000" t="s">
        <v>74</v>
      </c>
      <c r="Q3000" t="s">
        <v>46</v>
      </c>
      <c r="R3000" t="str" cm="1">
        <f t="array" ref="R3000">_xlfn.IFS(B3000&lt;31,"Young-Adult",B3000&lt;41,"Adult",B3000&lt;61,"Middle-aged",B3000&gt;=61,"Senior")</f>
        <v>Adult</v>
      </c>
      <c r="S3000" cm="1">
        <f t="array" ref="S3000">_xlfn.IFS(Q3000 ="Fortnightly",14,Q3000="Weekly",7,Q3000="Monthly",30,Q3000="Quarterly",90,Q3000="Bi-Weekly",14,Q3000="Annually",365,Q3000="Every 3 Months",90,TRUE,"NOT FOUND")</f>
        <v>90</v>
      </c>
    </row>
    <row r="3001" spans="1:19" x14ac:dyDescent="0.35">
      <c r="A3001">
        <v>3000</v>
      </c>
      <c r="B3001">
        <v>31</v>
      </c>
      <c r="C3001" t="s">
        <v>141</v>
      </c>
      <c r="D3001" t="s">
        <v>77</v>
      </c>
      <c r="E3001" t="s">
        <v>55</v>
      </c>
      <c r="F3001">
        <v>48</v>
      </c>
      <c r="G3001" t="s">
        <v>70</v>
      </c>
      <c r="H3001" t="s">
        <v>24</v>
      </c>
      <c r="I3001" t="s">
        <v>49</v>
      </c>
      <c r="J3001" t="s">
        <v>13</v>
      </c>
      <c r="K3001">
        <v>3.8</v>
      </c>
      <c r="L3001" t="s">
        <v>140</v>
      </c>
      <c r="M3001" t="s">
        <v>42</v>
      </c>
      <c r="N3001" t="s">
        <v>140</v>
      </c>
      <c r="O3001">
        <v>10</v>
      </c>
      <c r="P3001" t="s">
        <v>21</v>
      </c>
      <c r="Q3001" t="s">
        <v>76</v>
      </c>
      <c r="R3001" t="str" cm="1">
        <f t="array" ref="R3001">_xlfn.IFS(B3001&lt;31,"Young-Adult",B3001&lt;41,"Adult",B3001&lt;61,"Middle-aged",B3001&gt;=61,"Senior")</f>
        <v>Adult</v>
      </c>
      <c r="S3001" cm="1">
        <f t="array" ref="S3001">_xlfn.IFS(Q3001 ="Fortnightly",14,Q3001="Weekly",7,Q3001="Monthly",30,Q3001="Quarterly",90,Q3001="Bi-Weekly",14,Q3001="Annually",365,Q3001="Every 3 Months",90,TRUE,"NOT FOUND")</f>
        <v>30</v>
      </c>
    </row>
    <row r="3002" spans="1:19" x14ac:dyDescent="0.35">
      <c r="A3002">
        <v>3001</v>
      </c>
      <c r="B3002">
        <v>57</v>
      </c>
      <c r="C3002" t="s">
        <v>141</v>
      </c>
      <c r="D3002" t="s">
        <v>29</v>
      </c>
      <c r="E3002" t="s">
        <v>30</v>
      </c>
      <c r="F3002">
        <v>70</v>
      </c>
      <c r="G3002" t="s">
        <v>111</v>
      </c>
      <c r="H3002" t="s">
        <v>32</v>
      </c>
      <c r="I3002" t="s">
        <v>81</v>
      </c>
      <c r="J3002" t="s">
        <v>13</v>
      </c>
      <c r="K3002">
        <v>3.7</v>
      </c>
      <c r="L3002" t="s">
        <v>140</v>
      </c>
      <c r="M3002" t="s">
        <v>15</v>
      </c>
      <c r="N3002" t="s">
        <v>140</v>
      </c>
      <c r="O3002">
        <v>7</v>
      </c>
      <c r="P3002" t="s">
        <v>34</v>
      </c>
      <c r="Q3002" t="s">
        <v>28</v>
      </c>
      <c r="R3002" t="str" cm="1">
        <f t="array" ref="R3002">_xlfn.IFS(B3002&lt;31,"Young-Adult",B3002&lt;41,"Adult",B3002&lt;61,"Middle-aged",B3002&gt;=61,"Senior")</f>
        <v>Middle-aged</v>
      </c>
      <c r="S3002" cm="1">
        <f t="array" ref="S3002">_xlfn.IFS(Q3002 ="Fortnightly",14,Q3002="Weekly",7,Q3002="Monthly",30,Q3002="Quarterly",90,Q3002="Bi-Weekly",14,Q3002="Annually",365,Q3002="Every 3 Months",90,TRUE,"NOT FOUND")</f>
        <v>7</v>
      </c>
    </row>
    <row r="3003" spans="1:19" x14ac:dyDescent="0.35">
      <c r="A3003">
        <v>3002</v>
      </c>
      <c r="B3003">
        <v>29</v>
      </c>
      <c r="C3003" t="s">
        <v>141</v>
      </c>
      <c r="D3003" t="s">
        <v>50</v>
      </c>
      <c r="E3003" t="s">
        <v>51</v>
      </c>
      <c r="F3003">
        <v>29</v>
      </c>
      <c r="G3003" t="s">
        <v>44</v>
      </c>
      <c r="H3003" t="s">
        <v>11</v>
      </c>
      <c r="I3003" t="s">
        <v>49</v>
      </c>
      <c r="J3003" t="s">
        <v>41</v>
      </c>
      <c r="K3003">
        <v>4.7</v>
      </c>
      <c r="L3003" t="s">
        <v>140</v>
      </c>
      <c r="M3003" t="s">
        <v>15</v>
      </c>
      <c r="N3003" t="s">
        <v>140</v>
      </c>
      <c r="O3003">
        <v>28</v>
      </c>
      <c r="P3003" t="s">
        <v>27</v>
      </c>
      <c r="Q3003" t="s">
        <v>46</v>
      </c>
      <c r="R3003" t="str" cm="1">
        <f t="array" ref="R3003">_xlfn.IFS(B3003&lt;31,"Young-Adult",B3003&lt;41,"Adult",B3003&lt;61,"Middle-aged",B3003&gt;=61,"Senior")</f>
        <v>Young-Adult</v>
      </c>
      <c r="S3003" cm="1">
        <f t="array" ref="S3003">_xlfn.IFS(Q3003 ="Fortnightly",14,Q3003="Weekly",7,Q3003="Monthly",30,Q3003="Quarterly",90,Q3003="Bi-Weekly",14,Q3003="Annually",365,Q3003="Every 3 Months",90,TRUE,"NOT FOUND")</f>
        <v>90</v>
      </c>
    </row>
    <row r="3004" spans="1:19" x14ac:dyDescent="0.35">
      <c r="A3004">
        <v>3003</v>
      </c>
      <c r="B3004">
        <v>70</v>
      </c>
      <c r="C3004" t="s">
        <v>141</v>
      </c>
      <c r="D3004" t="s">
        <v>121</v>
      </c>
      <c r="E3004" t="s">
        <v>55</v>
      </c>
      <c r="F3004">
        <v>29</v>
      </c>
      <c r="G3004" t="s">
        <v>48</v>
      </c>
      <c r="H3004" t="s">
        <v>32</v>
      </c>
      <c r="I3004" t="s">
        <v>20</v>
      </c>
      <c r="J3004" t="s">
        <v>45</v>
      </c>
      <c r="K3004">
        <v>3.6</v>
      </c>
      <c r="L3004" t="s">
        <v>140</v>
      </c>
      <c r="M3004" t="s">
        <v>33</v>
      </c>
      <c r="N3004" t="s">
        <v>140</v>
      </c>
      <c r="O3004">
        <v>19</v>
      </c>
      <c r="P3004" t="s">
        <v>63</v>
      </c>
      <c r="Q3004" t="s">
        <v>46</v>
      </c>
      <c r="R3004" t="str" cm="1">
        <f t="array" ref="R3004">_xlfn.IFS(B3004&lt;31,"Young-Adult",B3004&lt;41,"Adult",B3004&lt;61,"Middle-aged",B3004&gt;=61,"Senior")</f>
        <v>Senior</v>
      </c>
      <c r="S3004" cm="1">
        <f t="array" ref="S3004">_xlfn.IFS(Q3004 ="Fortnightly",14,Q3004="Weekly",7,Q3004="Monthly",30,Q3004="Quarterly",90,Q3004="Bi-Weekly",14,Q3004="Annually",365,Q3004="Every 3 Months",90,TRUE,"NOT FOUND")</f>
        <v>90</v>
      </c>
    </row>
    <row r="3005" spans="1:19" x14ac:dyDescent="0.35">
      <c r="A3005">
        <v>3004</v>
      </c>
      <c r="B3005">
        <v>51</v>
      </c>
      <c r="C3005" t="s">
        <v>141</v>
      </c>
      <c r="D3005" t="s">
        <v>8</v>
      </c>
      <c r="E3005" t="s">
        <v>9</v>
      </c>
      <c r="F3005">
        <v>53</v>
      </c>
      <c r="G3005" t="s">
        <v>35</v>
      </c>
      <c r="H3005" t="s">
        <v>32</v>
      </c>
      <c r="I3005" t="s">
        <v>98</v>
      </c>
      <c r="J3005" t="s">
        <v>45</v>
      </c>
      <c r="K3005">
        <v>2.8</v>
      </c>
      <c r="L3005" t="s">
        <v>140</v>
      </c>
      <c r="M3005" t="s">
        <v>15</v>
      </c>
      <c r="N3005" t="s">
        <v>140</v>
      </c>
      <c r="O3005">
        <v>13</v>
      </c>
      <c r="P3005" t="s">
        <v>27</v>
      </c>
      <c r="Q3005" t="s">
        <v>85</v>
      </c>
      <c r="R3005" t="str" cm="1">
        <f t="array" ref="R3005">_xlfn.IFS(B3005&lt;31,"Young-Adult",B3005&lt;41,"Adult",B3005&lt;61,"Middle-aged",B3005&gt;=61,"Senior")</f>
        <v>Middle-aged</v>
      </c>
      <c r="S3005" cm="1">
        <f t="array" ref="S3005">_xlfn.IFS(Q3005 ="Fortnightly",14,Q3005="Weekly",7,Q3005="Monthly",30,Q3005="Quarterly",90,Q3005="Bi-Weekly",14,Q3005="Annually",365,Q3005="Every 3 Months",90,TRUE,"NOT FOUND")</f>
        <v>90</v>
      </c>
    </row>
    <row r="3006" spans="1:19" x14ac:dyDescent="0.35">
      <c r="A3006">
        <v>3005</v>
      </c>
      <c r="B3006">
        <v>45</v>
      </c>
      <c r="C3006" t="s">
        <v>141</v>
      </c>
      <c r="D3006" t="s">
        <v>75</v>
      </c>
      <c r="E3006" t="s">
        <v>9</v>
      </c>
      <c r="F3006">
        <v>79</v>
      </c>
      <c r="G3006" t="s">
        <v>105</v>
      </c>
      <c r="H3006" t="s">
        <v>32</v>
      </c>
      <c r="I3006" t="s">
        <v>81</v>
      </c>
      <c r="J3006" t="s">
        <v>13</v>
      </c>
      <c r="K3006">
        <v>3.7</v>
      </c>
      <c r="L3006" t="s">
        <v>140</v>
      </c>
      <c r="M3006" t="s">
        <v>62</v>
      </c>
      <c r="N3006" t="s">
        <v>140</v>
      </c>
      <c r="O3006">
        <v>23</v>
      </c>
      <c r="P3006" t="s">
        <v>16</v>
      </c>
      <c r="Q3006" t="s">
        <v>17</v>
      </c>
      <c r="R3006" t="str" cm="1">
        <f t="array" ref="R3006">_xlfn.IFS(B3006&lt;31,"Young-Adult",B3006&lt;41,"Adult",B3006&lt;61,"Middle-aged",B3006&gt;=61,"Senior")</f>
        <v>Middle-aged</v>
      </c>
      <c r="S3006" cm="1">
        <f t="array" ref="S3006">_xlfn.IFS(Q3006 ="Fortnightly",14,Q3006="Weekly",7,Q3006="Monthly",30,Q3006="Quarterly",90,Q3006="Bi-Weekly",14,Q3006="Annually",365,Q3006="Every 3 Months",90,TRUE,"NOT FOUND")</f>
        <v>14</v>
      </c>
    </row>
    <row r="3007" spans="1:19" x14ac:dyDescent="0.35">
      <c r="A3007">
        <v>3006</v>
      </c>
      <c r="B3007">
        <v>18</v>
      </c>
      <c r="C3007" t="s">
        <v>141</v>
      </c>
      <c r="D3007" t="s">
        <v>47</v>
      </c>
      <c r="E3007" t="s">
        <v>9</v>
      </c>
      <c r="F3007">
        <v>65</v>
      </c>
      <c r="G3007" t="s">
        <v>108</v>
      </c>
      <c r="H3007" t="s">
        <v>80</v>
      </c>
      <c r="I3007" t="s">
        <v>98</v>
      </c>
      <c r="J3007" t="s">
        <v>25</v>
      </c>
      <c r="K3007">
        <v>3.5</v>
      </c>
      <c r="L3007" t="s">
        <v>140</v>
      </c>
      <c r="M3007" t="s">
        <v>15</v>
      </c>
      <c r="N3007" t="s">
        <v>140</v>
      </c>
      <c r="O3007">
        <v>5</v>
      </c>
      <c r="P3007" t="s">
        <v>16</v>
      </c>
      <c r="Q3007" t="s">
        <v>28</v>
      </c>
      <c r="R3007" t="str" cm="1">
        <f t="array" ref="R3007">_xlfn.IFS(B3007&lt;31,"Young-Adult",B3007&lt;41,"Adult",B3007&lt;61,"Middle-aged",B3007&gt;=61,"Senior")</f>
        <v>Young-Adult</v>
      </c>
      <c r="S3007" cm="1">
        <f t="array" ref="S3007">_xlfn.IFS(Q3007 ="Fortnightly",14,Q3007="Weekly",7,Q3007="Monthly",30,Q3007="Quarterly",90,Q3007="Bi-Weekly",14,Q3007="Annually",365,Q3007="Every 3 Months",90,TRUE,"NOT FOUND")</f>
        <v>7</v>
      </c>
    </row>
    <row r="3008" spans="1:19" x14ac:dyDescent="0.35">
      <c r="A3008">
        <v>3007</v>
      </c>
      <c r="B3008">
        <v>37</v>
      </c>
      <c r="C3008" t="s">
        <v>141</v>
      </c>
      <c r="D3008" t="s">
        <v>69</v>
      </c>
      <c r="E3008" t="s">
        <v>9</v>
      </c>
      <c r="F3008">
        <v>99</v>
      </c>
      <c r="G3008" t="s">
        <v>128</v>
      </c>
      <c r="H3008" t="s">
        <v>32</v>
      </c>
      <c r="I3008" t="s">
        <v>66</v>
      </c>
      <c r="J3008" t="s">
        <v>41</v>
      </c>
      <c r="K3008">
        <v>3.7</v>
      </c>
      <c r="L3008" t="s">
        <v>140</v>
      </c>
      <c r="M3008" t="s">
        <v>62</v>
      </c>
      <c r="N3008" t="s">
        <v>140</v>
      </c>
      <c r="O3008">
        <v>17</v>
      </c>
      <c r="P3008" t="s">
        <v>16</v>
      </c>
      <c r="Q3008" t="s">
        <v>64</v>
      </c>
      <c r="R3008" t="str" cm="1">
        <f t="array" ref="R3008">_xlfn.IFS(B3008&lt;31,"Young-Adult",B3008&lt;41,"Adult",B3008&lt;61,"Middle-aged",B3008&gt;=61,"Senior")</f>
        <v>Adult</v>
      </c>
      <c r="S3008" cm="1">
        <f t="array" ref="S3008">_xlfn.IFS(Q3008 ="Fortnightly",14,Q3008="Weekly",7,Q3008="Monthly",30,Q3008="Quarterly",90,Q3008="Bi-Weekly",14,Q3008="Annually",365,Q3008="Every 3 Months",90,TRUE,"NOT FOUND")</f>
        <v>14</v>
      </c>
    </row>
    <row r="3009" spans="1:19" x14ac:dyDescent="0.35">
      <c r="A3009">
        <v>3008</v>
      </c>
      <c r="B3009">
        <v>23</v>
      </c>
      <c r="C3009" t="s">
        <v>141</v>
      </c>
      <c r="D3009" t="s">
        <v>77</v>
      </c>
      <c r="E3009" t="s">
        <v>55</v>
      </c>
      <c r="F3009">
        <v>60</v>
      </c>
      <c r="G3009" t="s">
        <v>72</v>
      </c>
      <c r="H3009" t="s">
        <v>11</v>
      </c>
      <c r="I3009" t="s">
        <v>81</v>
      </c>
      <c r="J3009" t="s">
        <v>13</v>
      </c>
      <c r="K3009">
        <v>3</v>
      </c>
      <c r="L3009" t="s">
        <v>140</v>
      </c>
      <c r="M3009" t="s">
        <v>33</v>
      </c>
      <c r="N3009" t="s">
        <v>140</v>
      </c>
      <c r="O3009">
        <v>31</v>
      </c>
      <c r="P3009" t="s">
        <v>16</v>
      </c>
      <c r="Q3009" t="s">
        <v>28</v>
      </c>
      <c r="R3009" t="str" cm="1">
        <f t="array" ref="R3009">_xlfn.IFS(B3009&lt;31,"Young-Adult",B3009&lt;41,"Adult",B3009&lt;61,"Middle-aged",B3009&gt;=61,"Senior")</f>
        <v>Young-Adult</v>
      </c>
      <c r="S3009" cm="1">
        <f t="array" ref="S3009">_xlfn.IFS(Q3009 ="Fortnightly",14,Q3009="Weekly",7,Q3009="Monthly",30,Q3009="Quarterly",90,Q3009="Bi-Weekly",14,Q3009="Annually",365,Q3009="Every 3 Months",90,TRUE,"NOT FOUND")</f>
        <v>7</v>
      </c>
    </row>
    <row r="3010" spans="1:19" x14ac:dyDescent="0.35">
      <c r="A3010">
        <v>3009</v>
      </c>
      <c r="B3010">
        <v>39</v>
      </c>
      <c r="C3010" t="s">
        <v>141</v>
      </c>
      <c r="D3010" t="s">
        <v>59</v>
      </c>
      <c r="E3010" t="s">
        <v>30</v>
      </c>
      <c r="F3010">
        <v>86</v>
      </c>
      <c r="G3010" t="s">
        <v>118</v>
      </c>
      <c r="H3010" t="s">
        <v>32</v>
      </c>
      <c r="I3010" t="s">
        <v>68</v>
      </c>
      <c r="J3010" t="s">
        <v>13</v>
      </c>
      <c r="K3010">
        <v>4.9000000000000004</v>
      </c>
      <c r="L3010" t="s">
        <v>140</v>
      </c>
      <c r="M3010" t="s">
        <v>26</v>
      </c>
      <c r="N3010" t="s">
        <v>140</v>
      </c>
      <c r="O3010">
        <v>19</v>
      </c>
      <c r="P3010" t="s">
        <v>34</v>
      </c>
      <c r="Q3010" t="s">
        <v>28</v>
      </c>
      <c r="R3010" t="str" cm="1">
        <f t="array" ref="R3010">_xlfn.IFS(B3010&lt;31,"Young-Adult",B3010&lt;41,"Adult",B3010&lt;61,"Middle-aged",B3010&gt;=61,"Senior")</f>
        <v>Adult</v>
      </c>
      <c r="S3010" cm="1">
        <f t="array" ref="S3010">_xlfn.IFS(Q3010 ="Fortnightly",14,Q3010="Weekly",7,Q3010="Monthly",30,Q3010="Quarterly",90,Q3010="Bi-Weekly",14,Q3010="Annually",365,Q3010="Every 3 Months",90,TRUE,"NOT FOUND")</f>
        <v>7</v>
      </c>
    </row>
    <row r="3011" spans="1:19" x14ac:dyDescent="0.35">
      <c r="A3011">
        <v>3010</v>
      </c>
      <c r="B3011">
        <v>62</v>
      </c>
      <c r="C3011" t="s">
        <v>141</v>
      </c>
      <c r="D3011" t="s">
        <v>121</v>
      </c>
      <c r="E3011" t="s">
        <v>55</v>
      </c>
      <c r="F3011">
        <v>73</v>
      </c>
      <c r="G3011" t="s">
        <v>48</v>
      </c>
      <c r="H3011" t="s">
        <v>32</v>
      </c>
      <c r="I3011" t="s">
        <v>53</v>
      </c>
      <c r="J3011" t="s">
        <v>13</v>
      </c>
      <c r="K3011">
        <v>4.5999999999999996</v>
      </c>
      <c r="L3011" t="s">
        <v>140</v>
      </c>
      <c r="M3011" t="s">
        <v>26</v>
      </c>
      <c r="N3011" t="s">
        <v>140</v>
      </c>
      <c r="O3011">
        <v>8</v>
      </c>
      <c r="P3011" t="s">
        <v>16</v>
      </c>
      <c r="Q3011" t="s">
        <v>17</v>
      </c>
      <c r="R3011" t="str" cm="1">
        <f t="array" ref="R3011">_xlfn.IFS(B3011&lt;31,"Young-Adult",B3011&lt;41,"Adult",B3011&lt;61,"Middle-aged",B3011&gt;=61,"Senior")</f>
        <v>Senior</v>
      </c>
      <c r="S3011" cm="1">
        <f t="array" ref="S3011">_xlfn.IFS(Q3011 ="Fortnightly",14,Q3011="Weekly",7,Q3011="Monthly",30,Q3011="Quarterly",90,Q3011="Bi-Weekly",14,Q3011="Annually",365,Q3011="Every 3 Months",90,TRUE,"NOT FOUND")</f>
        <v>14</v>
      </c>
    </row>
    <row r="3012" spans="1:19" x14ac:dyDescent="0.35">
      <c r="A3012">
        <v>3011</v>
      </c>
      <c r="B3012">
        <v>70</v>
      </c>
      <c r="C3012" t="s">
        <v>141</v>
      </c>
      <c r="D3012" t="s">
        <v>121</v>
      </c>
      <c r="E3012" t="s">
        <v>55</v>
      </c>
      <c r="F3012">
        <v>45</v>
      </c>
      <c r="G3012" t="s">
        <v>111</v>
      </c>
      <c r="H3012" t="s">
        <v>32</v>
      </c>
      <c r="I3012" t="s">
        <v>71</v>
      </c>
      <c r="J3012" t="s">
        <v>13</v>
      </c>
      <c r="K3012">
        <v>3.3</v>
      </c>
      <c r="L3012" t="s">
        <v>140</v>
      </c>
      <c r="M3012" t="s">
        <v>26</v>
      </c>
      <c r="N3012" t="s">
        <v>140</v>
      </c>
      <c r="O3012">
        <v>15</v>
      </c>
      <c r="P3012" t="s">
        <v>27</v>
      </c>
      <c r="Q3012" t="s">
        <v>37</v>
      </c>
      <c r="R3012" t="str" cm="1">
        <f t="array" ref="R3012">_xlfn.IFS(B3012&lt;31,"Young-Adult",B3012&lt;41,"Adult",B3012&lt;61,"Middle-aged",B3012&gt;=61,"Senior")</f>
        <v>Senior</v>
      </c>
      <c r="S3012" cm="1">
        <f t="array" ref="S3012">_xlfn.IFS(Q3012 ="Fortnightly",14,Q3012="Weekly",7,Q3012="Monthly",30,Q3012="Quarterly",90,Q3012="Bi-Weekly",14,Q3012="Annually",365,Q3012="Every 3 Months",90,TRUE,"NOT FOUND")</f>
        <v>365</v>
      </c>
    </row>
    <row r="3013" spans="1:19" x14ac:dyDescent="0.35">
      <c r="A3013">
        <v>3012</v>
      </c>
      <c r="B3013">
        <v>20</v>
      </c>
      <c r="C3013" t="s">
        <v>141</v>
      </c>
      <c r="D3013" t="s">
        <v>121</v>
      </c>
      <c r="E3013" t="s">
        <v>55</v>
      </c>
      <c r="F3013">
        <v>70</v>
      </c>
      <c r="G3013" t="s">
        <v>95</v>
      </c>
      <c r="H3013" t="s">
        <v>24</v>
      </c>
      <c r="I3013" t="s">
        <v>98</v>
      </c>
      <c r="J3013" t="s">
        <v>41</v>
      </c>
      <c r="K3013">
        <v>3</v>
      </c>
      <c r="L3013" t="s">
        <v>140</v>
      </c>
      <c r="M3013" t="s">
        <v>33</v>
      </c>
      <c r="N3013" t="s">
        <v>140</v>
      </c>
      <c r="O3013">
        <v>18</v>
      </c>
      <c r="P3013" t="s">
        <v>27</v>
      </c>
      <c r="Q3013" t="s">
        <v>85</v>
      </c>
      <c r="R3013" t="str" cm="1">
        <f t="array" ref="R3013">_xlfn.IFS(B3013&lt;31,"Young-Adult",B3013&lt;41,"Adult",B3013&lt;61,"Middle-aged",B3013&gt;=61,"Senior")</f>
        <v>Young-Adult</v>
      </c>
      <c r="S3013" cm="1">
        <f t="array" ref="S3013">_xlfn.IFS(Q3013 ="Fortnightly",14,Q3013="Weekly",7,Q3013="Monthly",30,Q3013="Quarterly",90,Q3013="Bi-Weekly",14,Q3013="Annually",365,Q3013="Every 3 Months",90,TRUE,"NOT FOUND")</f>
        <v>90</v>
      </c>
    </row>
    <row r="3014" spans="1:19" x14ac:dyDescent="0.35">
      <c r="A3014">
        <v>3013</v>
      </c>
      <c r="B3014">
        <v>42</v>
      </c>
      <c r="C3014" t="s">
        <v>141</v>
      </c>
      <c r="D3014" t="s">
        <v>121</v>
      </c>
      <c r="E3014" t="s">
        <v>55</v>
      </c>
      <c r="F3014">
        <v>65</v>
      </c>
      <c r="G3014" t="s">
        <v>123</v>
      </c>
      <c r="H3014" t="s">
        <v>32</v>
      </c>
      <c r="I3014" t="s">
        <v>73</v>
      </c>
      <c r="J3014" t="s">
        <v>45</v>
      </c>
      <c r="K3014">
        <v>3.5</v>
      </c>
      <c r="L3014" t="s">
        <v>140</v>
      </c>
      <c r="M3014" t="s">
        <v>42</v>
      </c>
      <c r="N3014" t="s">
        <v>140</v>
      </c>
      <c r="O3014">
        <v>16</v>
      </c>
      <c r="P3014" t="s">
        <v>34</v>
      </c>
      <c r="Q3014" t="s">
        <v>37</v>
      </c>
      <c r="R3014" t="str" cm="1">
        <f t="array" ref="R3014">_xlfn.IFS(B3014&lt;31,"Young-Adult",B3014&lt;41,"Adult",B3014&lt;61,"Middle-aged",B3014&gt;=61,"Senior")</f>
        <v>Middle-aged</v>
      </c>
      <c r="S3014" cm="1">
        <f t="array" ref="S3014">_xlfn.IFS(Q3014 ="Fortnightly",14,Q3014="Weekly",7,Q3014="Monthly",30,Q3014="Quarterly",90,Q3014="Bi-Weekly",14,Q3014="Annually",365,Q3014="Every 3 Months",90,TRUE,"NOT FOUND")</f>
        <v>365</v>
      </c>
    </row>
    <row r="3015" spans="1:19" x14ac:dyDescent="0.35">
      <c r="A3015">
        <v>3014</v>
      </c>
      <c r="B3015">
        <v>41</v>
      </c>
      <c r="C3015" t="s">
        <v>141</v>
      </c>
      <c r="D3015" t="s">
        <v>75</v>
      </c>
      <c r="E3015" t="s">
        <v>9</v>
      </c>
      <c r="F3015">
        <v>55</v>
      </c>
      <c r="G3015" t="s">
        <v>105</v>
      </c>
      <c r="H3015" t="s">
        <v>11</v>
      </c>
      <c r="I3015" t="s">
        <v>88</v>
      </c>
      <c r="J3015" t="s">
        <v>41</v>
      </c>
      <c r="K3015">
        <v>4.2</v>
      </c>
      <c r="L3015" t="s">
        <v>140</v>
      </c>
      <c r="M3015" t="s">
        <v>62</v>
      </c>
      <c r="N3015" t="s">
        <v>140</v>
      </c>
      <c r="O3015">
        <v>13</v>
      </c>
      <c r="P3015" t="s">
        <v>21</v>
      </c>
      <c r="Q3015" t="s">
        <v>76</v>
      </c>
      <c r="R3015" t="str" cm="1">
        <f t="array" ref="R3015">_xlfn.IFS(B3015&lt;31,"Young-Adult",B3015&lt;41,"Adult",B3015&lt;61,"Middle-aged",B3015&gt;=61,"Senior")</f>
        <v>Middle-aged</v>
      </c>
      <c r="S3015" cm="1">
        <f t="array" ref="S3015">_xlfn.IFS(Q3015 ="Fortnightly",14,Q3015="Weekly",7,Q3015="Monthly",30,Q3015="Quarterly",90,Q3015="Bi-Weekly",14,Q3015="Annually",365,Q3015="Every 3 Months",90,TRUE,"NOT FOUND")</f>
        <v>30</v>
      </c>
    </row>
    <row r="3016" spans="1:19" x14ac:dyDescent="0.35">
      <c r="A3016">
        <v>3015</v>
      </c>
      <c r="B3016">
        <v>24</v>
      </c>
      <c r="C3016" t="s">
        <v>141</v>
      </c>
      <c r="D3016" t="s">
        <v>101</v>
      </c>
      <c r="E3016" t="s">
        <v>9</v>
      </c>
      <c r="F3016">
        <v>65</v>
      </c>
      <c r="G3016" t="s">
        <v>128</v>
      </c>
      <c r="H3016" t="s">
        <v>32</v>
      </c>
      <c r="I3016" t="s">
        <v>20</v>
      </c>
      <c r="J3016" t="s">
        <v>25</v>
      </c>
      <c r="K3016">
        <v>4.5</v>
      </c>
      <c r="L3016" t="s">
        <v>140</v>
      </c>
      <c r="M3016" t="s">
        <v>15</v>
      </c>
      <c r="N3016" t="s">
        <v>140</v>
      </c>
      <c r="O3016">
        <v>38</v>
      </c>
      <c r="P3016" t="s">
        <v>34</v>
      </c>
      <c r="Q3016" t="s">
        <v>85</v>
      </c>
      <c r="R3016" t="str" cm="1">
        <f t="array" ref="R3016">_xlfn.IFS(B3016&lt;31,"Young-Adult",B3016&lt;41,"Adult",B3016&lt;61,"Middle-aged",B3016&gt;=61,"Senior")</f>
        <v>Young-Adult</v>
      </c>
      <c r="S3016" cm="1">
        <f t="array" ref="S3016">_xlfn.IFS(Q3016 ="Fortnightly",14,Q3016="Weekly",7,Q3016="Monthly",30,Q3016="Quarterly",90,Q3016="Bi-Weekly",14,Q3016="Annually",365,Q3016="Every 3 Months",90,TRUE,"NOT FOUND")</f>
        <v>90</v>
      </c>
    </row>
    <row r="3017" spans="1:19" x14ac:dyDescent="0.35">
      <c r="A3017">
        <v>3016</v>
      </c>
      <c r="B3017">
        <v>37</v>
      </c>
      <c r="C3017" t="s">
        <v>141</v>
      </c>
      <c r="D3017" t="s">
        <v>107</v>
      </c>
      <c r="E3017" t="s">
        <v>55</v>
      </c>
      <c r="F3017">
        <v>21</v>
      </c>
      <c r="G3017" t="s">
        <v>39</v>
      </c>
      <c r="H3017" t="s">
        <v>80</v>
      </c>
      <c r="I3017" t="s">
        <v>81</v>
      </c>
      <c r="J3017" t="s">
        <v>25</v>
      </c>
      <c r="K3017">
        <v>2.8</v>
      </c>
      <c r="L3017" t="s">
        <v>140</v>
      </c>
      <c r="M3017" t="s">
        <v>15</v>
      </c>
      <c r="N3017" t="s">
        <v>140</v>
      </c>
      <c r="O3017">
        <v>27</v>
      </c>
      <c r="P3017" t="s">
        <v>63</v>
      </c>
      <c r="Q3017" t="s">
        <v>64</v>
      </c>
      <c r="R3017" t="str" cm="1">
        <f t="array" ref="R3017">_xlfn.IFS(B3017&lt;31,"Young-Adult",B3017&lt;41,"Adult",B3017&lt;61,"Middle-aged",B3017&gt;=61,"Senior")</f>
        <v>Adult</v>
      </c>
      <c r="S3017" cm="1">
        <f t="array" ref="S3017">_xlfn.IFS(Q3017 ="Fortnightly",14,Q3017="Weekly",7,Q3017="Monthly",30,Q3017="Quarterly",90,Q3017="Bi-Weekly",14,Q3017="Annually",365,Q3017="Every 3 Months",90,TRUE,"NOT FOUND")</f>
        <v>14</v>
      </c>
    </row>
    <row r="3018" spans="1:19" x14ac:dyDescent="0.35">
      <c r="A3018">
        <v>3017</v>
      </c>
      <c r="B3018">
        <v>30</v>
      </c>
      <c r="C3018" t="s">
        <v>141</v>
      </c>
      <c r="D3018" t="s">
        <v>8</v>
      </c>
      <c r="E3018" t="s">
        <v>9</v>
      </c>
      <c r="F3018">
        <v>26</v>
      </c>
      <c r="G3018" t="s">
        <v>104</v>
      </c>
      <c r="H3018" t="s">
        <v>11</v>
      </c>
      <c r="I3018" t="s">
        <v>81</v>
      </c>
      <c r="J3018" t="s">
        <v>41</v>
      </c>
      <c r="K3018">
        <v>4.9000000000000004</v>
      </c>
      <c r="L3018" t="s">
        <v>140</v>
      </c>
      <c r="M3018" t="s">
        <v>62</v>
      </c>
      <c r="N3018" t="s">
        <v>140</v>
      </c>
      <c r="O3018">
        <v>31</v>
      </c>
      <c r="P3018" t="s">
        <v>63</v>
      </c>
      <c r="Q3018" t="s">
        <v>46</v>
      </c>
      <c r="R3018" t="str" cm="1">
        <f t="array" ref="R3018">_xlfn.IFS(B3018&lt;31,"Young-Adult",B3018&lt;41,"Adult",B3018&lt;61,"Middle-aged",B3018&gt;=61,"Senior")</f>
        <v>Young-Adult</v>
      </c>
      <c r="S3018" cm="1">
        <f t="array" ref="S3018">_xlfn.IFS(Q3018 ="Fortnightly",14,Q3018="Weekly",7,Q3018="Monthly",30,Q3018="Quarterly",90,Q3018="Bi-Weekly",14,Q3018="Annually",365,Q3018="Every 3 Months",90,TRUE,"NOT FOUND")</f>
        <v>90</v>
      </c>
    </row>
    <row r="3019" spans="1:19" x14ac:dyDescent="0.35">
      <c r="A3019">
        <v>3018</v>
      </c>
      <c r="B3019">
        <v>58</v>
      </c>
      <c r="C3019" t="s">
        <v>141</v>
      </c>
      <c r="D3019" t="s">
        <v>77</v>
      </c>
      <c r="E3019" t="s">
        <v>55</v>
      </c>
      <c r="F3019">
        <v>71</v>
      </c>
      <c r="G3019" t="s">
        <v>138</v>
      </c>
      <c r="H3019" t="s">
        <v>24</v>
      </c>
      <c r="I3019" t="s">
        <v>61</v>
      </c>
      <c r="J3019" t="s">
        <v>41</v>
      </c>
      <c r="K3019">
        <v>3.3</v>
      </c>
      <c r="L3019" t="s">
        <v>140</v>
      </c>
      <c r="M3019" t="s">
        <v>33</v>
      </c>
      <c r="N3019" t="s">
        <v>140</v>
      </c>
      <c r="O3019">
        <v>24</v>
      </c>
      <c r="P3019" t="s">
        <v>21</v>
      </c>
      <c r="Q3019" t="s">
        <v>64</v>
      </c>
      <c r="R3019" t="str" cm="1">
        <f t="array" ref="R3019">_xlfn.IFS(B3019&lt;31,"Young-Adult",B3019&lt;41,"Adult",B3019&lt;61,"Middle-aged",B3019&gt;=61,"Senior")</f>
        <v>Middle-aged</v>
      </c>
      <c r="S3019" cm="1">
        <f t="array" ref="S3019">_xlfn.IFS(Q3019 ="Fortnightly",14,Q3019="Weekly",7,Q3019="Monthly",30,Q3019="Quarterly",90,Q3019="Bi-Weekly",14,Q3019="Annually",365,Q3019="Every 3 Months",90,TRUE,"NOT FOUND")</f>
        <v>14</v>
      </c>
    </row>
    <row r="3020" spans="1:19" x14ac:dyDescent="0.35">
      <c r="A3020">
        <v>3019</v>
      </c>
      <c r="B3020">
        <v>43</v>
      </c>
      <c r="C3020" t="s">
        <v>141</v>
      </c>
      <c r="D3020" t="s">
        <v>125</v>
      </c>
      <c r="E3020" t="s">
        <v>30</v>
      </c>
      <c r="F3020">
        <v>41</v>
      </c>
      <c r="G3020" t="s">
        <v>93</v>
      </c>
      <c r="H3020" t="s">
        <v>32</v>
      </c>
      <c r="I3020" t="s">
        <v>84</v>
      </c>
      <c r="J3020" t="s">
        <v>41</v>
      </c>
      <c r="K3020">
        <v>3</v>
      </c>
      <c r="L3020" t="s">
        <v>140</v>
      </c>
      <c r="M3020" t="s">
        <v>26</v>
      </c>
      <c r="N3020" t="s">
        <v>140</v>
      </c>
      <c r="O3020">
        <v>21</v>
      </c>
      <c r="P3020" t="s">
        <v>74</v>
      </c>
      <c r="Q3020" t="s">
        <v>64</v>
      </c>
      <c r="R3020" t="str" cm="1">
        <f t="array" ref="R3020">_xlfn.IFS(B3020&lt;31,"Young-Adult",B3020&lt;41,"Adult",B3020&lt;61,"Middle-aged",B3020&gt;=61,"Senior")</f>
        <v>Middle-aged</v>
      </c>
      <c r="S3020" cm="1">
        <f t="array" ref="S3020">_xlfn.IFS(Q3020 ="Fortnightly",14,Q3020="Weekly",7,Q3020="Monthly",30,Q3020="Quarterly",90,Q3020="Bi-Weekly",14,Q3020="Annually",365,Q3020="Every 3 Months",90,TRUE,"NOT FOUND")</f>
        <v>14</v>
      </c>
    </row>
    <row r="3021" spans="1:19" x14ac:dyDescent="0.35">
      <c r="A3021">
        <v>3020</v>
      </c>
      <c r="B3021">
        <v>19</v>
      </c>
      <c r="C3021" t="s">
        <v>141</v>
      </c>
      <c r="D3021" t="s">
        <v>90</v>
      </c>
      <c r="E3021" t="s">
        <v>51</v>
      </c>
      <c r="F3021">
        <v>44</v>
      </c>
      <c r="G3021" t="s">
        <v>128</v>
      </c>
      <c r="H3021" t="s">
        <v>32</v>
      </c>
      <c r="I3021" t="s">
        <v>122</v>
      </c>
      <c r="J3021" t="s">
        <v>13</v>
      </c>
      <c r="K3021">
        <v>3.9</v>
      </c>
      <c r="L3021" t="s">
        <v>140</v>
      </c>
      <c r="M3021" t="s">
        <v>58</v>
      </c>
      <c r="N3021" t="s">
        <v>140</v>
      </c>
      <c r="O3021">
        <v>15</v>
      </c>
      <c r="P3021" t="s">
        <v>34</v>
      </c>
      <c r="Q3021" t="s">
        <v>37</v>
      </c>
      <c r="R3021" t="str" cm="1">
        <f t="array" ref="R3021">_xlfn.IFS(B3021&lt;31,"Young-Adult",B3021&lt;41,"Adult",B3021&lt;61,"Middle-aged",B3021&gt;=61,"Senior")</f>
        <v>Young-Adult</v>
      </c>
      <c r="S3021" cm="1">
        <f t="array" ref="S3021">_xlfn.IFS(Q3021 ="Fortnightly",14,Q3021="Weekly",7,Q3021="Monthly",30,Q3021="Quarterly",90,Q3021="Bi-Weekly",14,Q3021="Annually",365,Q3021="Every 3 Months",90,TRUE,"NOT FOUND")</f>
        <v>365</v>
      </c>
    </row>
    <row r="3022" spans="1:19" x14ac:dyDescent="0.35">
      <c r="A3022">
        <v>3021</v>
      </c>
      <c r="B3022">
        <v>23</v>
      </c>
      <c r="C3022" t="s">
        <v>141</v>
      </c>
      <c r="D3022" t="s">
        <v>22</v>
      </c>
      <c r="E3022" t="s">
        <v>9</v>
      </c>
      <c r="F3022">
        <v>81</v>
      </c>
      <c r="G3022" t="s">
        <v>60</v>
      </c>
      <c r="H3022" t="s">
        <v>24</v>
      </c>
      <c r="I3022" t="s">
        <v>49</v>
      </c>
      <c r="J3022" t="s">
        <v>45</v>
      </c>
      <c r="K3022">
        <v>2.8</v>
      </c>
      <c r="L3022" t="s">
        <v>140</v>
      </c>
      <c r="M3022" t="s">
        <v>62</v>
      </c>
      <c r="N3022" t="s">
        <v>140</v>
      </c>
      <c r="O3022">
        <v>48</v>
      </c>
      <c r="P3022" t="s">
        <v>16</v>
      </c>
      <c r="Q3022" t="s">
        <v>85</v>
      </c>
      <c r="R3022" t="str" cm="1">
        <f t="array" ref="R3022">_xlfn.IFS(B3022&lt;31,"Young-Adult",B3022&lt;41,"Adult",B3022&lt;61,"Middle-aged",B3022&gt;=61,"Senior")</f>
        <v>Young-Adult</v>
      </c>
      <c r="S3022" cm="1">
        <f t="array" ref="S3022">_xlfn.IFS(Q3022 ="Fortnightly",14,Q3022="Weekly",7,Q3022="Monthly",30,Q3022="Quarterly",90,Q3022="Bi-Weekly",14,Q3022="Annually",365,Q3022="Every 3 Months",90,TRUE,"NOT FOUND")</f>
        <v>90</v>
      </c>
    </row>
    <row r="3023" spans="1:19" x14ac:dyDescent="0.35">
      <c r="A3023">
        <v>3022</v>
      </c>
      <c r="B3023">
        <v>65</v>
      </c>
      <c r="C3023" t="s">
        <v>141</v>
      </c>
      <c r="D3023" t="s">
        <v>77</v>
      </c>
      <c r="E3023" t="s">
        <v>55</v>
      </c>
      <c r="F3023">
        <v>77</v>
      </c>
      <c r="G3023" t="s">
        <v>126</v>
      </c>
      <c r="H3023" t="s">
        <v>24</v>
      </c>
      <c r="I3023" t="s">
        <v>132</v>
      </c>
      <c r="J3023" t="s">
        <v>41</v>
      </c>
      <c r="K3023">
        <v>4.5</v>
      </c>
      <c r="L3023" t="s">
        <v>140</v>
      </c>
      <c r="M3023" t="s">
        <v>58</v>
      </c>
      <c r="N3023" t="s">
        <v>140</v>
      </c>
      <c r="O3023">
        <v>47</v>
      </c>
      <c r="P3023" t="s">
        <v>21</v>
      </c>
      <c r="Q3023" t="s">
        <v>46</v>
      </c>
      <c r="R3023" t="str" cm="1">
        <f t="array" ref="R3023">_xlfn.IFS(B3023&lt;31,"Young-Adult",B3023&lt;41,"Adult",B3023&lt;61,"Middle-aged",B3023&gt;=61,"Senior")</f>
        <v>Senior</v>
      </c>
      <c r="S3023" cm="1">
        <f t="array" ref="S3023">_xlfn.IFS(Q3023 ="Fortnightly",14,Q3023="Weekly",7,Q3023="Monthly",30,Q3023="Quarterly",90,Q3023="Bi-Weekly",14,Q3023="Annually",365,Q3023="Every 3 Months",90,TRUE,"NOT FOUND")</f>
        <v>90</v>
      </c>
    </row>
    <row r="3024" spans="1:19" x14ac:dyDescent="0.35">
      <c r="A3024">
        <v>3023</v>
      </c>
      <c r="B3024">
        <v>58</v>
      </c>
      <c r="C3024" t="s">
        <v>141</v>
      </c>
      <c r="D3024" t="s">
        <v>29</v>
      </c>
      <c r="E3024" t="s">
        <v>30</v>
      </c>
      <c r="F3024">
        <v>26</v>
      </c>
      <c r="G3024" t="s">
        <v>130</v>
      </c>
      <c r="H3024" t="s">
        <v>32</v>
      </c>
      <c r="I3024" t="s">
        <v>81</v>
      </c>
      <c r="J3024" t="s">
        <v>45</v>
      </c>
      <c r="K3024">
        <v>4</v>
      </c>
      <c r="L3024" t="s">
        <v>140</v>
      </c>
      <c r="M3024" t="s">
        <v>26</v>
      </c>
      <c r="N3024" t="s">
        <v>140</v>
      </c>
      <c r="O3024">
        <v>23</v>
      </c>
      <c r="P3024" t="s">
        <v>34</v>
      </c>
      <c r="Q3024" t="s">
        <v>28</v>
      </c>
      <c r="R3024" t="str" cm="1">
        <f t="array" ref="R3024">_xlfn.IFS(B3024&lt;31,"Young-Adult",B3024&lt;41,"Adult",B3024&lt;61,"Middle-aged",B3024&gt;=61,"Senior")</f>
        <v>Middle-aged</v>
      </c>
      <c r="S3024" cm="1">
        <f t="array" ref="S3024">_xlfn.IFS(Q3024 ="Fortnightly",14,Q3024="Weekly",7,Q3024="Monthly",30,Q3024="Quarterly",90,Q3024="Bi-Weekly",14,Q3024="Annually",365,Q3024="Every 3 Months",90,TRUE,"NOT FOUND")</f>
        <v>7</v>
      </c>
    </row>
    <row r="3025" spans="1:19" x14ac:dyDescent="0.35">
      <c r="A3025">
        <v>3024</v>
      </c>
      <c r="B3025">
        <v>50</v>
      </c>
      <c r="C3025" t="s">
        <v>141</v>
      </c>
      <c r="D3025" t="s">
        <v>120</v>
      </c>
      <c r="E3025" t="s">
        <v>55</v>
      </c>
      <c r="F3025">
        <v>31</v>
      </c>
      <c r="G3025" t="s">
        <v>104</v>
      </c>
      <c r="H3025" t="s">
        <v>32</v>
      </c>
      <c r="I3025" t="s">
        <v>98</v>
      </c>
      <c r="J3025" t="s">
        <v>41</v>
      </c>
      <c r="K3025">
        <v>2.9</v>
      </c>
      <c r="L3025" t="s">
        <v>140</v>
      </c>
      <c r="M3025" t="s">
        <v>15</v>
      </c>
      <c r="N3025" t="s">
        <v>140</v>
      </c>
      <c r="O3025">
        <v>4</v>
      </c>
      <c r="P3025" t="s">
        <v>34</v>
      </c>
      <c r="Q3025" t="s">
        <v>46</v>
      </c>
      <c r="R3025" t="str" cm="1">
        <f t="array" ref="R3025">_xlfn.IFS(B3025&lt;31,"Young-Adult",B3025&lt;41,"Adult",B3025&lt;61,"Middle-aged",B3025&gt;=61,"Senior")</f>
        <v>Middle-aged</v>
      </c>
      <c r="S3025" cm="1">
        <f t="array" ref="S3025">_xlfn.IFS(Q3025 ="Fortnightly",14,Q3025="Weekly",7,Q3025="Monthly",30,Q3025="Quarterly",90,Q3025="Bi-Weekly",14,Q3025="Annually",365,Q3025="Every 3 Months",90,TRUE,"NOT FOUND")</f>
        <v>90</v>
      </c>
    </row>
    <row r="3026" spans="1:19" x14ac:dyDescent="0.35">
      <c r="A3026">
        <v>3025</v>
      </c>
      <c r="B3026">
        <v>67</v>
      </c>
      <c r="C3026" t="s">
        <v>141</v>
      </c>
      <c r="D3026" t="s">
        <v>8</v>
      </c>
      <c r="E3026" t="s">
        <v>9</v>
      </c>
      <c r="F3026">
        <v>82</v>
      </c>
      <c r="G3026" t="s">
        <v>123</v>
      </c>
      <c r="H3026" t="s">
        <v>24</v>
      </c>
      <c r="I3026" t="s">
        <v>40</v>
      </c>
      <c r="J3026" t="s">
        <v>25</v>
      </c>
      <c r="K3026">
        <v>4</v>
      </c>
      <c r="L3026" t="s">
        <v>140</v>
      </c>
      <c r="M3026" t="s">
        <v>26</v>
      </c>
      <c r="N3026" t="s">
        <v>140</v>
      </c>
      <c r="O3026">
        <v>47</v>
      </c>
      <c r="P3026" t="s">
        <v>27</v>
      </c>
      <c r="Q3026" t="s">
        <v>85</v>
      </c>
      <c r="R3026" t="str" cm="1">
        <f t="array" ref="R3026">_xlfn.IFS(B3026&lt;31,"Young-Adult",B3026&lt;41,"Adult",B3026&lt;61,"Middle-aged",B3026&gt;=61,"Senior")</f>
        <v>Senior</v>
      </c>
      <c r="S3026" cm="1">
        <f t="array" ref="S3026">_xlfn.IFS(Q3026 ="Fortnightly",14,Q3026="Weekly",7,Q3026="Monthly",30,Q3026="Quarterly",90,Q3026="Bi-Weekly",14,Q3026="Annually",365,Q3026="Every 3 Months",90,TRUE,"NOT FOUND")</f>
        <v>90</v>
      </c>
    </row>
    <row r="3027" spans="1:19" x14ac:dyDescent="0.35">
      <c r="A3027">
        <v>3026</v>
      </c>
      <c r="B3027">
        <v>40</v>
      </c>
      <c r="C3027" t="s">
        <v>141</v>
      </c>
      <c r="D3027" t="s">
        <v>59</v>
      </c>
      <c r="E3027" t="s">
        <v>30</v>
      </c>
      <c r="F3027">
        <v>60</v>
      </c>
      <c r="G3027" t="s">
        <v>44</v>
      </c>
      <c r="H3027" t="s">
        <v>80</v>
      </c>
      <c r="I3027" t="s">
        <v>84</v>
      </c>
      <c r="J3027" t="s">
        <v>41</v>
      </c>
      <c r="K3027">
        <v>3.4</v>
      </c>
      <c r="L3027" t="s">
        <v>140</v>
      </c>
      <c r="M3027" t="s">
        <v>62</v>
      </c>
      <c r="N3027" t="s">
        <v>140</v>
      </c>
      <c r="O3027">
        <v>7</v>
      </c>
      <c r="P3027" t="s">
        <v>34</v>
      </c>
      <c r="Q3027" t="s">
        <v>76</v>
      </c>
      <c r="R3027" t="str" cm="1">
        <f t="array" ref="R3027">_xlfn.IFS(B3027&lt;31,"Young-Adult",B3027&lt;41,"Adult",B3027&lt;61,"Middle-aged",B3027&gt;=61,"Senior")</f>
        <v>Adult</v>
      </c>
      <c r="S3027" cm="1">
        <f t="array" ref="S3027">_xlfn.IFS(Q3027 ="Fortnightly",14,Q3027="Weekly",7,Q3027="Monthly",30,Q3027="Quarterly",90,Q3027="Bi-Weekly",14,Q3027="Annually",365,Q3027="Every 3 Months",90,TRUE,"NOT FOUND")</f>
        <v>30</v>
      </c>
    </row>
    <row r="3028" spans="1:19" x14ac:dyDescent="0.35">
      <c r="A3028">
        <v>3027</v>
      </c>
      <c r="B3028">
        <v>55</v>
      </c>
      <c r="C3028" t="s">
        <v>141</v>
      </c>
      <c r="D3028" t="s">
        <v>43</v>
      </c>
      <c r="E3028" t="s">
        <v>9</v>
      </c>
      <c r="F3028">
        <v>70</v>
      </c>
      <c r="G3028" t="s">
        <v>110</v>
      </c>
      <c r="H3028" t="s">
        <v>11</v>
      </c>
      <c r="I3028" t="s">
        <v>124</v>
      </c>
      <c r="J3028" t="s">
        <v>45</v>
      </c>
      <c r="K3028">
        <v>2.5</v>
      </c>
      <c r="L3028" t="s">
        <v>140</v>
      </c>
      <c r="M3028" t="s">
        <v>26</v>
      </c>
      <c r="N3028" t="s">
        <v>140</v>
      </c>
      <c r="O3028">
        <v>6</v>
      </c>
      <c r="P3028" t="s">
        <v>27</v>
      </c>
      <c r="Q3028" t="s">
        <v>37</v>
      </c>
      <c r="R3028" t="str" cm="1">
        <f t="array" ref="R3028">_xlfn.IFS(B3028&lt;31,"Young-Adult",B3028&lt;41,"Adult",B3028&lt;61,"Middle-aged",B3028&gt;=61,"Senior")</f>
        <v>Middle-aged</v>
      </c>
      <c r="S3028" cm="1">
        <f t="array" ref="S3028">_xlfn.IFS(Q3028 ="Fortnightly",14,Q3028="Weekly",7,Q3028="Monthly",30,Q3028="Quarterly",90,Q3028="Bi-Weekly",14,Q3028="Annually",365,Q3028="Every 3 Months",90,TRUE,"NOT FOUND")</f>
        <v>365</v>
      </c>
    </row>
    <row r="3029" spans="1:19" x14ac:dyDescent="0.35">
      <c r="A3029">
        <v>3028</v>
      </c>
      <c r="B3029">
        <v>52</v>
      </c>
      <c r="C3029" t="s">
        <v>141</v>
      </c>
      <c r="D3029" t="s">
        <v>92</v>
      </c>
      <c r="E3029" t="s">
        <v>9</v>
      </c>
      <c r="F3029">
        <v>26</v>
      </c>
      <c r="G3029" t="s">
        <v>52</v>
      </c>
      <c r="H3029" t="s">
        <v>80</v>
      </c>
      <c r="I3029" t="s">
        <v>88</v>
      </c>
      <c r="J3029" t="s">
        <v>13</v>
      </c>
      <c r="K3029">
        <v>2.8</v>
      </c>
      <c r="L3029" t="s">
        <v>140</v>
      </c>
      <c r="M3029" t="s">
        <v>58</v>
      </c>
      <c r="N3029" t="s">
        <v>140</v>
      </c>
      <c r="O3029">
        <v>47</v>
      </c>
      <c r="P3029" t="s">
        <v>27</v>
      </c>
      <c r="Q3029" t="s">
        <v>46</v>
      </c>
      <c r="R3029" t="str" cm="1">
        <f t="array" ref="R3029">_xlfn.IFS(B3029&lt;31,"Young-Adult",B3029&lt;41,"Adult",B3029&lt;61,"Middle-aged",B3029&gt;=61,"Senior")</f>
        <v>Middle-aged</v>
      </c>
      <c r="S3029" cm="1">
        <f t="array" ref="S3029">_xlfn.IFS(Q3029 ="Fortnightly",14,Q3029="Weekly",7,Q3029="Monthly",30,Q3029="Quarterly",90,Q3029="Bi-Weekly",14,Q3029="Annually",365,Q3029="Every 3 Months",90,TRUE,"NOT FOUND")</f>
        <v>90</v>
      </c>
    </row>
    <row r="3030" spans="1:19" x14ac:dyDescent="0.35">
      <c r="A3030">
        <v>3029</v>
      </c>
      <c r="B3030">
        <v>62</v>
      </c>
      <c r="C3030" t="s">
        <v>141</v>
      </c>
      <c r="D3030" t="s">
        <v>69</v>
      </c>
      <c r="E3030" t="s">
        <v>9</v>
      </c>
      <c r="F3030">
        <v>100</v>
      </c>
      <c r="G3030" t="s">
        <v>87</v>
      </c>
      <c r="H3030" t="s">
        <v>11</v>
      </c>
      <c r="I3030" t="s">
        <v>49</v>
      </c>
      <c r="J3030" t="s">
        <v>41</v>
      </c>
      <c r="K3030">
        <v>3</v>
      </c>
      <c r="L3030" t="s">
        <v>140</v>
      </c>
      <c r="M3030" t="s">
        <v>26</v>
      </c>
      <c r="N3030" t="s">
        <v>140</v>
      </c>
      <c r="O3030">
        <v>7</v>
      </c>
      <c r="P3030" t="s">
        <v>34</v>
      </c>
      <c r="Q3030" t="s">
        <v>85</v>
      </c>
      <c r="R3030" t="str" cm="1">
        <f t="array" ref="R3030">_xlfn.IFS(B3030&lt;31,"Young-Adult",B3030&lt;41,"Adult",B3030&lt;61,"Middle-aged",B3030&gt;=61,"Senior")</f>
        <v>Senior</v>
      </c>
      <c r="S3030" cm="1">
        <f t="array" ref="S3030">_xlfn.IFS(Q3030 ="Fortnightly",14,Q3030="Weekly",7,Q3030="Monthly",30,Q3030="Quarterly",90,Q3030="Bi-Weekly",14,Q3030="Annually",365,Q3030="Every 3 Months",90,TRUE,"NOT FOUND")</f>
        <v>90</v>
      </c>
    </row>
    <row r="3031" spans="1:19" x14ac:dyDescent="0.35">
      <c r="A3031">
        <v>3030</v>
      </c>
      <c r="B3031">
        <v>64</v>
      </c>
      <c r="C3031" t="s">
        <v>141</v>
      </c>
      <c r="D3031" t="s">
        <v>69</v>
      </c>
      <c r="E3031" t="s">
        <v>9</v>
      </c>
      <c r="F3031">
        <v>82</v>
      </c>
      <c r="G3031" t="s">
        <v>130</v>
      </c>
      <c r="H3031" t="s">
        <v>32</v>
      </c>
      <c r="I3031" t="s">
        <v>68</v>
      </c>
      <c r="J3031" t="s">
        <v>41</v>
      </c>
      <c r="K3031">
        <v>3.1</v>
      </c>
      <c r="L3031" t="s">
        <v>140</v>
      </c>
      <c r="M3031" t="s">
        <v>26</v>
      </c>
      <c r="N3031" t="s">
        <v>140</v>
      </c>
      <c r="O3031">
        <v>1</v>
      </c>
      <c r="P3031" t="s">
        <v>74</v>
      </c>
      <c r="Q3031" t="s">
        <v>46</v>
      </c>
      <c r="R3031" t="str" cm="1">
        <f t="array" ref="R3031">_xlfn.IFS(B3031&lt;31,"Young-Adult",B3031&lt;41,"Adult",B3031&lt;61,"Middle-aged",B3031&gt;=61,"Senior")</f>
        <v>Senior</v>
      </c>
      <c r="S3031" cm="1">
        <f t="array" ref="S3031">_xlfn.IFS(Q3031 ="Fortnightly",14,Q3031="Weekly",7,Q3031="Monthly",30,Q3031="Quarterly",90,Q3031="Bi-Weekly",14,Q3031="Annually",365,Q3031="Every 3 Months",90,TRUE,"NOT FOUND")</f>
        <v>90</v>
      </c>
    </row>
    <row r="3032" spans="1:19" x14ac:dyDescent="0.35">
      <c r="A3032">
        <v>3031</v>
      </c>
      <c r="B3032">
        <v>43</v>
      </c>
      <c r="C3032" t="s">
        <v>141</v>
      </c>
      <c r="D3032" t="s">
        <v>38</v>
      </c>
      <c r="E3032" t="s">
        <v>30</v>
      </c>
      <c r="F3032">
        <v>24</v>
      </c>
      <c r="G3032" t="s">
        <v>116</v>
      </c>
      <c r="H3032" t="s">
        <v>80</v>
      </c>
      <c r="I3032" t="s">
        <v>61</v>
      </c>
      <c r="J3032" t="s">
        <v>25</v>
      </c>
      <c r="K3032">
        <v>2.6</v>
      </c>
      <c r="L3032" t="s">
        <v>140</v>
      </c>
      <c r="M3032" t="s">
        <v>58</v>
      </c>
      <c r="N3032" t="s">
        <v>140</v>
      </c>
      <c r="O3032">
        <v>23</v>
      </c>
      <c r="P3032" t="s">
        <v>27</v>
      </c>
      <c r="Q3032" t="s">
        <v>28</v>
      </c>
      <c r="R3032" t="str" cm="1">
        <f t="array" ref="R3032">_xlfn.IFS(B3032&lt;31,"Young-Adult",B3032&lt;41,"Adult",B3032&lt;61,"Middle-aged",B3032&gt;=61,"Senior")</f>
        <v>Middle-aged</v>
      </c>
      <c r="S3032" cm="1">
        <f t="array" ref="S3032">_xlfn.IFS(Q3032 ="Fortnightly",14,Q3032="Weekly",7,Q3032="Monthly",30,Q3032="Quarterly",90,Q3032="Bi-Weekly",14,Q3032="Annually",365,Q3032="Every 3 Months",90,TRUE,"NOT FOUND")</f>
        <v>7</v>
      </c>
    </row>
    <row r="3033" spans="1:19" x14ac:dyDescent="0.35">
      <c r="A3033">
        <v>3032</v>
      </c>
      <c r="B3033">
        <v>61</v>
      </c>
      <c r="C3033" t="s">
        <v>141</v>
      </c>
      <c r="D3033" t="s">
        <v>8</v>
      </c>
      <c r="E3033" t="s">
        <v>9</v>
      </c>
      <c r="F3033">
        <v>74</v>
      </c>
      <c r="G3033" t="s">
        <v>123</v>
      </c>
      <c r="H3033" t="s">
        <v>11</v>
      </c>
      <c r="I3033" t="s">
        <v>73</v>
      </c>
      <c r="J3033" t="s">
        <v>41</v>
      </c>
      <c r="K3033">
        <v>4.9000000000000004</v>
      </c>
      <c r="L3033" t="s">
        <v>140</v>
      </c>
      <c r="M3033" t="s">
        <v>58</v>
      </c>
      <c r="N3033" t="s">
        <v>140</v>
      </c>
      <c r="O3033">
        <v>30</v>
      </c>
      <c r="P3033" t="s">
        <v>27</v>
      </c>
      <c r="Q3033" t="s">
        <v>76</v>
      </c>
      <c r="R3033" t="str" cm="1">
        <f t="array" ref="R3033">_xlfn.IFS(B3033&lt;31,"Young-Adult",B3033&lt;41,"Adult",B3033&lt;61,"Middle-aged",B3033&gt;=61,"Senior")</f>
        <v>Senior</v>
      </c>
      <c r="S3033" cm="1">
        <f t="array" ref="S3033">_xlfn.IFS(Q3033 ="Fortnightly",14,Q3033="Weekly",7,Q3033="Monthly",30,Q3033="Quarterly",90,Q3033="Bi-Weekly",14,Q3033="Annually",365,Q3033="Every 3 Months",90,TRUE,"NOT FOUND")</f>
        <v>30</v>
      </c>
    </row>
    <row r="3034" spans="1:19" x14ac:dyDescent="0.35">
      <c r="A3034">
        <v>3033</v>
      </c>
      <c r="B3034">
        <v>26</v>
      </c>
      <c r="C3034" t="s">
        <v>141</v>
      </c>
      <c r="D3034" t="s">
        <v>120</v>
      </c>
      <c r="E3034" t="s">
        <v>55</v>
      </c>
      <c r="F3034">
        <v>58</v>
      </c>
      <c r="G3034" t="s">
        <v>87</v>
      </c>
      <c r="H3034" t="s">
        <v>80</v>
      </c>
      <c r="I3034" t="s">
        <v>84</v>
      </c>
      <c r="J3034" t="s">
        <v>41</v>
      </c>
      <c r="K3034">
        <v>3.5</v>
      </c>
      <c r="L3034" t="s">
        <v>140</v>
      </c>
      <c r="M3034" t="s">
        <v>33</v>
      </c>
      <c r="N3034" t="s">
        <v>140</v>
      </c>
      <c r="O3034">
        <v>24</v>
      </c>
      <c r="P3034" t="s">
        <v>27</v>
      </c>
      <c r="Q3034" t="s">
        <v>46</v>
      </c>
      <c r="R3034" t="str" cm="1">
        <f t="array" ref="R3034">_xlfn.IFS(B3034&lt;31,"Young-Adult",B3034&lt;41,"Adult",B3034&lt;61,"Middle-aged",B3034&gt;=61,"Senior")</f>
        <v>Young-Adult</v>
      </c>
      <c r="S3034" cm="1">
        <f t="array" ref="S3034">_xlfn.IFS(Q3034 ="Fortnightly",14,Q3034="Weekly",7,Q3034="Monthly",30,Q3034="Quarterly",90,Q3034="Bi-Weekly",14,Q3034="Annually",365,Q3034="Every 3 Months",90,TRUE,"NOT FOUND")</f>
        <v>90</v>
      </c>
    </row>
    <row r="3035" spans="1:19" x14ac:dyDescent="0.35">
      <c r="A3035">
        <v>3034</v>
      </c>
      <c r="B3035">
        <v>22</v>
      </c>
      <c r="C3035" t="s">
        <v>141</v>
      </c>
      <c r="D3035" t="s">
        <v>18</v>
      </c>
      <c r="E3035" t="s">
        <v>9</v>
      </c>
      <c r="F3035">
        <v>56</v>
      </c>
      <c r="G3035" t="s">
        <v>78</v>
      </c>
      <c r="H3035" t="s">
        <v>11</v>
      </c>
      <c r="I3035" t="s">
        <v>109</v>
      </c>
      <c r="J3035" t="s">
        <v>25</v>
      </c>
      <c r="K3035">
        <v>2.6</v>
      </c>
      <c r="L3035" t="s">
        <v>140</v>
      </c>
      <c r="M3035" t="s">
        <v>62</v>
      </c>
      <c r="N3035" t="s">
        <v>140</v>
      </c>
      <c r="O3035">
        <v>9</v>
      </c>
      <c r="P3035" t="s">
        <v>34</v>
      </c>
      <c r="Q3035" t="s">
        <v>28</v>
      </c>
      <c r="R3035" t="str" cm="1">
        <f t="array" ref="R3035">_xlfn.IFS(B3035&lt;31,"Young-Adult",B3035&lt;41,"Adult",B3035&lt;61,"Middle-aged",B3035&gt;=61,"Senior")</f>
        <v>Young-Adult</v>
      </c>
      <c r="S3035" cm="1">
        <f t="array" ref="S3035">_xlfn.IFS(Q3035 ="Fortnightly",14,Q3035="Weekly",7,Q3035="Monthly",30,Q3035="Quarterly",90,Q3035="Bi-Weekly",14,Q3035="Annually",365,Q3035="Every 3 Months",90,TRUE,"NOT FOUND")</f>
        <v>7</v>
      </c>
    </row>
    <row r="3036" spans="1:19" x14ac:dyDescent="0.35">
      <c r="A3036">
        <v>3035</v>
      </c>
      <c r="B3036">
        <v>51</v>
      </c>
      <c r="C3036" t="s">
        <v>141</v>
      </c>
      <c r="D3036" t="s">
        <v>125</v>
      </c>
      <c r="E3036" t="s">
        <v>30</v>
      </c>
      <c r="F3036">
        <v>37</v>
      </c>
      <c r="G3036" t="s">
        <v>128</v>
      </c>
      <c r="H3036" t="s">
        <v>11</v>
      </c>
      <c r="I3036" t="s">
        <v>88</v>
      </c>
      <c r="J3036" t="s">
        <v>25</v>
      </c>
      <c r="K3036">
        <v>3.5</v>
      </c>
      <c r="L3036" t="s">
        <v>140</v>
      </c>
      <c r="M3036" t="s">
        <v>58</v>
      </c>
      <c r="N3036" t="s">
        <v>140</v>
      </c>
      <c r="O3036">
        <v>25</v>
      </c>
      <c r="P3036" t="s">
        <v>27</v>
      </c>
      <c r="Q3036" t="s">
        <v>46</v>
      </c>
      <c r="R3036" t="str" cm="1">
        <f t="array" ref="R3036">_xlfn.IFS(B3036&lt;31,"Young-Adult",B3036&lt;41,"Adult",B3036&lt;61,"Middle-aged",B3036&gt;=61,"Senior")</f>
        <v>Middle-aged</v>
      </c>
      <c r="S3036" cm="1">
        <f t="array" ref="S3036">_xlfn.IFS(Q3036 ="Fortnightly",14,Q3036="Weekly",7,Q3036="Monthly",30,Q3036="Quarterly",90,Q3036="Bi-Weekly",14,Q3036="Annually",365,Q3036="Every 3 Months",90,TRUE,"NOT FOUND")</f>
        <v>90</v>
      </c>
    </row>
    <row r="3037" spans="1:19" x14ac:dyDescent="0.35">
      <c r="A3037">
        <v>3036</v>
      </c>
      <c r="B3037">
        <v>69</v>
      </c>
      <c r="C3037" t="s">
        <v>141</v>
      </c>
      <c r="D3037" t="s">
        <v>54</v>
      </c>
      <c r="E3037" t="s">
        <v>55</v>
      </c>
      <c r="F3037">
        <v>64</v>
      </c>
      <c r="G3037" t="s">
        <v>10</v>
      </c>
      <c r="H3037" t="s">
        <v>32</v>
      </c>
      <c r="I3037" t="s">
        <v>68</v>
      </c>
      <c r="J3037" t="s">
        <v>25</v>
      </c>
      <c r="K3037">
        <v>4.5</v>
      </c>
      <c r="L3037" t="s">
        <v>140</v>
      </c>
      <c r="M3037" t="s">
        <v>26</v>
      </c>
      <c r="N3037" t="s">
        <v>140</v>
      </c>
      <c r="O3037">
        <v>18</v>
      </c>
      <c r="P3037" t="s">
        <v>21</v>
      </c>
      <c r="Q3037" t="s">
        <v>64</v>
      </c>
      <c r="R3037" t="str" cm="1">
        <f t="array" ref="R3037">_xlfn.IFS(B3037&lt;31,"Young-Adult",B3037&lt;41,"Adult",B3037&lt;61,"Middle-aged",B3037&gt;=61,"Senior")</f>
        <v>Senior</v>
      </c>
      <c r="S3037" cm="1">
        <f t="array" ref="S3037">_xlfn.IFS(Q3037 ="Fortnightly",14,Q3037="Weekly",7,Q3037="Monthly",30,Q3037="Quarterly",90,Q3037="Bi-Weekly",14,Q3037="Annually",365,Q3037="Every 3 Months",90,TRUE,"NOT FOUND")</f>
        <v>14</v>
      </c>
    </row>
    <row r="3038" spans="1:19" x14ac:dyDescent="0.35">
      <c r="A3038">
        <v>3037</v>
      </c>
      <c r="B3038">
        <v>50</v>
      </c>
      <c r="C3038" t="s">
        <v>141</v>
      </c>
      <c r="D3038" t="s">
        <v>92</v>
      </c>
      <c r="E3038" t="s">
        <v>9</v>
      </c>
      <c r="F3038">
        <v>58</v>
      </c>
      <c r="G3038" t="s">
        <v>117</v>
      </c>
      <c r="H3038" t="s">
        <v>24</v>
      </c>
      <c r="I3038" t="s">
        <v>71</v>
      </c>
      <c r="J3038" t="s">
        <v>25</v>
      </c>
      <c r="K3038">
        <v>4.3</v>
      </c>
      <c r="L3038" t="s">
        <v>140</v>
      </c>
      <c r="M3038" t="s">
        <v>33</v>
      </c>
      <c r="N3038" t="s">
        <v>140</v>
      </c>
      <c r="O3038">
        <v>7</v>
      </c>
      <c r="P3038" t="s">
        <v>16</v>
      </c>
      <c r="Q3038" t="s">
        <v>17</v>
      </c>
      <c r="R3038" t="str" cm="1">
        <f t="array" ref="R3038">_xlfn.IFS(B3038&lt;31,"Young-Adult",B3038&lt;41,"Adult",B3038&lt;61,"Middle-aged",B3038&gt;=61,"Senior")</f>
        <v>Middle-aged</v>
      </c>
      <c r="S3038" cm="1">
        <f t="array" ref="S3038">_xlfn.IFS(Q3038 ="Fortnightly",14,Q3038="Weekly",7,Q3038="Monthly",30,Q3038="Quarterly",90,Q3038="Bi-Weekly",14,Q3038="Annually",365,Q3038="Every 3 Months",90,TRUE,"NOT FOUND")</f>
        <v>14</v>
      </c>
    </row>
    <row r="3039" spans="1:19" x14ac:dyDescent="0.35">
      <c r="A3039">
        <v>3038</v>
      </c>
      <c r="B3039">
        <v>51</v>
      </c>
      <c r="C3039" t="s">
        <v>141</v>
      </c>
      <c r="D3039" t="s">
        <v>121</v>
      </c>
      <c r="E3039" t="s">
        <v>55</v>
      </c>
      <c r="F3039">
        <v>44</v>
      </c>
      <c r="G3039" t="s">
        <v>134</v>
      </c>
      <c r="H3039" t="s">
        <v>11</v>
      </c>
      <c r="I3039" t="s">
        <v>49</v>
      </c>
      <c r="J3039" t="s">
        <v>41</v>
      </c>
      <c r="K3039">
        <v>4.8</v>
      </c>
      <c r="L3039" t="s">
        <v>140</v>
      </c>
      <c r="M3039" t="s">
        <v>33</v>
      </c>
      <c r="N3039" t="s">
        <v>140</v>
      </c>
      <c r="O3039">
        <v>2</v>
      </c>
      <c r="P3039" t="s">
        <v>21</v>
      </c>
      <c r="Q3039" t="s">
        <v>37</v>
      </c>
      <c r="R3039" t="str" cm="1">
        <f t="array" ref="R3039">_xlfn.IFS(B3039&lt;31,"Young-Adult",B3039&lt;41,"Adult",B3039&lt;61,"Middle-aged",B3039&gt;=61,"Senior")</f>
        <v>Middle-aged</v>
      </c>
      <c r="S3039" cm="1">
        <f t="array" ref="S3039">_xlfn.IFS(Q3039 ="Fortnightly",14,Q3039="Weekly",7,Q3039="Monthly",30,Q3039="Quarterly",90,Q3039="Bi-Weekly",14,Q3039="Annually",365,Q3039="Every 3 Months",90,TRUE,"NOT FOUND")</f>
        <v>365</v>
      </c>
    </row>
    <row r="3040" spans="1:19" x14ac:dyDescent="0.35">
      <c r="A3040">
        <v>3039</v>
      </c>
      <c r="B3040">
        <v>56</v>
      </c>
      <c r="C3040" t="s">
        <v>141</v>
      </c>
      <c r="D3040" t="s">
        <v>94</v>
      </c>
      <c r="E3040" t="s">
        <v>55</v>
      </c>
      <c r="F3040">
        <v>39</v>
      </c>
      <c r="G3040" t="s">
        <v>130</v>
      </c>
      <c r="H3040" t="s">
        <v>32</v>
      </c>
      <c r="I3040" t="s">
        <v>98</v>
      </c>
      <c r="J3040" t="s">
        <v>41</v>
      </c>
      <c r="K3040">
        <v>4.2</v>
      </c>
      <c r="L3040" t="s">
        <v>140</v>
      </c>
      <c r="M3040" t="s">
        <v>26</v>
      </c>
      <c r="N3040" t="s">
        <v>140</v>
      </c>
      <c r="O3040">
        <v>36</v>
      </c>
      <c r="P3040" t="s">
        <v>74</v>
      </c>
      <c r="Q3040" t="s">
        <v>37</v>
      </c>
      <c r="R3040" t="str" cm="1">
        <f t="array" ref="R3040">_xlfn.IFS(B3040&lt;31,"Young-Adult",B3040&lt;41,"Adult",B3040&lt;61,"Middle-aged",B3040&gt;=61,"Senior")</f>
        <v>Middle-aged</v>
      </c>
      <c r="S3040" cm="1">
        <f t="array" ref="S3040">_xlfn.IFS(Q3040 ="Fortnightly",14,Q3040="Weekly",7,Q3040="Monthly",30,Q3040="Quarterly",90,Q3040="Bi-Weekly",14,Q3040="Annually",365,Q3040="Every 3 Months",90,TRUE,"NOT FOUND")</f>
        <v>365</v>
      </c>
    </row>
    <row r="3041" spans="1:19" x14ac:dyDescent="0.35">
      <c r="A3041">
        <v>3040</v>
      </c>
      <c r="B3041">
        <v>59</v>
      </c>
      <c r="C3041" t="s">
        <v>141</v>
      </c>
      <c r="D3041" t="s">
        <v>8</v>
      </c>
      <c r="E3041" t="s">
        <v>9</v>
      </c>
      <c r="F3041">
        <v>48</v>
      </c>
      <c r="G3041" t="s">
        <v>78</v>
      </c>
      <c r="H3041" t="s">
        <v>11</v>
      </c>
      <c r="I3041" t="s">
        <v>132</v>
      </c>
      <c r="J3041" t="s">
        <v>25</v>
      </c>
      <c r="K3041">
        <v>3.2</v>
      </c>
      <c r="L3041" t="s">
        <v>140</v>
      </c>
      <c r="M3041" t="s">
        <v>33</v>
      </c>
      <c r="N3041" t="s">
        <v>140</v>
      </c>
      <c r="O3041">
        <v>31</v>
      </c>
      <c r="P3041" t="s">
        <v>34</v>
      </c>
      <c r="Q3041" t="s">
        <v>64</v>
      </c>
      <c r="R3041" t="str" cm="1">
        <f t="array" ref="R3041">_xlfn.IFS(B3041&lt;31,"Young-Adult",B3041&lt;41,"Adult",B3041&lt;61,"Middle-aged",B3041&gt;=61,"Senior")</f>
        <v>Middle-aged</v>
      </c>
      <c r="S3041" cm="1">
        <f t="array" ref="S3041">_xlfn.IFS(Q3041 ="Fortnightly",14,Q3041="Weekly",7,Q3041="Monthly",30,Q3041="Quarterly",90,Q3041="Bi-Weekly",14,Q3041="Annually",365,Q3041="Every 3 Months",90,TRUE,"NOT FOUND")</f>
        <v>14</v>
      </c>
    </row>
    <row r="3042" spans="1:19" x14ac:dyDescent="0.35">
      <c r="A3042">
        <v>3041</v>
      </c>
      <c r="B3042">
        <v>18</v>
      </c>
      <c r="C3042" t="s">
        <v>141</v>
      </c>
      <c r="D3042" t="s">
        <v>54</v>
      </c>
      <c r="E3042" t="s">
        <v>55</v>
      </c>
      <c r="F3042">
        <v>32</v>
      </c>
      <c r="G3042" t="s">
        <v>133</v>
      </c>
      <c r="H3042" t="s">
        <v>32</v>
      </c>
      <c r="I3042" t="s">
        <v>68</v>
      </c>
      <c r="J3042" t="s">
        <v>45</v>
      </c>
      <c r="K3042">
        <v>4.0999999999999996</v>
      </c>
      <c r="L3042" t="s">
        <v>140</v>
      </c>
      <c r="M3042" t="s">
        <v>15</v>
      </c>
      <c r="N3042" t="s">
        <v>140</v>
      </c>
      <c r="O3042">
        <v>10</v>
      </c>
      <c r="P3042" t="s">
        <v>21</v>
      </c>
      <c r="Q3042" t="s">
        <v>17</v>
      </c>
      <c r="R3042" t="str" cm="1">
        <f t="array" ref="R3042">_xlfn.IFS(B3042&lt;31,"Young-Adult",B3042&lt;41,"Adult",B3042&lt;61,"Middle-aged",B3042&gt;=61,"Senior")</f>
        <v>Young-Adult</v>
      </c>
      <c r="S3042" cm="1">
        <f t="array" ref="S3042">_xlfn.IFS(Q3042 ="Fortnightly",14,Q3042="Weekly",7,Q3042="Monthly",30,Q3042="Quarterly",90,Q3042="Bi-Weekly",14,Q3042="Annually",365,Q3042="Every 3 Months",90,TRUE,"NOT FOUND")</f>
        <v>14</v>
      </c>
    </row>
    <row r="3043" spans="1:19" x14ac:dyDescent="0.35">
      <c r="A3043">
        <v>3042</v>
      </c>
      <c r="B3043">
        <v>48</v>
      </c>
      <c r="C3043" t="s">
        <v>141</v>
      </c>
      <c r="D3043" t="s">
        <v>54</v>
      </c>
      <c r="E3043" t="s">
        <v>55</v>
      </c>
      <c r="F3043">
        <v>79</v>
      </c>
      <c r="G3043" t="s">
        <v>31</v>
      </c>
      <c r="H3043" t="s">
        <v>32</v>
      </c>
      <c r="I3043" t="s">
        <v>109</v>
      </c>
      <c r="J3043" t="s">
        <v>13</v>
      </c>
      <c r="K3043">
        <v>4</v>
      </c>
      <c r="L3043" t="s">
        <v>140</v>
      </c>
      <c r="M3043" t="s">
        <v>15</v>
      </c>
      <c r="N3043" t="s">
        <v>140</v>
      </c>
      <c r="O3043">
        <v>27</v>
      </c>
      <c r="P3043" t="s">
        <v>34</v>
      </c>
      <c r="Q3043" t="s">
        <v>76</v>
      </c>
      <c r="R3043" t="str" cm="1">
        <f t="array" ref="R3043">_xlfn.IFS(B3043&lt;31,"Young-Adult",B3043&lt;41,"Adult",B3043&lt;61,"Middle-aged",B3043&gt;=61,"Senior")</f>
        <v>Middle-aged</v>
      </c>
      <c r="S3043" cm="1">
        <f t="array" ref="S3043">_xlfn.IFS(Q3043 ="Fortnightly",14,Q3043="Weekly",7,Q3043="Monthly",30,Q3043="Quarterly",90,Q3043="Bi-Weekly",14,Q3043="Annually",365,Q3043="Every 3 Months",90,TRUE,"NOT FOUND")</f>
        <v>30</v>
      </c>
    </row>
    <row r="3044" spans="1:19" x14ac:dyDescent="0.35">
      <c r="A3044">
        <v>3043</v>
      </c>
      <c r="B3044">
        <v>53</v>
      </c>
      <c r="C3044" t="s">
        <v>141</v>
      </c>
      <c r="D3044" t="s">
        <v>50</v>
      </c>
      <c r="E3044" t="s">
        <v>51</v>
      </c>
      <c r="F3044">
        <v>27</v>
      </c>
      <c r="G3044" t="s">
        <v>135</v>
      </c>
      <c r="H3044" t="s">
        <v>11</v>
      </c>
      <c r="I3044" t="s">
        <v>36</v>
      </c>
      <c r="J3044" t="s">
        <v>13</v>
      </c>
      <c r="K3044">
        <v>2.9</v>
      </c>
      <c r="L3044" t="s">
        <v>140</v>
      </c>
      <c r="M3044" t="s">
        <v>33</v>
      </c>
      <c r="N3044" t="s">
        <v>140</v>
      </c>
      <c r="O3044">
        <v>14</v>
      </c>
      <c r="P3044" t="s">
        <v>34</v>
      </c>
      <c r="Q3044" t="s">
        <v>85</v>
      </c>
      <c r="R3044" t="str" cm="1">
        <f t="array" ref="R3044">_xlfn.IFS(B3044&lt;31,"Young-Adult",B3044&lt;41,"Adult",B3044&lt;61,"Middle-aged",B3044&gt;=61,"Senior")</f>
        <v>Middle-aged</v>
      </c>
      <c r="S3044" cm="1">
        <f t="array" ref="S3044">_xlfn.IFS(Q3044 ="Fortnightly",14,Q3044="Weekly",7,Q3044="Monthly",30,Q3044="Quarterly",90,Q3044="Bi-Weekly",14,Q3044="Annually",365,Q3044="Every 3 Months",90,TRUE,"NOT FOUND")</f>
        <v>90</v>
      </c>
    </row>
    <row r="3045" spans="1:19" x14ac:dyDescent="0.35">
      <c r="A3045">
        <v>3044</v>
      </c>
      <c r="B3045">
        <v>45</v>
      </c>
      <c r="C3045" t="s">
        <v>141</v>
      </c>
      <c r="D3045" t="s">
        <v>121</v>
      </c>
      <c r="E3045" t="s">
        <v>55</v>
      </c>
      <c r="F3045">
        <v>98</v>
      </c>
      <c r="G3045" t="s">
        <v>103</v>
      </c>
      <c r="H3045" t="s">
        <v>24</v>
      </c>
      <c r="I3045" t="s">
        <v>88</v>
      </c>
      <c r="J3045" t="s">
        <v>45</v>
      </c>
      <c r="K3045">
        <v>2.6</v>
      </c>
      <c r="L3045" t="s">
        <v>140</v>
      </c>
      <c r="M3045" t="s">
        <v>62</v>
      </c>
      <c r="N3045" t="s">
        <v>140</v>
      </c>
      <c r="O3045">
        <v>17</v>
      </c>
      <c r="P3045" t="s">
        <v>27</v>
      </c>
      <c r="Q3045" t="s">
        <v>76</v>
      </c>
      <c r="R3045" t="str" cm="1">
        <f t="array" ref="R3045">_xlfn.IFS(B3045&lt;31,"Young-Adult",B3045&lt;41,"Adult",B3045&lt;61,"Middle-aged",B3045&gt;=61,"Senior")</f>
        <v>Middle-aged</v>
      </c>
      <c r="S3045" cm="1">
        <f t="array" ref="S3045">_xlfn.IFS(Q3045 ="Fortnightly",14,Q3045="Weekly",7,Q3045="Monthly",30,Q3045="Quarterly",90,Q3045="Bi-Weekly",14,Q3045="Annually",365,Q3045="Every 3 Months",90,TRUE,"NOT FOUND")</f>
        <v>30</v>
      </c>
    </row>
    <row r="3046" spans="1:19" x14ac:dyDescent="0.35">
      <c r="A3046">
        <v>3045</v>
      </c>
      <c r="B3046">
        <v>21</v>
      </c>
      <c r="C3046" t="s">
        <v>141</v>
      </c>
      <c r="D3046" t="s">
        <v>125</v>
      </c>
      <c r="E3046" t="s">
        <v>30</v>
      </c>
      <c r="F3046">
        <v>67</v>
      </c>
      <c r="G3046" t="s">
        <v>86</v>
      </c>
      <c r="H3046" t="s">
        <v>32</v>
      </c>
      <c r="I3046" t="s">
        <v>124</v>
      </c>
      <c r="J3046" t="s">
        <v>13</v>
      </c>
      <c r="K3046">
        <v>2.7</v>
      </c>
      <c r="L3046" t="s">
        <v>140</v>
      </c>
      <c r="M3046" t="s">
        <v>26</v>
      </c>
      <c r="N3046" t="s">
        <v>140</v>
      </c>
      <c r="O3046">
        <v>10</v>
      </c>
      <c r="P3046" t="s">
        <v>63</v>
      </c>
      <c r="Q3046" t="s">
        <v>46</v>
      </c>
      <c r="R3046" t="str" cm="1">
        <f t="array" ref="R3046">_xlfn.IFS(B3046&lt;31,"Young-Adult",B3046&lt;41,"Adult",B3046&lt;61,"Middle-aged",B3046&gt;=61,"Senior")</f>
        <v>Young-Adult</v>
      </c>
      <c r="S3046" cm="1">
        <f t="array" ref="S3046">_xlfn.IFS(Q3046 ="Fortnightly",14,Q3046="Weekly",7,Q3046="Monthly",30,Q3046="Quarterly",90,Q3046="Bi-Weekly",14,Q3046="Annually",365,Q3046="Every 3 Months",90,TRUE,"NOT FOUND")</f>
        <v>90</v>
      </c>
    </row>
    <row r="3047" spans="1:19" x14ac:dyDescent="0.35">
      <c r="A3047">
        <v>3046</v>
      </c>
      <c r="B3047">
        <v>42</v>
      </c>
      <c r="C3047" t="s">
        <v>141</v>
      </c>
      <c r="D3047" t="s">
        <v>113</v>
      </c>
      <c r="E3047" t="s">
        <v>9</v>
      </c>
      <c r="F3047">
        <v>37</v>
      </c>
      <c r="G3047" t="s">
        <v>91</v>
      </c>
      <c r="H3047" t="s">
        <v>11</v>
      </c>
      <c r="I3047" t="s">
        <v>82</v>
      </c>
      <c r="J3047" t="s">
        <v>13</v>
      </c>
      <c r="K3047">
        <v>4.5999999999999996</v>
      </c>
      <c r="L3047" t="s">
        <v>140</v>
      </c>
      <c r="M3047" t="s">
        <v>58</v>
      </c>
      <c r="N3047" t="s">
        <v>140</v>
      </c>
      <c r="O3047">
        <v>4</v>
      </c>
      <c r="P3047" t="s">
        <v>34</v>
      </c>
      <c r="Q3047" t="s">
        <v>64</v>
      </c>
      <c r="R3047" t="str" cm="1">
        <f t="array" ref="R3047">_xlfn.IFS(B3047&lt;31,"Young-Adult",B3047&lt;41,"Adult",B3047&lt;61,"Middle-aged",B3047&gt;=61,"Senior")</f>
        <v>Middle-aged</v>
      </c>
      <c r="S3047" cm="1">
        <f t="array" ref="S3047">_xlfn.IFS(Q3047 ="Fortnightly",14,Q3047="Weekly",7,Q3047="Monthly",30,Q3047="Quarterly",90,Q3047="Bi-Weekly",14,Q3047="Annually",365,Q3047="Every 3 Months",90,TRUE,"NOT FOUND")</f>
        <v>14</v>
      </c>
    </row>
    <row r="3048" spans="1:19" x14ac:dyDescent="0.35">
      <c r="A3048">
        <v>3047</v>
      </c>
      <c r="B3048">
        <v>60</v>
      </c>
      <c r="C3048" t="s">
        <v>141</v>
      </c>
      <c r="D3048" t="s">
        <v>59</v>
      </c>
      <c r="E3048" t="s">
        <v>30</v>
      </c>
      <c r="F3048">
        <v>49</v>
      </c>
      <c r="G3048" t="s">
        <v>126</v>
      </c>
      <c r="H3048" t="s">
        <v>32</v>
      </c>
      <c r="I3048" t="s">
        <v>40</v>
      </c>
      <c r="J3048" t="s">
        <v>25</v>
      </c>
      <c r="K3048">
        <v>3.2</v>
      </c>
      <c r="L3048" t="s">
        <v>140</v>
      </c>
      <c r="M3048" t="s">
        <v>62</v>
      </c>
      <c r="N3048" t="s">
        <v>140</v>
      </c>
      <c r="O3048">
        <v>25</v>
      </c>
      <c r="P3048" t="s">
        <v>21</v>
      </c>
      <c r="Q3048" t="s">
        <v>85</v>
      </c>
      <c r="R3048" t="str" cm="1">
        <f t="array" ref="R3048">_xlfn.IFS(B3048&lt;31,"Young-Adult",B3048&lt;41,"Adult",B3048&lt;61,"Middle-aged",B3048&gt;=61,"Senior")</f>
        <v>Middle-aged</v>
      </c>
      <c r="S3048" cm="1">
        <f t="array" ref="S3048">_xlfn.IFS(Q3048 ="Fortnightly",14,Q3048="Weekly",7,Q3048="Monthly",30,Q3048="Quarterly",90,Q3048="Bi-Weekly",14,Q3048="Annually",365,Q3048="Every 3 Months",90,TRUE,"NOT FOUND")</f>
        <v>90</v>
      </c>
    </row>
    <row r="3049" spans="1:19" x14ac:dyDescent="0.35">
      <c r="A3049">
        <v>3048</v>
      </c>
      <c r="B3049">
        <v>21</v>
      </c>
      <c r="C3049" t="s">
        <v>141</v>
      </c>
      <c r="D3049" t="s">
        <v>38</v>
      </c>
      <c r="E3049" t="s">
        <v>30</v>
      </c>
      <c r="F3049">
        <v>74</v>
      </c>
      <c r="G3049" t="s">
        <v>117</v>
      </c>
      <c r="H3049" t="s">
        <v>32</v>
      </c>
      <c r="I3049" t="s">
        <v>71</v>
      </c>
      <c r="J3049" t="s">
        <v>45</v>
      </c>
      <c r="K3049">
        <v>4.0999999999999996</v>
      </c>
      <c r="L3049" t="s">
        <v>140</v>
      </c>
      <c r="M3049" t="s">
        <v>58</v>
      </c>
      <c r="N3049" t="s">
        <v>140</v>
      </c>
      <c r="O3049">
        <v>3</v>
      </c>
      <c r="P3049" t="s">
        <v>34</v>
      </c>
      <c r="Q3049" t="s">
        <v>64</v>
      </c>
      <c r="R3049" t="str" cm="1">
        <f t="array" ref="R3049">_xlfn.IFS(B3049&lt;31,"Young-Adult",B3049&lt;41,"Adult",B3049&lt;61,"Middle-aged",B3049&gt;=61,"Senior")</f>
        <v>Young-Adult</v>
      </c>
      <c r="S3049" cm="1">
        <f t="array" ref="S3049">_xlfn.IFS(Q3049 ="Fortnightly",14,Q3049="Weekly",7,Q3049="Monthly",30,Q3049="Quarterly",90,Q3049="Bi-Weekly",14,Q3049="Annually",365,Q3049="Every 3 Months",90,TRUE,"NOT FOUND")</f>
        <v>14</v>
      </c>
    </row>
    <row r="3050" spans="1:19" x14ac:dyDescent="0.35">
      <c r="A3050">
        <v>3049</v>
      </c>
      <c r="B3050">
        <v>69</v>
      </c>
      <c r="C3050" t="s">
        <v>141</v>
      </c>
      <c r="D3050" t="s">
        <v>94</v>
      </c>
      <c r="E3050" t="s">
        <v>55</v>
      </c>
      <c r="F3050">
        <v>93</v>
      </c>
      <c r="G3050" t="s">
        <v>100</v>
      </c>
      <c r="H3050" t="s">
        <v>32</v>
      </c>
      <c r="I3050" t="s">
        <v>66</v>
      </c>
      <c r="J3050" t="s">
        <v>41</v>
      </c>
      <c r="K3050">
        <v>3.9</v>
      </c>
      <c r="L3050" t="s">
        <v>140</v>
      </c>
      <c r="M3050" t="s">
        <v>42</v>
      </c>
      <c r="N3050" t="s">
        <v>140</v>
      </c>
      <c r="O3050">
        <v>47</v>
      </c>
      <c r="P3050" t="s">
        <v>16</v>
      </c>
      <c r="Q3050" t="s">
        <v>17</v>
      </c>
      <c r="R3050" t="str" cm="1">
        <f t="array" ref="R3050">_xlfn.IFS(B3050&lt;31,"Young-Adult",B3050&lt;41,"Adult",B3050&lt;61,"Middle-aged",B3050&gt;=61,"Senior")</f>
        <v>Senior</v>
      </c>
      <c r="S3050" cm="1">
        <f t="array" ref="S3050">_xlfn.IFS(Q3050 ="Fortnightly",14,Q3050="Weekly",7,Q3050="Monthly",30,Q3050="Quarterly",90,Q3050="Bi-Weekly",14,Q3050="Annually",365,Q3050="Every 3 Months",90,TRUE,"NOT FOUND")</f>
        <v>14</v>
      </c>
    </row>
    <row r="3051" spans="1:19" x14ac:dyDescent="0.35">
      <c r="A3051">
        <v>3050</v>
      </c>
      <c r="B3051">
        <v>40</v>
      </c>
      <c r="C3051" t="s">
        <v>141</v>
      </c>
      <c r="D3051" t="s">
        <v>54</v>
      </c>
      <c r="E3051" t="s">
        <v>55</v>
      </c>
      <c r="F3051">
        <v>60</v>
      </c>
      <c r="G3051" t="s">
        <v>128</v>
      </c>
      <c r="H3051" t="s">
        <v>11</v>
      </c>
      <c r="I3051" t="s">
        <v>96</v>
      </c>
      <c r="J3051" t="s">
        <v>41</v>
      </c>
      <c r="K3051">
        <v>3</v>
      </c>
      <c r="L3051" t="s">
        <v>140</v>
      </c>
      <c r="M3051" t="s">
        <v>33</v>
      </c>
      <c r="N3051" t="s">
        <v>140</v>
      </c>
      <c r="O3051">
        <v>41</v>
      </c>
      <c r="P3051" t="s">
        <v>63</v>
      </c>
      <c r="Q3051" t="s">
        <v>64</v>
      </c>
      <c r="R3051" t="str" cm="1">
        <f t="array" ref="R3051">_xlfn.IFS(B3051&lt;31,"Young-Adult",B3051&lt;41,"Adult",B3051&lt;61,"Middle-aged",B3051&gt;=61,"Senior")</f>
        <v>Adult</v>
      </c>
      <c r="S3051" cm="1">
        <f t="array" ref="S3051">_xlfn.IFS(Q3051 ="Fortnightly",14,Q3051="Weekly",7,Q3051="Monthly",30,Q3051="Quarterly",90,Q3051="Bi-Weekly",14,Q3051="Annually",365,Q3051="Every 3 Months",90,TRUE,"NOT FOUND")</f>
        <v>14</v>
      </c>
    </row>
    <row r="3052" spans="1:19" x14ac:dyDescent="0.35">
      <c r="A3052">
        <v>3051</v>
      </c>
      <c r="B3052">
        <v>31</v>
      </c>
      <c r="C3052" t="s">
        <v>141</v>
      </c>
      <c r="D3052" t="s">
        <v>50</v>
      </c>
      <c r="E3052" t="s">
        <v>51</v>
      </c>
      <c r="F3052">
        <v>76</v>
      </c>
      <c r="G3052" t="s">
        <v>10</v>
      </c>
      <c r="H3052" t="s">
        <v>24</v>
      </c>
      <c r="I3052" t="s">
        <v>84</v>
      </c>
      <c r="J3052" t="s">
        <v>25</v>
      </c>
      <c r="K3052">
        <v>3.6</v>
      </c>
      <c r="L3052" t="s">
        <v>140</v>
      </c>
      <c r="M3052" t="s">
        <v>42</v>
      </c>
      <c r="N3052" t="s">
        <v>140</v>
      </c>
      <c r="O3052">
        <v>28</v>
      </c>
      <c r="P3052" t="s">
        <v>16</v>
      </c>
      <c r="Q3052" t="s">
        <v>85</v>
      </c>
      <c r="R3052" t="str" cm="1">
        <f t="array" ref="R3052">_xlfn.IFS(B3052&lt;31,"Young-Adult",B3052&lt;41,"Adult",B3052&lt;61,"Middle-aged",B3052&gt;=61,"Senior")</f>
        <v>Adult</v>
      </c>
      <c r="S3052" cm="1">
        <f t="array" ref="S3052">_xlfn.IFS(Q3052 ="Fortnightly",14,Q3052="Weekly",7,Q3052="Monthly",30,Q3052="Quarterly",90,Q3052="Bi-Weekly",14,Q3052="Annually",365,Q3052="Every 3 Months",90,TRUE,"NOT FOUND")</f>
        <v>90</v>
      </c>
    </row>
    <row r="3053" spans="1:19" x14ac:dyDescent="0.35">
      <c r="A3053">
        <v>3052</v>
      </c>
      <c r="B3053">
        <v>44</v>
      </c>
      <c r="C3053" t="s">
        <v>141</v>
      </c>
      <c r="D3053" t="s">
        <v>77</v>
      </c>
      <c r="E3053" t="s">
        <v>55</v>
      </c>
      <c r="F3053">
        <v>64</v>
      </c>
      <c r="G3053" t="s">
        <v>39</v>
      </c>
      <c r="H3053" t="s">
        <v>11</v>
      </c>
      <c r="I3053" t="s">
        <v>68</v>
      </c>
      <c r="J3053" t="s">
        <v>41</v>
      </c>
      <c r="K3053">
        <v>4.5999999999999996</v>
      </c>
      <c r="L3053" t="s">
        <v>140</v>
      </c>
      <c r="M3053" t="s">
        <v>15</v>
      </c>
      <c r="N3053" t="s">
        <v>140</v>
      </c>
      <c r="O3053">
        <v>49</v>
      </c>
      <c r="P3053" t="s">
        <v>74</v>
      </c>
      <c r="Q3053" t="s">
        <v>85</v>
      </c>
      <c r="R3053" t="str" cm="1">
        <f t="array" ref="R3053">_xlfn.IFS(B3053&lt;31,"Young-Adult",B3053&lt;41,"Adult",B3053&lt;61,"Middle-aged",B3053&gt;=61,"Senior")</f>
        <v>Middle-aged</v>
      </c>
      <c r="S3053" cm="1">
        <f t="array" ref="S3053">_xlfn.IFS(Q3053 ="Fortnightly",14,Q3053="Weekly",7,Q3053="Monthly",30,Q3053="Quarterly",90,Q3053="Bi-Weekly",14,Q3053="Annually",365,Q3053="Every 3 Months",90,TRUE,"NOT FOUND")</f>
        <v>90</v>
      </c>
    </row>
    <row r="3054" spans="1:19" x14ac:dyDescent="0.35">
      <c r="A3054">
        <v>3053</v>
      </c>
      <c r="B3054">
        <v>48</v>
      </c>
      <c r="C3054" t="s">
        <v>141</v>
      </c>
      <c r="D3054" t="s">
        <v>59</v>
      </c>
      <c r="E3054" t="s">
        <v>30</v>
      </c>
      <c r="F3054">
        <v>38</v>
      </c>
      <c r="G3054" t="s">
        <v>19</v>
      </c>
      <c r="H3054" t="s">
        <v>80</v>
      </c>
      <c r="I3054" t="s">
        <v>66</v>
      </c>
      <c r="J3054" t="s">
        <v>25</v>
      </c>
      <c r="K3054">
        <v>4.5</v>
      </c>
      <c r="L3054" t="s">
        <v>140</v>
      </c>
      <c r="M3054" t="s">
        <v>62</v>
      </c>
      <c r="N3054" t="s">
        <v>140</v>
      </c>
      <c r="O3054">
        <v>7</v>
      </c>
      <c r="P3054" t="s">
        <v>63</v>
      </c>
      <c r="Q3054" t="s">
        <v>17</v>
      </c>
      <c r="R3054" t="str" cm="1">
        <f t="array" ref="R3054">_xlfn.IFS(B3054&lt;31,"Young-Adult",B3054&lt;41,"Adult",B3054&lt;61,"Middle-aged",B3054&gt;=61,"Senior")</f>
        <v>Middle-aged</v>
      </c>
      <c r="S3054" cm="1">
        <f t="array" ref="S3054">_xlfn.IFS(Q3054 ="Fortnightly",14,Q3054="Weekly",7,Q3054="Monthly",30,Q3054="Quarterly",90,Q3054="Bi-Weekly",14,Q3054="Annually",365,Q3054="Every 3 Months",90,TRUE,"NOT FOUND")</f>
        <v>14</v>
      </c>
    </row>
    <row r="3055" spans="1:19" x14ac:dyDescent="0.35">
      <c r="A3055">
        <v>3054</v>
      </c>
      <c r="B3055">
        <v>32</v>
      </c>
      <c r="C3055" t="s">
        <v>141</v>
      </c>
      <c r="D3055" t="s">
        <v>59</v>
      </c>
      <c r="E3055" t="s">
        <v>30</v>
      </c>
      <c r="F3055">
        <v>91</v>
      </c>
      <c r="G3055" t="s">
        <v>19</v>
      </c>
      <c r="H3055" t="s">
        <v>11</v>
      </c>
      <c r="I3055" t="s">
        <v>98</v>
      </c>
      <c r="J3055" t="s">
        <v>13</v>
      </c>
      <c r="K3055">
        <v>3.2</v>
      </c>
      <c r="L3055" t="s">
        <v>140</v>
      </c>
      <c r="M3055" t="s">
        <v>33</v>
      </c>
      <c r="N3055" t="s">
        <v>140</v>
      </c>
      <c r="O3055">
        <v>22</v>
      </c>
      <c r="P3055" t="s">
        <v>63</v>
      </c>
      <c r="Q3055" t="s">
        <v>76</v>
      </c>
      <c r="R3055" t="str" cm="1">
        <f t="array" ref="R3055">_xlfn.IFS(B3055&lt;31,"Young-Adult",B3055&lt;41,"Adult",B3055&lt;61,"Middle-aged",B3055&gt;=61,"Senior")</f>
        <v>Adult</v>
      </c>
      <c r="S3055" cm="1">
        <f t="array" ref="S3055">_xlfn.IFS(Q3055 ="Fortnightly",14,Q3055="Weekly",7,Q3055="Monthly",30,Q3055="Quarterly",90,Q3055="Bi-Weekly",14,Q3055="Annually",365,Q3055="Every 3 Months",90,TRUE,"NOT FOUND")</f>
        <v>30</v>
      </c>
    </row>
    <row r="3056" spans="1:19" x14ac:dyDescent="0.35">
      <c r="A3056">
        <v>3055</v>
      </c>
      <c r="B3056">
        <v>42</v>
      </c>
      <c r="C3056" t="s">
        <v>141</v>
      </c>
      <c r="D3056" t="s">
        <v>125</v>
      </c>
      <c r="E3056" t="s">
        <v>30</v>
      </c>
      <c r="F3056">
        <v>70</v>
      </c>
      <c r="G3056" t="s">
        <v>70</v>
      </c>
      <c r="H3056" t="s">
        <v>24</v>
      </c>
      <c r="I3056" t="s">
        <v>124</v>
      </c>
      <c r="J3056" t="s">
        <v>41</v>
      </c>
      <c r="K3056">
        <v>4.9000000000000004</v>
      </c>
      <c r="L3056" t="s">
        <v>140</v>
      </c>
      <c r="M3056" t="s">
        <v>58</v>
      </c>
      <c r="N3056" t="s">
        <v>140</v>
      </c>
      <c r="O3056">
        <v>34</v>
      </c>
      <c r="P3056" t="s">
        <v>16</v>
      </c>
      <c r="Q3056" t="s">
        <v>76</v>
      </c>
      <c r="R3056" t="str" cm="1">
        <f t="array" ref="R3056">_xlfn.IFS(B3056&lt;31,"Young-Adult",B3056&lt;41,"Adult",B3056&lt;61,"Middle-aged",B3056&gt;=61,"Senior")</f>
        <v>Middle-aged</v>
      </c>
      <c r="S3056" cm="1">
        <f t="array" ref="S3056">_xlfn.IFS(Q3056 ="Fortnightly",14,Q3056="Weekly",7,Q3056="Monthly",30,Q3056="Quarterly",90,Q3056="Bi-Weekly",14,Q3056="Annually",365,Q3056="Every 3 Months",90,TRUE,"NOT FOUND")</f>
        <v>30</v>
      </c>
    </row>
    <row r="3057" spans="1:19" x14ac:dyDescent="0.35">
      <c r="A3057">
        <v>3056</v>
      </c>
      <c r="B3057">
        <v>27</v>
      </c>
      <c r="C3057" t="s">
        <v>141</v>
      </c>
      <c r="D3057" t="s">
        <v>29</v>
      </c>
      <c r="E3057" t="s">
        <v>30</v>
      </c>
      <c r="F3057">
        <v>22</v>
      </c>
      <c r="G3057" t="s">
        <v>99</v>
      </c>
      <c r="H3057" t="s">
        <v>32</v>
      </c>
      <c r="I3057" t="s">
        <v>71</v>
      </c>
      <c r="J3057" t="s">
        <v>45</v>
      </c>
      <c r="K3057">
        <v>5</v>
      </c>
      <c r="L3057" t="s">
        <v>140</v>
      </c>
      <c r="M3057" t="s">
        <v>42</v>
      </c>
      <c r="N3057" t="s">
        <v>140</v>
      </c>
      <c r="O3057">
        <v>5</v>
      </c>
      <c r="P3057" t="s">
        <v>74</v>
      </c>
      <c r="Q3057" t="s">
        <v>64</v>
      </c>
      <c r="R3057" t="str" cm="1">
        <f t="array" ref="R3057">_xlfn.IFS(B3057&lt;31,"Young-Adult",B3057&lt;41,"Adult",B3057&lt;61,"Middle-aged",B3057&gt;=61,"Senior")</f>
        <v>Young-Adult</v>
      </c>
      <c r="S3057" cm="1">
        <f t="array" ref="S3057">_xlfn.IFS(Q3057 ="Fortnightly",14,Q3057="Weekly",7,Q3057="Monthly",30,Q3057="Quarterly",90,Q3057="Bi-Weekly",14,Q3057="Annually",365,Q3057="Every 3 Months",90,TRUE,"NOT FOUND")</f>
        <v>14</v>
      </c>
    </row>
    <row r="3058" spans="1:19" x14ac:dyDescent="0.35">
      <c r="A3058">
        <v>3057</v>
      </c>
      <c r="B3058">
        <v>69</v>
      </c>
      <c r="C3058" t="s">
        <v>141</v>
      </c>
      <c r="D3058" t="s">
        <v>131</v>
      </c>
      <c r="E3058" t="s">
        <v>55</v>
      </c>
      <c r="F3058">
        <v>59</v>
      </c>
      <c r="G3058" t="s">
        <v>115</v>
      </c>
      <c r="H3058" t="s">
        <v>32</v>
      </c>
      <c r="I3058" t="s">
        <v>106</v>
      </c>
      <c r="J3058" t="s">
        <v>25</v>
      </c>
      <c r="K3058">
        <v>3.8</v>
      </c>
      <c r="L3058" t="s">
        <v>140</v>
      </c>
      <c r="M3058" t="s">
        <v>42</v>
      </c>
      <c r="N3058" t="s">
        <v>140</v>
      </c>
      <c r="O3058">
        <v>15</v>
      </c>
      <c r="P3058" t="s">
        <v>21</v>
      </c>
      <c r="Q3058" t="s">
        <v>64</v>
      </c>
      <c r="R3058" t="str" cm="1">
        <f t="array" ref="R3058">_xlfn.IFS(B3058&lt;31,"Young-Adult",B3058&lt;41,"Adult",B3058&lt;61,"Middle-aged",B3058&gt;=61,"Senior")</f>
        <v>Senior</v>
      </c>
      <c r="S3058" cm="1">
        <f t="array" ref="S3058">_xlfn.IFS(Q3058 ="Fortnightly",14,Q3058="Weekly",7,Q3058="Monthly",30,Q3058="Quarterly",90,Q3058="Bi-Weekly",14,Q3058="Annually",365,Q3058="Every 3 Months",90,TRUE,"NOT FOUND")</f>
        <v>14</v>
      </c>
    </row>
    <row r="3059" spans="1:19" x14ac:dyDescent="0.35">
      <c r="A3059">
        <v>3058</v>
      </c>
      <c r="B3059">
        <v>67</v>
      </c>
      <c r="C3059" t="s">
        <v>141</v>
      </c>
      <c r="D3059" t="s">
        <v>120</v>
      </c>
      <c r="E3059" t="s">
        <v>55</v>
      </c>
      <c r="F3059">
        <v>22</v>
      </c>
      <c r="G3059" t="s">
        <v>86</v>
      </c>
      <c r="H3059" t="s">
        <v>32</v>
      </c>
      <c r="I3059" t="s">
        <v>132</v>
      </c>
      <c r="J3059" t="s">
        <v>25</v>
      </c>
      <c r="K3059">
        <v>3.4</v>
      </c>
      <c r="L3059" t="s">
        <v>140</v>
      </c>
      <c r="M3059" t="s">
        <v>33</v>
      </c>
      <c r="N3059" t="s">
        <v>140</v>
      </c>
      <c r="O3059">
        <v>26</v>
      </c>
      <c r="P3059" t="s">
        <v>63</v>
      </c>
      <c r="Q3059" t="s">
        <v>28</v>
      </c>
      <c r="R3059" t="str" cm="1">
        <f t="array" ref="R3059">_xlfn.IFS(B3059&lt;31,"Young-Adult",B3059&lt;41,"Adult",B3059&lt;61,"Middle-aged",B3059&gt;=61,"Senior")</f>
        <v>Senior</v>
      </c>
      <c r="S3059" cm="1">
        <f t="array" ref="S3059">_xlfn.IFS(Q3059 ="Fortnightly",14,Q3059="Weekly",7,Q3059="Monthly",30,Q3059="Quarterly",90,Q3059="Bi-Weekly",14,Q3059="Annually",365,Q3059="Every 3 Months",90,TRUE,"NOT FOUND")</f>
        <v>7</v>
      </c>
    </row>
    <row r="3060" spans="1:19" x14ac:dyDescent="0.35">
      <c r="A3060">
        <v>3059</v>
      </c>
      <c r="B3060">
        <v>41</v>
      </c>
      <c r="C3060" t="s">
        <v>141</v>
      </c>
      <c r="D3060" t="s">
        <v>54</v>
      </c>
      <c r="E3060" t="s">
        <v>55</v>
      </c>
      <c r="F3060">
        <v>74</v>
      </c>
      <c r="G3060" t="s">
        <v>52</v>
      </c>
      <c r="H3060" t="s">
        <v>24</v>
      </c>
      <c r="I3060" t="s">
        <v>109</v>
      </c>
      <c r="J3060" t="s">
        <v>13</v>
      </c>
      <c r="K3060">
        <v>3.8</v>
      </c>
      <c r="L3060" t="s">
        <v>140</v>
      </c>
      <c r="M3060" t="s">
        <v>62</v>
      </c>
      <c r="N3060" t="s">
        <v>140</v>
      </c>
      <c r="O3060">
        <v>3</v>
      </c>
      <c r="P3060" t="s">
        <v>63</v>
      </c>
      <c r="Q3060" t="s">
        <v>17</v>
      </c>
      <c r="R3060" t="str" cm="1">
        <f t="array" ref="R3060">_xlfn.IFS(B3060&lt;31,"Young-Adult",B3060&lt;41,"Adult",B3060&lt;61,"Middle-aged",B3060&gt;=61,"Senior")</f>
        <v>Middle-aged</v>
      </c>
      <c r="S3060" cm="1">
        <f t="array" ref="S3060">_xlfn.IFS(Q3060 ="Fortnightly",14,Q3060="Weekly",7,Q3060="Monthly",30,Q3060="Quarterly",90,Q3060="Bi-Weekly",14,Q3060="Annually",365,Q3060="Every 3 Months",90,TRUE,"NOT FOUND")</f>
        <v>14</v>
      </c>
    </row>
    <row r="3061" spans="1:19" x14ac:dyDescent="0.35">
      <c r="A3061">
        <v>3060</v>
      </c>
      <c r="B3061">
        <v>46</v>
      </c>
      <c r="C3061" t="s">
        <v>141</v>
      </c>
      <c r="D3061" t="s">
        <v>18</v>
      </c>
      <c r="E3061" t="s">
        <v>9</v>
      </c>
      <c r="F3061">
        <v>71</v>
      </c>
      <c r="G3061" t="s">
        <v>10</v>
      </c>
      <c r="H3061" t="s">
        <v>11</v>
      </c>
      <c r="I3061" t="s">
        <v>20</v>
      </c>
      <c r="J3061" t="s">
        <v>25</v>
      </c>
      <c r="K3061">
        <v>3.2</v>
      </c>
      <c r="L3061" t="s">
        <v>140</v>
      </c>
      <c r="M3061" t="s">
        <v>15</v>
      </c>
      <c r="N3061" t="s">
        <v>140</v>
      </c>
      <c r="O3061">
        <v>42</v>
      </c>
      <c r="P3061" t="s">
        <v>27</v>
      </c>
      <c r="Q3061" t="s">
        <v>46</v>
      </c>
      <c r="R3061" t="str" cm="1">
        <f t="array" ref="R3061">_xlfn.IFS(B3061&lt;31,"Young-Adult",B3061&lt;41,"Adult",B3061&lt;61,"Middle-aged",B3061&gt;=61,"Senior")</f>
        <v>Middle-aged</v>
      </c>
      <c r="S3061" cm="1">
        <f t="array" ref="S3061">_xlfn.IFS(Q3061 ="Fortnightly",14,Q3061="Weekly",7,Q3061="Monthly",30,Q3061="Quarterly",90,Q3061="Bi-Weekly",14,Q3061="Annually",365,Q3061="Every 3 Months",90,TRUE,"NOT FOUND")</f>
        <v>90</v>
      </c>
    </row>
    <row r="3062" spans="1:19" x14ac:dyDescent="0.35">
      <c r="A3062">
        <v>3061</v>
      </c>
      <c r="B3062">
        <v>47</v>
      </c>
      <c r="C3062" t="s">
        <v>141</v>
      </c>
      <c r="D3062" t="s">
        <v>50</v>
      </c>
      <c r="E3062" t="s">
        <v>51</v>
      </c>
      <c r="F3062">
        <v>80</v>
      </c>
      <c r="G3062" t="s">
        <v>87</v>
      </c>
      <c r="H3062" t="s">
        <v>24</v>
      </c>
      <c r="I3062" t="s">
        <v>49</v>
      </c>
      <c r="J3062" t="s">
        <v>41</v>
      </c>
      <c r="K3062">
        <v>4.7</v>
      </c>
      <c r="L3062" t="s">
        <v>140</v>
      </c>
      <c r="M3062" t="s">
        <v>62</v>
      </c>
      <c r="N3062" t="s">
        <v>140</v>
      </c>
      <c r="O3062">
        <v>1</v>
      </c>
      <c r="P3062" t="s">
        <v>16</v>
      </c>
      <c r="Q3062" t="s">
        <v>76</v>
      </c>
      <c r="R3062" t="str" cm="1">
        <f t="array" ref="R3062">_xlfn.IFS(B3062&lt;31,"Young-Adult",B3062&lt;41,"Adult",B3062&lt;61,"Middle-aged",B3062&gt;=61,"Senior")</f>
        <v>Middle-aged</v>
      </c>
      <c r="S3062" cm="1">
        <f t="array" ref="S3062">_xlfn.IFS(Q3062 ="Fortnightly",14,Q3062="Weekly",7,Q3062="Monthly",30,Q3062="Quarterly",90,Q3062="Bi-Weekly",14,Q3062="Annually",365,Q3062="Every 3 Months",90,TRUE,"NOT FOUND")</f>
        <v>30</v>
      </c>
    </row>
    <row r="3063" spans="1:19" x14ac:dyDescent="0.35">
      <c r="A3063">
        <v>3062</v>
      </c>
      <c r="B3063">
        <v>33</v>
      </c>
      <c r="C3063" t="s">
        <v>141</v>
      </c>
      <c r="D3063" t="s">
        <v>101</v>
      </c>
      <c r="E3063" t="s">
        <v>9</v>
      </c>
      <c r="F3063">
        <v>59</v>
      </c>
      <c r="G3063" t="s">
        <v>135</v>
      </c>
      <c r="H3063" t="s">
        <v>11</v>
      </c>
      <c r="I3063" t="s">
        <v>66</v>
      </c>
      <c r="J3063" t="s">
        <v>45</v>
      </c>
      <c r="K3063">
        <v>4.5</v>
      </c>
      <c r="L3063" t="s">
        <v>140</v>
      </c>
      <c r="M3063" t="s">
        <v>15</v>
      </c>
      <c r="N3063" t="s">
        <v>140</v>
      </c>
      <c r="O3063">
        <v>20</v>
      </c>
      <c r="P3063" t="s">
        <v>34</v>
      </c>
      <c r="Q3063" t="s">
        <v>85</v>
      </c>
      <c r="R3063" t="str" cm="1">
        <f t="array" ref="R3063">_xlfn.IFS(B3063&lt;31,"Young-Adult",B3063&lt;41,"Adult",B3063&lt;61,"Middle-aged",B3063&gt;=61,"Senior")</f>
        <v>Adult</v>
      </c>
      <c r="S3063" cm="1">
        <f t="array" ref="S3063">_xlfn.IFS(Q3063 ="Fortnightly",14,Q3063="Weekly",7,Q3063="Monthly",30,Q3063="Quarterly",90,Q3063="Bi-Weekly",14,Q3063="Annually",365,Q3063="Every 3 Months",90,TRUE,"NOT FOUND")</f>
        <v>90</v>
      </c>
    </row>
    <row r="3064" spans="1:19" x14ac:dyDescent="0.35">
      <c r="A3064">
        <v>3063</v>
      </c>
      <c r="B3064">
        <v>51</v>
      </c>
      <c r="C3064" t="s">
        <v>141</v>
      </c>
      <c r="D3064" t="s">
        <v>120</v>
      </c>
      <c r="E3064" t="s">
        <v>55</v>
      </c>
      <c r="F3064">
        <v>96</v>
      </c>
      <c r="G3064" t="s">
        <v>87</v>
      </c>
      <c r="H3064" t="s">
        <v>11</v>
      </c>
      <c r="I3064" t="s">
        <v>84</v>
      </c>
      <c r="J3064" t="s">
        <v>45</v>
      </c>
      <c r="K3064">
        <v>3.3</v>
      </c>
      <c r="L3064" t="s">
        <v>140</v>
      </c>
      <c r="M3064" t="s">
        <v>42</v>
      </c>
      <c r="N3064" t="s">
        <v>140</v>
      </c>
      <c r="O3064">
        <v>39</v>
      </c>
      <c r="P3064" t="s">
        <v>34</v>
      </c>
      <c r="Q3064" t="s">
        <v>76</v>
      </c>
      <c r="R3064" t="str" cm="1">
        <f t="array" ref="R3064">_xlfn.IFS(B3064&lt;31,"Young-Adult",B3064&lt;41,"Adult",B3064&lt;61,"Middle-aged",B3064&gt;=61,"Senior")</f>
        <v>Middle-aged</v>
      </c>
      <c r="S3064" cm="1">
        <f t="array" ref="S3064">_xlfn.IFS(Q3064 ="Fortnightly",14,Q3064="Weekly",7,Q3064="Monthly",30,Q3064="Quarterly",90,Q3064="Bi-Weekly",14,Q3064="Annually",365,Q3064="Every 3 Months",90,TRUE,"NOT FOUND")</f>
        <v>30</v>
      </c>
    </row>
    <row r="3065" spans="1:19" x14ac:dyDescent="0.35">
      <c r="A3065">
        <v>3064</v>
      </c>
      <c r="B3065">
        <v>26</v>
      </c>
      <c r="C3065" t="s">
        <v>141</v>
      </c>
      <c r="D3065" t="s">
        <v>77</v>
      </c>
      <c r="E3065" t="s">
        <v>55</v>
      </c>
      <c r="F3065">
        <v>43</v>
      </c>
      <c r="G3065" t="s">
        <v>127</v>
      </c>
      <c r="H3065" t="s">
        <v>11</v>
      </c>
      <c r="I3065" t="s">
        <v>98</v>
      </c>
      <c r="J3065" t="s">
        <v>13</v>
      </c>
      <c r="K3065">
        <v>3.9</v>
      </c>
      <c r="L3065" t="s">
        <v>140</v>
      </c>
      <c r="M3065" t="s">
        <v>62</v>
      </c>
      <c r="N3065" t="s">
        <v>140</v>
      </c>
      <c r="O3065">
        <v>24</v>
      </c>
      <c r="P3065" t="s">
        <v>27</v>
      </c>
      <c r="Q3065" t="s">
        <v>17</v>
      </c>
      <c r="R3065" t="str" cm="1">
        <f t="array" ref="R3065">_xlfn.IFS(B3065&lt;31,"Young-Adult",B3065&lt;41,"Adult",B3065&lt;61,"Middle-aged",B3065&gt;=61,"Senior")</f>
        <v>Young-Adult</v>
      </c>
      <c r="S3065" cm="1">
        <f t="array" ref="S3065">_xlfn.IFS(Q3065 ="Fortnightly",14,Q3065="Weekly",7,Q3065="Monthly",30,Q3065="Quarterly",90,Q3065="Bi-Weekly",14,Q3065="Annually",365,Q3065="Every 3 Months",90,TRUE,"NOT FOUND")</f>
        <v>14</v>
      </c>
    </row>
    <row r="3066" spans="1:19" x14ac:dyDescent="0.35">
      <c r="A3066">
        <v>3065</v>
      </c>
      <c r="B3066">
        <v>22</v>
      </c>
      <c r="C3066" t="s">
        <v>141</v>
      </c>
      <c r="D3066" t="s">
        <v>121</v>
      </c>
      <c r="E3066" t="s">
        <v>55</v>
      </c>
      <c r="F3066">
        <v>76</v>
      </c>
      <c r="G3066" t="s">
        <v>123</v>
      </c>
      <c r="H3066" t="s">
        <v>24</v>
      </c>
      <c r="I3066" t="s">
        <v>97</v>
      </c>
      <c r="J3066" t="s">
        <v>13</v>
      </c>
      <c r="K3066">
        <v>3.6</v>
      </c>
      <c r="L3066" t="s">
        <v>140</v>
      </c>
      <c r="M3066" t="s">
        <v>15</v>
      </c>
      <c r="N3066" t="s">
        <v>140</v>
      </c>
      <c r="O3066">
        <v>49</v>
      </c>
      <c r="P3066" t="s">
        <v>63</v>
      </c>
      <c r="Q3066" t="s">
        <v>46</v>
      </c>
      <c r="R3066" t="str" cm="1">
        <f t="array" ref="R3066">_xlfn.IFS(B3066&lt;31,"Young-Adult",B3066&lt;41,"Adult",B3066&lt;61,"Middle-aged",B3066&gt;=61,"Senior")</f>
        <v>Young-Adult</v>
      </c>
      <c r="S3066" cm="1">
        <f t="array" ref="S3066">_xlfn.IFS(Q3066 ="Fortnightly",14,Q3066="Weekly",7,Q3066="Monthly",30,Q3066="Quarterly",90,Q3066="Bi-Weekly",14,Q3066="Annually",365,Q3066="Every 3 Months",90,TRUE,"NOT FOUND")</f>
        <v>90</v>
      </c>
    </row>
    <row r="3067" spans="1:19" x14ac:dyDescent="0.35">
      <c r="A3067">
        <v>3066</v>
      </c>
      <c r="B3067">
        <v>49</v>
      </c>
      <c r="C3067" t="s">
        <v>141</v>
      </c>
      <c r="D3067" t="s">
        <v>90</v>
      </c>
      <c r="E3067" t="s">
        <v>51</v>
      </c>
      <c r="F3067">
        <v>59</v>
      </c>
      <c r="G3067" t="s">
        <v>102</v>
      </c>
      <c r="H3067" t="s">
        <v>32</v>
      </c>
      <c r="I3067" t="s">
        <v>106</v>
      </c>
      <c r="J3067" t="s">
        <v>45</v>
      </c>
      <c r="K3067">
        <v>2.8</v>
      </c>
      <c r="L3067" t="s">
        <v>140</v>
      </c>
      <c r="M3067" t="s">
        <v>62</v>
      </c>
      <c r="N3067" t="s">
        <v>140</v>
      </c>
      <c r="O3067">
        <v>7</v>
      </c>
      <c r="P3067" t="s">
        <v>16</v>
      </c>
      <c r="Q3067" t="s">
        <v>64</v>
      </c>
      <c r="R3067" t="str" cm="1">
        <f t="array" ref="R3067">_xlfn.IFS(B3067&lt;31,"Young-Adult",B3067&lt;41,"Adult",B3067&lt;61,"Middle-aged",B3067&gt;=61,"Senior")</f>
        <v>Middle-aged</v>
      </c>
      <c r="S3067" cm="1">
        <f t="array" ref="S3067">_xlfn.IFS(Q3067 ="Fortnightly",14,Q3067="Weekly",7,Q3067="Monthly",30,Q3067="Quarterly",90,Q3067="Bi-Weekly",14,Q3067="Annually",365,Q3067="Every 3 Months",90,TRUE,"NOT FOUND")</f>
        <v>14</v>
      </c>
    </row>
    <row r="3068" spans="1:19" x14ac:dyDescent="0.35">
      <c r="A3068">
        <v>3067</v>
      </c>
      <c r="B3068">
        <v>58</v>
      </c>
      <c r="C3068" t="s">
        <v>141</v>
      </c>
      <c r="D3068" t="s">
        <v>75</v>
      </c>
      <c r="E3068" t="s">
        <v>9</v>
      </c>
      <c r="F3068">
        <v>48</v>
      </c>
      <c r="G3068" t="s">
        <v>139</v>
      </c>
      <c r="H3068" t="s">
        <v>11</v>
      </c>
      <c r="I3068" t="s">
        <v>73</v>
      </c>
      <c r="J3068" t="s">
        <v>41</v>
      </c>
      <c r="K3068">
        <v>4.3</v>
      </c>
      <c r="L3068" t="s">
        <v>140</v>
      </c>
      <c r="M3068" t="s">
        <v>26</v>
      </c>
      <c r="N3068" t="s">
        <v>140</v>
      </c>
      <c r="O3068">
        <v>13</v>
      </c>
      <c r="P3068" t="s">
        <v>16</v>
      </c>
      <c r="Q3068" t="s">
        <v>85</v>
      </c>
      <c r="R3068" t="str" cm="1">
        <f t="array" ref="R3068">_xlfn.IFS(B3068&lt;31,"Young-Adult",B3068&lt;41,"Adult",B3068&lt;61,"Middle-aged",B3068&gt;=61,"Senior")</f>
        <v>Middle-aged</v>
      </c>
      <c r="S3068" cm="1">
        <f t="array" ref="S3068">_xlfn.IFS(Q3068 ="Fortnightly",14,Q3068="Weekly",7,Q3068="Monthly",30,Q3068="Quarterly",90,Q3068="Bi-Weekly",14,Q3068="Annually",365,Q3068="Every 3 Months",90,TRUE,"NOT FOUND")</f>
        <v>90</v>
      </c>
    </row>
    <row r="3069" spans="1:19" x14ac:dyDescent="0.35">
      <c r="A3069">
        <v>3068</v>
      </c>
      <c r="B3069">
        <v>70</v>
      </c>
      <c r="C3069" t="s">
        <v>141</v>
      </c>
      <c r="D3069" t="s">
        <v>121</v>
      </c>
      <c r="E3069" t="s">
        <v>55</v>
      </c>
      <c r="F3069">
        <v>22</v>
      </c>
      <c r="G3069" t="s">
        <v>56</v>
      </c>
      <c r="H3069" t="s">
        <v>24</v>
      </c>
      <c r="I3069" t="s">
        <v>12</v>
      </c>
      <c r="J3069" t="s">
        <v>25</v>
      </c>
      <c r="K3069">
        <v>3.5</v>
      </c>
      <c r="L3069" t="s">
        <v>140</v>
      </c>
      <c r="M3069" t="s">
        <v>26</v>
      </c>
      <c r="N3069" t="s">
        <v>140</v>
      </c>
      <c r="O3069">
        <v>2</v>
      </c>
      <c r="P3069" t="s">
        <v>21</v>
      </c>
      <c r="Q3069" t="s">
        <v>28</v>
      </c>
      <c r="R3069" t="str" cm="1">
        <f t="array" ref="R3069">_xlfn.IFS(B3069&lt;31,"Young-Adult",B3069&lt;41,"Adult",B3069&lt;61,"Middle-aged",B3069&gt;=61,"Senior")</f>
        <v>Senior</v>
      </c>
      <c r="S3069" cm="1">
        <f t="array" ref="S3069">_xlfn.IFS(Q3069 ="Fortnightly",14,Q3069="Weekly",7,Q3069="Monthly",30,Q3069="Quarterly",90,Q3069="Bi-Weekly",14,Q3069="Annually",365,Q3069="Every 3 Months",90,TRUE,"NOT FOUND")</f>
        <v>7</v>
      </c>
    </row>
    <row r="3070" spans="1:19" x14ac:dyDescent="0.35">
      <c r="A3070">
        <v>3069</v>
      </c>
      <c r="B3070">
        <v>32</v>
      </c>
      <c r="C3070" t="s">
        <v>141</v>
      </c>
      <c r="D3070" t="s">
        <v>125</v>
      </c>
      <c r="E3070" t="s">
        <v>30</v>
      </c>
      <c r="F3070">
        <v>40</v>
      </c>
      <c r="G3070" t="s">
        <v>87</v>
      </c>
      <c r="H3070" t="s">
        <v>32</v>
      </c>
      <c r="I3070" t="s">
        <v>114</v>
      </c>
      <c r="J3070" t="s">
        <v>13</v>
      </c>
      <c r="K3070">
        <v>4.2</v>
      </c>
      <c r="L3070" t="s">
        <v>140</v>
      </c>
      <c r="M3070" t="s">
        <v>15</v>
      </c>
      <c r="N3070" t="s">
        <v>140</v>
      </c>
      <c r="O3070">
        <v>4</v>
      </c>
      <c r="P3070" t="s">
        <v>74</v>
      </c>
      <c r="Q3070" t="s">
        <v>28</v>
      </c>
      <c r="R3070" t="str" cm="1">
        <f t="array" ref="R3070">_xlfn.IFS(B3070&lt;31,"Young-Adult",B3070&lt;41,"Adult",B3070&lt;61,"Middle-aged",B3070&gt;=61,"Senior")</f>
        <v>Adult</v>
      </c>
      <c r="S3070" cm="1">
        <f t="array" ref="S3070">_xlfn.IFS(Q3070 ="Fortnightly",14,Q3070="Weekly",7,Q3070="Monthly",30,Q3070="Quarterly",90,Q3070="Bi-Weekly",14,Q3070="Annually",365,Q3070="Every 3 Months",90,TRUE,"NOT FOUND")</f>
        <v>7</v>
      </c>
    </row>
    <row r="3071" spans="1:19" x14ac:dyDescent="0.35">
      <c r="A3071">
        <v>3070</v>
      </c>
      <c r="B3071">
        <v>62</v>
      </c>
      <c r="C3071" t="s">
        <v>141</v>
      </c>
      <c r="D3071" t="s">
        <v>22</v>
      </c>
      <c r="E3071" t="s">
        <v>9</v>
      </c>
      <c r="F3071">
        <v>73</v>
      </c>
      <c r="G3071" t="s">
        <v>67</v>
      </c>
      <c r="H3071" t="s">
        <v>11</v>
      </c>
      <c r="I3071" t="s">
        <v>124</v>
      </c>
      <c r="J3071" t="s">
        <v>25</v>
      </c>
      <c r="K3071">
        <v>4.5999999999999996</v>
      </c>
      <c r="L3071" t="s">
        <v>140</v>
      </c>
      <c r="M3071" t="s">
        <v>15</v>
      </c>
      <c r="N3071" t="s">
        <v>140</v>
      </c>
      <c r="O3071">
        <v>17</v>
      </c>
      <c r="P3071" t="s">
        <v>74</v>
      </c>
      <c r="Q3071" t="s">
        <v>46</v>
      </c>
      <c r="R3071" t="str" cm="1">
        <f t="array" ref="R3071">_xlfn.IFS(B3071&lt;31,"Young-Adult",B3071&lt;41,"Adult",B3071&lt;61,"Middle-aged",B3071&gt;=61,"Senior")</f>
        <v>Senior</v>
      </c>
      <c r="S3071" cm="1">
        <f t="array" ref="S3071">_xlfn.IFS(Q3071 ="Fortnightly",14,Q3071="Weekly",7,Q3071="Monthly",30,Q3071="Quarterly",90,Q3071="Bi-Weekly",14,Q3071="Annually",365,Q3071="Every 3 Months",90,TRUE,"NOT FOUND")</f>
        <v>90</v>
      </c>
    </row>
    <row r="3072" spans="1:19" x14ac:dyDescent="0.35">
      <c r="A3072">
        <v>3071</v>
      </c>
      <c r="B3072">
        <v>52</v>
      </c>
      <c r="C3072" t="s">
        <v>141</v>
      </c>
      <c r="D3072" t="s">
        <v>59</v>
      </c>
      <c r="E3072" t="s">
        <v>30</v>
      </c>
      <c r="F3072">
        <v>26</v>
      </c>
      <c r="G3072" t="s">
        <v>78</v>
      </c>
      <c r="H3072" t="s">
        <v>80</v>
      </c>
      <c r="I3072" t="s">
        <v>96</v>
      </c>
      <c r="J3072" t="s">
        <v>45</v>
      </c>
      <c r="K3072">
        <v>2.6</v>
      </c>
      <c r="L3072" t="s">
        <v>140</v>
      </c>
      <c r="M3072" t="s">
        <v>26</v>
      </c>
      <c r="N3072" t="s">
        <v>140</v>
      </c>
      <c r="O3072">
        <v>43</v>
      </c>
      <c r="P3072" t="s">
        <v>34</v>
      </c>
      <c r="Q3072" t="s">
        <v>64</v>
      </c>
      <c r="R3072" t="str" cm="1">
        <f t="array" ref="R3072">_xlfn.IFS(B3072&lt;31,"Young-Adult",B3072&lt;41,"Adult",B3072&lt;61,"Middle-aged",B3072&gt;=61,"Senior")</f>
        <v>Middle-aged</v>
      </c>
      <c r="S3072" cm="1">
        <f t="array" ref="S3072">_xlfn.IFS(Q3072 ="Fortnightly",14,Q3072="Weekly",7,Q3072="Monthly",30,Q3072="Quarterly",90,Q3072="Bi-Weekly",14,Q3072="Annually",365,Q3072="Every 3 Months",90,TRUE,"NOT FOUND")</f>
        <v>14</v>
      </c>
    </row>
    <row r="3073" spans="1:19" x14ac:dyDescent="0.35">
      <c r="A3073">
        <v>3072</v>
      </c>
      <c r="B3073">
        <v>23</v>
      </c>
      <c r="C3073" t="s">
        <v>141</v>
      </c>
      <c r="D3073" t="s">
        <v>18</v>
      </c>
      <c r="E3073" t="s">
        <v>9</v>
      </c>
      <c r="F3073">
        <v>41</v>
      </c>
      <c r="G3073" t="s">
        <v>70</v>
      </c>
      <c r="H3073" t="s">
        <v>11</v>
      </c>
      <c r="I3073" t="s">
        <v>36</v>
      </c>
      <c r="J3073" t="s">
        <v>25</v>
      </c>
      <c r="K3073">
        <v>3.4</v>
      </c>
      <c r="L3073" t="s">
        <v>140</v>
      </c>
      <c r="M3073" t="s">
        <v>33</v>
      </c>
      <c r="N3073" t="s">
        <v>140</v>
      </c>
      <c r="O3073">
        <v>6</v>
      </c>
      <c r="P3073" t="s">
        <v>34</v>
      </c>
      <c r="Q3073" t="s">
        <v>76</v>
      </c>
      <c r="R3073" t="str" cm="1">
        <f t="array" ref="R3073">_xlfn.IFS(B3073&lt;31,"Young-Adult",B3073&lt;41,"Adult",B3073&lt;61,"Middle-aged",B3073&gt;=61,"Senior")</f>
        <v>Young-Adult</v>
      </c>
      <c r="S3073" cm="1">
        <f t="array" ref="S3073">_xlfn.IFS(Q3073 ="Fortnightly",14,Q3073="Weekly",7,Q3073="Monthly",30,Q3073="Quarterly",90,Q3073="Bi-Weekly",14,Q3073="Annually",365,Q3073="Every 3 Months",90,TRUE,"NOT FOUND")</f>
        <v>30</v>
      </c>
    </row>
    <row r="3074" spans="1:19" x14ac:dyDescent="0.35">
      <c r="A3074">
        <v>3073</v>
      </c>
      <c r="B3074">
        <v>26</v>
      </c>
      <c r="C3074" t="s">
        <v>141</v>
      </c>
      <c r="D3074" t="s">
        <v>94</v>
      </c>
      <c r="E3074" t="s">
        <v>55</v>
      </c>
      <c r="F3074">
        <v>98</v>
      </c>
      <c r="G3074" t="s">
        <v>72</v>
      </c>
      <c r="H3074" t="s">
        <v>11</v>
      </c>
      <c r="I3074" t="s">
        <v>88</v>
      </c>
      <c r="J3074" t="s">
        <v>25</v>
      </c>
      <c r="K3074">
        <v>3.1</v>
      </c>
      <c r="L3074" t="s">
        <v>140</v>
      </c>
      <c r="M3074" t="s">
        <v>42</v>
      </c>
      <c r="N3074" t="s">
        <v>140</v>
      </c>
      <c r="O3074">
        <v>46</v>
      </c>
      <c r="P3074" t="s">
        <v>34</v>
      </c>
      <c r="Q3074" t="s">
        <v>46</v>
      </c>
      <c r="R3074" t="str" cm="1">
        <f t="array" ref="R3074">_xlfn.IFS(B3074&lt;31,"Young-Adult",B3074&lt;41,"Adult",B3074&lt;61,"Middle-aged",B3074&gt;=61,"Senior")</f>
        <v>Young-Adult</v>
      </c>
      <c r="S3074" cm="1">
        <f t="array" ref="S3074">_xlfn.IFS(Q3074 ="Fortnightly",14,Q3074="Weekly",7,Q3074="Monthly",30,Q3074="Quarterly",90,Q3074="Bi-Weekly",14,Q3074="Annually",365,Q3074="Every 3 Months",90,TRUE,"NOT FOUND")</f>
        <v>90</v>
      </c>
    </row>
    <row r="3075" spans="1:19" x14ac:dyDescent="0.35">
      <c r="A3075">
        <v>3074</v>
      </c>
      <c r="B3075">
        <v>58</v>
      </c>
      <c r="C3075" t="s">
        <v>141</v>
      </c>
      <c r="D3075" t="s">
        <v>43</v>
      </c>
      <c r="E3075" t="s">
        <v>9</v>
      </c>
      <c r="F3075">
        <v>63</v>
      </c>
      <c r="G3075" t="s">
        <v>35</v>
      </c>
      <c r="H3075" t="s">
        <v>11</v>
      </c>
      <c r="I3075" t="s">
        <v>40</v>
      </c>
      <c r="J3075" t="s">
        <v>13</v>
      </c>
      <c r="K3075">
        <v>3.6</v>
      </c>
      <c r="L3075" t="s">
        <v>140</v>
      </c>
      <c r="M3075" t="s">
        <v>26</v>
      </c>
      <c r="N3075" t="s">
        <v>140</v>
      </c>
      <c r="O3075">
        <v>7</v>
      </c>
      <c r="P3075" t="s">
        <v>74</v>
      </c>
      <c r="Q3075" t="s">
        <v>64</v>
      </c>
      <c r="R3075" t="str" cm="1">
        <f t="array" ref="R3075">_xlfn.IFS(B3075&lt;31,"Young-Adult",B3075&lt;41,"Adult",B3075&lt;61,"Middle-aged",B3075&gt;=61,"Senior")</f>
        <v>Middle-aged</v>
      </c>
      <c r="S3075" cm="1">
        <f t="array" ref="S3075">_xlfn.IFS(Q3075 ="Fortnightly",14,Q3075="Weekly",7,Q3075="Monthly",30,Q3075="Quarterly",90,Q3075="Bi-Weekly",14,Q3075="Annually",365,Q3075="Every 3 Months",90,TRUE,"NOT FOUND")</f>
        <v>14</v>
      </c>
    </row>
    <row r="3076" spans="1:19" x14ac:dyDescent="0.35">
      <c r="A3076">
        <v>3075</v>
      </c>
      <c r="B3076">
        <v>26</v>
      </c>
      <c r="C3076" t="s">
        <v>141</v>
      </c>
      <c r="D3076" t="s">
        <v>125</v>
      </c>
      <c r="E3076" t="s">
        <v>30</v>
      </c>
      <c r="F3076">
        <v>55</v>
      </c>
      <c r="G3076" t="s">
        <v>23</v>
      </c>
      <c r="H3076" t="s">
        <v>11</v>
      </c>
      <c r="I3076" t="s">
        <v>20</v>
      </c>
      <c r="J3076" t="s">
        <v>13</v>
      </c>
      <c r="K3076">
        <v>4.2</v>
      </c>
      <c r="L3076" t="s">
        <v>140</v>
      </c>
      <c r="M3076" t="s">
        <v>33</v>
      </c>
      <c r="N3076" t="s">
        <v>140</v>
      </c>
      <c r="O3076">
        <v>34</v>
      </c>
      <c r="P3076" t="s">
        <v>74</v>
      </c>
      <c r="Q3076" t="s">
        <v>17</v>
      </c>
      <c r="R3076" t="str" cm="1">
        <f t="array" ref="R3076">_xlfn.IFS(B3076&lt;31,"Young-Adult",B3076&lt;41,"Adult",B3076&lt;61,"Middle-aged",B3076&gt;=61,"Senior")</f>
        <v>Young-Adult</v>
      </c>
      <c r="S3076" cm="1">
        <f t="array" ref="S3076">_xlfn.IFS(Q3076 ="Fortnightly",14,Q3076="Weekly",7,Q3076="Monthly",30,Q3076="Quarterly",90,Q3076="Bi-Weekly",14,Q3076="Annually",365,Q3076="Every 3 Months",90,TRUE,"NOT FOUND")</f>
        <v>14</v>
      </c>
    </row>
    <row r="3077" spans="1:19" x14ac:dyDescent="0.35">
      <c r="A3077">
        <v>3076</v>
      </c>
      <c r="B3077">
        <v>54</v>
      </c>
      <c r="C3077" t="s">
        <v>141</v>
      </c>
      <c r="D3077" t="s">
        <v>47</v>
      </c>
      <c r="E3077" t="s">
        <v>9</v>
      </c>
      <c r="F3077">
        <v>90</v>
      </c>
      <c r="G3077" t="s">
        <v>128</v>
      </c>
      <c r="H3077" t="s">
        <v>80</v>
      </c>
      <c r="I3077" t="s">
        <v>106</v>
      </c>
      <c r="J3077" t="s">
        <v>13</v>
      </c>
      <c r="K3077">
        <v>3.6</v>
      </c>
      <c r="L3077" t="s">
        <v>140</v>
      </c>
      <c r="M3077" t="s">
        <v>42</v>
      </c>
      <c r="N3077" t="s">
        <v>140</v>
      </c>
      <c r="O3077">
        <v>21</v>
      </c>
      <c r="P3077" t="s">
        <v>34</v>
      </c>
      <c r="Q3077" t="s">
        <v>85</v>
      </c>
      <c r="R3077" t="str" cm="1">
        <f t="array" ref="R3077">_xlfn.IFS(B3077&lt;31,"Young-Adult",B3077&lt;41,"Adult",B3077&lt;61,"Middle-aged",B3077&gt;=61,"Senior")</f>
        <v>Middle-aged</v>
      </c>
      <c r="S3077" cm="1">
        <f t="array" ref="S3077">_xlfn.IFS(Q3077 ="Fortnightly",14,Q3077="Weekly",7,Q3077="Monthly",30,Q3077="Quarterly",90,Q3077="Bi-Weekly",14,Q3077="Annually",365,Q3077="Every 3 Months",90,TRUE,"NOT FOUND")</f>
        <v>90</v>
      </c>
    </row>
    <row r="3078" spans="1:19" x14ac:dyDescent="0.35">
      <c r="A3078">
        <v>3077</v>
      </c>
      <c r="B3078">
        <v>66</v>
      </c>
      <c r="C3078" t="s">
        <v>141</v>
      </c>
      <c r="D3078" t="s">
        <v>54</v>
      </c>
      <c r="E3078" t="s">
        <v>55</v>
      </c>
      <c r="F3078">
        <v>46</v>
      </c>
      <c r="G3078" t="s">
        <v>70</v>
      </c>
      <c r="H3078" t="s">
        <v>32</v>
      </c>
      <c r="I3078" t="s">
        <v>132</v>
      </c>
      <c r="J3078" t="s">
        <v>41</v>
      </c>
      <c r="K3078">
        <v>3.6</v>
      </c>
      <c r="L3078" t="s">
        <v>140</v>
      </c>
      <c r="M3078" t="s">
        <v>15</v>
      </c>
      <c r="N3078" t="s">
        <v>140</v>
      </c>
      <c r="O3078">
        <v>13</v>
      </c>
      <c r="P3078" t="s">
        <v>16</v>
      </c>
      <c r="Q3078" t="s">
        <v>64</v>
      </c>
      <c r="R3078" t="str" cm="1">
        <f t="array" ref="R3078">_xlfn.IFS(B3078&lt;31,"Young-Adult",B3078&lt;41,"Adult",B3078&lt;61,"Middle-aged",B3078&gt;=61,"Senior")</f>
        <v>Senior</v>
      </c>
      <c r="S3078" cm="1">
        <f t="array" ref="S3078">_xlfn.IFS(Q3078 ="Fortnightly",14,Q3078="Weekly",7,Q3078="Monthly",30,Q3078="Quarterly",90,Q3078="Bi-Weekly",14,Q3078="Annually",365,Q3078="Every 3 Months",90,TRUE,"NOT FOUND")</f>
        <v>14</v>
      </c>
    </row>
    <row r="3079" spans="1:19" x14ac:dyDescent="0.35">
      <c r="A3079">
        <v>3078</v>
      </c>
      <c r="B3079">
        <v>60</v>
      </c>
      <c r="C3079" t="s">
        <v>141</v>
      </c>
      <c r="D3079" t="s">
        <v>18</v>
      </c>
      <c r="E3079" t="s">
        <v>9</v>
      </c>
      <c r="F3079">
        <v>88</v>
      </c>
      <c r="G3079" t="s">
        <v>103</v>
      </c>
      <c r="H3079" t="s">
        <v>24</v>
      </c>
      <c r="I3079" t="s">
        <v>96</v>
      </c>
      <c r="J3079" t="s">
        <v>25</v>
      </c>
      <c r="K3079">
        <v>3</v>
      </c>
      <c r="L3079" t="s">
        <v>140</v>
      </c>
      <c r="M3079" t="s">
        <v>62</v>
      </c>
      <c r="N3079" t="s">
        <v>140</v>
      </c>
      <c r="O3079">
        <v>33</v>
      </c>
      <c r="P3079" t="s">
        <v>74</v>
      </c>
      <c r="Q3079" t="s">
        <v>64</v>
      </c>
      <c r="R3079" t="str" cm="1">
        <f t="array" ref="R3079">_xlfn.IFS(B3079&lt;31,"Young-Adult",B3079&lt;41,"Adult",B3079&lt;61,"Middle-aged",B3079&gt;=61,"Senior")</f>
        <v>Middle-aged</v>
      </c>
      <c r="S3079" cm="1">
        <f t="array" ref="S3079">_xlfn.IFS(Q3079 ="Fortnightly",14,Q3079="Weekly",7,Q3079="Monthly",30,Q3079="Quarterly",90,Q3079="Bi-Weekly",14,Q3079="Annually",365,Q3079="Every 3 Months",90,TRUE,"NOT FOUND")</f>
        <v>14</v>
      </c>
    </row>
    <row r="3080" spans="1:19" x14ac:dyDescent="0.35">
      <c r="A3080">
        <v>3079</v>
      </c>
      <c r="B3080">
        <v>32</v>
      </c>
      <c r="C3080" t="s">
        <v>141</v>
      </c>
      <c r="D3080" t="s">
        <v>121</v>
      </c>
      <c r="E3080" t="s">
        <v>55</v>
      </c>
      <c r="F3080">
        <v>95</v>
      </c>
      <c r="G3080" t="s">
        <v>108</v>
      </c>
      <c r="H3080" t="s">
        <v>32</v>
      </c>
      <c r="I3080" t="s">
        <v>132</v>
      </c>
      <c r="J3080" t="s">
        <v>25</v>
      </c>
      <c r="K3080">
        <v>2.5</v>
      </c>
      <c r="L3080" t="s">
        <v>140</v>
      </c>
      <c r="M3080" t="s">
        <v>58</v>
      </c>
      <c r="N3080" t="s">
        <v>140</v>
      </c>
      <c r="O3080">
        <v>24</v>
      </c>
      <c r="P3080" t="s">
        <v>63</v>
      </c>
      <c r="Q3080" t="s">
        <v>64</v>
      </c>
      <c r="R3080" t="str" cm="1">
        <f t="array" ref="R3080">_xlfn.IFS(B3080&lt;31,"Young-Adult",B3080&lt;41,"Adult",B3080&lt;61,"Middle-aged",B3080&gt;=61,"Senior")</f>
        <v>Adult</v>
      </c>
      <c r="S3080" cm="1">
        <f t="array" ref="S3080">_xlfn.IFS(Q3080 ="Fortnightly",14,Q3080="Weekly",7,Q3080="Monthly",30,Q3080="Quarterly",90,Q3080="Bi-Weekly",14,Q3080="Annually",365,Q3080="Every 3 Months",90,TRUE,"NOT FOUND")</f>
        <v>14</v>
      </c>
    </row>
    <row r="3081" spans="1:19" x14ac:dyDescent="0.35">
      <c r="A3081">
        <v>3080</v>
      </c>
      <c r="B3081">
        <v>48</v>
      </c>
      <c r="C3081" t="s">
        <v>141</v>
      </c>
      <c r="D3081" t="s">
        <v>121</v>
      </c>
      <c r="E3081" t="s">
        <v>55</v>
      </c>
      <c r="F3081">
        <v>31</v>
      </c>
      <c r="G3081" t="s">
        <v>39</v>
      </c>
      <c r="H3081" t="s">
        <v>32</v>
      </c>
      <c r="I3081" t="s">
        <v>20</v>
      </c>
      <c r="J3081" t="s">
        <v>45</v>
      </c>
      <c r="K3081">
        <v>4</v>
      </c>
      <c r="L3081" t="s">
        <v>140</v>
      </c>
      <c r="M3081" t="s">
        <v>62</v>
      </c>
      <c r="N3081" t="s">
        <v>140</v>
      </c>
      <c r="O3081">
        <v>4</v>
      </c>
      <c r="P3081" t="s">
        <v>63</v>
      </c>
      <c r="Q3081" t="s">
        <v>37</v>
      </c>
      <c r="R3081" t="str" cm="1">
        <f t="array" ref="R3081">_xlfn.IFS(B3081&lt;31,"Young-Adult",B3081&lt;41,"Adult",B3081&lt;61,"Middle-aged",B3081&gt;=61,"Senior")</f>
        <v>Middle-aged</v>
      </c>
      <c r="S3081" cm="1">
        <f t="array" ref="S3081">_xlfn.IFS(Q3081 ="Fortnightly",14,Q3081="Weekly",7,Q3081="Monthly",30,Q3081="Quarterly",90,Q3081="Bi-Weekly",14,Q3081="Annually",365,Q3081="Every 3 Months",90,TRUE,"NOT FOUND")</f>
        <v>365</v>
      </c>
    </row>
    <row r="3082" spans="1:19" x14ac:dyDescent="0.35">
      <c r="A3082">
        <v>3081</v>
      </c>
      <c r="B3082">
        <v>69</v>
      </c>
      <c r="C3082" t="s">
        <v>141</v>
      </c>
      <c r="D3082" t="s">
        <v>92</v>
      </c>
      <c r="E3082" t="s">
        <v>9</v>
      </c>
      <c r="F3082">
        <v>42</v>
      </c>
      <c r="G3082" t="s">
        <v>100</v>
      </c>
      <c r="H3082" t="s">
        <v>11</v>
      </c>
      <c r="I3082" t="s">
        <v>122</v>
      </c>
      <c r="J3082" t="s">
        <v>25</v>
      </c>
      <c r="K3082">
        <v>4.0999999999999996</v>
      </c>
      <c r="L3082" t="s">
        <v>140</v>
      </c>
      <c r="M3082" t="s">
        <v>33</v>
      </c>
      <c r="N3082" t="s">
        <v>140</v>
      </c>
      <c r="O3082">
        <v>5</v>
      </c>
      <c r="P3082" t="s">
        <v>21</v>
      </c>
      <c r="Q3082" t="s">
        <v>64</v>
      </c>
      <c r="R3082" t="str" cm="1">
        <f t="array" ref="R3082">_xlfn.IFS(B3082&lt;31,"Young-Adult",B3082&lt;41,"Adult",B3082&lt;61,"Middle-aged",B3082&gt;=61,"Senior")</f>
        <v>Senior</v>
      </c>
      <c r="S3082" cm="1">
        <f t="array" ref="S3082">_xlfn.IFS(Q3082 ="Fortnightly",14,Q3082="Weekly",7,Q3082="Monthly",30,Q3082="Quarterly",90,Q3082="Bi-Weekly",14,Q3082="Annually",365,Q3082="Every 3 Months",90,TRUE,"NOT FOUND")</f>
        <v>14</v>
      </c>
    </row>
    <row r="3083" spans="1:19" x14ac:dyDescent="0.35">
      <c r="A3083">
        <v>3082</v>
      </c>
      <c r="B3083">
        <v>64</v>
      </c>
      <c r="C3083" t="s">
        <v>141</v>
      </c>
      <c r="D3083" t="s">
        <v>38</v>
      </c>
      <c r="E3083" t="s">
        <v>30</v>
      </c>
      <c r="F3083">
        <v>44</v>
      </c>
      <c r="G3083" t="s">
        <v>117</v>
      </c>
      <c r="H3083" t="s">
        <v>11</v>
      </c>
      <c r="I3083" t="s">
        <v>57</v>
      </c>
      <c r="J3083" t="s">
        <v>13</v>
      </c>
      <c r="K3083">
        <v>4.9000000000000004</v>
      </c>
      <c r="L3083" t="s">
        <v>140</v>
      </c>
      <c r="M3083" t="s">
        <v>33</v>
      </c>
      <c r="N3083" t="s">
        <v>140</v>
      </c>
      <c r="O3083">
        <v>11</v>
      </c>
      <c r="P3083" t="s">
        <v>27</v>
      </c>
      <c r="Q3083" t="s">
        <v>28</v>
      </c>
      <c r="R3083" t="str" cm="1">
        <f t="array" ref="R3083">_xlfn.IFS(B3083&lt;31,"Young-Adult",B3083&lt;41,"Adult",B3083&lt;61,"Middle-aged",B3083&gt;=61,"Senior")</f>
        <v>Senior</v>
      </c>
      <c r="S3083" cm="1">
        <f t="array" ref="S3083">_xlfn.IFS(Q3083 ="Fortnightly",14,Q3083="Weekly",7,Q3083="Monthly",30,Q3083="Quarterly",90,Q3083="Bi-Weekly",14,Q3083="Annually",365,Q3083="Every 3 Months",90,TRUE,"NOT FOUND")</f>
        <v>7</v>
      </c>
    </row>
    <row r="3084" spans="1:19" x14ac:dyDescent="0.35">
      <c r="A3084">
        <v>3083</v>
      </c>
      <c r="B3084">
        <v>56</v>
      </c>
      <c r="C3084" t="s">
        <v>141</v>
      </c>
      <c r="D3084" t="s">
        <v>101</v>
      </c>
      <c r="E3084" t="s">
        <v>9</v>
      </c>
      <c r="F3084">
        <v>99</v>
      </c>
      <c r="G3084" t="s">
        <v>128</v>
      </c>
      <c r="H3084" t="s">
        <v>32</v>
      </c>
      <c r="I3084" t="s">
        <v>20</v>
      </c>
      <c r="J3084" t="s">
        <v>25</v>
      </c>
      <c r="K3084">
        <v>4</v>
      </c>
      <c r="L3084" t="s">
        <v>140</v>
      </c>
      <c r="M3084" t="s">
        <v>33</v>
      </c>
      <c r="N3084" t="s">
        <v>140</v>
      </c>
      <c r="O3084">
        <v>20</v>
      </c>
      <c r="P3084" t="s">
        <v>63</v>
      </c>
      <c r="Q3084" t="s">
        <v>37</v>
      </c>
      <c r="R3084" t="str" cm="1">
        <f t="array" ref="R3084">_xlfn.IFS(B3084&lt;31,"Young-Adult",B3084&lt;41,"Adult",B3084&lt;61,"Middle-aged",B3084&gt;=61,"Senior")</f>
        <v>Middle-aged</v>
      </c>
      <c r="S3084" cm="1">
        <f t="array" ref="S3084">_xlfn.IFS(Q3084 ="Fortnightly",14,Q3084="Weekly",7,Q3084="Monthly",30,Q3084="Quarterly",90,Q3084="Bi-Weekly",14,Q3084="Annually",365,Q3084="Every 3 Months",90,TRUE,"NOT FOUND")</f>
        <v>365</v>
      </c>
    </row>
    <row r="3085" spans="1:19" x14ac:dyDescent="0.35">
      <c r="A3085">
        <v>3084</v>
      </c>
      <c r="B3085">
        <v>22</v>
      </c>
      <c r="C3085" t="s">
        <v>141</v>
      </c>
      <c r="D3085" t="s">
        <v>83</v>
      </c>
      <c r="E3085" t="s">
        <v>9</v>
      </c>
      <c r="F3085">
        <v>20</v>
      </c>
      <c r="G3085" t="s">
        <v>103</v>
      </c>
      <c r="H3085" t="s">
        <v>24</v>
      </c>
      <c r="I3085" t="s">
        <v>61</v>
      </c>
      <c r="J3085" t="s">
        <v>41</v>
      </c>
      <c r="K3085">
        <v>3.5</v>
      </c>
      <c r="L3085" t="s">
        <v>140</v>
      </c>
      <c r="M3085" t="s">
        <v>62</v>
      </c>
      <c r="N3085" t="s">
        <v>140</v>
      </c>
      <c r="O3085">
        <v>28</v>
      </c>
      <c r="P3085" t="s">
        <v>34</v>
      </c>
      <c r="Q3085" t="s">
        <v>46</v>
      </c>
      <c r="R3085" t="str" cm="1">
        <f t="array" ref="R3085">_xlfn.IFS(B3085&lt;31,"Young-Adult",B3085&lt;41,"Adult",B3085&lt;61,"Middle-aged",B3085&gt;=61,"Senior")</f>
        <v>Young-Adult</v>
      </c>
      <c r="S3085" cm="1">
        <f t="array" ref="S3085">_xlfn.IFS(Q3085 ="Fortnightly",14,Q3085="Weekly",7,Q3085="Monthly",30,Q3085="Quarterly",90,Q3085="Bi-Weekly",14,Q3085="Annually",365,Q3085="Every 3 Months",90,TRUE,"NOT FOUND")</f>
        <v>90</v>
      </c>
    </row>
    <row r="3086" spans="1:19" x14ac:dyDescent="0.35">
      <c r="A3086">
        <v>3085</v>
      </c>
      <c r="B3086">
        <v>46</v>
      </c>
      <c r="C3086" t="s">
        <v>141</v>
      </c>
      <c r="D3086" t="s">
        <v>107</v>
      </c>
      <c r="E3086" t="s">
        <v>55</v>
      </c>
      <c r="F3086">
        <v>37</v>
      </c>
      <c r="G3086" t="s">
        <v>123</v>
      </c>
      <c r="H3086" t="s">
        <v>24</v>
      </c>
      <c r="I3086" t="s">
        <v>114</v>
      </c>
      <c r="J3086" t="s">
        <v>25</v>
      </c>
      <c r="K3086">
        <v>3.2</v>
      </c>
      <c r="L3086" t="s">
        <v>140</v>
      </c>
      <c r="M3086" t="s">
        <v>62</v>
      </c>
      <c r="N3086" t="s">
        <v>140</v>
      </c>
      <c r="O3086">
        <v>43</v>
      </c>
      <c r="P3086" t="s">
        <v>34</v>
      </c>
      <c r="Q3086" t="s">
        <v>76</v>
      </c>
      <c r="R3086" t="str" cm="1">
        <f t="array" ref="R3086">_xlfn.IFS(B3086&lt;31,"Young-Adult",B3086&lt;41,"Adult",B3086&lt;61,"Middle-aged",B3086&gt;=61,"Senior")</f>
        <v>Middle-aged</v>
      </c>
      <c r="S3086" cm="1">
        <f t="array" ref="S3086">_xlfn.IFS(Q3086 ="Fortnightly",14,Q3086="Weekly",7,Q3086="Monthly",30,Q3086="Quarterly",90,Q3086="Bi-Weekly",14,Q3086="Annually",365,Q3086="Every 3 Months",90,TRUE,"NOT FOUND")</f>
        <v>30</v>
      </c>
    </row>
    <row r="3087" spans="1:19" x14ac:dyDescent="0.35">
      <c r="A3087">
        <v>3086</v>
      </c>
      <c r="B3087">
        <v>24</v>
      </c>
      <c r="C3087" t="s">
        <v>141</v>
      </c>
      <c r="D3087" t="s">
        <v>18</v>
      </c>
      <c r="E3087" t="s">
        <v>9</v>
      </c>
      <c r="F3087">
        <v>50</v>
      </c>
      <c r="G3087" t="s">
        <v>95</v>
      </c>
      <c r="H3087" t="s">
        <v>11</v>
      </c>
      <c r="I3087" t="s">
        <v>12</v>
      </c>
      <c r="J3087" t="s">
        <v>13</v>
      </c>
      <c r="K3087">
        <v>2.8</v>
      </c>
      <c r="L3087" t="s">
        <v>140</v>
      </c>
      <c r="M3087" t="s">
        <v>62</v>
      </c>
      <c r="N3087" t="s">
        <v>140</v>
      </c>
      <c r="O3087">
        <v>10</v>
      </c>
      <c r="P3087" t="s">
        <v>16</v>
      </c>
      <c r="Q3087" t="s">
        <v>85</v>
      </c>
      <c r="R3087" t="str" cm="1">
        <f t="array" ref="R3087">_xlfn.IFS(B3087&lt;31,"Young-Adult",B3087&lt;41,"Adult",B3087&lt;61,"Middle-aged",B3087&gt;=61,"Senior")</f>
        <v>Young-Adult</v>
      </c>
      <c r="S3087" cm="1">
        <f t="array" ref="S3087">_xlfn.IFS(Q3087 ="Fortnightly",14,Q3087="Weekly",7,Q3087="Monthly",30,Q3087="Quarterly",90,Q3087="Bi-Weekly",14,Q3087="Annually",365,Q3087="Every 3 Months",90,TRUE,"NOT FOUND")</f>
        <v>90</v>
      </c>
    </row>
    <row r="3088" spans="1:19" x14ac:dyDescent="0.35">
      <c r="A3088">
        <v>3087</v>
      </c>
      <c r="B3088">
        <v>47</v>
      </c>
      <c r="C3088" t="s">
        <v>141</v>
      </c>
      <c r="D3088" t="s">
        <v>54</v>
      </c>
      <c r="E3088" t="s">
        <v>55</v>
      </c>
      <c r="F3088">
        <v>73</v>
      </c>
      <c r="G3088" t="s">
        <v>128</v>
      </c>
      <c r="H3088" t="s">
        <v>32</v>
      </c>
      <c r="I3088" t="s">
        <v>81</v>
      </c>
      <c r="J3088" t="s">
        <v>41</v>
      </c>
      <c r="K3088">
        <v>3.5</v>
      </c>
      <c r="L3088" t="s">
        <v>140</v>
      </c>
      <c r="M3088" t="s">
        <v>33</v>
      </c>
      <c r="N3088" t="s">
        <v>140</v>
      </c>
      <c r="O3088">
        <v>26</v>
      </c>
      <c r="P3088" t="s">
        <v>16</v>
      </c>
      <c r="Q3088" t="s">
        <v>85</v>
      </c>
      <c r="R3088" t="str" cm="1">
        <f t="array" ref="R3088">_xlfn.IFS(B3088&lt;31,"Young-Adult",B3088&lt;41,"Adult",B3088&lt;61,"Middle-aged",B3088&gt;=61,"Senior")</f>
        <v>Middle-aged</v>
      </c>
      <c r="S3088" cm="1">
        <f t="array" ref="S3088">_xlfn.IFS(Q3088 ="Fortnightly",14,Q3088="Weekly",7,Q3088="Monthly",30,Q3088="Quarterly",90,Q3088="Bi-Weekly",14,Q3088="Annually",365,Q3088="Every 3 Months",90,TRUE,"NOT FOUND")</f>
        <v>90</v>
      </c>
    </row>
    <row r="3089" spans="1:19" x14ac:dyDescent="0.35">
      <c r="A3089">
        <v>3088</v>
      </c>
      <c r="B3089">
        <v>62</v>
      </c>
      <c r="C3089" t="s">
        <v>141</v>
      </c>
      <c r="D3089" t="s">
        <v>43</v>
      </c>
      <c r="E3089" t="s">
        <v>9</v>
      </c>
      <c r="F3089">
        <v>84</v>
      </c>
      <c r="G3089" t="s">
        <v>86</v>
      </c>
      <c r="H3089" t="s">
        <v>32</v>
      </c>
      <c r="I3089" t="s">
        <v>49</v>
      </c>
      <c r="J3089" t="s">
        <v>25</v>
      </c>
      <c r="K3089">
        <v>3.1</v>
      </c>
      <c r="L3089" t="s">
        <v>140</v>
      </c>
      <c r="M3089" t="s">
        <v>26</v>
      </c>
      <c r="N3089" t="s">
        <v>140</v>
      </c>
      <c r="O3089">
        <v>29</v>
      </c>
      <c r="P3089" t="s">
        <v>63</v>
      </c>
      <c r="Q3089" t="s">
        <v>76</v>
      </c>
      <c r="R3089" t="str" cm="1">
        <f t="array" ref="R3089">_xlfn.IFS(B3089&lt;31,"Young-Adult",B3089&lt;41,"Adult",B3089&lt;61,"Middle-aged",B3089&gt;=61,"Senior")</f>
        <v>Senior</v>
      </c>
      <c r="S3089" cm="1">
        <f t="array" ref="S3089">_xlfn.IFS(Q3089 ="Fortnightly",14,Q3089="Weekly",7,Q3089="Monthly",30,Q3089="Quarterly",90,Q3089="Bi-Weekly",14,Q3089="Annually",365,Q3089="Every 3 Months",90,TRUE,"NOT FOUND")</f>
        <v>30</v>
      </c>
    </row>
    <row r="3090" spans="1:19" x14ac:dyDescent="0.35">
      <c r="A3090">
        <v>3089</v>
      </c>
      <c r="B3090">
        <v>34</v>
      </c>
      <c r="C3090" t="s">
        <v>141</v>
      </c>
      <c r="D3090" t="s">
        <v>69</v>
      </c>
      <c r="E3090" t="s">
        <v>9</v>
      </c>
      <c r="F3090">
        <v>64</v>
      </c>
      <c r="G3090" t="s">
        <v>60</v>
      </c>
      <c r="H3090" t="s">
        <v>32</v>
      </c>
      <c r="I3090" t="s">
        <v>73</v>
      </c>
      <c r="J3090" t="s">
        <v>25</v>
      </c>
      <c r="K3090">
        <v>3.3</v>
      </c>
      <c r="L3090" t="s">
        <v>140</v>
      </c>
      <c r="M3090" t="s">
        <v>62</v>
      </c>
      <c r="N3090" t="s">
        <v>140</v>
      </c>
      <c r="O3090">
        <v>35</v>
      </c>
      <c r="P3090" t="s">
        <v>63</v>
      </c>
      <c r="Q3090" t="s">
        <v>46</v>
      </c>
      <c r="R3090" t="str" cm="1">
        <f t="array" ref="R3090">_xlfn.IFS(B3090&lt;31,"Young-Adult",B3090&lt;41,"Adult",B3090&lt;61,"Middle-aged",B3090&gt;=61,"Senior")</f>
        <v>Adult</v>
      </c>
      <c r="S3090" cm="1">
        <f t="array" ref="S3090">_xlfn.IFS(Q3090 ="Fortnightly",14,Q3090="Weekly",7,Q3090="Monthly",30,Q3090="Quarterly",90,Q3090="Bi-Weekly",14,Q3090="Annually",365,Q3090="Every 3 Months",90,TRUE,"NOT FOUND")</f>
        <v>90</v>
      </c>
    </row>
    <row r="3091" spans="1:19" x14ac:dyDescent="0.35">
      <c r="A3091">
        <v>3090</v>
      </c>
      <c r="B3091">
        <v>50</v>
      </c>
      <c r="C3091" t="s">
        <v>141</v>
      </c>
      <c r="D3091" t="s">
        <v>29</v>
      </c>
      <c r="E3091" t="s">
        <v>30</v>
      </c>
      <c r="F3091">
        <v>21</v>
      </c>
      <c r="G3091" t="s">
        <v>86</v>
      </c>
      <c r="H3091" t="s">
        <v>11</v>
      </c>
      <c r="I3091" t="s">
        <v>132</v>
      </c>
      <c r="J3091" t="s">
        <v>45</v>
      </c>
      <c r="K3091">
        <v>4.5999999999999996</v>
      </c>
      <c r="L3091" t="s">
        <v>140</v>
      </c>
      <c r="M3091" t="s">
        <v>26</v>
      </c>
      <c r="N3091" t="s">
        <v>140</v>
      </c>
      <c r="O3091">
        <v>23</v>
      </c>
      <c r="P3091" t="s">
        <v>21</v>
      </c>
      <c r="Q3091" t="s">
        <v>64</v>
      </c>
      <c r="R3091" t="str" cm="1">
        <f t="array" ref="R3091">_xlfn.IFS(B3091&lt;31,"Young-Adult",B3091&lt;41,"Adult",B3091&lt;61,"Middle-aged",B3091&gt;=61,"Senior")</f>
        <v>Middle-aged</v>
      </c>
      <c r="S3091" cm="1">
        <f t="array" ref="S3091">_xlfn.IFS(Q3091 ="Fortnightly",14,Q3091="Weekly",7,Q3091="Monthly",30,Q3091="Quarterly",90,Q3091="Bi-Weekly",14,Q3091="Annually",365,Q3091="Every 3 Months",90,TRUE,"NOT FOUND")</f>
        <v>14</v>
      </c>
    </row>
    <row r="3092" spans="1:19" x14ac:dyDescent="0.35">
      <c r="A3092">
        <v>3091</v>
      </c>
      <c r="B3092">
        <v>29</v>
      </c>
      <c r="C3092" t="s">
        <v>141</v>
      </c>
      <c r="D3092" t="s">
        <v>43</v>
      </c>
      <c r="E3092" t="s">
        <v>9</v>
      </c>
      <c r="F3092">
        <v>36</v>
      </c>
      <c r="G3092" t="s">
        <v>93</v>
      </c>
      <c r="H3092" t="s">
        <v>32</v>
      </c>
      <c r="I3092" t="s">
        <v>88</v>
      </c>
      <c r="J3092" t="s">
        <v>41</v>
      </c>
      <c r="K3092">
        <v>4.9000000000000004</v>
      </c>
      <c r="L3092" t="s">
        <v>140</v>
      </c>
      <c r="M3092" t="s">
        <v>62</v>
      </c>
      <c r="N3092" t="s">
        <v>140</v>
      </c>
      <c r="O3092">
        <v>15</v>
      </c>
      <c r="P3092" t="s">
        <v>63</v>
      </c>
      <c r="Q3092" t="s">
        <v>46</v>
      </c>
      <c r="R3092" t="str" cm="1">
        <f t="array" ref="R3092">_xlfn.IFS(B3092&lt;31,"Young-Adult",B3092&lt;41,"Adult",B3092&lt;61,"Middle-aged",B3092&gt;=61,"Senior")</f>
        <v>Young-Adult</v>
      </c>
      <c r="S3092" cm="1">
        <f t="array" ref="S3092">_xlfn.IFS(Q3092 ="Fortnightly",14,Q3092="Weekly",7,Q3092="Monthly",30,Q3092="Quarterly",90,Q3092="Bi-Weekly",14,Q3092="Annually",365,Q3092="Every 3 Months",90,TRUE,"NOT FOUND")</f>
        <v>90</v>
      </c>
    </row>
    <row r="3093" spans="1:19" x14ac:dyDescent="0.35">
      <c r="A3093">
        <v>3092</v>
      </c>
      <c r="B3093">
        <v>68</v>
      </c>
      <c r="C3093" t="s">
        <v>141</v>
      </c>
      <c r="D3093" t="s">
        <v>69</v>
      </c>
      <c r="E3093" t="s">
        <v>9</v>
      </c>
      <c r="F3093">
        <v>81</v>
      </c>
      <c r="G3093" t="s">
        <v>95</v>
      </c>
      <c r="H3093" t="s">
        <v>11</v>
      </c>
      <c r="I3093" t="s">
        <v>109</v>
      </c>
      <c r="J3093" t="s">
        <v>13</v>
      </c>
      <c r="K3093">
        <v>3.4</v>
      </c>
      <c r="L3093" t="s">
        <v>140</v>
      </c>
      <c r="M3093" t="s">
        <v>58</v>
      </c>
      <c r="N3093" t="s">
        <v>140</v>
      </c>
      <c r="O3093">
        <v>46</v>
      </c>
      <c r="P3093" t="s">
        <v>27</v>
      </c>
      <c r="Q3093" t="s">
        <v>37</v>
      </c>
      <c r="R3093" t="str" cm="1">
        <f t="array" ref="R3093">_xlfn.IFS(B3093&lt;31,"Young-Adult",B3093&lt;41,"Adult",B3093&lt;61,"Middle-aged",B3093&gt;=61,"Senior")</f>
        <v>Senior</v>
      </c>
      <c r="S3093" cm="1">
        <f t="array" ref="S3093">_xlfn.IFS(Q3093 ="Fortnightly",14,Q3093="Weekly",7,Q3093="Monthly",30,Q3093="Quarterly",90,Q3093="Bi-Weekly",14,Q3093="Annually",365,Q3093="Every 3 Months",90,TRUE,"NOT FOUND")</f>
        <v>365</v>
      </c>
    </row>
    <row r="3094" spans="1:19" x14ac:dyDescent="0.35">
      <c r="A3094">
        <v>3093</v>
      </c>
      <c r="B3094">
        <v>52</v>
      </c>
      <c r="C3094" t="s">
        <v>141</v>
      </c>
      <c r="D3094" t="s">
        <v>77</v>
      </c>
      <c r="E3094" t="s">
        <v>55</v>
      </c>
      <c r="F3094">
        <v>54</v>
      </c>
      <c r="G3094" t="s">
        <v>128</v>
      </c>
      <c r="H3094" t="s">
        <v>11</v>
      </c>
      <c r="I3094" t="s">
        <v>53</v>
      </c>
      <c r="J3094" t="s">
        <v>45</v>
      </c>
      <c r="K3094">
        <v>3.5</v>
      </c>
      <c r="L3094" t="s">
        <v>140</v>
      </c>
      <c r="M3094" t="s">
        <v>33</v>
      </c>
      <c r="N3094" t="s">
        <v>140</v>
      </c>
      <c r="O3094">
        <v>14</v>
      </c>
      <c r="P3094" t="s">
        <v>63</v>
      </c>
      <c r="Q3094" t="s">
        <v>64</v>
      </c>
      <c r="R3094" t="str" cm="1">
        <f t="array" ref="R3094">_xlfn.IFS(B3094&lt;31,"Young-Adult",B3094&lt;41,"Adult",B3094&lt;61,"Middle-aged",B3094&gt;=61,"Senior")</f>
        <v>Middle-aged</v>
      </c>
      <c r="S3094" cm="1">
        <f t="array" ref="S3094">_xlfn.IFS(Q3094 ="Fortnightly",14,Q3094="Weekly",7,Q3094="Monthly",30,Q3094="Quarterly",90,Q3094="Bi-Weekly",14,Q3094="Annually",365,Q3094="Every 3 Months",90,TRUE,"NOT FOUND")</f>
        <v>14</v>
      </c>
    </row>
    <row r="3095" spans="1:19" x14ac:dyDescent="0.35">
      <c r="A3095">
        <v>3094</v>
      </c>
      <c r="B3095">
        <v>29</v>
      </c>
      <c r="C3095" t="s">
        <v>141</v>
      </c>
      <c r="D3095" t="s">
        <v>113</v>
      </c>
      <c r="E3095" t="s">
        <v>9</v>
      </c>
      <c r="F3095">
        <v>63</v>
      </c>
      <c r="G3095" t="s">
        <v>126</v>
      </c>
      <c r="H3095" t="s">
        <v>11</v>
      </c>
      <c r="I3095" t="s">
        <v>96</v>
      </c>
      <c r="J3095" t="s">
        <v>41</v>
      </c>
      <c r="K3095">
        <v>4.8</v>
      </c>
      <c r="L3095" t="s">
        <v>140</v>
      </c>
      <c r="M3095" t="s">
        <v>62</v>
      </c>
      <c r="N3095" t="s">
        <v>140</v>
      </c>
      <c r="O3095">
        <v>17</v>
      </c>
      <c r="P3095" t="s">
        <v>21</v>
      </c>
      <c r="Q3095" t="s">
        <v>85</v>
      </c>
      <c r="R3095" t="str" cm="1">
        <f t="array" ref="R3095">_xlfn.IFS(B3095&lt;31,"Young-Adult",B3095&lt;41,"Adult",B3095&lt;61,"Middle-aged",B3095&gt;=61,"Senior")</f>
        <v>Young-Adult</v>
      </c>
      <c r="S3095" cm="1">
        <f t="array" ref="S3095">_xlfn.IFS(Q3095 ="Fortnightly",14,Q3095="Weekly",7,Q3095="Monthly",30,Q3095="Quarterly",90,Q3095="Bi-Weekly",14,Q3095="Annually",365,Q3095="Every 3 Months",90,TRUE,"NOT FOUND")</f>
        <v>90</v>
      </c>
    </row>
    <row r="3096" spans="1:19" x14ac:dyDescent="0.35">
      <c r="A3096">
        <v>3095</v>
      </c>
      <c r="B3096">
        <v>22</v>
      </c>
      <c r="C3096" t="s">
        <v>141</v>
      </c>
      <c r="D3096" t="s">
        <v>29</v>
      </c>
      <c r="E3096" t="s">
        <v>30</v>
      </c>
      <c r="F3096">
        <v>59</v>
      </c>
      <c r="G3096" t="s">
        <v>130</v>
      </c>
      <c r="H3096" t="s">
        <v>32</v>
      </c>
      <c r="I3096" t="s">
        <v>12</v>
      </c>
      <c r="J3096" t="s">
        <v>41</v>
      </c>
      <c r="K3096">
        <v>2.7</v>
      </c>
      <c r="L3096" t="s">
        <v>140</v>
      </c>
      <c r="M3096" t="s">
        <v>62</v>
      </c>
      <c r="N3096" t="s">
        <v>140</v>
      </c>
      <c r="O3096">
        <v>9</v>
      </c>
      <c r="P3096" t="s">
        <v>21</v>
      </c>
      <c r="Q3096" t="s">
        <v>28</v>
      </c>
      <c r="R3096" t="str" cm="1">
        <f t="array" ref="R3096">_xlfn.IFS(B3096&lt;31,"Young-Adult",B3096&lt;41,"Adult",B3096&lt;61,"Middle-aged",B3096&gt;=61,"Senior")</f>
        <v>Young-Adult</v>
      </c>
      <c r="S3096" cm="1">
        <f t="array" ref="S3096">_xlfn.IFS(Q3096 ="Fortnightly",14,Q3096="Weekly",7,Q3096="Monthly",30,Q3096="Quarterly",90,Q3096="Bi-Weekly",14,Q3096="Annually",365,Q3096="Every 3 Months",90,TRUE,"NOT FOUND")</f>
        <v>7</v>
      </c>
    </row>
    <row r="3097" spans="1:19" x14ac:dyDescent="0.35">
      <c r="A3097">
        <v>3096</v>
      </c>
      <c r="B3097">
        <v>62</v>
      </c>
      <c r="C3097" t="s">
        <v>141</v>
      </c>
      <c r="D3097" t="s">
        <v>112</v>
      </c>
      <c r="E3097" t="s">
        <v>55</v>
      </c>
      <c r="F3097">
        <v>53</v>
      </c>
      <c r="G3097" t="s">
        <v>136</v>
      </c>
      <c r="H3097" t="s">
        <v>24</v>
      </c>
      <c r="I3097" t="s">
        <v>106</v>
      </c>
      <c r="J3097" t="s">
        <v>45</v>
      </c>
      <c r="K3097">
        <v>3.4</v>
      </c>
      <c r="L3097" t="s">
        <v>140</v>
      </c>
      <c r="M3097" t="s">
        <v>42</v>
      </c>
      <c r="N3097" t="s">
        <v>140</v>
      </c>
      <c r="O3097">
        <v>13</v>
      </c>
      <c r="P3097" t="s">
        <v>16</v>
      </c>
      <c r="Q3097" t="s">
        <v>17</v>
      </c>
      <c r="R3097" t="str" cm="1">
        <f t="array" ref="R3097">_xlfn.IFS(B3097&lt;31,"Young-Adult",B3097&lt;41,"Adult",B3097&lt;61,"Middle-aged",B3097&gt;=61,"Senior")</f>
        <v>Senior</v>
      </c>
      <c r="S3097" cm="1">
        <f t="array" ref="S3097">_xlfn.IFS(Q3097 ="Fortnightly",14,Q3097="Weekly",7,Q3097="Monthly",30,Q3097="Quarterly",90,Q3097="Bi-Weekly",14,Q3097="Annually",365,Q3097="Every 3 Months",90,TRUE,"NOT FOUND")</f>
        <v>14</v>
      </c>
    </row>
    <row r="3098" spans="1:19" x14ac:dyDescent="0.35">
      <c r="A3098">
        <v>3097</v>
      </c>
      <c r="B3098">
        <v>69</v>
      </c>
      <c r="C3098" t="s">
        <v>141</v>
      </c>
      <c r="D3098" t="s">
        <v>43</v>
      </c>
      <c r="E3098" t="s">
        <v>9</v>
      </c>
      <c r="F3098">
        <v>63</v>
      </c>
      <c r="G3098" t="s">
        <v>99</v>
      </c>
      <c r="H3098" t="s">
        <v>11</v>
      </c>
      <c r="I3098" t="s">
        <v>40</v>
      </c>
      <c r="J3098" t="s">
        <v>13</v>
      </c>
      <c r="K3098">
        <v>3.5</v>
      </c>
      <c r="L3098" t="s">
        <v>140</v>
      </c>
      <c r="M3098" t="s">
        <v>33</v>
      </c>
      <c r="N3098" t="s">
        <v>140</v>
      </c>
      <c r="O3098">
        <v>20</v>
      </c>
      <c r="P3098" t="s">
        <v>63</v>
      </c>
      <c r="Q3098" t="s">
        <v>76</v>
      </c>
      <c r="R3098" t="str" cm="1">
        <f t="array" ref="R3098">_xlfn.IFS(B3098&lt;31,"Young-Adult",B3098&lt;41,"Adult",B3098&lt;61,"Middle-aged",B3098&gt;=61,"Senior")</f>
        <v>Senior</v>
      </c>
      <c r="S3098" cm="1">
        <f t="array" ref="S3098">_xlfn.IFS(Q3098 ="Fortnightly",14,Q3098="Weekly",7,Q3098="Monthly",30,Q3098="Quarterly",90,Q3098="Bi-Weekly",14,Q3098="Annually",365,Q3098="Every 3 Months",90,TRUE,"NOT FOUND")</f>
        <v>30</v>
      </c>
    </row>
    <row r="3099" spans="1:19" x14ac:dyDescent="0.35">
      <c r="A3099">
        <v>3098</v>
      </c>
      <c r="B3099">
        <v>48</v>
      </c>
      <c r="C3099" t="s">
        <v>141</v>
      </c>
      <c r="D3099" t="s">
        <v>59</v>
      </c>
      <c r="E3099" t="s">
        <v>30</v>
      </c>
      <c r="F3099">
        <v>33</v>
      </c>
      <c r="G3099" t="s">
        <v>67</v>
      </c>
      <c r="H3099" t="s">
        <v>32</v>
      </c>
      <c r="I3099" t="s">
        <v>53</v>
      </c>
      <c r="J3099" t="s">
        <v>45</v>
      </c>
      <c r="K3099">
        <v>3.7</v>
      </c>
      <c r="L3099" t="s">
        <v>140</v>
      </c>
      <c r="M3099" t="s">
        <v>26</v>
      </c>
      <c r="N3099" t="s">
        <v>140</v>
      </c>
      <c r="O3099">
        <v>39</v>
      </c>
      <c r="P3099" t="s">
        <v>63</v>
      </c>
      <c r="Q3099" t="s">
        <v>46</v>
      </c>
      <c r="R3099" t="str" cm="1">
        <f t="array" ref="R3099">_xlfn.IFS(B3099&lt;31,"Young-Adult",B3099&lt;41,"Adult",B3099&lt;61,"Middle-aged",B3099&gt;=61,"Senior")</f>
        <v>Middle-aged</v>
      </c>
      <c r="S3099" cm="1">
        <f t="array" ref="S3099">_xlfn.IFS(Q3099 ="Fortnightly",14,Q3099="Weekly",7,Q3099="Monthly",30,Q3099="Quarterly",90,Q3099="Bi-Weekly",14,Q3099="Annually",365,Q3099="Every 3 Months",90,TRUE,"NOT FOUND")</f>
        <v>90</v>
      </c>
    </row>
    <row r="3100" spans="1:19" x14ac:dyDescent="0.35">
      <c r="A3100">
        <v>3099</v>
      </c>
      <c r="B3100">
        <v>66</v>
      </c>
      <c r="C3100" t="s">
        <v>141</v>
      </c>
      <c r="D3100" t="s">
        <v>83</v>
      </c>
      <c r="E3100" t="s">
        <v>9</v>
      </c>
      <c r="F3100">
        <v>64</v>
      </c>
      <c r="G3100" t="s">
        <v>118</v>
      </c>
      <c r="H3100" t="s">
        <v>11</v>
      </c>
      <c r="I3100" t="s">
        <v>97</v>
      </c>
      <c r="J3100" t="s">
        <v>41</v>
      </c>
      <c r="K3100">
        <v>3.3</v>
      </c>
      <c r="L3100" t="s">
        <v>140</v>
      </c>
      <c r="M3100" t="s">
        <v>33</v>
      </c>
      <c r="N3100" t="s">
        <v>140</v>
      </c>
      <c r="O3100">
        <v>50</v>
      </c>
      <c r="P3100" t="s">
        <v>63</v>
      </c>
      <c r="Q3100" t="s">
        <v>46</v>
      </c>
      <c r="R3100" t="str" cm="1">
        <f t="array" ref="R3100">_xlfn.IFS(B3100&lt;31,"Young-Adult",B3100&lt;41,"Adult",B3100&lt;61,"Middle-aged",B3100&gt;=61,"Senior")</f>
        <v>Senior</v>
      </c>
      <c r="S3100" cm="1">
        <f t="array" ref="S3100">_xlfn.IFS(Q3100 ="Fortnightly",14,Q3100="Weekly",7,Q3100="Monthly",30,Q3100="Quarterly",90,Q3100="Bi-Weekly",14,Q3100="Annually",365,Q3100="Every 3 Months",90,TRUE,"NOT FOUND")</f>
        <v>90</v>
      </c>
    </row>
    <row r="3101" spans="1:19" x14ac:dyDescent="0.35">
      <c r="A3101">
        <v>3100</v>
      </c>
      <c r="B3101">
        <v>42</v>
      </c>
      <c r="C3101" t="s">
        <v>141</v>
      </c>
      <c r="D3101" t="s">
        <v>43</v>
      </c>
      <c r="E3101" t="s">
        <v>9</v>
      </c>
      <c r="F3101">
        <v>98</v>
      </c>
      <c r="G3101" t="s">
        <v>139</v>
      </c>
      <c r="H3101" t="s">
        <v>24</v>
      </c>
      <c r="I3101" t="s">
        <v>20</v>
      </c>
      <c r="J3101" t="s">
        <v>45</v>
      </c>
      <c r="K3101">
        <v>2.9</v>
      </c>
      <c r="L3101" t="s">
        <v>140</v>
      </c>
      <c r="M3101" t="s">
        <v>26</v>
      </c>
      <c r="N3101" t="s">
        <v>140</v>
      </c>
      <c r="O3101">
        <v>21</v>
      </c>
      <c r="P3101" t="s">
        <v>63</v>
      </c>
      <c r="Q3101" t="s">
        <v>64</v>
      </c>
      <c r="R3101" t="str" cm="1">
        <f t="array" ref="R3101">_xlfn.IFS(B3101&lt;31,"Young-Adult",B3101&lt;41,"Adult",B3101&lt;61,"Middle-aged",B3101&gt;=61,"Senior")</f>
        <v>Middle-aged</v>
      </c>
      <c r="S3101" cm="1">
        <f t="array" ref="S3101">_xlfn.IFS(Q3101 ="Fortnightly",14,Q3101="Weekly",7,Q3101="Monthly",30,Q3101="Quarterly",90,Q3101="Bi-Weekly",14,Q3101="Annually",365,Q3101="Every 3 Months",90,TRUE,"NOT FOUND")</f>
        <v>14</v>
      </c>
    </row>
    <row r="3102" spans="1:19" x14ac:dyDescent="0.35">
      <c r="A3102">
        <v>3101</v>
      </c>
      <c r="B3102">
        <v>50</v>
      </c>
      <c r="C3102" t="s">
        <v>141</v>
      </c>
      <c r="D3102" t="s">
        <v>112</v>
      </c>
      <c r="E3102" t="s">
        <v>55</v>
      </c>
      <c r="F3102">
        <v>85</v>
      </c>
      <c r="G3102" t="s">
        <v>117</v>
      </c>
      <c r="H3102" t="s">
        <v>11</v>
      </c>
      <c r="I3102" t="s">
        <v>61</v>
      </c>
      <c r="J3102" t="s">
        <v>13</v>
      </c>
      <c r="K3102">
        <v>3.9</v>
      </c>
      <c r="L3102" t="s">
        <v>140</v>
      </c>
      <c r="M3102" t="s">
        <v>15</v>
      </c>
      <c r="N3102" t="s">
        <v>140</v>
      </c>
      <c r="O3102">
        <v>3</v>
      </c>
      <c r="P3102" t="s">
        <v>63</v>
      </c>
      <c r="Q3102" t="s">
        <v>28</v>
      </c>
      <c r="R3102" t="str" cm="1">
        <f t="array" ref="R3102">_xlfn.IFS(B3102&lt;31,"Young-Adult",B3102&lt;41,"Adult",B3102&lt;61,"Middle-aged",B3102&gt;=61,"Senior")</f>
        <v>Middle-aged</v>
      </c>
      <c r="S3102" cm="1">
        <f t="array" ref="S3102">_xlfn.IFS(Q3102 ="Fortnightly",14,Q3102="Weekly",7,Q3102="Monthly",30,Q3102="Quarterly",90,Q3102="Bi-Weekly",14,Q3102="Annually",365,Q3102="Every 3 Months",90,TRUE,"NOT FOUND")</f>
        <v>7</v>
      </c>
    </row>
    <row r="3103" spans="1:19" x14ac:dyDescent="0.35">
      <c r="A3103">
        <v>3102</v>
      </c>
      <c r="B3103">
        <v>32</v>
      </c>
      <c r="C3103" t="s">
        <v>141</v>
      </c>
      <c r="D3103" t="s">
        <v>94</v>
      </c>
      <c r="E3103" t="s">
        <v>55</v>
      </c>
      <c r="F3103">
        <v>82</v>
      </c>
      <c r="G3103" t="s">
        <v>123</v>
      </c>
      <c r="H3103" t="s">
        <v>24</v>
      </c>
      <c r="I3103" t="s">
        <v>98</v>
      </c>
      <c r="J3103" t="s">
        <v>41</v>
      </c>
      <c r="K3103">
        <v>2.7</v>
      </c>
      <c r="L3103" t="s">
        <v>140</v>
      </c>
      <c r="M3103" t="s">
        <v>15</v>
      </c>
      <c r="N3103" t="s">
        <v>140</v>
      </c>
      <c r="O3103">
        <v>9</v>
      </c>
      <c r="P3103" t="s">
        <v>34</v>
      </c>
      <c r="Q3103" t="s">
        <v>17</v>
      </c>
      <c r="R3103" t="str" cm="1">
        <f t="array" ref="R3103">_xlfn.IFS(B3103&lt;31,"Young-Adult",B3103&lt;41,"Adult",B3103&lt;61,"Middle-aged",B3103&gt;=61,"Senior")</f>
        <v>Adult</v>
      </c>
      <c r="S3103" cm="1">
        <f t="array" ref="S3103">_xlfn.IFS(Q3103 ="Fortnightly",14,Q3103="Weekly",7,Q3103="Monthly",30,Q3103="Quarterly",90,Q3103="Bi-Weekly",14,Q3103="Annually",365,Q3103="Every 3 Months",90,TRUE,"NOT FOUND")</f>
        <v>14</v>
      </c>
    </row>
    <row r="3104" spans="1:19" x14ac:dyDescent="0.35">
      <c r="A3104">
        <v>3103</v>
      </c>
      <c r="B3104">
        <v>51</v>
      </c>
      <c r="C3104" t="s">
        <v>141</v>
      </c>
      <c r="D3104" t="s">
        <v>90</v>
      </c>
      <c r="E3104" t="s">
        <v>51</v>
      </c>
      <c r="F3104">
        <v>85</v>
      </c>
      <c r="G3104" t="s">
        <v>135</v>
      </c>
      <c r="H3104" t="s">
        <v>32</v>
      </c>
      <c r="I3104" t="s">
        <v>84</v>
      </c>
      <c r="J3104" t="s">
        <v>41</v>
      </c>
      <c r="K3104">
        <v>4.3</v>
      </c>
      <c r="L3104" t="s">
        <v>140</v>
      </c>
      <c r="M3104" t="s">
        <v>42</v>
      </c>
      <c r="N3104" t="s">
        <v>140</v>
      </c>
      <c r="O3104">
        <v>29</v>
      </c>
      <c r="P3104" t="s">
        <v>21</v>
      </c>
      <c r="Q3104" t="s">
        <v>64</v>
      </c>
      <c r="R3104" t="str" cm="1">
        <f t="array" ref="R3104">_xlfn.IFS(B3104&lt;31,"Young-Adult",B3104&lt;41,"Adult",B3104&lt;61,"Middle-aged",B3104&gt;=61,"Senior")</f>
        <v>Middle-aged</v>
      </c>
      <c r="S3104" cm="1">
        <f t="array" ref="S3104">_xlfn.IFS(Q3104 ="Fortnightly",14,Q3104="Weekly",7,Q3104="Monthly",30,Q3104="Quarterly",90,Q3104="Bi-Weekly",14,Q3104="Annually",365,Q3104="Every 3 Months",90,TRUE,"NOT FOUND")</f>
        <v>14</v>
      </c>
    </row>
    <row r="3105" spans="1:19" x14ac:dyDescent="0.35">
      <c r="A3105">
        <v>3104</v>
      </c>
      <c r="B3105">
        <v>27</v>
      </c>
      <c r="C3105" t="s">
        <v>141</v>
      </c>
      <c r="D3105" t="s">
        <v>43</v>
      </c>
      <c r="E3105" t="s">
        <v>9</v>
      </c>
      <c r="F3105">
        <v>37</v>
      </c>
      <c r="G3105" t="s">
        <v>103</v>
      </c>
      <c r="H3105" t="s">
        <v>24</v>
      </c>
      <c r="I3105" t="s">
        <v>88</v>
      </c>
      <c r="J3105" t="s">
        <v>13</v>
      </c>
      <c r="K3105">
        <v>3</v>
      </c>
      <c r="L3105" t="s">
        <v>140</v>
      </c>
      <c r="M3105" t="s">
        <v>58</v>
      </c>
      <c r="N3105" t="s">
        <v>140</v>
      </c>
      <c r="O3105">
        <v>42</v>
      </c>
      <c r="P3105" t="s">
        <v>63</v>
      </c>
      <c r="Q3105" t="s">
        <v>28</v>
      </c>
      <c r="R3105" t="str" cm="1">
        <f t="array" ref="R3105">_xlfn.IFS(B3105&lt;31,"Young-Adult",B3105&lt;41,"Adult",B3105&lt;61,"Middle-aged",B3105&gt;=61,"Senior")</f>
        <v>Young-Adult</v>
      </c>
      <c r="S3105" cm="1">
        <f t="array" ref="S3105">_xlfn.IFS(Q3105 ="Fortnightly",14,Q3105="Weekly",7,Q3105="Monthly",30,Q3105="Quarterly",90,Q3105="Bi-Weekly",14,Q3105="Annually",365,Q3105="Every 3 Months",90,TRUE,"NOT FOUND")</f>
        <v>7</v>
      </c>
    </row>
    <row r="3106" spans="1:19" x14ac:dyDescent="0.35">
      <c r="A3106">
        <v>3105</v>
      </c>
      <c r="B3106">
        <v>43</v>
      </c>
      <c r="C3106" t="s">
        <v>141</v>
      </c>
      <c r="D3106" t="s">
        <v>83</v>
      </c>
      <c r="E3106" t="s">
        <v>9</v>
      </c>
      <c r="F3106">
        <v>56</v>
      </c>
      <c r="G3106" t="s">
        <v>130</v>
      </c>
      <c r="H3106" t="s">
        <v>24</v>
      </c>
      <c r="I3106" t="s">
        <v>36</v>
      </c>
      <c r="J3106" t="s">
        <v>41</v>
      </c>
      <c r="K3106">
        <v>5</v>
      </c>
      <c r="L3106" t="s">
        <v>140</v>
      </c>
      <c r="M3106" t="s">
        <v>58</v>
      </c>
      <c r="N3106" t="s">
        <v>140</v>
      </c>
      <c r="O3106">
        <v>41</v>
      </c>
      <c r="P3106" t="s">
        <v>74</v>
      </c>
      <c r="Q3106" t="s">
        <v>17</v>
      </c>
      <c r="R3106" t="str" cm="1">
        <f t="array" ref="R3106">_xlfn.IFS(B3106&lt;31,"Young-Adult",B3106&lt;41,"Adult",B3106&lt;61,"Middle-aged",B3106&gt;=61,"Senior")</f>
        <v>Middle-aged</v>
      </c>
      <c r="S3106" cm="1">
        <f t="array" ref="S3106">_xlfn.IFS(Q3106 ="Fortnightly",14,Q3106="Weekly",7,Q3106="Monthly",30,Q3106="Quarterly",90,Q3106="Bi-Weekly",14,Q3106="Annually",365,Q3106="Every 3 Months",90,TRUE,"NOT FOUND")</f>
        <v>14</v>
      </c>
    </row>
    <row r="3107" spans="1:19" x14ac:dyDescent="0.35">
      <c r="A3107">
        <v>3106</v>
      </c>
      <c r="B3107">
        <v>48</v>
      </c>
      <c r="C3107" t="s">
        <v>141</v>
      </c>
      <c r="D3107" t="s">
        <v>75</v>
      </c>
      <c r="E3107" t="s">
        <v>9</v>
      </c>
      <c r="F3107">
        <v>33</v>
      </c>
      <c r="G3107" t="s">
        <v>35</v>
      </c>
      <c r="H3107" t="s">
        <v>32</v>
      </c>
      <c r="I3107" t="s">
        <v>66</v>
      </c>
      <c r="J3107" t="s">
        <v>45</v>
      </c>
      <c r="K3107">
        <v>2.7</v>
      </c>
      <c r="L3107" t="s">
        <v>140</v>
      </c>
      <c r="M3107" t="s">
        <v>15</v>
      </c>
      <c r="N3107" t="s">
        <v>140</v>
      </c>
      <c r="O3107">
        <v>17</v>
      </c>
      <c r="P3107" t="s">
        <v>74</v>
      </c>
      <c r="Q3107" t="s">
        <v>76</v>
      </c>
      <c r="R3107" t="str" cm="1">
        <f t="array" ref="R3107">_xlfn.IFS(B3107&lt;31,"Young-Adult",B3107&lt;41,"Adult",B3107&lt;61,"Middle-aged",B3107&gt;=61,"Senior")</f>
        <v>Middle-aged</v>
      </c>
      <c r="S3107" cm="1">
        <f t="array" ref="S3107">_xlfn.IFS(Q3107 ="Fortnightly",14,Q3107="Weekly",7,Q3107="Monthly",30,Q3107="Quarterly",90,Q3107="Bi-Weekly",14,Q3107="Annually",365,Q3107="Every 3 Months",90,TRUE,"NOT FOUND")</f>
        <v>30</v>
      </c>
    </row>
    <row r="3108" spans="1:19" x14ac:dyDescent="0.35">
      <c r="A3108">
        <v>3107</v>
      </c>
      <c r="B3108">
        <v>62</v>
      </c>
      <c r="C3108" t="s">
        <v>141</v>
      </c>
      <c r="D3108" t="s">
        <v>29</v>
      </c>
      <c r="E3108" t="s">
        <v>30</v>
      </c>
      <c r="F3108">
        <v>57</v>
      </c>
      <c r="G3108" t="s">
        <v>78</v>
      </c>
      <c r="H3108" t="s">
        <v>32</v>
      </c>
      <c r="I3108" t="s">
        <v>122</v>
      </c>
      <c r="J3108" t="s">
        <v>13</v>
      </c>
      <c r="K3108">
        <v>4.7</v>
      </c>
      <c r="L3108" t="s">
        <v>140</v>
      </c>
      <c r="M3108" t="s">
        <v>33</v>
      </c>
      <c r="N3108" t="s">
        <v>140</v>
      </c>
      <c r="O3108">
        <v>20</v>
      </c>
      <c r="P3108" t="s">
        <v>34</v>
      </c>
      <c r="Q3108" t="s">
        <v>37</v>
      </c>
      <c r="R3108" t="str" cm="1">
        <f t="array" ref="R3108">_xlfn.IFS(B3108&lt;31,"Young-Adult",B3108&lt;41,"Adult",B3108&lt;61,"Middle-aged",B3108&gt;=61,"Senior")</f>
        <v>Senior</v>
      </c>
      <c r="S3108" cm="1">
        <f t="array" ref="S3108">_xlfn.IFS(Q3108 ="Fortnightly",14,Q3108="Weekly",7,Q3108="Monthly",30,Q3108="Quarterly",90,Q3108="Bi-Weekly",14,Q3108="Annually",365,Q3108="Every 3 Months",90,TRUE,"NOT FOUND")</f>
        <v>365</v>
      </c>
    </row>
    <row r="3109" spans="1:19" x14ac:dyDescent="0.35">
      <c r="A3109">
        <v>3108</v>
      </c>
      <c r="B3109">
        <v>65</v>
      </c>
      <c r="C3109" t="s">
        <v>141</v>
      </c>
      <c r="D3109" t="s">
        <v>8</v>
      </c>
      <c r="E3109" t="s">
        <v>9</v>
      </c>
      <c r="F3109">
        <v>31</v>
      </c>
      <c r="G3109" t="s">
        <v>65</v>
      </c>
      <c r="H3109" t="s">
        <v>11</v>
      </c>
      <c r="I3109" t="s">
        <v>12</v>
      </c>
      <c r="J3109" t="s">
        <v>13</v>
      </c>
      <c r="K3109">
        <v>4.5999999999999996</v>
      </c>
      <c r="L3109" t="s">
        <v>140</v>
      </c>
      <c r="M3109" t="s">
        <v>42</v>
      </c>
      <c r="N3109" t="s">
        <v>140</v>
      </c>
      <c r="O3109">
        <v>18</v>
      </c>
      <c r="P3109" t="s">
        <v>27</v>
      </c>
      <c r="Q3109" t="s">
        <v>64</v>
      </c>
      <c r="R3109" t="str" cm="1">
        <f t="array" ref="R3109">_xlfn.IFS(B3109&lt;31,"Young-Adult",B3109&lt;41,"Adult",B3109&lt;61,"Middle-aged",B3109&gt;=61,"Senior")</f>
        <v>Senior</v>
      </c>
      <c r="S3109" cm="1">
        <f t="array" ref="S3109">_xlfn.IFS(Q3109 ="Fortnightly",14,Q3109="Weekly",7,Q3109="Monthly",30,Q3109="Quarterly",90,Q3109="Bi-Weekly",14,Q3109="Annually",365,Q3109="Every 3 Months",90,TRUE,"NOT FOUND")</f>
        <v>14</v>
      </c>
    </row>
    <row r="3110" spans="1:19" x14ac:dyDescent="0.35">
      <c r="A3110">
        <v>3109</v>
      </c>
      <c r="B3110">
        <v>50</v>
      </c>
      <c r="C3110" t="s">
        <v>141</v>
      </c>
      <c r="D3110" t="s">
        <v>113</v>
      </c>
      <c r="E3110" t="s">
        <v>9</v>
      </c>
      <c r="F3110">
        <v>69</v>
      </c>
      <c r="G3110" t="s">
        <v>35</v>
      </c>
      <c r="H3110" t="s">
        <v>32</v>
      </c>
      <c r="I3110" t="s">
        <v>61</v>
      </c>
      <c r="J3110" t="s">
        <v>45</v>
      </c>
      <c r="K3110">
        <v>3.2</v>
      </c>
      <c r="L3110" t="s">
        <v>140</v>
      </c>
      <c r="M3110" t="s">
        <v>58</v>
      </c>
      <c r="N3110" t="s">
        <v>140</v>
      </c>
      <c r="O3110">
        <v>7</v>
      </c>
      <c r="P3110" t="s">
        <v>34</v>
      </c>
      <c r="Q3110" t="s">
        <v>76</v>
      </c>
      <c r="R3110" t="str" cm="1">
        <f t="array" ref="R3110">_xlfn.IFS(B3110&lt;31,"Young-Adult",B3110&lt;41,"Adult",B3110&lt;61,"Middle-aged",B3110&gt;=61,"Senior")</f>
        <v>Middle-aged</v>
      </c>
      <c r="S3110" cm="1">
        <f t="array" ref="S3110">_xlfn.IFS(Q3110 ="Fortnightly",14,Q3110="Weekly",7,Q3110="Monthly",30,Q3110="Quarterly",90,Q3110="Bi-Weekly",14,Q3110="Annually",365,Q3110="Every 3 Months",90,TRUE,"NOT FOUND")</f>
        <v>30</v>
      </c>
    </row>
    <row r="3111" spans="1:19" x14ac:dyDescent="0.35">
      <c r="A3111">
        <v>3110</v>
      </c>
      <c r="B3111">
        <v>60</v>
      </c>
      <c r="C3111" t="s">
        <v>141</v>
      </c>
      <c r="D3111" t="s">
        <v>90</v>
      </c>
      <c r="E3111" t="s">
        <v>51</v>
      </c>
      <c r="F3111">
        <v>92</v>
      </c>
      <c r="G3111" t="s">
        <v>103</v>
      </c>
      <c r="H3111" t="s">
        <v>32</v>
      </c>
      <c r="I3111" t="s">
        <v>12</v>
      </c>
      <c r="J3111" t="s">
        <v>13</v>
      </c>
      <c r="K3111">
        <v>4.3</v>
      </c>
      <c r="L3111" t="s">
        <v>140</v>
      </c>
      <c r="M3111" t="s">
        <v>26</v>
      </c>
      <c r="N3111" t="s">
        <v>140</v>
      </c>
      <c r="O3111">
        <v>47</v>
      </c>
      <c r="P3111" t="s">
        <v>63</v>
      </c>
      <c r="Q3111" t="s">
        <v>17</v>
      </c>
      <c r="R3111" t="str" cm="1">
        <f t="array" ref="R3111">_xlfn.IFS(B3111&lt;31,"Young-Adult",B3111&lt;41,"Adult",B3111&lt;61,"Middle-aged",B3111&gt;=61,"Senior")</f>
        <v>Middle-aged</v>
      </c>
      <c r="S3111" cm="1">
        <f t="array" ref="S3111">_xlfn.IFS(Q3111 ="Fortnightly",14,Q3111="Weekly",7,Q3111="Monthly",30,Q3111="Quarterly",90,Q3111="Bi-Weekly",14,Q3111="Annually",365,Q3111="Every 3 Months",90,TRUE,"NOT FOUND")</f>
        <v>14</v>
      </c>
    </row>
    <row r="3112" spans="1:19" x14ac:dyDescent="0.35">
      <c r="A3112">
        <v>3111</v>
      </c>
      <c r="B3112">
        <v>19</v>
      </c>
      <c r="C3112" t="s">
        <v>141</v>
      </c>
      <c r="D3112" t="s">
        <v>54</v>
      </c>
      <c r="E3112" t="s">
        <v>55</v>
      </c>
      <c r="F3112">
        <v>46</v>
      </c>
      <c r="G3112" t="s">
        <v>93</v>
      </c>
      <c r="H3112" t="s">
        <v>11</v>
      </c>
      <c r="I3112" t="s">
        <v>81</v>
      </c>
      <c r="J3112" t="s">
        <v>45</v>
      </c>
      <c r="K3112">
        <v>4.5999999999999996</v>
      </c>
      <c r="L3112" t="s">
        <v>140</v>
      </c>
      <c r="M3112" t="s">
        <v>33</v>
      </c>
      <c r="N3112" t="s">
        <v>140</v>
      </c>
      <c r="O3112">
        <v>2</v>
      </c>
      <c r="P3112" t="s">
        <v>63</v>
      </c>
      <c r="Q3112" t="s">
        <v>64</v>
      </c>
      <c r="R3112" t="str" cm="1">
        <f t="array" ref="R3112">_xlfn.IFS(B3112&lt;31,"Young-Adult",B3112&lt;41,"Adult",B3112&lt;61,"Middle-aged",B3112&gt;=61,"Senior")</f>
        <v>Young-Adult</v>
      </c>
      <c r="S3112" cm="1">
        <f t="array" ref="S3112">_xlfn.IFS(Q3112 ="Fortnightly",14,Q3112="Weekly",7,Q3112="Monthly",30,Q3112="Quarterly",90,Q3112="Bi-Weekly",14,Q3112="Annually",365,Q3112="Every 3 Months",90,TRUE,"NOT FOUND")</f>
        <v>14</v>
      </c>
    </row>
    <row r="3113" spans="1:19" x14ac:dyDescent="0.35">
      <c r="A3113">
        <v>3112</v>
      </c>
      <c r="B3113">
        <v>21</v>
      </c>
      <c r="C3113" t="s">
        <v>141</v>
      </c>
      <c r="D3113" t="s">
        <v>121</v>
      </c>
      <c r="E3113" t="s">
        <v>55</v>
      </c>
      <c r="F3113">
        <v>81</v>
      </c>
      <c r="G3113" t="s">
        <v>99</v>
      </c>
      <c r="H3113" t="s">
        <v>80</v>
      </c>
      <c r="I3113" t="s">
        <v>114</v>
      </c>
      <c r="J3113" t="s">
        <v>25</v>
      </c>
      <c r="K3113">
        <v>4.9000000000000004</v>
      </c>
      <c r="L3113" t="s">
        <v>140</v>
      </c>
      <c r="M3113" t="s">
        <v>26</v>
      </c>
      <c r="N3113" t="s">
        <v>140</v>
      </c>
      <c r="O3113">
        <v>25</v>
      </c>
      <c r="P3113" t="s">
        <v>74</v>
      </c>
      <c r="Q3113" t="s">
        <v>46</v>
      </c>
      <c r="R3113" t="str" cm="1">
        <f t="array" ref="R3113">_xlfn.IFS(B3113&lt;31,"Young-Adult",B3113&lt;41,"Adult",B3113&lt;61,"Middle-aged",B3113&gt;=61,"Senior")</f>
        <v>Young-Adult</v>
      </c>
      <c r="S3113" cm="1">
        <f t="array" ref="S3113">_xlfn.IFS(Q3113 ="Fortnightly",14,Q3113="Weekly",7,Q3113="Monthly",30,Q3113="Quarterly",90,Q3113="Bi-Weekly",14,Q3113="Annually",365,Q3113="Every 3 Months",90,TRUE,"NOT FOUND")</f>
        <v>90</v>
      </c>
    </row>
    <row r="3114" spans="1:19" x14ac:dyDescent="0.35">
      <c r="A3114">
        <v>3113</v>
      </c>
      <c r="B3114">
        <v>19</v>
      </c>
      <c r="C3114" t="s">
        <v>141</v>
      </c>
      <c r="D3114" t="s">
        <v>8</v>
      </c>
      <c r="E3114" t="s">
        <v>9</v>
      </c>
      <c r="F3114">
        <v>97</v>
      </c>
      <c r="G3114" t="s">
        <v>93</v>
      </c>
      <c r="H3114" t="s">
        <v>24</v>
      </c>
      <c r="I3114" t="s">
        <v>84</v>
      </c>
      <c r="J3114" t="s">
        <v>45</v>
      </c>
      <c r="K3114">
        <v>3.8</v>
      </c>
      <c r="L3114" t="s">
        <v>140</v>
      </c>
      <c r="M3114" t="s">
        <v>15</v>
      </c>
      <c r="N3114" t="s">
        <v>140</v>
      </c>
      <c r="O3114">
        <v>26</v>
      </c>
      <c r="P3114" t="s">
        <v>16</v>
      </c>
      <c r="Q3114" t="s">
        <v>37</v>
      </c>
      <c r="R3114" t="str" cm="1">
        <f t="array" ref="R3114">_xlfn.IFS(B3114&lt;31,"Young-Adult",B3114&lt;41,"Adult",B3114&lt;61,"Middle-aged",B3114&gt;=61,"Senior")</f>
        <v>Young-Adult</v>
      </c>
      <c r="S3114" cm="1">
        <f t="array" ref="S3114">_xlfn.IFS(Q3114 ="Fortnightly",14,Q3114="Weekly",7,Q3114="Monthly",30,Q3114="Quarterly",90,Q3114="Bi-Weekly",14,Q3114="Annually",365,Q3114="Every 3 Months",90,TRUE,"NOT FOUND")</f>
        <v>365</v>
      </c>
    </row>
    <row r="3115" spans="1:19" x14ac:dyDescent="0.35">
      <c r="A3115">
        <v>3114</v>
      </c>
      <c r="B3115">
        <v>46</v>
      </c>
      <c r="C3115" t="s">
        <v>141</v>
      </c>
      <c r="D3115" t="s">
        <v>43</v>
      </c>
      <c r="E3115" t="s">
        <v>9</v>
      </c>
      <c r="F3115">
        <v>93</v>
      </c>
      <c r="G3115" t="s">
        <v>133</v>
      </c>
      <c r="H3115" t="s">
        <v>11</v>
      </c>
      <c r="I3115" t="s">
        <v>84</v>
      </c>
      <c r="J3115" t="s">
        <v>41</v>
      </c>
      <c r="K3115">
        <v>2.6</v>
      </c>
      <c r="L3115" t="s">
        <v>140</v>
      </c>
      <c r="M3115" t="s">
        <v>15</v>
      </c>
      <c r="N3115" t="s">
        <v>140</v>
      </c>
      <c r="O3115">
        <v>2</v>
      </c>
      <c r="P3115" t="s">
        <v>74</v>
      </c>
      <c r="Q3115" t="s">
        <v>28</v>
      </c>
      <c r="R3115" t="str" cm="1">
        <f t="array" ref="R3115">_xlfn.IFS(B3115&lt;31,"Young-Adult",B3115&lt;41,"Adult",B3115&lt;61,"Middle-aged",B3115&gt;=61,"Senior")</f>
        <v>Middle-aged</v>
      </c>
      <c r="S3115" cm="1">
        <f t="array" ref="S3115">_xlfn.IFS(Q3115 ="Fortnightly",14,Q3115="Weekly",7,Q3115="Monthly",30,Q3115="Quarterly",90,Q3115="Bi-Weekly",14,Q3115="Annually",365,Q3115="Every 3 Months",90,TRUE,"NOT FOUND")</f>
        <v>7</v>
      </c>
    </row>
    <row r="3116" spans="1:19" x14ac:dyDescent="0.35">
      <c r="A3116">
        <v>3115</v>
      </c>
      <c r="B3116">
        <v>21</v>
      </c>
      <c r="C3116" t="s">
        <v>141</v>
      </c>
      <c r="D3116" t="s">
        <v>54</v>
      </c>
      <c r="E3116" t="s">
        <v>55</v>
      </c>
      <c r="F3116">
        <v>56</v>
      </c>
      <c r="G3116" t="s">
        <v>60</v>
      </c>
      <c r="H3116" t="s">
        <v>32</v>
      </c>
      <c r="I3116" t="s">
        <v>66</v>
      </c>
      <c r="J3116" t="s">
        <v>25</v>
      </c>
      <c r="K3116">
        <v>4.7</v>
      </c>
      <c r="L3116" t="s">
        <v>140</v>
      </c>
      <c r="M3116" t="s">
        <v>62</v>
      </c>
      <c r="N3116" t="s">
        <v>140</v>
      </c>
      <c r="O3116">
        <v>45</v>
      </c>
      <c r="P3116" t="s">
        <v>16</v>
      </c>
      <c r="Q3116" t="s">
        <v>64</v>
      </c>
      <c r="R3116" t="str" cm="1">
        <f t="array" ref="R3116">_xlfn.IFS(B3116&lt;31,"Young-Adult",B3116&lt;41,"Adult",B3116&lt;61,"Middle-aged",B3116&gt;=61,"Senior")</f>
        <v>Young-Adult</v>
      </c>
      <c r="S3116" cm="1">
        <f t="array" ref="S3116">_xlfn.IFS(Q3116 ="Fortnightly",14,Q3116="Weekly",7,Q3116="Monthly",30,Q3116="Quarterly",90,Q3116="Bi-Weekly",14,Q3116="Annually",365,Q3116="Every 3 Months",90,TRUE,"NOT FOUND")</f>
        <v>14</v>
      </c>
    </row>
    <row r="3117" spans="1:19" x14ac:dyDescent="0.35">
      <c r="A3117">
        <v>3116</v>
      </c>
      <c r="B3117">
        <v>26</v>
      </c>
      <c r="C3117" t="s">
        <v>141</v>
      </c>
      <c r="D3117" t="s">
        <v>107</v>
      </c>
      <c r="E3117" t="s">
        <v>55</v>
      </c>
      <c r="F3117">
        <v>53</v>
      </c>
      <c r="G3117" t="s">
        <v>135</v>
      </c>
      <c r="H3117" t="s">
        <v>32</v>
      </c>
      <c r="I3117" t="s">
        <v>49</v>
      </c>
      <c r="J3117" t="s">
        <v>45</v>
      </c>
      <c r="K3117">
        <v>4.0999999999999996</v>
      </c>
      <c r="L3117" t="s">
        <v>140</v>
      </c>
      <c r="M3117" t="s">
        <v>26</v>
      </c>
      <c r="N3117" t="s">
        <v>140</v>
      </c>
      <c r="O3117">
        <v>9</v>
      </c>
      <c r="P3117" t="s">
        <v>63</v>
      </c>
      <c r="Q3117" t="s">
        <v>64</v>
      </c>
      <c r="R3117" t="str" cm="1">
        <f t="array" ref="R3117">_xlfn.IFS(B3117&lt;31,"Young-Adult",B3117&lt;41,"Adult",B3117&lt;61,"Middle-aged",B3117&gt;=61,"Senior")</f>
        <v>Young-Adult</v>
      </c>
      <c r="S3117" cm="1">
        <f t="array" ref="S3117">_xlfn.IFS(Q3117 ="Fortnightly",14,Q3117="Weekly",7,Q3117="Monthly",30,Q3117="Quarterly",90,Q3117="Bi-Weekly",14,Q3117="Annually",365,Q3117="Every 3 Months",90,TRUE,"NOT FOUND")</f>
        <v>14</v>
      </c>
    </row>
    <row r="3118" spans="1:19" x14ac:dyDescent="0.35">
      <c r="A3118">
        <v>3117</v>
      </c>
      <c r="B3118">
        <v>50</v>
      </c>
      <c r="C3118" t="s">
        <v>141</v>
      </c>
      <c r="D3118" t="s">
        <v>50</v>
      </c>
      <c r="E3118" t="s">
        <v>51</v>
      </c>
      <c r="F3118">
        <v>66</v>
      </c>
      <c r="G3118" t="s">
        <v>44</v>
      </c>
      <c r="H3118" t="s">
        <v>11</v>
      </c>
      <c r="I3118" t="s">
        <v>12</v>
      </c>
      <c r="J3118" t="s">
        <v>25</v>
      </c>
      <c r="K3118">
        <v>3.7</v>
      </c>
      <c r="L3118" t="s">
        <v>140</v>
      </c>
      <c r="M3118" t="s">
        <v>62</v>
      </c>
      <c r="N3118" t="s">
        <v>140</v>
      </c>
      <c r="O3118">
        <v>1</v>
      </c>
      <c r="P3118" t="s">
        <v>16</v>
      </c>
      <c r="Q3118" t="s">
        <v>28</v>
      </c>
      <c r="R3118" t="str" cm="1">
        <f t="array" ref="R3118">_xlfn.IFS(B3118&lt;31,"Young-Adult",B3118&lt;41,"Adult",B3118&lt;61,"Middle-aged",B3118&gt;=61,"Senior")</f>
        <v>Middle-aged</v>
      </c>
      <c r="S3118" cm="1">
        <f t="array" ref="S3118">_xlfn.IFS(Q3118 ="Fortnightly",14,Q3118="Weekly",7,Q3118="Monthly",30,Q3118="Quarterly",90,Q3118="Bi-Weekly",14,Q3118="Annually",365,Q3118="Every 3 Months",90,TRUE,"NOT FOUND")</f>
        <v>7</v>
      </c>
    </row>
    <row r="3119" spans="1:19" x14ac:dyDescent="0.35">
      <c r="A3119">
        <v>3118</v>
      </c>
      <c r="B3119">
        <v>43</v>
      </c>
      <c r="C3119" t="s">
        <v>141</v>
      </c>
      <c r="D3119" t="s">
        <v>92</v>
      </c>
      <c r="E3119" t="s">
        <v>9</v>
      </c>
      <c r="F3119">
        <v>50</v>
      </c>
      <c r="G3119" t="s">
        <v>91</v>
      </c>
      <c r="H3119" t="s">
        <v>32</v>
      </c>
      <c r="I3119" t="s">
        <v>66</v>
      </c>
      <c r="J3119" t="s">
        <v>45</v>
      </c>
      <c r="K3119">
        <v>3</v>
      </c>
      <c r="L3119" t="s">
        <v>140</v>
      </c>
      <c r="M3119" t="s">
        <v>26</v>
      </c>
      <c r="N3119" t="s">
        <v>140</v>
      </c>
      <c r="O3119">
        <v>4</v>
      </c>
      <c r="P3119" t="s">
        <v>34</v>
      </c>
      <c r="Q3119" t="s">
        <v>64</v>
      </c>
      <c r="R3119" t="str" cm="1">
        <f t="array" ref="R3119">_xlfn.IFS(B3119&lt;31,"Young-Adult",B3119&lt;41,"Adult",B3119&lt;61,"Middle-aged",B3119&gt;=61,"Senior")</f>
        <v>Middle-aged</v>
      </c>
      <c r="S3119" cm="1">
        <f t="array" ref="S3119">_xlfn.IFS(Q3119 ="Fortnightly",14,Q3119="Weekly",7,Q3119="Monthly",30,Q3119="Quarterly",90,Q3119="Bi-Weekly",14,Q3119="Annually",365,Q3119="Every 3 Months",90,TRUE,"NOT FOUND")</f>
        <v>14</v>
      </c>
    </row>
    <row r="3120" spans="1:19" x14ac:dyDescent="0.35">
      <c r="A3120">
        <v>3119</v>
      </c>
      <c r="B3120">
        <v>61</v>
      </c>
      <c r="C3120" t="s">
        <v>141</v>
      </c>
      <c r="D3120" t="s">
        <v>47</v>
      </c>
      <c r="E3120" t="s">
        <v>9</v>
      </c>
      <c r="F3120">
        <v>97</v>
      </c>
      <c r="G3120" t="s">
        <v>129</v>
      </c>
      <c r="H3120" t="s">
        <v>11</v>
      </c>
      <c r="I3120" t="s">
        <v>132</v>
      </c>
      <c r="J3120" t="s">
        <v>41</v>
      </c>
      <c r="K3120">
        <v>4.7</v>
      </c>
      <c r="L3120" t="s">
        <v>140</v>
      </c>
      <c r="M3120" t="s">
        <v>42</v>
      </c>
      <c r="N3120" t="s">
        <v>140</v>
      </c>
      <c r="O3120">
        <v>31</v>
      </c>
      <c r="P3120" t="s">
        <v>74</v>
      </c>
      <c r="Q3120" t="s">
        <v>46</v>
      </c>
      <c r="R3120" t="str" cm="1">
        <f t="array" ref="R3120">_xlfn.IFS(B3120&lt;31,"Young-Adult",B3120&lt;41,"Adult",B3120&lt;61,"Middle-aged",B3120&gt;=61,"Senior")</f>
        <v>Senior</v>
      </c>
      <c r="S3120" cm="1">
        <f t="array" ref="S3120">_xlfn.IFS(Q3120 ="Fortnightly",14,Q3120="Weekly",7,Q3120="Monthly",30,Q3120="Quarterly",90,Q3120="Bi-Weekly",14,Q3120="Annually",365,Q3120="Every 3 Months",90,TRUE,"NOT FOUND")</f>
        <v>90</v>
      </c>
    </row>
    <row r="3121" spans="1:19" x14ac:dyDescent="0.35">
      <c r="A3121">
        <v>3120</v>
      </c>
      <c r="B3121">
        <v>63</v>
      </c>
      <c r="C3121" t="s">
        <v>141</v>
      </c>
      <c r="D3121" t="s">
        <v>29</v>
      </c>
      <c r="E3121" t="s">
        <v>30</v>
      </c>
      <c r="F3121">
        <v>79</v>
      </c>
      <c r="G3121" t="s">
        <v>48</v>
      </c>
      <c r="H3121" t="s">
        <v>80</v>
      </c>
      <c r="I3121" t="s">
        <v>53</v>
      </c>
      <c r="J3121" t="s">
        <v>13</v>
      </c>
      <c r="K3121">
        <v>4.7</v>
      </c>
      <c r="L3121" t="s">
        <v>140</v>
      </c>
      <c r="M3121" t="s">
        <v>58</v>
      </c>
      <c r="N3121" t="s">
        <v>140</v>
      </c>
      <c r="O3121">
        <v>21</v>
      </c>
      <c r="P3121" t="s">
        <v>27</v>
      </c>
      <c r="Q3121" t="s">
        <v>85</v>
      </c>
      <c r="R3121" t="str" cm="1">
        <f t="array" ref="R3121">_xlfn.IFS(B3121&lt;31,"Young-Adult",B3121&lt;41,"Adult",B3121&lt;61,"Middle-aged",B3121&gt;=61,"Senior")</f>
        <v>Senior</v>
      </c>
      <c r="S3121" cm="1">
        <f t="array" ref="S3121">_xlfn.IFS(Q3121 ="Fortnightly",14,Q3121="Weekly",7,Q3121="Monthly",30,Q3121="Quarterly",90,Q3121="Bi-Weekly",14,Q3121="Annually",365,Q3121="Every 3 Months",90,TRUE,"NOT FOUND")</f>
        <v>90</v>
      </c>
    </row>
    <row r="3122" spans="1:19" x14ac:dyDescent="0.35">
      <c r="A3122">
        <v>3121</v>
      </c>
      <c r="B3122">
        <v>46</v>
      </c>
      <c r="C3122" t="s">
        <v>141</v>
      </c>
      <c r="D3122" t="s">
        <v>43</v>
      </c>
      <c r="E3122" t="s">
        <v>9</v>
      </c>
      <c r="F3122">
        <v>76</v>
      </c>
      <c r="G3122" t="s">
        <v>48</v>
      </c>
      <c r="H3122" t="s">
        <v>32</v>
      </c>
      <c r="I3122" t="s">
        <v>124</v>
      </c>
      <c r="J3122" t="s">
        <v>45</v>
      </c>
      <c r="K3122">
        <v>4</v>
      </c>
      <c r="L3122" t="s">
        <v>140</v>
      </c>
      <c r="M3122" t="s">
        <v>62</v>
      </c>
      <c r="N3122" t="s">
        <v>140</v>
      </c>
      <c r="O3122">
        <v>32</v>
      </c>
      <c r="P3122" t="s">
        <v>74</v>
      </c>
      <c r="Q3122" t="s">
        <v>17</v>
      </c>
      <c r="R3122" t="str" cm="1">
        <f t="array" ref="R3122">_xlfn.IFS(B3122&lt;31,"Young-Adult",B3122&lt;41,"Adult",B3122&lt;61,"Middle-aged",B3122&gt;=61,"Senior")</f>
        <v>Middle-aged</v>
      </c>
      <c r="S3122" cm="1">
        <f t="array" ref="S3122">_xlfn.IFS(Q3122 ="Fortnightly",14,Q3122="Weekly",7,Q3122="Monthly",30,Q3122="Quarterly",90,Q3122="Bi-Weekly",14,Q3122="Annually",365,Q3122="Every 3 Months",90,TRUE,"NOT FOUND")</f>
        <v>14</v>
      </c>
    </row>
    <row r="3123" spans="1:19" x14ac:dyDescent="0.35">
      <c r="A3123">
        <v>3122</v>
      </c>
      <c r="B3123">
        <v>63</v>
      </c>
      <c r="C3123" t="s">
        <v>141</v>
      </c>
      <c r="D3123" t="s">
        <v>92</v>
      </c>
      <c r="E3123" t="s">
        <v>9</v>
      </c>
      <c r="F3123">
        <v>38</v>
      </c>
      <c r="G3123" t="s">
        <v>48</v>
      </c>
      <c r="H3123" t="s">
        <v>11</v>
      </c>
      <c r="I3123" t="s">
        <v>82</v>
      </c>
      <c r="J3123" t="s">
        <v>45</v>
      </c>
      <c r="K3123">
        <v>2.6</v>
      </c>
      <c r="L3123" t="s">
        <v>140</v>
      </c>
      <c r="M3123" t="s">
        <v>42</v>
      </c>
      <c r="N3123" t="s">
        <v>140</v>
      </c>
      <c r="O3123">
        <v>16</v>
      </c>
      <c r="P3123" t="s">
        <v>16</v>
      </c>
      <c r="Q3123" t="s">
        <v>28</v>
      </c>
      <c r="R3123" t="str" cm="1">
        <f t="array" ref="R3123">_xlfn.IFS(B3123&lt;31,"Young-Adult",B3123&lt;41,"Adult",B3123&lt;61,"Middle-aged",B3123&gt;=61,"Senior")</f>
        <v>Senior</v>
      </c>
      <c r="S3123" cm="1">
        <f t="array" ref="S3123">_xlfn.IFS(Q3123 ="Fortnightly",14,Q3123="Weekly",7,Q3123="Monthly",30,Q3123="Quarterly",90,Q3123="Bi-Weekly",14,Q3123="Annually",365,Q3123="Every 3 Months",90,TRUE,"NOT FOUND")</f>
        <v>7</v>
      </c>
    </row>
    <row r="3124" spans="1:19" x14ac:dyDescent="0.35">
      <c r="A3124">
        <v>3123</v>
      </c>
      <c r="B3124">
        <v>23</v>
      </c>
      <c r="C3124" t="s">
        <v>141</v>
      </c>
      <c r="D3124" t="s">
        <v>113</v>
      </c>
      <c r="E3124" t="s">
        <v>9</v>
      </c>
      <c r="F3124">
        <v>45</v>
      </c>
      <c r="G3124" t="s">
        <v>130</v>
      </c>
      <c r="H3124" t="s">
        <v>32</v>
      </c>
      <c r="I3124" t="s">
        <v>57</v>
      </c>
      <c r="J3124" t="s">
        <v>45</v>
      </c>
      <c r="K3124">
        <v>3</v>
      </c>
      <c r="L3124" t="s">
        <v>140</v>
      </c>
      <c r="M3124" t="s">
        <v>15</v>
      </c>
      <c r="N3124" t="s">
        <v>140</v>
      </c>
      <c r="O3124">
        <v>34</v>
      </c>
      <c r="P3124" t="s">
        <v>27</v>
      </c>
      <c r="Q3124" t="s">
        <v>17</v>
      </c>
      <c r="R3124" t="str" cm="1">
        <f t="array" ref="R3124">_xlfn.IFS(B3124&lt;31,"Young-Adult",B3124&lt;41,"Adult",B3124&lt;61,"Middle-aged",B3124&gt;=61,"Senior")</f>
        <v>Young-Adult</v>
      </c>
      <c r="S3124" cm="1">
        <f t="array" ref="S3124">_xlfn.IFS(Q3124 ="Fortnightly",14,Q3124="Weekly",7,Q3124="Monthly",30,Q3124="Quarterly",90,Q3124="Bi-Weekly",14,Q3124="Annually",365,Q3124="Every 3 Months",90,TRUE,"NOT FOUND")</f>
        <v>14</v>
      </c>
    </row>
    <row r="3125" spans="1:19" x14ac:dyDescent="0.35">
      <c r="A3125">
        <v>3124</v>
      </c>
      <c r="B3125">
        <v>57</v>
      </c>
      <c r="C3125" t="s">
        <v>141</v>
      </c>
      <c r="D3125" t="s">
        <v>54</v>
      </c>
      <c r="E3125" t="s">
        <v>55</v>
      </c>
      <c r="F3125">
        <v>77</v>
      </c>
      <c r="G3125" t="s">
        <v>134</v>
      </c>
      <c r="H3125" t="s">
        <v>80</v>
      </c>
      <c r="I3125" t="s">
        <v>96</v>
      </c>
      <c r="J3125" t="s">
        <v>45</v>
      </c>
      <c r="K3125">
        <v>3.3</v>
      </c>
      <c r="L3125" t="s">
        <v>140</v>
      </c>
      <c r="M3125" t="s">
        <v>33</v>
      </c>
      <c r="N3125" t="s">
        <v>140</v>
      </c>
      <c r="O3125">
        <v>40</v>
      </c>
      <c r="P3125" t="s">
        <v>16</v>
      </c>
      <c r="Q3125" t="s">
        <v>64</v>
      </c>
      <c r="R3125" t="str" cm="1">
        <f t="array" ref="R3125">_xlfn.IFS(B3125&lt;31,"Young-Adult",B3125&lt;41,"Adult",B3125&lt;61,"Middle-aged",B3125&gt;=61,"Senior")</f>
        <v>Middle-aged</v>
      </c>
      <c r="S3125" cm="1">
        <f t="array" ref="S3125">_xlfn.IFS(Q3125 ="Fortnightly",14,Q3125="Weekly",7,Q3125="Monthly",30,Q3125="Quarterly",90,Q3125="Bi-Weekly",14,Q3125="Annually",365,Q3125="Every 3 Months",90,TRUE,"NOT FOUND")</f>
        <v>14</v>
      </c>
    </row>
    <row r="3126" spans="1:19" x14ac:dyDescent="0.35">
      <c r="A3126">
        <v>3125</v>
      </c>
      <c r="B3126">
        <v>57</v>
      </c>
      <c r="C3126" t="s">
        <v>141</v>
      </c>
      <c r="D3126" t="s">
        <v>94</v>
      </c>
      <c r="E3126" t="s">
        <v>55</v>
      </c>
      <c r="F3126">
        <v>51</v>
      </c>
      <c r="G3126" t="s">
        <v>87</v>
      </c>
      <c r="H3126" t="s">
        <v>32</v>
      </c>
      <c r="I3126" t="s">
        <v>88</v>
      </c>
      <c r="J3126" t="s">
        <v>41</v>
      </c>
      <c r="K3126">
        <v>3.4</v>
      </c>
      <c r="L3126" t="s">
        <v>140</v>
      </c>
      <c r="M3126" t="s">
        <v>42</v>
      </c>
      <c r="N3126" t="s">
        <v>140</v>
      </c>
      <c r="O3126">
        <v>4</v>
      </c>
      <c r="P3126" t="s">
        <v>21</v>
      </c>
      <c r="Q3126" t="s">
        <v>85</v>
      </c>
      <c r="R3126" t="str" cm="1">
        <f t="array" ref="R3126">_xlfn.IFS(B3126&lt;31,"Young-Adult",B3126&lt;41,"Adult",B3126&lt;61,"Middle-aged",B3126&gt;=61,"Senior")</f>
        <v>Middle-aged</v>
      </c>
      <c r="S3126" cm="1">
        <f t="array" ref="S3126">_xlfn.IFS(Q3126 ="Fortnightly",14,Q3126="Weekly",7,Q3126="Monthly",30,Q3126="Quarterly",90,Q3126="Bi-Weekly",14,Q3126="Annually",365,Q3126="Every 3 Months",90,TRUE,"NOT FOUND")</f>
        <v>90</v>
      </c>
    </row>
    <row r="3127" spans="1:19" x14ac:dyDescent="0.35">
      <c r="A3127">
        <v>3126</v>
      </c>
      <c r="B3127">
        <v>33</v>
      </c>
      <c r="C3127" t="s">
        <v>141</v>
      </c>
      <c r="D3127" t="s">
        <v>50</v>
      </c>
      <c r="E3127" t="s">
        <v>51</v>
      </c>
      <c r="F3127">
        <v>26</v>
      </c>
      <c r="G3127" t="s">
        <v>35</v>
      </c>
      <c r="H3127" t="s">
        <v>11</v>
      </c>
      <c r="I3127" t="s">
        <v>81</v>
      </c>
      <c r="J3127" t="s">
        <v>25</v>
      </c>
      <c r="K3127">
        <v>4</v>
      </c>
      <c r="L3127" t="s">
        <v>140</v>
      </c>
      <c r="M3127" t="s">
        <v>42</v>
      </c>
      <c r="N3127" t="s">
        <v>140</v>
      </c>
      <c r="O3127">
        <v>3</v>
      </c>
      <c r="P3127" t="s">
        <v>21</v>
      </c>
      <c r="Q3127" t="s">
        <v>46</v>
      </c>
      <c r="R3127" t="str" cm="1">
        <f t="array" ref="R3127">_xlfn.IFS(B3127&lt;31,"Young-Adult",B3127&lt;41,"Adult",B3127&lt;61,"Middle-aged",B3127&gt;=61,"Senior")</f>
        <v>Adult</v>
      </c>
      <c r="S3127" cm="1">
        <f t="array" ref="S3127">_xlfn.IFS(Q3127 ="Fortnightly",14,Q3127="Weekly",7,Q3127="Monthly",30,Q3127="Quarterly",90,Q3127="Bi-Weekly",14,Q3127="Annually",365,Q3127="Every 3 Months",90,TRUE,"NOT FOUND")</f>
        <v>90</v>
      </c>
    </row>
    <row r="3128" spans="1:19" x14ac:dyDescent="0.35">
      <c r="A3128">
        <v>3127</v>
      </c>
      <c r="B3128">
        <v>57</v>
      </c>
      <c r="C3128" t="s">
        <v>141</v>
      </c>
      <c r="D3128" t="s">
        <v>77</v>
      </c>
      <c r="E3128" t="s">
        <v>55</v>
      </c>
      <c r="F3128">
        <v>76</v>
      </c>
      <c r="G3128" t="s">
        <v>19</v>
      </c>
      <c r="H3128" t="s">
        <v>11</v>
      </c>
      <c r="I3128" t="s">
        <v>81</v>
      </c>
      <c r="J3128" t="s">
        <v>13</v>
      </c>
      <c r="K3128">
        <v>2.6</v>
      </c>
      <c r="L3128" t="s">
        <v>140</v>
      </c>
      <c r="M3128" t="s">
        <v>62</v>
      </c>
      <c r="N3128" t="s">
        <v>140</v>
      </c>
      <c r="O3128">
        <v>28</v>
      </c>
      <c r="P3128" t="s">
        <v>63</v>
      </c>
      <c r="Q3128" t="s">
        <v>64</v>
      </c>
      <c r="R3128" t="str" cm="1">
        <f t="array" ref="R3128">_xlfn.IFS(B3128&lt;31,"Young-Adult",B3128&lt;41,"Adult",B3128&lt;61,"Middle-aged",B3128&gt;=61,"Senior")</f>
        <v>Middle-aged</v>
      </c>
      <c r="S3128" cm="1">
        <f t="array" ref="S3128">_xlfn.IFS(Q3128 ="Fortnightly",14,Q3128="Weekly",7,Q3128="Monthly",30,Q3128="Quarterly",90,Q3128="Bi-Weekly",14,Q3128="Annually",365,Q3128="Every 3 Months",90,TRUE,"NOT FOUND")</f>
        <v>14</v>
      </c>
    </row>
    <row r="3129" spans="1:19" x14ac:dyDescent="0.35">
      <c r="A3129">
        <v>3128</v>
      </c>
      <c r="B3129">
        <v>55</v>
      </c>
      <c r="C3129" t="s">
        <v>141</v>
      </c>
      <c r="D3129" t="s">
        <v>131</v>
      </c>
      <c r="E3129" t="s">
        <v>55</v>
      </c>
      <c r="F3129">
        <v>94</v>
      </c>
      <c r="G3129" t="s">
        <v>48</v>
      </c>
      <c r="H3129" t="s">
        <v>32</v>
      </c>
      <c r="I3129" t="s">
        <v>106</v>
      </c>
      <c r="J3129" t="s">
        <v>13</v>
      </c>
      <c r="K3129">
        <v>3.4</v>
      </c>
      <c r="L3129" t="s">
        <v>140</v>
      </c>
      <c r="M3129" t="s">
        <v>26</v>
      </c>
      <c r="N3129" t="s">
        <v>140</v>
      </c>
      <c r="O3129">
        <v>43</v>
      </c>
      <c r="P3129" t="s">
        <v>27</v>
      </c>
      <c r="Q3129" t="s">
        <v>85</v>
      </c>
      <c r="R3129" t="str" cm="1">
        <f t="array" ref="R3129">_xlfn.IFS(B3129&lt;31,"Young-Adult",B3129&lt;41,"Adult",B3129&lt;61,"Middle-aged",B3129&gt;=61,"Senior")</f>
        <v>Middle-aged</v>
      </c>
      <c r="S3129" cm="1">
        <f t="array" ref="S3129">_xlfn.IFS(Q3129 ="Fortnightly",14,Q3129="Weekly",7,Q3129="Monthly",30,Q3129="Quarterly",90,Q3129="Bi-Weekly",14,Q3129="Annually",365,Q3129="Every 3 Months",90,TRUE,"NOT FOUND")</f>
        <v>90</v>
      </c>
    </row>
    <row r="3130" spans="1:19" x14ac:dyDescent="0.35">
      <c r="A3130">
        <v>3129</v>
      </c>
      <c r="B3130">
        <v>65</v>
      </c>
      <c r="C3130" t="s">
        <v>141</v>
      </c>
      <c r="D3130" t="s">
        <v>90</v>
      </c>
      <c r="E3130" t="s">
        <v>51</v>
      </c>
      <c r="F3130">
        <v>32</v>
      </c>
      <c r="G3130" t="s">
        <v>60</v>
      </c>
      <c r="H3130" t="s">
        <v>24</v>
      </c>
      <c r="I3130" t="s">
        <v>114</v>
      </c>
      <c r="J3130" t="s">
        <v>45</v>
      </c>
      <c r="K3130">
        <v>4.4000000000000004</v>
      </c>
      <c r="L3130" t="s">
        <v>140</v>
      </c>
      <c r="M3130" t="s">
        <v>42</v>
      </c>
      <c r="N3130" t="s">
        <v>140</v>
      </c>
      <c r="O3130">
        <v>20</v>
      </c>
      <c r="P3130" t="s">
        <v>21</v>
      </c>
      <c r="Q3130" t="s">
        <v>37</v>
      </c>
      <c r="R3130" t="str" cm="1">
        <f t="array" ref="R3130">_xlfn.IFS(B3130&lt;31,"Young-Adult",B3130&lt;41,"Adult",B3130&lt;61,"Middle-aged",B3130&gt;=61,"Senior")</f>
        <v>Senior</v>
      </c>
      <c r="S3130" cm="1">
        <f t="array" ref="S3130">_xlfn.IFS(Q3130 ="Fortnightly",14,Q3130="Weekly",7,Q3130="Monthly",30,Q3130="Quarterly",90,Q3130="Bi-Weekly",14,Q3130="Annually",365,Q3130="Every 3 Months",90,TRUE,"NOT FOUND")</f>
        <v>365</v>
      </c>
    </row>
    <row r="3131" spans="1:19" x14ac:dyDescent="0.35">
      <c r="A3131">
        <v>3130</v>
      </c>
      <c r="B3131">
        <v>60</v>
      </c>
      <c r="C3131" t="s">
        <v>141</v>
      </c>
      <c r="D3131" t="s">
        <v>29</v>
      </c>
      <c r="E3131" t="s">
        <v>30</v>
      </c>
      <c r="F3131">
        <v>20</v>
      </c>
      <c r="G3131" t="s">
        <v>116</v>
      </c>
      <c r="H3131" t="s">
        <v>24</v>
      </c>
      <c r="I3131" t="s">
        <v>97</v>
      </c>
      <c r="J3131" t="s">
        <v>41</v>
      </c>
      <c r="K3131">
        <v>4.7</v>
      </c>
      <c r="L3131" t="s">
        <v>140</v>
      </c>
      <c r="M3131" t="s">
        <v>15</v>
      </c>
      <c r="N3131" t="s">
        <v>140</v>
      </c>
      <c r="O3131">
        <v>40</v>
      </c>
      <c r="P3131" t="s">
        <v>16</v>
      </c>
      <c r="Q3131" t="s">
        <v>85</v>
      </c>
      <c r="R3131" t="str" cm="1">
        <f t="array" ref="R3131">_xlfn.IFS(B3131&lt;31,"Young-Adult",B3131&lt;41,"Adult",B3131&lt;61,"Middle-aged",B3131&gt;=61,"Senior")</f>
        <v>Middle-aged</v>
      </c>
      <c r="S3131" cm="1">
        <f t="array" ref="S3131">_xlfn.IFS(Q3131 ="Fortnightly",14,Q3131="Weekly",7,Q3131="Monthly",30,Q3131="Quarterly",90,Q3131="Bi-Weekly",14,Q3131="Annually",365,Q3131="Every 3 Months",90,TRUE,"NOT FOUND")</f>
        <v>90</v>
      </c>
    </row>
    <row r="3132" spans="1:19" x14ac:dyDescent="0.35">
      <c r="A3132">
        <v>3131</v>
      </c>
      <c r="B3132">
        <v>52</v>
      </c>
      <c r="C3132" t="s">
        <v>141</v>
      </c>
      <c r="D3132" t="s">
        <v>83</v>
      </c>
      <c r="E3132" t="s">
        <v>9</v>
      </c>
      <c r="F3132">
        <v>20</v>
      </c>
      <c r="G3132" t="s">
        <v>117</v>
      </c>
      <c r="H3132" t="s">
        <v>32</v>
      </c>
      <c r="I3132" t="s">
        <v>122</v>
      </c>
      <c r="J3132" t="s">
        <v>41</v>
      </c>
      <c r="K3132">
        <v>4.5</v>
      </c>
      <c r="L3132" t="s">
        <v>140</v>
      </c>
      <c r="M3132" t="s">
        <v>62</v>
      </c>
      <c r="N3132" t="s">
        <v>140</v>
      </c>
      <c r="O3132">
        <v>34</v>
      </c>
      <c r="P3132" t="s">
        <v>16</v>
      </c>
      <c r="Q3132" t="s">
        <v>85</v>
      </c>
      <c r="R3132" t="str" cm="1">
        <f t="array" ref="R3132">_xlfn.IFS(B3132&lt;31,"Young-Adult",B3132&lt;41,"Adult",B3132&lt;61,"Middle-aged",B3132&gt;=61,"Senior")</f>
        <v>Middle-aged</v>
      </c>
      <c r="S3132" cm="1">
        <f t="array" ref="S3132">_xlfn.IFS(Q3132 ="Fortnightly",14,Q3132="Weekly",7,Q3132="Monthly",30,Q3132="Quarterly",90,Q3132="Bi-Weekly",14,Q3132="Annually",365,Q3132="Every 3 Months",90,TRUE,"NOT FOUND")</f>
        <v>90</v>
      </c>
    </row>
    <row r="3133" spans="1:19" x14ac:dyDescent="0.35">
      <c r="A3133">
        <v>3132</v>
      </c>
      <c r="B3133">
        <v>34</v>
      </c>
      <c r="C3133" t="s">
        <v>141</v>
      </c>
      <c r="D3133" t="s">
        <v>90</v>
      </c>
      <c r="E3133" t="s">
        <v>51</v>
      </c>
      <c r="F3133">
        <v>59</v>
      </c>
      <c r="G3133" t="s">
        <v>102</v>
      </c>
      <c r="H3133" t="s">
        <v>32</v>
      </c>
      <c r="I3133" t="s">
        <v>88</v>
      </c>
      <c r="J3133" t="s">
        <v>45</v>
      </c>
      <c r="K3133">
        <v>2.9</v>
      </c>
      <c r="L3133" t="s">
        <v>140</v>
      </c>
      <c r="M3133" t="s">
        <v>62</v>
      </c>
      <c r="N3133" t="s">
        <v>140</v>
      </c>
      <c r="O3133">
        <v>11</v>
      </c>
      <c r="P3133" t="s">
        <v>63</v>
      </c>
      <c r="Q3133" t="s">
        <v>85</v>
      </c>
      <c r="R3133" t="str" cm="1">
        <f t="array" ref="R3133">_xlfn.IFS(B3133&lt;31,"Young-Adult",B3133&lt;41,"Adult",B3133&lt;61,"Middle-aged",B3133&gt;=61,"Senior")</f>
        <v>Adult</v>
      </c>
      <c r="S3133" cm="1">
        <f t="array" ref="S3133">_xlfn.IFS(Q3133 ="Fortnightly",14,Q3133="Weekly",7,Q3133="Monthly",30,Q3133="Quarterly",90,Q3133="Bi-Weekly",14,Q3133="Annually",365,Q3133="Every 3 Months",90,TRUE,"NOT FOUND")</f>
        <v>90</v>
      </c>
    </row>
    <row r="3134" spans="1:19" x14ac:dyDescent="0.35">
      <c r="A3134">
        <v>3133</v>
      </c>
      <c r="B3134">
        <v>33</v>
      </c>
      <c r="C3134" t="s">
        <v>141</v>
      </c>
      <c r="D3134" t="s">
        <v>18</v>
      </c>
      <c r="E3134" t="s">
        <v>9</v>
      </c>
      <c r="F3134">
        <v>97</v>
      </c>
      <c r="G3134" t="s">
        <v>139</v>
      </c>
      <c r="H3134" t="s">
        <v>32</v>
      </c>
      <c r="I3134" t="s">
        <v>122</v>
      </c>
      <c r="J3134" t="s">
        <v>41</v>
      </c>
      <c r="K3134">
        <v>4.2</v>
      </c>
      <c r="L3134" t="s">
        <v>140</v>
      </c>
      <c r="M3134" t="s">
        <v>15</v>
      </c>
      <c r="N3134" t="s">
        <v>140</v>
      </c>
      <c r="O3134">
        <v>26</v>
      </c>
      <c r="P3134" t="s">
        <v>21</v>
      </c>
      <c r="Q3134" t="s">
        <v>46</v>
      </c>
      <c r="R3134" t="str" cm="1">
        <f t="array" ref="R3134">_xlfn.IFS(B3134&lt;31,"Young-Adult",B3134&lt;41,"Adult",B3134&lt;61,"Middle-aged",B3134&gt;=61,"Senior")</f>
        <v>Adult</v>
      </c>
      <c r="S3134" cm="1">
        <f t="array" ref="S3134">_xlfn.IFS(Q3134 ="Fortnightly",14,Q3134="Weekly",7,Q3134="Monthly",30,Q3134="Quarterly",90,Q3134="Bi-Weekly",14,Q3134="Annually",365,Q3134="Every 3 Months",90,TRUE,"NOT FOUND")</f>
        <v>90</v>
      </c>
    </row>
    <row r="3135" spans="1:19" x14ac:dyDescent="0.35">
      <c r="A3135">
        <v>3134</v>
      </c>
      <c r="B3135">
        <v>58</v>
      </c>
      <c r="C3135" t="s">
        <v>141</v>
      </c>
      <c r="D3135" t="s">
        <v>101</v>
      </c>
      <c r="E3135" t="s">
        <v>9</v>
      </c>
      <c r="F3135">
        <v>68</v>
      </c>
      <c r="G3135" t="s">
        <v>60</v>
      </c>
      <c r="H3135" t="s">
        <v>32</v>
      </c>
      <c r="I3135" t="s">
        <v>109</v>
      </c>
      <c r="J3135" t="s">
        <v>25</v>
      </c>
      <c r="K3135">
        <v>4.0999999999999996</v>
      </c>
      <c r="L3135" t="s">
        <v>140</v>
      </c>
      <c r="M3135" t="s">
        <v>33</v>
      </c>
      <c r="N3135" t="s">
        <v>140</v>
      </c>
      <c r="O3135">
        <v>29</v>
      </c>
      <c r="P3135" t="s">
        <v>21</v>
      </c>
      <c r="Q3135" t="s">
        <v>64</v>
      </c>
      <c r="R3135" t="str" cm="1">
        <f t="array" ref="R3135">_xlfn.IFS(B3135&lt;31,"Young-Adult",B3135&lt;41,"Adult",B3135&lt;61,"Middle-aged",B3135&gt;=61,"Senior")</f>
        <v>Middle-aged</v>
      </c>
      <c r="S3135" cm="1">
        <f t="array" ref="S3135">_xlfn.IFS(Q3135 ="Fortnightly",14,Q3135="Weekly",7,Q3135="Monthly",30,Q3135="Quarterly",90,Q3135="Bi-Weekly",14,Q3135="Annually",365,Q3135="Every 3 Months",90,TRUE,"NOT FOUND")</f>
        <v>14</v>
      </c>
    </row>
    <row r="3136" spans="1:19" x14ac:dyDescent="0.35">
      <c r="A3136">
        <v>3135</v>
      </c>
      <c r="B3136">
        <v>35</v>
      </c>
      <c r="C3136" t="s">
        <v>141</v>
      </c>
      <c r="D3136" t="s">
        <v>125</v>
      </c>
      <c r="E3136" t="s">
        <v>30</v>
      </c>
      <c r="F3136">
        <v>66</v>
      </c>
      <c r="G3136" t="s">
        <v>10</v>
      </c>
      <c r="H3136" t="s">
        <v>11</v>
      </c>
      <c r="I3136" t="s">
        <v>12</v>
      </c>
      <c r="J3136" t="s">
        <v>25</v>
      </c>
      <c r="K3136">
        <v>4.4000000000000004</v>
      </c>
      <c r="L3136" t="s">
        <v>140</v>
      </c>
      <c r="M3136" t="s">
        <v>62</v>
      </c>
      <c r="N3136" t="s">
        <v>140</v>
      </c>
      <c r="O3136">
        <v>47</v>
      </c>
      <c r="P3136" t="s">
        <v>63</v>
      </c>
      <c r="Q3136" t="s">
        <v>28</v>
      </c>
      <c r="R3136" t="str" cm="1">
        <f t="array" ref="R3136">_xlfn.IFS(B3136&lt;31,"Young-Adult",B3136&lt;41,"Adult",B3136&lt;61,"Middle-aged",B3136&gt;=61,"Senior")</f>
        <v>Adult</v>
      </c>
      <c r="S3136" cm="1">
        <f t="array" ref="S3136">_xlfn.IFS(Q3136 ="Fortnightly",14,Q3136="Weekly",7,Q3136="Monthly",30,Q3136="Quarterly",90,Q3136="Bi-Weekly",14,Q3136="Annually",365,Q3136="Every 3 Months",90,TRUE,"NOT FOUND")</f>
        <v>7</v>
      </c>
    </row>
    <row r="3137" spans="1:19" x14ac:dyDescent="0.35">
      <c r="A3137">
        <v>3136</v>
      </c>
      <c r="B3137">
        <v>68</v>
      </c>
      <c r="C3137" t="s">
        <v>141</v>
      </c>
      <c r="D3137" t="s">
        <v>59</v>
      </c>
      <c r="E3137" t="s">
        <v>30</v>
      </c>
      <c r="F3137">
        <v>85</v>
      </c>
      <c r="G3137" t="s">
        <v>104</v>
      </c>
      <c r="H3137" t="s">
        <v>11</v>
      </c>
      <c r="I3137" t="s">
        <v>122</v>
      </c>
      <c r="J3137" t="s">
        <v>25</v>
      </c>
      <c r="K3137">
        <v>4.7</v>
      </c>
      <c r="L3137" t="s">
        <v>140</v>
      </c>
      <c r="M3137" t="s">
        <v>26</v>
      </c>
      <c r="N3137" t="s">
        <v>140</v>
      </c>
      <c r="O3137">
        <v>48</v>
      </c>
      <c r="P3137" t="s">
        <v>16</v>
      </c>
      <c r="Q3137" t="s">
        <v>17</v>
      </c>
      <c r="R3137" t="str" cm="1">
        <f t="array" ref="R3137">_xlfn.IFS(B3137&lt;31,"Young-Adult",B3137&lt;41,"Adult",B3137&lt;61,"Middle-aged",B3137&gt;=61,"Senior")</f>
        <v>Senior</v>
      </c>
      <c r="S3137" cm="1">
        <f t="array" ref="S3137">_xlfn.IFS(Q3137 ="Fortnightly",14,Q3137="Weekly",7,Q3137="Monthly",30,Q3137="Quarterly",90,Q3137="Bi-Weekly",14,Q3137="Annually",365,Q3137="Every 3 Months",90,TRUE,"NOT FOUND")</f>
        <v>14</v>
      </c>
    </row>
    <row r="3138" spans="1:19" x14ac:dyDescent="0.35">
      <c r="A3138">
        <v>3137</v>
      </c>
      <c r="B3138">
        <v>58</v>
      </c>
      <c r="C3138" t="s">
        <v>141</v>
      </c>
      <c r="D3138" t="s">
        <v>75</v>
      </c>
      <c r="E3138" t="s">
        <v>9</v>
      </c>
      <c r="F3138">
        <v>32</v>
      </c>
      <c r="G3138" t="s">
        <v>136</v>
      </c>
      <c r="H3138" t="s">
        <v>32</v>
      </c>
      <c r="I3138" t="s">
        <v>12</v>
      </c>
      <c r="J3138" t="s">
        <v>45</v>
      </c>
      <c r="K3138">
        <v>3.1</v>
      </c>
      <c r="L3138" t="s">
        <v>140</v>
      </c>
      <c r="M3138" t="s">
        <v>33</v>
      </c>
      <c r="N3138" t="s">
        <v>140</v>
      </c>
      <c r="O3138">
        <v>29</v>
      </c>
      <c r="P3138" t="s">
        <v>21</v>
      </c>
      <c r="Q3138" t="s">
        <v>64</v>
      </c>
      <c r="R3138" t="str" cm="1">
        <f t="array" ref="R3138">_xlfn.IFS(B3138&lt;31,"Young-Adult",B3138&lt;41,"Adult",B3138&lt;61,"Middle-aged",B3138&gt;=61,"Senior")</f>
        <v>Middle-aged</v>
      </c>
      <c r="S3138" cm="1">
        <f t="array" ref="S3138">_xlfn.IFS(Q3138 ="Fortnightly",14,Q3138="Weekly",7,Q3138="Monthly",30,Q3138="Quarterly",90,Q3138="Bi-Weekly",14,Q3138="Annually",365,Q3138="Every 3 Months",90,TRUE,"NOT FOUND")</f>
        <v>14</v>
      </c>
    </row>
    <row r="3139" spans="1:19" x14ac:dyDescent="0.35">
      <c r="A3139">
        <v>3138</v>
      </c>
      <c r="B3139">
        <v>34</v>
      </c>
      <c r="C3139" t="s">
        <v>141</v>
      </c>
      <c r="D3139" t="s">
        <v>50</v>
      </c>
      <c r="E3139" t="s">
        <v>51</v>
      </c>
      <c r="F3139">
        <v>44</v>
      </c>
      <c r="G3139" t="s">
        <v>48</v>
      </c>
      <c r="H3139" t="s">
        <v>32</v>
      </c>
      <c r="I3139" t="s">
        <v>36</v>
      </c>
      <c r="J3139" t="s">
        <v>25</v>
      </c>
      <c r="K3139">
        <v>2.7</v>
      </c>
      <c r="L3139" t="s">
        <v>140</v>
      </c>
      <c r="M3139" t="s">
        <v>58</v>
      </c>
      <c r="N3139" t="s">
        <v>140</v>
      </c>
      <c r="O3139">
        <v>14</v>
      </c>
      <c r="P3139" t="s">
        <v>63</v>
      </c>
      <c r="Q3139" t="s">
        <v>76</v>
      </c>
      <c r="R3139" t="str" cm="1">
        <f t="array" ref="R3139">_xlfn.IFS(B3139&lt;31,"Young-Adult",B3139&lt;41,"Adult",B3139&lt;61,"Middle-aged",B3139&gt;=61,"Senior")</f>
        <v>Adult</v>
      </c>
      <c r="S3139" cm="1">
        <f t="array" ref="S3139">_xlfn.IFS(Q3139 ="Fortnightly",14,Q3139="Weekly",7,Q3139="Monthly",30,Q3139="Quarterly",90,Q3139="Bi-Weekly",14,Q3139="Annually",365,Q3139="Every 3 Months",90,TRUE,"NOT FOUND")</f>
        <v>30</v>
      </c>
    </row>
    <row r="3140" spans="1:19" x14ac:dyDescent="0.35">
      <c r="A3140">
        <v>3139</v>
      </c>
      <c r="B3140">
        <v>47</v>
      </c>
      <c r="C3140" t="s">
        <v>141</v>
      </c>
      <c r="D3140" t="s">
        <v>8</v>
      </c>
      <c r="E3140" t="s">
        <v>9</v>
      </c>
      <c r="F3140">
        <v>95</v>
      </c>
      <c r="G3140" t="s">
        <v>10</v>
      </c>
      <c r="H3140" t="s">
        <v>11</v>
      </c>
      <c r="I3140" t="s">
        <v>12</v>
      </c>
      <c r="J3140" t="s">
        <v>45</v>
      </c>
      <c r="K3140">
        <v>4.5999999999999996</v>
      </c>
      <c r="L3140" t="s">
        <v>140</v>
      </c>
      <c r="M3140" t="s">
        <v>33</v>
      </c>
      <c r="N3140" t="s">
        <v>140</v>
      </c>
      <c r="O3140">
        <v>40</v>
      </c>
      <c r="P3140" t="s">
        <v>21</v>
      </c>
      <c r="Q3140" t="s">
        <v>85</v>
      </c>
      <c r="R3140" t="str" cm="1">
        <f t="array" ref="R3140">_xlfn.IFS(B3140&lt;31,"Young-Adult",B3140&lt;41,"Adult",B3140&lt;61,"Middle-aged",B3140&gt;=61,"Senior")</f>
        <v>Middle-aged</v>
      </c>
      <c r="S3140" cm="1">
        <f t="array" ref="S3140">_xlfn.IFS(Q3140 ="Fortnightly",14,Q3140="Weekly",7,Q3140="Monthly",30,Q3140="Quarterly",90,Q3140="Bi-Weekly",14,Q3140="Annually",365,Q3140="Every 3 Months",90,TRUE,"NOT FOUND")</f>
        <v>90</v>
      </c>
    </row>
    <row r="3141" spans="1:19" x14ac:dyDescent="0.35">
      <c r="A3141">
        <v>3140</v>
      </c>
      <c r="B3141">
        <v>35</v>
      </c>
      <c r="C3141" t="s">
        <v>141</v>
      </c>
      <c r="D3141" t="s">
        <v>77</v>
      </c>
      <c r="E3141" t="s">
        <v>55</v>
      </c>
      <c r="F3141">
        <v>85</v>
      </c>
      <c r="G3141" t="s">
        <v>130</v>
      </c>
      <c r="H3141" t="s">
        <v>32</v>
      </c>
      <c r="I3141" t="s">
        <v>66</v>
      </c>
      <c r="J3141" t="s">
        <v>13</v>
      </c>
      <c r="K3141">
        <v>4.4000000000000004</v>
      </c>
      <c r="L3141" t="s">
        <v>140</v>
      </c>
      <c r="M3141" t="s">
        <v>33</v>
      </c>
      <c r="N3141" t="s">
        <v>140</v>
      </c>
      <c r="O3141">
        <v>4</v>
      </c>
      <c r="P3141" t="s">
        <v>16</v>
      </c>
      <c r="Q3141" t="s">
        <v>28</v>
      </c>
      <c r="R3141" t="str" cm="1">
        <f t="array" ref="R3141">_xlfn.IFS(B3141&lt;31,"Young-Adult",B3141&lt;41,"Adult",B3141&lt;61,"Middle-aged",B3141&gt;=61,"Senior")</f>
        <v>Adult</v>
      </c>
      <c r="S3141" cm="1">
        <f t="array" ref="S3141">_xlfn.IFS(Q3141 ="Fortnightly",14,Q3141="Weekly",7,Q3141="Monthly",30,Q3141="Quarterly",90,Q3141="Bi-Weekly",14,Q3141="Annually",365,Q3141="Every 3 Months",90,TRUE,"NOT FOUND")</f>
        <v>7</v>
      </c>
    </row>
    <row r="3142" spans="1:19" x14ac:dyDescent="0.35">
      <c r="A3142">
        <v>3141</v>
      </c>
      <c r="B3142">
        <v>34</v>
      </c>
      <c r="C3142" t="s">
        <v>141</v>
      </c>
      <c r="D3142" t="s">
        <v>131</v>
      </c>
      <c r="E3142" t="s">
        <v>55</v>
      </c>
      <c r="F3142">
        <v>44</v>
      </c>
      <c r="G3142" t="s">
        <v>108</v>
      </c>
      <c r="H3142" t="s">
        <v>80</v>
      </c>
      <c r="I3142" t="s">
        <v>88</v>
      </c>
      <c r="J3142" t="s">
        <v>41</v>
      </c>
      <c r="K3142">
        <v>4.5999999999999996</v>
      </c>
      <c r="L3142" t="s">
        <v>140</v>
      </c>
      <c r="M3142" t="s">
        <v>26</v>
      </c>
      <c r="N3142" t="s">
        <v>140</v>
      </c>
      <c r="O3142">
        <v>37</v>
      </c>
      <c r="P3142" t="s">
        <v>63</v>
      </c>
      <c r="Q3142" t="s">
        <v>28</v>
      </c>
      <c r="R3142" t="str" cm="1">
        <f t="array" ref="R3142">_xlfn.IFS(B3142&lt;31,"Young-Adult",B3142&lt;41,"Adult",B3142&lt;61,"Middle-aged",B3142&gt;=61,"Senior")</f>
        <v>Adult</v>
      </c>
      <c r="S3142" cm="1">
        <f t="array" ref="S3142">_xlfn.IFS(Q3142 ="Fortnightly",14,Q3142="Weekly",7,Q3142="Monthly",30,Q3142="Quarterly",90,Q3142="Bi-Weekly",14,Q3142="Annually",365,Q3142="Every 3 Months",90,TRUE,"NOT FOUND")</f>
        <v>7</v>
      </c>
    </row>
    <row r="3143" spans="1:19" x14ac:dyDescent="0.35">
      <c r="A3143">
        <v>3142</v>
      </c>
      <c r="B3143">
        <v>36</v>
      </c>
      <c r="C3143" t="s">
        <v>141</v>
      </c>
      <c r="D3143" t="s">
        <v>77</v>
      </c>
      <c r="E3143" t="s">
        <v>55</v>
      </c>
      <c r="F3143">
        <v>30</v>
      </c>
      <c r="G3143" t="s">
        <v>79</v>
      </c>
      <c r="H3143" t="s">
        <v>24</v>
      </c>
      <c r="I3143" t="s">
        <v>88</v>
      </c>
      <c r="J3143" t="s">
        <v>13</v>
      </c>
      <c r="K3143">
        <v>4.9000000000000004</v>
      </c>
      <c r="L3143" t="s">
        <v>140</v>
      </c>
      <c r="M3143" t="s">
        <v>15</v>
      </c>
      <c r="N3143" t="s">
        <v>140</v>
      </c>
      <c r="O3143">
        <v>47</v>
      </c>
      <c r="P3143" t="s">
        <v>27</v>
      </c>
      <c r="Q3143" t="s">
        <v>64</v>
      </c>
      <c r="R3143" t="str" cm="1">
        <f t="array" ref="R3143">_xlfn.IFS(B3143&lt;31,"Young-Adult",B3143&lt;41,"Adult",B3143&lt;61,"Middle-aged",B3143&gt;=61,"Senior")</f>
        <v>Adult</v>
      </c>
      <c r="S3143" cm="1">
        <f t="array" ref="S3143">_xlfn.IFS(Q3143 ="Fortnightly",14,Q3143="Weekly",7,Q3143="Monthly",30,Q3143="Quarterly",90,Q3143="Bi-Weekly",14,Q3143="Annually",365,Q3143="Every 3 Months",90,TRUE,"NOT FOUND")</f>
        <v>14</v>
      </c>
    </row>
    <row r="3144" spans="1:19" x14ac:dyDescent="0.35">
      <c r="A3144">
        <v>3143</v>
      </c>
      <c r="B3144">
        <v>23</v>
      </c>
      <c r="C3144" t="s">
        <v>141</v>
      </c>
      <c r="D3144" t="s">
        <v>38</v>
      </c>
      <c r="E3144" t="s">
        <v>30</v>
      </c>
      <c r="F3144">
        <v>21</v>
      </c>
      <c r="G3144" t="s">
        <v>99</v>
      </c>
      <c r="H3144" t="s">
        <v>11</v>
      </c>
      <c r="I3144" t="s">
        <v>124</v>
      </c>
      <c r="J3144" t="s">
        <v>13</v>
      </c>
      <c r="K3144">
        <v>4</v>
      </c>
      <c r="L3144" t="s">
        <v>140</v>
      </c>
      <c r="M3144" t="s">
        <v>58</v>
      </c>
      <c r="N3144" t="s">
        <v>140</v>
      </c>
      <c r="O3144">
        <v>1</v>
      </c>
      <c r="P3144" t="s">
        <v>16</v>
      </c>
      <c r="Q3144" t="s">
        <v>46</v>
      </c>
      <c r="R3144" t="str" cm="1">
        <f t="array" ref="R3144">_xlfn.IFS(B3144&lt;31,"Young-Adult",B3144&lt;41,"Adult",B3144&lt;61,"Middle-aged",B3144&gt;=61,"Senior")</f>
        <v>Young-Adult</v>
      </c>
      <c r="S3144" cm="1">
        <f t="array" ref="S3144">_xlfn.IFS(Q3144 ="Fortnightly",14,Q3144="Weekly",7,Q3144="Monthly",30,Q3144="Quarterly",90,Q3144="Bi-Weekly",14,Q3144="Annually",365,Q3144="Every 3 Months",90,TRUE,"NOT FOUND")</f>
        <v>90</v>
      </c>
    </row>
    <row r="3145" spans="1:19" x14ac:dyDescent="0.35">
      <c r="A3145">
        <v>3144</v>
      </c>
      <c r="B3145">
        <v>68</v>
      </c>
      <c r="C3145" t="s">
        <v>141</v>
      </c>
      <c r="D3145" t="s">
        <v>92</v>
      </c>
      <c r="E3145" t="s">
        <v>9</v>
      </c>
      <c r="F3145">
        <v>22</v>
      </c>
      <c r="G3145" t="s">
        <v>105</v>
      </c>
      <c r="H3145" t="s">
        <v>32</v>
      </c>
      <c r="I3145" t="s">
        <v>61</v>
      </c>
      <c r="J3145" t="s">
        <v>41</v>
      </c>
      <c r="K3145">
        <v>2.9</v>
      </c>
      <c r="L3145" t="s">
        <v>140</v>
      </c>
      <c r="M3145" t="s">
        <v>62</v>
      </c>
      <c r="N3145" t="s">
        <v>140</v>
      </c>
      <c r="O3145">
        <v>26</v>
      </c>
      <c r="P3145" t="s">
        <v>21</v>
      </c>
      <c r="Q3145" t="s">
        <v>46</v>
      </c>
      <c r="R3145" t="str" cm="1">
        <f t="array" ref="R3145">_xlfn.IFS(B3145&lt;31,"Young-Adult",B3145&lt;41,"Adult",B3145&lt;61,"Middle-aged",B3145&gt;=61,"Senior")</f>
        <v>Senior</v>
      </c>
      <c r="S3145" cm="1">
        <f t="array" ref="S3145">_xlfn.IFS(Q3145 ="Fortnightly",14,Q3145="Weekly",7,Q3145="Monthly",30,Q3145="Quarterly",90,Q3145="Bi-Weekly",14,Q3145="Annually",365,Q3145="Every 3 Months",90,TRUE,"NOT FOUND")</f>
        <v>90</v>
      </c>
    </row>
    <row r="3146" spans="1:19" x14ac:dyDescent="0.35">
      <c r="A3146">
        <v>3145</v>
      </c>
      <c r="B3146">
        <v>23</v>
      </c>
      <c r="C3146" t="s">
        <v>141</v>
      </c>
      <c r="D3146" t="s">
        <v>125</v>
      </c>
      <c r="E3146" t="s">
        <v>30</v>
      </c>
      <c r="F3146">
        <v>70</v>
      </c>
      <c r="G3146" t="s">
        <v>19</v>
      </c>
      <c r="H3146" t="s">
        <v>11</v>
      </c>
      <c r="I3146" t="s">
        <v>106</v>
      </c>
      <c r="J3146" t="s">
        <v>25</v>
      </c>
      <c r="K3146">
        <v>2.6</v>
      </c>
      <c r="L3146" t="s">
        <v>140</v>
      </c>
      <c r="M3146" t="s">
        <v>26</v>
      </c>
      <c r="N3146" t="s">
        <v>140</v>
      </c>
      <c r="O3146">
        <v>12</v>
      </c>
      <c r="P3146" t="s">
        <v>74</v>
      </c>
      <c r="Q3146" t="s">
        <v>46</v>
      </c>
      <c r="R3146" t="str" cm="1">
        <f t="array" ref="R3146">_xlfn.IFS(B3146&lt;31,"Young-Adult",B3146&lt;41,"Adult",B3146&lt;61,"Middle-aged",B3146&gt;=61,"Senior")</f>
        <v>Young-Adult</v>
      </c>
      <c r="S3146" cm="1">
        <f t="array" ref="S3146">_xlfn.IFS(Q3146 ="Fortnightly",14,Q3146="Weekly",7,Q3146="Monthly",30,Q3146="Quarterly",90,Q3146="Bi-Weekly",14,Q3146="Annually",365,Q3146="Every 3 Months",90,TRUE,"NOT FOUND")</f>
        <v>90</v>
      </c>
    </row>
    <row r="3147" spans="1:19" x14ac:dyDescent="0.35">
      <c r="A3147">
        <v>3146</v>
      </c>
      <c r="B3147">
        <v>57</v>
      </c>
      <c r="C3147" t="s">
        <v>141</v>
      </c>
      <c r="D3147" t="s">
        <v>54</v>
      </c>
      <c r="E3147" t="s">
        <v>55</v>
      </c>
      <c r="F3147">
        <v>29</v>
      </c>
      <c r="G3147" t="s">
        <v>93</v>
      </c>
      <c r="H3147" t="s">
        <v>80</v>
      </c>
      <c r="I3147" t="s">
        <v>61</v>
      </c>
      <c r="J3147" t="s">
        <v>25</v>
      </c>
      <c r="K3147">
        <v>4.5999999999999996</v>
      </c>
      <c r="L3147" t="s">
        <v>140</v>
      </c>
      <c r="M3147" t="s">
        <v>42</v>
      </c>
      <c r="N3147" t="s">
        <v>140</v>
      </c>
      <c r="O3147">
        <v>16</v>
      </c>
      <c r="P3147" t="s">
        <v>34</v>
      </c>
      <c r="Q3147" t="s">
        <v>17</v>
      </c>
      <c r="R3147" t="str" cm="1">
        <f t="array" ref="R3147">_xlfn.IFS(B3147&lt;31,"Young-Adult",B3147&lt;41,"Adult",B3147&lt;61,"Middle-aged",B3147&gt;=61,"Senior")</f>
        <v>Middle-aged</v>
      </c>
      <c r="S3147" cm="1">
        <f t="array" ref="S3147">_xlfn.IFS(Q3147 ="Fortnightly",14,Q3147="Weekly",7,Q3147="Monthly",30,Q3147="Quarterly",90,Q3147="Bi-Weekly",14,Q3147="Annually",365,Q3147="Every 3 Months",90,TRUE,"NOT FOUND")</f>
        <v>14</v>
      </c>
    </row>
    <row r="3148" spans="1:19" x14ac:dyDescent="0.35">
      <c r="A3148">
        <v>3147</v>
      </c>
      <c r="B3148">
        <v>21</v>
      </c>
      <c r="C3148" t="s">
        <v>141</v>
      </c>
      <c r="D3148" t="s">
        <v>43</v>
      </c>
      <c r="E3148" t="s">
        <v>9</v>
      </c>
      <c r="F3148">
        <v>83</v>
      </c>
      <c r="G3148" t="s">
        <v>129</v>
      </c>
      <c r="H3148" t="s">
        <v>24</v>
      </c>
      <c r="I3148" t="s">
        <v>122</v>
      </c>
      <c r="J3148" t="s">
        <v>13</v>
      </c>
      <c r="K3148">
        <v>4.9000000000000004</v>
      </c>
      <c r="L3148" t="s">
        <v>140</v>
      </c>
      <c r="M3148" t="s">
        <v>26</v>
      </c>
      <c r="N3148" t="s">
        <v>140</v>
      </c>
      <c r="O3148">
        <v>19</v>
      </c>
      <c r="P3148" t="s">
        <v>34</v>
      </c>
      <c r="Q3148" t="s">
        <v>37</v>
      </c>
      <c r="R3148" t="str" cm="1">
        <f t="array" ref="R3148">_xlfn.IFS(B3148&lt;31,"Young-Adult",B3148&lt;41,"Adult",B3148&lt;61,"Middle-aged",B3148&gt;=61,"Senior")</f>
        <v>Young-Adult</v>
      </c>
      <c r="S3148" cm="1">
        <f t="array" ref="S3148">_xlfn.IFS(Q3148 ="Fortnightly",14,Q3148="Weekly",7,Q3148="Monthly",30,Q3148="Quarterly",90,Q3148="Bi-Weekly",14,Q3148="Annually",365,Q3148="Every 3 Months",90,TRUE,"NOT FOUND")</f>
        <v>365</v>
      </c>
    </row>
    <row r="3149" spans="1:19" x14ac:dyDescent="0.35">
      <c r="A3149">
        <v>3148</v>
      </c>
      <c r="B3149">
        <v>45</v>
      </c>
      <c r="C3149" t="s">
        <v>141</v>
      </c>
      <c r="D3149" t="s">
        <v>18</v>
      </c>
      <c r="E3149" t="s">
        <v>9</v>
      </c>
      <c r="F3149">
        <v>99</v>
      </c>
      <c r="G3149" t="s">
        <v>102</v>
      </c>
      <c r="H3149" t="s">
        <v>32</v>
      </c>
      <c r="I3149" t="s">
        <v>57</v>
      </c>
      <c r="J3149" t="s">
        <v>13</v>
      </c>
      <c r="K3149">
        <v>4.3</v>
      </c>
      <c r="L3149" t="s">
        <v>140</v>
      </c>
      <c r="M3149" t="s">
        <v>15</v>
      </c>
      <c r="N3149" t="s">
        <v>140</v>
      </c>
      <c r="O3149">
        <v>21</v>
      </c>
      <c r="P3149" t="s">
        <v>27</v>
      </c>
      <c r="Q3149" t="s">
        <v>28</v>
      </c>
      <c r="R3149" t="str" cm="1">
        <f t="array" ref="R3149">_xlfn.IFS(B3149&lt;31,"Young-Adult",B3149&lt;41,"Adult",B3149&lt;61,"Middle-aged",B3149&gt;=61,"Senior")</f>
        <v>Middle-aged</v>
      </c>
      <c r="S3149" cm="1">
        <f t="array" ref="S3149">_xlfn.IFS(Q3149 ="Fortnightly",14,Q3149="Weekly",7,Q3149="Monthly",30,Q3149="Quarterly",90,Q3149="Bi-Weekly",14,Q3149="Annually",365,Q3149="Every 3 Months",90,TRUE,"NOT FOUND")</f>
        <v>7</v>
      </c>
    </row>
    <row r="3150" spans="1:19" x14ac:dyDescent="0.35">
      <c r="A3150">
        <v>3149</v>
      </c>
      <c r="B3150">
        <v>37</v>
      </c>
      <c r="C3150" t="s">
        <v>141</v>
      </c>
      <c r="D3150" t="s">
        <v>47</v>
      </c>
      <c r="E3150" t="s">
        <v>9</v>
      </c>
      <c r="F3150">
        <v>35</v>
      </c>
      <c r="G3150" t="s">
        <v>52</v>
      </c>
      <c r="H3150" t="s">
        <v>11</v>
      </c>
      <c r="I3150" t="s">
        <v>61</v>
      </c>
      <c r="J3150" t="s">
        <v>45</v>
      </c>
      <c r="K3150">
        <v>4.3</v>
      </c>
      <c r="L3150" t="s">
        <v>140</v>
      </c>
      <c r="M3150" t="s">
        <v>26</v>
      </c>
      <c r="N3150" t="s">
        <v>140</v>
      </c>
      <c r="O3150">
        <v>15</v>
      </c>
      <c r="P3150" t="s">
        <v>16</v>
      </c>
      <c r="Q3150" t="s">
        <v>28</v>
      </c>
      <c r="R3150" t="str" cm="1">
        <f t="array" ref="R3150">_xlfn.IFS(B3150&lt;31,"Young-Adult",B3150&lt;41,"Adult",B3150&lt;61,"Middle-aged",B3150&gt;=61,"Senior")</f>
        <v>Adult</v>
      </c>
      <c r="S3150" cm="1">
        <f t="array" ref="S3150">_xlfn.IFS(Q3150 ="Fortnightly",14,Q3150="Weekly",7,Q3150="Monthly",30,Q3150="Quarterly",90,Q3150="Bi-Weekly",14,Q3150="Annually",365,Q3150="Every 3 Months",90,TRUE,"NOT FOUND")</f>
        <v>7</v>
      </c>
    </row>
    <row r="3151" spans="1:19" x14ac:dyDescent="0.35">
      <c r="A3151">
        <v>3150</v>
      </c>
      <c r="B3151">
        <v>18</v>
      </c>
      <c r="C3151" t="s">
        <v>141</v>
      </c>
      <c r="D3151" t="s">
        <v>121</v>
      </c>
      <c r="E3151" t="s">
        <v>55</v>
      </c>
      <c r="F3151">
        <v>40</v>
      </c>
      <c r="G3151" t="s">
        <v>86</v>
      </c>
      <c r="H3151" t="s">
        <v>32</v>
      </c>
      <c r="I3151" t="s">
        <v>81</v>
      </c>
      <c r="J3151" t="s">
        <v>13</v>
      </c>
      <c r="K3151">
        <v>4.5999999999999996</v>
      </c>
      <c r="L3151" t="s">
        <v>140</v>
      </c>
      <c r="M3151" t="s">
        <v>26</v>
      </c>
      <c r="N3151" t="s">
        <v>140</v>
      </c>
      <c r="O3151">
        <v>9</v>
      </c>
      <c r="P3151" t="s">
        <v>16</v>
      </c>
      <c r="Q3151" t="s">
        <v>37</v>
      </c>
      <c r="R3151" t="str" cm="1">
        <f t="array" ref="R3151">_xlfn.IFS(B3151&lt;31,"Young-Adult",B3151&lt;41,"Adult",B3151&lt;61,"Middle-aged",B3151&gt;=61,"Senior")</f>
        <v>Young-Adult</v>
      </c>
      <c r="S3151" cm="1">
        <f t="array" ref="S3151">_xlfn.IFS(Q3151 ="Fortnightly",14,Q3151="Weekly",7,Q3151="Monthly",30,Q3151="Quarterly",90,Q3151="Bi-Weekly",14,Q3151="Annually",365,Q3151="Every 3 Months",90,TRUE,"NOT FOUND")</f>
        <v>365</v>
      </c>
    </row>
    <row r="3152" spans="1:19" x14ac:dyDescent="0.35">
      <c r="A3152">
        <v>3151</v>
      </c>
      <c r="B3152">
        <v>55</v>
      </c>
      <c r="C3152" t="s">
        <v>141</v>
      </c>
      <c r="D3152" t="s">
        <v>8</v>
      </c>
      <c r="E3152" t="s">
        <v>9</v>
      </c>
      <c r="F3152">
        <v>25</v>
      </c>
      <c r="G3152" t="s">
        <v>130</v>
      </c>
      <c r="H3152" t="s">
        <v>32</v>
      </c>
      <c r="I3152" t="s">
        <v>88</v>
      </c>
      <c r="J3152" t="s">
        <v>25</v>
      </c>
      <c r="K3152">
        <v>2.6</v>
      </c>
      <c r="L3152" t="s">
        <v>140</v>
      </c>
      <c r="M3152" t="s">
        <v>15</v>
      </c>
      <c r="N3152" t="s">
        <v>140</v>
      </c>
      <c r="O3152">
        <v>7</v>
      </c>
      <c r="P3152" t="s">
        <v>63</v>
      </c>
      <c r="Q3152" t="s">
        <v>64</v>
      </c>
      <c r="R3152" t="str" cm="1">
        <f t="array" ref="R3152">_xlfn.IFS(B3152&lt;31,"Young-Adult",B3152&lt;41,"Adult",B3152&lt;61,"Middle-aged",B3152&gt;=61,"Senior")</f>
        <v>Middle-aged</v>
      </c>
      <c r="S3152" cm="1">
        <f t="array" ref="S3152">_xlfn.IFS(Q3152 ="Fortnightly",14,Q3152="Weekly",7,Q3152="Monthly",30,Q3152="Quarterly",90,Q3152="Bi-Weekly",14,Q3152="Annually",365,Q3152="Every 3 Months",90,TRUE,"NOT FOUND")</f>
        <v>14</v>
      </c>
    </row>
    <row r="3153" spans="1:19" x14ac:dyDescent="0.35">
      <c r="A3153">
        <v>3152</v>
      </c>
      <c r="B3153">
        <v>52</v>
      </c>
      <c r="C3153" t="s">
        <v>141</v>
      </c>
      <c r="D3153" t="s">
        <v>101</v>
      </c>
      <c r="E3153" t="s">
        <v>9</v>
      </c>
      <c r="F3153">
        <v>64</v>
      </c>
      <c r="G3153" t="s">
        <v>118</v>
      </c>
      <c r="H3153" t="s">
        <v>11</v>
      </c>
      <c r="I3153" t="s">
        <v>109</v>
      </c>
      <c r="J3153" t="s">
        <v>45</v>
      </c>
      <c r="K3153">
        <v>3.1</v>
      </c>
      <c r="L3153" t="s">
        <v>140</v>
      </c>
      <c r="M3153" t="s">
        <v>58</v>
      </c>
      <c r="N3153" t="s">
        <v>140</v>
      </c>
      <c r="O3153">
        <v>47</v>
      </c>
      <c r="P3153" t="s">
        <v>63</v>
      </c>
      <c r="Q3153" t="s">
        <v>46</v>
      </c>
      <c r="R3153" t="str" cm="1">
        <f t="array" ref="R3153">_xlfn.IFS(B3153&lt;31,"Young-Adult",B3153&lt;41,"Adult",B3153&lt;61,"Middle-aged",B3153&gt;=61,"Senior")</f>
        <v>Middle-aged</v>
      </c>
      <c r="S3153" cm="1">
        <f t="array" ref="S3153">_xlfn.IFS(Q3153 ="Fortnightly",14,Q3153="Weekly",7,Q3153="Monthly",30,Q3153="Quarterly",90,Q3153="Bi-Weekly",14,Q3153="Annually",365,Q3153="Every 3 Months",90,TRUE,"NOT FOUND")</f>
        <v>90</v>
      </c>
    </row>
    <row r="3154" spans="1:19" x14ac:dyDescent="0.35">
      <c r="A3154">
        <v>3153</v>
      </c>
      <c r="B3154">
        <v>49</v>
      </c>
      <c r="C3154" t="s">
        <v>141</v>
      </c>
      <c r="D3154" t="s">
        <v>121</v>
      </c>
      <c r="E3154" t="s">
        <v>55</v>
      </c>
      <c r="F3154">
        <v>90</v>
      </c>
      <c r="G3154" t="s">
        <v>86</v>
      </c>
      <c r="H3154" t="s">
        <v>32</v>
      </c>
      <c r="I3154" t="s">
        <v>96</v>
      </c>
      <c r="J3154" t="s">
        <v>45</v>
      </c>
      <c r="K3154">
        <v>3.1</v>
      </c>
      <c r="L3154" t="s">
        <v>140</v>
      </c>
      <c r="M3154" t="s">
        <v>62</v>
      </c>
      <c r="N3154" t="s">
        <v>140</v>
      </c>
      <c r="O3154">
        <v>17</v>
      </c>
      <c r="P3154" t="s">
        <v>34</v>
      </c>
      <c r="Q3154" t="s">
        <v>76</v>
      </c>
      <c r="R3154" t="str" cm="1">
        <f t="array" ref="R3154">_xlfn.IFS(B3154&lt;31,"Young-Adult",B3154&lt;41,"Adult",B3154&lt;61,"Middle-aged",B3154&gt;=61,"Senior")</f>
        <v>Middle-aged</v>
      </c>
      <c r="S3154" cm="1">
        <f t="array" ref="S3154">_xlfn.IFS(Q3154 ="Fortnightly",14,Q3154="Weekly",7,Q3154="Monthly",30,Q3154="Quarterly",90,Q3154="Bi-Weekly",14,Q3154="Annually",365,Q3154="Every 3 Months",90,TRUE,"NOT FOUND")</f>
        <v>30</v>
      </c>
    </row>
    <row r="3155" spans="1:19" x14ac:dyDescent="0.35">
      <c r="A3155">
        <v>3154</v>
      </c>
      <c r="B3155">
        <v>56</v>
      </c>
      <c r="C3155" t="s">
        <v>141</v>
      </c>
      <c r="D3155" t="s">
        <v>113</v>
      </c>
      <c r="E3155" t="s">
        <v>9</v>
      </c>
      <c r="F3155">
        <v>88</v>
      </c>
      <c r="G3155" t="s">
        <v>78</v>
      </c>
      <c r="H3155" t="s">
        <v>11</v>
      </c>
      <c r="I3155" t="s">
        <v>96</v>
      </c>
      <c r="J3155" t="s">
        <v>45</v>
      </c>
      <c r="K3155">
        <v>3.1</v>
      </c>
      <c r="L3155" t="s">
        <v>140</v>
      </c>
      <c r="M3155" t="s">
        <v>33</v>
      </c>
      <c r="N3155" t="s">
        <v>140</v>
      </c>
      <c r="O3155">
        <v>46</v>
      </c>
      <c r="P3155" t="s">
        <v>16</v>
      </c>
      <c r="Q3155" t="s">
        <v>17</v>
      </c>
      <c r="R3155" t="str" cm="1">
        <f t="array" ref="R3155">_xlfn.IFS(B3155&lt;31,"Young-Adult",B3155&lt;41,"Adult",B3155&lt;61,"Middle-aged",B3155&gt;=61,"Senior")</f>
        <v>Middle-aged</v>
      </c>
      <c r="S3155" cm="1">
        <f t="array" ref="S3155">_xlfn.IFS(Q3155 ="Fortnightly",14,Q3155="Weekly",7,Q3155="Monthly",30,Q3155="Quarterly",90,Q3155="Bi-Weekly",14,Q3155="Annually",365,Q3155="Every 3 Months",90,TRUE,"NOT FOUND")</f>
        <v>14</v>
      </c>
    </row>
    <row r="3156" spans="1:19" x14ac:dyDescent="0.35">
      <c r="A3156">
        <v>3155</v>
      </c>
      <c r="B3156">
        <v>27</v>
      </c>
      <c r="C3156" t="s">
        <v>141</v>
      </c>
      <c r="D3156" t="s">
        <v>121</v>
      </c>
      <c r="E3156" t="s">
        <v>55</v>
      </c>
      <c r="F3156">
        <v>55</v>
      </c>
      <c r="G3156" t="s">
        <v>127</v>
      </c>
      <c r="H3156" t="s">
        <v>32</v>
      </c>
      <c r="I3156" t="s">
        <v>68</v>
      </c>
      <c r="J3156" t="s">
        <v>13</v>
      </c>
      <c r="K3156">
        <v>4.4000000000000004</v>
      </c>
      <c r="L3156" t="s">
        <v>140</v>
      </c>
      <c r="M3156" t="s">
        <v>42</v>
      </c>
      <c r="N3156" t="s">
        <v>140</v>
      </c>
      <c r="O3156">
        <v>32</v>
      </c>
      <c r="P3156" t="s">
        <v>21</v>
      </c>
      <c r="Q3156" t="s">
        <v>46</v>
      </c>
      <c r="R3156" t="str" cm="1">
        <f t="array" ref="R3156">_xlfn.IFS(B3156&lt;31,"Young-Adult",B3156&lt;41,"Adult",B3156&lt;61,"Middle-aged",B3156&gt;=61,"Senior")</f>
        <v>Young-Adult</v>
      </c>
      <c r="S3156" cm="1">
        <f t="array" ref="S3156">_xlfn.IFS(Q3156 ="Fortnightly",14,Q3156="Weekly",7,Q3156="Monthly",30,Q3156="Quarterly",90,Q3156="Bi-Weekly",14,Q3156="Annually",365,Q3156="Every 3 Months",90,TRUE,"NOT FOUND")</f>
        <v>90</v>
      </c>
    </row>
    <row r="3157" spans="1:19" x14ac:dyDescent="0.35">
      <c r="A3157">
        <v>3156</v>
      </c>
      <c r="B3157">
        <v>22</v>
      </c>
      <c r="C3157" t="s">
        <v>141</v>
      </c>
      <c r="D3157" t="s">
        <v>54</v>
      </c>
      <c r="E3157" t="s">
        <v>55</v>
      </c>
      <c r="F3157">
        <v>90</v>
      </c>
      <c r="G3157" t="s">
        <v>44</v>
      </c>
      <c r="H3157" t="s">
        <v>32</v>
      </c>
      <c r="I3157" t="s">
        <v>98</v>
      </c>
      <c r="J3157" t="s">
        <v>45</v>
      </c>
      <c r="K3157">
        <v>4.3</v>
      </c>
      <c r="L3157" t="s">
        <v>140</v>
      </c>
      <c r="M3157" t="s">
        <v>26</v>
      </c>
      <c r="N3157" t="s">
        <v>140</v>
      </c>
      <c r="O3157">
        <v>34</v>
      </c>
      <c r="P3157" t="s">
        <v>21</v>
      </c>
      <c r="Q3157" t="s">
        <v>37</v>
      </c>
      <c r="R3157" t="str" cm="1">
        <f t="array" ref="R3157">_xlfn.IFS(B3157&lt;31,"Young-Adult",B3157&lt;41,"Adult",B3157&lt;61,"Middle-aged",B3157&gt;=61,"Senior")</f>
        <v>Young-Adult</v>
      </c>
      <c r="S3157" cm="1">
        <f t="array" ref="S3157">_xlfn.IFS(Q3157 ="Fortnightly",14,Q3157="Weekly",7,Q3157="Monthly",30,Q3157="Quarterly",90,Q3157="Bi-Weekly",14,Q3157="Annually",365,Q3157="Every 3 Months",90,TRUE,"NOT FOUND")</f>
        <v>365</v>
      </c>
    </row>
    <row r="3158" spans="1:19" x14ac:dyDescent="0.35">
      <c r="A3158">
        <v>3157</v>
      </c>
      <c r="B3158">
        <v>18</v>
      </c>
      <c r="C3158" t="s">
        <v>141</v>
      </c>
      <c r="D3158" t="s">
        <v>43</v>
      </c>
      <c r="E3158" t="s">
        <v>9</v>
      </c>
      <c r="F3158">
        <v>50</v>
      </c>
      <c r="G3158" t="s">
        <v>44</v>
      </c>
      <c r="H3158" t="s">
        <v>32</v>
      </c>
      <c r="I3158" t="s">
        <v>82</v>
      </c>
      <c r="J3158" t="s">
        <v>13</v>
      </c>
      <c r="K3158">
        <v>3.1</v>
      </c>
      <c r="L3158" t="s">
        <v>140</v>
      </c>
      <c r="M3158" t="s">
        <v>58</v>
      </c>
      <c r="N3158" t="s">
        <v>140</v>
      </c>
      <c r="O3158">
        <v>18</v>
      </c>
      <c r="P3158" t="s">
        <v>21</v>
      </c>
      <c r="Q3158" t="s">
        <v>76</v>
      </c>
      <c r="R3158" t="str" cm="1">
        <f t="array" ref="R3158">_xlfn.IFS(B3158&lt;31,"Young-Adult",B3158&lt;41,"Adult",B3158&lt;61,"Middle-aged",B3158&gt;=61,"Senior")</f>
        <v>Young-Adult</v>
      </c>
      <c r="S3158" cm="1">
        <f t="array" ref="S3158">_xlfn.IFS(Q3158 ="Fortnightly",14,Q3158="Weekly",7,Q3158="Monthly",30,Q3158="Quarterly",90,Q3158="Bi-Weekly",14,Q3158="Annually",365,Q3158="Every 3 Months",90,TRUE,"NOT FOUND")</f>
        <v>30</v>
      </c>
    </row>
    <row r="3159" spans="1:19" x14ac:dyDescent="0.35">
      <c r="A3159">
        <v>3158</v>
      </c>
      <c r="B3159">
        <v>21</v>
      </c>
      <c r="C3159" t="s">
        <v>141</v>
      </c>
      <c r="D3159" t="s">
        <v>121</v>
      </c>
      <c r="E3159" t="s">
        <v>55</v>
      </c>
      <c r="F3159">
        <v>34</v>
      </c>
      <c r="G3159" t="s">
        <v>19</v>
      </c>
      <c r="H3159" t="s">
        <v>11</v>
      </c>
      <c r="I3159" t="s">
        <v>96</v>
      </c>
      <c r="J3159" t="s">
        <v>45</v>
      </c>
      <c r="K3159">
        <v>3.1</v>
      </c>
      <c r="L3159" t="s">
        <v>140</v>
      </c>
      <c r="M3159" t="s">
        <v>62</v>
      </c>
      <c r="N3159" t="s">
        <v>140</v>
      </c>
      <c r="O3159">
        <v>5</v>
      </c>
      <c r="P3159" t="s">
        <v>74</v>
      </c>
      <c r="Q3159" t="s">
        <v>17</v>
      </c>
      <c r="R3159" t="str" cm="1">
        <f t="array" ref="R3159">_xlfn.IFS(B3159&lt;31,"Young-Adult",B3159&lt;41,"Adult",B3159&lt;61,"Middle-aged",B3159&gt;=61,"Senior")</f>
        <v>Young-Adult</v>
      </c>
      <c r="S3159" cm="1">
        <f t="array" ref="S3159">_xlfn.IFS(Q3159 ="Fortnightly",14,Q3159="Weekly",7,Q3159="Monthly",30,Q3159="Quarterly",90,Q3159="Bi-Weekly",14,Q3159="Annually",365,Q3159="Every 3 Months",90,TRUE,"NOT FOUND")</f>
        <v>14</v>
      </c>
    </row>
    <row r="3160" spans="1:19" x14ac:dyDescent="0.35">
      <c r="A3160">
        <v>3159</v>
      </c>
      <c r="B3160">
        <v>30</v>
      </c>
      <c r="C3160" t="s">
        <v>141</v>
      </c>
      <c r="D3160" t="s">
        <v>94</v>
      </c>
      <c r="E3160" t="s">
        <v>55</v>
      </c>
      <c r="F3160">
        <v>77</v>
      </c>
      <c r="G3160" t="s">
        <v>79</v>
      </c>
      <c r="H3160" t="s">
        <v>32</v>
      </c>
      <c r="I3160" t="s">
        <v>12</v>
      </c>
      <c r="J3160" t="s">
        <v>13</v>
      </c>
      <c r="K3160">
        <v>4.9000000000000004</v>
      </c>
      <c r="L3160" t="s">
        <v>140</v>
      </c>
      <c r="M3160" t="s">
        <v>58</v>
      </c>
      <c r="N3160" t="s">
        <v>140</v>
      </c>
      <c r="O3160">
        <v>44</v>
      </c>
      <c r="P3160" t="s">
        <v>27</v>
      </c>
      <c r="Q3160" t="s">
        <v>76</v>
      </c>
      <c r="R3160" t="str" cm="1">
        <f t="array" ref="R3160">_xlfn.IFS(B3160&lt;31,"Young-Adult",B3160&lt;41,"Adult",B3160&lt;61,"Middle-aged",B3160&gt;=61,"Senior")</f>
        <v>Young-Adult</v>
      </c>
      <c r="S3160" cm="1">
        <f t="array" ref="S3160">_xlfn.IFS(Q3160 ="Fortnightly",14,Q3160="Weekly",7,Q3160="Monthly",30,Q3160="Quarterly",90,Q3160="Bi-Weekly",14,Q3160="Annually",365,Q3160="Every 3 Months",90,TRUE,"NOT FOUND")</f>
        <v>30</v>
      </c>
    </row>
    <row r="3161" spans="1:19" x14ac:dyDescent="0.35">
      <c r="A3161">
        <v>3160</v>
      </c>
      <c r="B3161">
        <v>62</v>
      </c>
      <c r="C3161" t="s">
        <v>141</v>
      </c>
      <c r="D3161" t="s">
        <v>112</v>
      </c>
      <c r="E3161" t="s">
        <v>55</v>
      </c>
      <c r="F3161">
        <v>89</v>
      </c>
      <c r="G3161" t="s">
        <v>48</v>
      </c>
      <c r="H3161" t="s">
        <v>11</v>
      </c>
      <c r="I3161" t="s">
        <v>57</v>
      </c>
      <c r="J3161" t="s">
        <v>13</v>
      </c>
      <c r="K3161">
        <v>2.9</v>
      </c>
      <c r="L3161" t="s">
        <v>140</v>
      </c>
      <c r="M3161" t="s">
        <v>62</v>
      </c>
      <c r="N3161" t="s">
        <v>140</v>
      </c>
      <c r="O3161">
        <v>4</v>
      </c>
      <c r="P3161" t="s">
        <v>63</v>
      </c>
      <c r="Q3161" t="s">
        <v>46</v>
      </c>
      <c r="R3161" t="str" cm="1">
        <f t="array" ref="R3161">_xlfn.IFS(B3161&lt;31,"Young-Adult",B3161&lt;41,"Adult",B3161&lt;61,"Middle-aged",B3161&gt;=61,"Senior")</f>
        <v>Senior</v>
      </c>
      <c r="S3161" cm="1">
        <f t="array" ref="S3161">_xlfn.IFS(Q3161 ="Fortnightly",14,Q3161="Weekly",7,Q3161="Monthly",30,Q3161="Quarterly",90,Q3161="Bi-Weekly",14,Q3161="Annually",365,Q3161="Every 3 Months",90,TRUE,"NOT FOUND")</f>
        <v>90</v>
      </c>
    </row>
    <row r="3162" spans="1:19" x14ac:dyDescent="0.35">
      <c r="A3162">
        <v>3161</v>
      </c>
      <c r="B3162">
        <v>28</v>
      </c>
      <c r="C3162" t="s">
        <v>141</v>
      </c>
      <c r="D3162" t="s">
        <v>120</v>
      </c>
      <c r="E3162" t="s">
        <v>55</v>
      </c>
      <c r="F3162">
        <v>87</v>
      </c>
      <c r="G3162" t="s">
        <v>133</v>
      </c>
      <c r="H3162" t="s">
        <v>80</v>
      </c>
      <c r="I3162" t="s">
        <v>36</v>
      </c>
      <c r="J3162" t="s">
        <v>45</v>
      </c>
      <c r="K3162">
        <v>3.8</v>
      </c>
      <c r="L3162" t="s">
        <v>140</v>
      </c>
      <c r="M3162" t="s">
        <v>33</v>
      </c>
      <c r="N3162" t="s">
        <v>140</v>
      </c>
      <c r="O3162">
        <v>37</v>
      </c>
      <c r="P3162" t="s">
        <v>21</v>
      </c>
      <c r="Q3162" t="s">
        <v>17</v>
      </c>
      <c r="R3162" t="str" cm="1">
        <f t="array" ref="R3162">_xlfn.IFS(B3162&lt;31,"Young-Adult",B3162&lt;41,"Adult",B3162&lt;61,"Middle-aged",B3162&gt;=61,"Senior")</f>
        <v>Young-Adult</v>
      </c>
      <c r="S3162" cm="1">
        <f t="array" ref="S3162">_xlfn.IFS(Q3162 ="Fortnightly",14,Q3162="Weekly",7,Q3162="Monthly",30,Q3162="Quarterly",90,Q3162="Bi-Weekly",14,Q3162="Annually",365,Q3162="Every 3 Months",90,TRUE,"NOT FOUND")</f>
        <v>14</v>
      </c>
    </row>
    <row r="3163" spans="1:19" x14ac:dyDescent="0.35">
      <c r="A3163">
        <v>3162</v>
      </c>
      <c r="B3163">
        <v>66</v>
      </c>
      <c r="C3163" t="s">
        <v>141</v>
      </c>
      <c r="D3163" t="s">
        <v>69</v>
      </c>
      <c r="E3163" t="s">
        <v>9</v>
      </c>
      <c r="F3163">
        <v>77</v>
      </c>
      <c r="G3163" t="s">
        <v>23</v>
      </c>
      <c r="H3163" t="s">
        <v>24</v>
      </c>
      <c r="I3163" t="s">
        <v>49</v>
      </c>
      <c r="J3163" t="s">
        <v>13</v>
      </c>
      <c r="K3163">
        <v>4.2</v>
      </c>
      <c r="L3163" t="s">
        <v>140</v>
      </c>
      <c r="M3163" t="s">
        <v>58</v>
      </c>
      <c r="N3163" t="s">
        <v>140</v>
      </c>
      <c r="O3163">
        <v>43</v>
      </c>
      <c r="P3163" t="s">
        <v>21</v>
      </c>
      <c r="Q3163" t="s">
        <v>76</v>
      </c>
      <c r="R3163" t="str" cm="1">
        <f t="array" ref="R3163">_xlfn.IFS(B3163&lt;31,"Young-Adult",B3163&lt;41,"Adult",B3163&lt;61,"Middle-aged",B3163&gt;=61,"Senior")</f>
        <v>Senior</v>
      </c>
      <c r="S3163" cm="1">
        <f t="array" ref="S3163">_xlfn.IFS(Q3163 ="Fortnightly",14,Q3163="Weekly",7,Q3163="Monthly",30,Q3163="Quarterly",90,Q3163="Bi-Weekly",14,Q3163="Annually",365,Q3163="Every 3 Months",90,TRUE,"NOT FOUND")</f>
        <v>30</v>
      </c>
    </row>
    <row r="3164" spans="1:19" x14ac:dyDescent="0.35">
      <c r="A3164">
        <v>3163</v>
      </c>
      <c r="B3164">
        <v>66</v>
      </c>
      <c r="C3164" t="s">
        <v>141</v>
      </c>
      <c r="D3164" t="s">
        <v>59</v>
      </c>
      <c r="E3164" t="s">
        <v>30</v>
      </c>
      <c r="F3164">
        <v>85</v>
      </c>
      <c r="G3164" t="s">
        <v>138</v>
      </c>
      <c r="H3164" t="s">
        <v>11</v>
      </c>
      <c r="I3164" t="s">
        <v>132</v>
      </c>
      <c r="J3164" t="s">
        <v>13</v>
      </c>
      <c r="K3164">
        <v>3.9</v>
      </c>
      <c r="L3164" t="s">
        <v>140</v>
      </c>
      <c r="M3164" t="s">
        <v>42</v>
      </c>
      <c r="N3164" t="s">
        <v>140</v>
      </c>
      <c r="O3164">
        <v>28</v>
      </c>
      <c r="P3164" t="s">
        <v>63</v>
      </c>
      <c r="Q3164" t="s">
        <v>46</v>
      </c>
      <c r="R3164" t="str" cm="1">
        <f t="array" ref="R3164">_xlfn.IFS(B3164&lt;31,"Young-Adult",B3164&lt;41,"Adult",B3164&lt;61,"Middle-aged",B3164&gt;=61,"Senior")</f>
        <v>Senior</v>
      </c>
      <c r="S3164" cm="1">
        <f t="array" ref="S3164">_xlfn.IFS(Q3164 ="Fortnightly",14,Q3164="Weekly",7,Q3164="Monthly",30,Q3164="Quarterly",90,Q3164="Bi-Weekly",14,Q3164="Annually",365,Q3164="Every 3 Months",90,TRUE,"NOT FOUND")</f>
        <v>90</v>
      </c>
    </row>
    <row r="3165" spans="1:19" x14ac:dyDescent="0.35">
      <c r="A3165">
        <v>3164</v>
      </c>
      <c r="B3165">
        <v>49</v>
      </c>
      <c r="C3165" t="s">
        <v>141</v>
      </c>
      <c r="D3165" t="s">
        <v>83</v>
      </c>
      <c r="E3165" t="s">
        <v>9</v>
      </c>
      <c r="F3165">
        <v>66</v>
      </c>
      <c r="G3165" t="s">
        <v>133</v>
      </c>
      <c r="H3165" t="s">
        <v>80</v>
      </c>
      <c r="I3165" t="s">
        <v>36</v>
      </c>
      <c r="J3165" t="s">
        <v>41</v>
      </c>
      <c r="K3165">
        <v>2.8</v>
      </c>
      <c r="L3165" t="s">
        <v>140</v>
      </c>
      <c r="M3165" t="s">
        <v>15</v>
      </c>
      <c r="N3165" t="s">
        <v>140</v>
      </c>
      <c r="O3165">
        <v>36</v>
      </c>
      <c r="P3165" t="s">
        <v>21</v>
      </c>
      <c r="Q3165" t="s">
        <v>76</v>
      </c>
      <c r="R3165" t="str" cm="1">
        <f t="array" ref="R3165">_xlfn.IFS(B3165&lt;31,"Young-Adult",B3165&lt;41,"Adult",B3165&lt;61,"Middle-aged",B3165&gt;=61,"Senior")</f>
        <v>Middle-aged</v>
      </c>
      <c r="S3165" cm="1">
        <f t="array" ref="S3165">_xlfn.IFS(Q3165 ="Fortnightly",14,Q3165="Weekly",7,Q3165="Monthly",30,Q3165="Quarterly",90,Q3165="Bi-Weekly",14,Q3165="Annually",365,Q3165="Every 3 Months",90,TRUE,"NOT FOUND")</f>
        <v>30</v>
      </c>
    </row>
    <row r="3166" spans="1:19" x14ac:dyDescent="0.35">
      <c r="A3166">
        <v>3165</v>
      </c>
      <c r="B3166">
        <v>40</v>
      </c>
      <c r="C3166" t="s">
        <v>141</v>
      </c>
      <c r="D3166" t="s">
        <v>69</v>
      </c>
      <c r="E3166" t="s">
        <v>9</v>
      </c>
      <c r="F3166">
        <v>32</v>
      </c>
      <c r="G3166" t="s">
        <v>105</v>
      </c>
      <c r="H3166" t="s">
        <v>11</v>
      </c>
      <c r="I3166" t="s">
        <v>53</v>
      </c>
      <c r="J3166" t="s">
        <v>13</v>
      </c>
      <c r="K3166">
        <v>2.6</v>
      </c>
      <c r="L3166" t="s">
        <v>140</v>
      </c>
      <c r="M3166" t="s">
        <v>42</v>
      </c>
      <c r="N3166" t="s">
        <v>140</v>
      </c>
      <c r="O3166">
        <v>16</v>
      </c>
      <c r="P3166" t="s">
        <v>27</v>
      </c>
      <c r="Q3166" t="s">
        <v>37</v>
      </c>
      <c r="R3166" t="str" cm="1">
        <f t="array" ref="R3166">_xlfn.IFS(B3166&lt;31,"Young-Adult",B3166&lt;41,"Adult",B3166&lt;61,"Middle-aged",B3166&gt;=61,"Senior")</f>
        <v>Adult</v>
      </c>
      <c r="S3166" cm="1">
        <f t="array" ref="S3166">_xlfn.IFS(Q3166 ="Fortnightly",14,Q3166="Weekly",7,Q3166="Monthly",30,Q3166="Quarterly",90,Q3166="Bi-Weekly",14,Q3166="Annually",365,Q3166="Every 3 Months",90,TRUE,"NOT FOUND")</f>
        <v>365</v>
      </c>
    </row>
    <row r="3167" spans="1:19" x14ac:dyDescent="0.35">
      <c r="A3167">
        <v>3166</v>
      </c>
      <c r="B3167">
        <v>49</v>
      </c>
      <c r="C3167" t="s">
        <v>141</v>
      </c>
      <c r="D3167" t="s">
        <v>90</v>
      </c>
      <c r="E3167" t="s">
        <v>51</v>
      </c>
      <c r="F3167">
        <v>92</v>
      </c>
      <c r="G3167" t="s">
        <v>65</v>
      </c>
      <c r="H3167" t="s">
        <v>32</v>
      </c>
      <c r="I3167" t="s">
        <v>81</v>
      </c>
      <c r="J3167" t="s">
        <v>25</v>
      </c>
      <c r="K3167">
        <v>3</v>
      </c>
      <c r="L3167" t="s">
        <v>140</v>
      </c>
      <c r="M3167" t="s">
        <v>62</v>
      </c>
      <c r="N3167" t="s">
        <v>140</v>
      </c>
      <c r="O3167">
        <v>38</v>
      </c>
      <c r="P3167" t="s">
        <v>63</v>
      </c>
      <c r="Q3167" t="s">
        <v>85</v>
      </c>
      <c r="R3167" t="str" cm="1">
        <f t="array" ref="R3167">_xlfn.IFS(B3167&lt;31,"Young-Adult",B3167&lt;41,"Adult",B3167&lt;61,"Middle-aged",B3167&gt;=61,"Senior")</f>
        <v>Middle-aged</v>
      </c>
      <c r="S3167" cm="1">
        <f t="array" ref="S3167">_xlfn.IFS(Q3167 ="Fortnightly",14,Q3167="Weekly",7,Q3167="Monthly",30,Q3167="Quarterly",90,Q3167="Bi-Weekly",14,Q3167="Annually",365,Q3167="Every 3 Months",90,TRUE,"NOT FOUND")</f>
        <v>90</v>
      </c>
    </row>
    <row r="3168" spans="1:19" x14ac:dyDescent="0.35">
      <c r="A3168">
        <v>3167</v>
      </c>
      <c r="B3168">
        <v>19</v>
      </c>
      <c r="C3168" t="s">
        <v>141</v>
      </c>
      <c r="D3168" t="s">
        <v>43</v>
      </c>
      <c r="E3168" t="s">
        <v>9</v>
      </c>
      <c r="F3168">
        <v>80</v>
      </c>
      <c r="G3168" t="s">
        <v>130</v>
      </c>
      <c r="H3168" t="s">
        <v>32</v>
      </c>
      <c r="I3168" t="s">
        <v>68</v>
      </c>
      <c r="J3168" t="s">
        <v>13</v>
      </c>
      <c r="K3168">
        <v>2.7</v>
      </c>
      <c r="L3168" t="s">
        <v>140</v>
      </c>
      <c r="M3168" t="s">
        <v>33</v>
      </c>
      <c r="N3168" t="s">
        <v>140</v>
      </c>
      <c r="O3168">
        <v>37</v>
      </c>
      <c r="P3168" t="s">
        <v>63</v>
      </c>
      <c r="Q3168" t="s">
        <v>17</v>
      </c>
      <c r="R3168" t="str" cm="1">
        <f t="array" ref="R3168">_xlfn.IFS(B3168&lt;31,"Young-Adult",B3168&lt;41,"Adult",B3168&lt;61,"Middle-aged",B3168&gt;=61,"Senior")</f>
        <v>Young-Adult</v>
      </c>
      <c r="S3168" cm="1">
        <f t="array" ref="S3168">_xlfn.IFS(Q3168 ="Fortnightly",14,Q3168="Weekly",7,Q3168="Monthly",30,Q3168="Quarterly",90,Q3168="Bi-Weekly",14,Q3168="Annually",365,Q3168="Every 3 Months",90,TRUE,"NOT FOUND")</f>
        <v>14</v>
      </c>
    </row>
    <row r="3169" spans="1:19" x14ac:dyDescent="0.35">
      <c r="A3169">
        <v>3168</v>
      </c>
      <c r="B3169">
        <v>24</v>
      </c>
      <c r="C3169" t="s">
        <v>141</v>
      </c>
      <c r="D3169" t="s">
        <v>69</v>
      </c>
      <c r="E3169" t="s">
        <v>9</v>
      </c>
      <c r="F3169">
        <v>78</v>
      </c>
      <c r="G3169" t="s">
        <v>35</v>
      </c>
      <c r="H3169" t="s">
        <v>32</v>
      </c>
      <c r="I3169" t="s">
        <v>132</v>
      </c>
      <c r="J3169" t="s">
        <v>45</v>
      </c>
      <c r="K3169">
        <v>2.8</v>
      </c>
      <c r="L3169" t="s">
        <v>140</v>
      </c>
      <c r="M3169" t="s">
        <v>58</v>
      </c>
      <c r="N3169" t="s">
        <v>140</v>
      </c>
      <c r="O3169">
        <v>9</v>
      </c>
      <c r="P3169" t="s">
        <v>21</v>
      </c>
      <c r="Q3169" t="s">
        <v>64</v>
      </c>
      <c r="R3169" t="str" cm="1">
        <f t="array" ref="R3169">_xlfn.IFS(B3169&lt;31,"Young-Adult",B3169&lt;41,"Adult",B3169&lt;61,"Middle-aged",B3169&gt;=61,"Senior")</f>
        <v>Young-Adult</v>
      </c>
      <c r="S3169" cm="1">
        <f t="array" ref="S3169">_xlfn.IFS(Q3169 ="Fortnightly",14,Q3169="Weekly",7,Q3169="Monthly",30,Q3169="Quarterly",90,Q3169="Bi-Weekly",14,Q3169="Annually",365,Q3169="Every 3 Months",90,TRUE,"NOT FOUND")</f>
        <v>14</v>
      </c>
    </row>
    <row r="3170" spans="1:19" x14ac:dyDescent="0.35">
      <c r="A3170">
        <v>3169</v>
      </c>
      <c r="B3170">
        <v>31</v>
      </c>
      <c r="C3170" t="s">
        <v>141</v>
      </c>
      <c r="D3170" t="s">
        <v>22</v>
      </c>
      <c r="E3170" t="s">
        <v>9</v>
      </c>
      <c r="F3170">
        <v>24</v>
      </c>
      <c r="G3170" t="s">
        <v>44</v>
      </c>
      <c r="H3170" t="s">
        <v>32</v>
      </c>
      <c r="I3170" t="s">
        <v>109</v>
      </c>
      <c r="J3170" t="s">
        <v>25</v>
      </c>
      <c r="K3170">
        <v>2.9</v>
      </c>
      <c r="L3170" t="s">
        <v>140</v>
      </c>
      <c r="M3170" t="s">
        <v>58</v>
      </c>
      <c r="N3170" t="s">
        <v>140</v>
      </c>
      <c r="O3170">
        <v>14</v>
      </c>
      <c r="P3170" t="s">
        <v>34</v>
      </c>
      <c r="Q3170" t="s">
        <v>17</v>
      </c>
      <c r="R3170" t="str" cm="1">
        <f t="array" ref="R3170">_xlfn.IFS(B3170&lt;31,"Young-Adult",B3170&lt;41,"Adult",B3170&lt;61,"Middle-aged",B3170&gt;=61,"Senior")</f>
        <v>Adult</v>
      </c>
      <c r="S3170" cm="1">
        <f t="array" ref="S3170">_xlfn.IFS(Q3170 ="Fortnightly",14,Q3170="Weekly",7,Q3170="Monthly",30,Q3170="Quarterly",90,Q3170="Bi-Weekly",14,Q3170="Annually",365,Q3170="Every 3 Months",90,TRUE,"NOT FOUND")</f>
        <v>14</v>
      </c>
    </row>
    <row r="3171" spans="1:19" x14ac:dyDescent="0.35">
      <c r="A3171">
        <v>3170</v>
      </c>
      <c r="B3171">
        <v>35</v>
      </c>
      <c r="C3171" t="s">
        <v>141</v>
      </c>
      <c r="D3171" t="s">
        <v>101</v>
      </c>
      <c r="E3171" t="s">
        <v>9</v>
      </c>
      <c r="F3171">
        <v>59</v>
      </c>
      <c r="G3171" t="s">
        <v>130</v>
      </c>
      <c r="H3171" t="s">
        <v>32</v>
      </c>
      <c r="I3171" t="s">
        <v>40</v>
      </c>
      <c r="J3171" t="s">
        <v>45</v>
      </c>
      <c r="K3171">
        <v>3.8</v>
      </c>
      <c r="L3171" t="s">
        <v>140</v>
      </c>
      <c r="M3171" t="s">
        <v>26</v>
      </c>
      <c r="N3171" t="s">
        <v>140</v>
      </c>
      <c r="O3171">
        <v>3</v>
      </c>
      <c r="P3171" t="s">
        <v>16</v>
      </c>
      <c r="Q3171" t="s">
        <v>28</v>
      </c>
      <c r="R3171" t="str" cm="1">
        <f t="array" ref="R3171">_xlfn.IFS(B3171&lt;31,"Young-Adult",B3171&lt;41,"Adult",B3171&lt;61,"Middle-aged",B3171&gt;=61,"Senior")</f>
        <v>Adult</v>
      </c>
      <c r="S3171" cm="1">
        <f t="array" ref="S3171">_xlfn.IFS(Q3171 ="Fortnightly",14,Q3171="Weekly",7,Q3171="Monthly",30,Q3171="Quarterly",90,Q3171="Bi-Weekly",14,Q3171="Annually",365,Q3171="Every 3 Months",90,TRUE,"NOT FOUND")</f>
        <v>7</v>
      </c>
    </row>
    <row r="3172" spans="1:19" x14ac:dyDescent="0.35">
      <c r="A3172">
        <v>3171</v>
      </c>
      <c r="B3172">
        <v>65</v>
      </c>
      <c r="C3172" t="s">
        <v>141</v>
      </c>
      <c r="D3172" t="s">
        <v>77</v>
      </c>
      <c r="E3172" t="s">
        <v>55</v>
      </c>
      <c r="F3172">
        <v>41</v>
      </c>
      <c r="G3172" t="s">
        <v>31</v>
      </c>
      <c r="H3172" t="s">
        <v>80</v>
      </c>
      <c r="I3172" t="s">
        <v>49</v>
      </c>
      <c r="J3172" t="s">
        <v>25</v>
      </c>
      <c r="K3172">
        <v>4.4000000000000004</v>
      </c>
      <c r="L3172" t="s">
        <v>140</v>
      </c>
      <c r="M3172" t="s">
        <v>15</v>
      </c>
      <c r="N3172" t="s">
        <v>140</v>
      </c>
      <c r="O3172">
        <v>10</v>
      </c>
      <c r="P3172" t="s">
        <v>27</v>
      </c>
      <c r="Q3172" t="s">
        <v>17</v>
      </c>
      <c r="R3172" t="str" cm="1">
        <f t="array" ref="R3172">_xlfn.IFS(B3172&lt;31,"Young-Adult",B3172&lt;41,"Adult",B3172&lt;61,"Middle-aged",B3172&gt;=61,"Senior")</f>
        <v>Senior</v>
      </c>
      <c r="S3172" cm="1">
        <f t="array" ref="S3172">_xlfn.IFS(Q3172 ="Fortnightly",14,Q3172="Weekly",7,Q3172="Monthly",30,Q3172="Quarterly",90,Q3172="Bi-Weekly",14,Q3172="Annually",365,Q3172="Every 3 Months",90,TRUE,"NOT FOUND")</f>
        <v>14</v>
      </c>
    </row>
    <row r="3173" spans="1:19" x14ac:dyDescent="0.35">
      <c r="A3173">
        <v>3172</v>
      </c>
      <c r="B3173">
        <v>68</v>
      </c>
      <c r="C3173" t="s">
        <v>141</v>
      </c>
      <c r="D3173" t="s">
        <v>94</v>
      </c>
      <c r="E3173" t="s">
        <v>55</v>
      </c>
      <c r="F3173">
        <v>26</v>
      </c>
      <c r="G3173" t="s">
        <v>110</v>
      </c>
      <c r="H3173" t="s">
        <v>32</v>
      </c>
      <c r="I3173" t="s">
        <v>20</v>
      </c>
      <c r="J3173" t="s">
        <v>25</v>
      </c>
      <c r="K3173">
        <v>3.1</v>
      </c>
      <c r="L3173" t="s">
        <v>140</v>
      </c>
      <c r="M3173" t="s">
        <v>15</v>
      </c>
      <c r="N3173" t="s">
        <v>140</v>
      </c>
      <c r="O3173">
        <v>26</v>
      </c>
      <c r="P3173" t="s">
        <v>63</v>
      </c>
      <c r="Q3173" t="s">
        <v>64</v>
      </c>
      <c r="R3173" t="str" cm="1">
        <f t="array" ref="R3173">_xlfn.IFS(B3173&lt;31,"Young-Adult",B3173&lt;41,"Adult",B3173&lt;61,"Middle-aged",B3173&gt;=61,"Senior")</f>
        <v>Senior</v>
      </c>
      <c r="S3173" cm="1">
        <f t="array" ref="S3173">_xlfn.IFS(Q3173 ="Fortnightly",14,Q3173="Weekly",7,Q3173="Monthly",30,Q3173="Quarterly",90,Q3173="Bi-Weekly",14,Q3173="Annually",365,Q3173="Every 3 Months",90,TRUE,"NOT FOUND")</f>
        <v>14</v>
      </c>
    </row>
    <row r="3174" spans="1:19" x14ac:dyDescent="0.35">
      <c r="A3174">
        <v>3173</v>
      </c>
      <c r="B3174">
        <v>57</v>
      </c>
      <c r="C3174" t="s">
        <v>141</v>
      </c>
      <c r="D3174" t="s">
        <v>113</v>
      </c>
      <c r="E3174" t="s">
        <v>9</v>
      </c>
      <c r="F3174">
        <v>52</v>
      </c>
      <c r="G3174" t="s">
        <v>56</v>
      </c>
      <c r="H3174" t="s">
        <v>32</v>
      </c>
      <c r="I3174" t="s">
        <v>66</v>
      </c>
      <c r="J3174" t="s">
        <v>45</v>
      </c>
      <c r="K3174">
        <v>3.7</v>
      </c>
      <c r="L3174" t="s">
        <v>140</v>
      </c>
      <c r="M3174" t="s">
        <v>42</v>
      </c>
      <c r="N3174" t="s">
        <v>140</v>
      </c>
      <c r="O3174">
        <v>30</v>
      </c>
      <c r="P3174" t="s">
        <v>74</v>
      </c>
      <c r="Q3174" t="s">
        <v>64</v>
      </c>
      <c r="R3174" t="str" cm="1">
        <f t="array" ref="R3174">_xlfn.IFS(B3174&lt;31,"Young-Adult",B3174&lt;41,"Adult",B3174&lt;61,"Middle-aged",B3174&gt;=61,"Senior")</f>
        <v>Middle-aged</v>
      </c>
      <c r="S3174" cm="1">
        <f t="array" ref="S3174">_xlfn.IFS(Q3174 ="Fortnightly",14,Q3174="Weekly",7,Q3174="Monthly",30,Q3174="Quarterly",90,Q3174="Bi-Weekly",14,Q3174="Annually",365,Q3174="Every 3 Months",90,TRUE,"NOT FOUND")</f>
        <v>14</v>
      </c>
    </row>
    <row r="3175" spans="1:19" x14ac:dyDescent="0.35">
      <c r="A3175">
        <v>3174</v>
      </c>
      <c r="B3175">
        <v>69</v>
      </c>
      <c r="C3175" t="s">
        <v>141</v>
      </c>
      <c r="D3175" t="s">
        <v>75</v>
      </c>
      <c r="E3175" t="s">
        <v>9</v>
      </c>
      <c r="F3175">
        <v>46</v>
      </c>
      <c r="G3175" t="s">
        <v>137</v>
      </c>
      <c r="H3175" t="s">
        <v>11</v>
      </c>
      <c r="I3175" t="s">
        <v>73</v>
      </c>
      <c r="J3175" t="s">
        <v>41</v>
      </c>
      <c r="K3175">
        <v>4.9000000000000004</v>
      </c>
      <c r="L3175" t="s">
        <v>140</v>
      </c>
      <c r="M3175" t="s">
        <v>33</v>
      </c>
      <c r="N3175" t="s">
        <v>140</v>
      </c>
      <c r="O3175">
        <v>32</v>
      </c>
      <c r="P3175" t="s">
        <v>34</v>
      </c>
      <c r="Q3175" t="s">
        <v>17</v>
      </c>
      <c r="R3175" t="str" cm="1">
        <f t="array" ref="R3175">_xlfn.IFS(B3175&lt;31,"Young-Adult",B3175&lt;41,"Adult",B3175&lt;61,"Middle-aged",B3175&gt;=61,"Senior")</f>
        <v>Senior</v>
      </c>
      <c r="S3175" cm="1">
        <f t="array" ref="S3175">_xlfn.IFS(Q3175 ="Fortnightly",14,Q3175="Weekly",7,Q3175="Monthly",30,Q3175="Quarterly",90,Q3175="Bi-Weekly",14,Q3175="Annually",365,Q3175="Every 3 Months",90,TRUE,"NOT FOUND")</f>
        <v>14</v>
      </c>
    </row>
    <row r="3176" spans="1:19" x14ac:dyDescent="0.35">
      <c r="A3176">
        <v>3175</v>
      </c>
      <c r="B3176">
        <v>45</v>
      </c>
      <c r="C3176" t="s">
        <v>141</v>
      </c>
      <c r="D3176" t="s">
        <v>83</v>
      </c>
      <c r="E3176" t="s">
        <v>9</v>
      </c>
      <c r="F3176">
        <v>52</v>
      </c>
      <c r="G3176" t="s">
        <v>89</v>
      </c>
      <c r="H3176" t="s">
        <v>11</v>
      </c>
      <c r="I3176" t="s">
        <v>109</v>
      </c>
      <c r="J3176" t="s">
        <v>13</v>
      </c>
      <c r="K3176">
        <v>3.8</v>
      </c>
      <c r="L3176" t="s">
        <v>140</v>
      </c>
      <c r="M3176" t="s">
        <v>62</v>
      </c>
      <c r="N3176" t="s">
        <v>140</v>
      </c>
      <c r="O3176">
        <v>35</v>
      </c>
      <c r="P3176" t="s">
        <v>34</v>
      </c>
      <c r="Q3176" t="s">
        <v>76</v>
      </c>
      <c r="R3176" t="str" cm="1">
        <f t="array" ref="R3176">_xlfn.IFS(B3176&lt;31,"Young-Adult",B3176&lt;41,"Adult",B3176&lt;61,"Middle-aged",B3176&gt;=61,"Senior")</f>
        <v>Middle-aged</v>
      </c>
      <c r="S3176" cm="1">
        <f t="array" ref="S3176">_xlfn.IFS(Q3176 ="Fortnightly",14,Q3176="Weekly",7,Q3176="Monthly",30,Q3176="Quarterly",90,Q3176="Bi-Weekly",14,Q3176="Annually",365,Q3176="Every 3 Months",90,TRUE,"NOT FOUND")</f>
        <v>30</v>
      </c>
    </row>
    <row r="3177" spans="1:19" x14ac:dyDescent="0.35">
      <c r="A3177">
        <v>3176</v>
      </c>
      <c r="B3177">
        <v>35</v>
      </c>
      <c r="C3177" t="s">
        <v>141</v>
      </c>
      <c r="D3177" t="s">
        <v>113</v>
      </c>
      <c r="E3177" t="s">
        <v>9</v>
      </c>
      <c r="F3177">
        <v>42</v>
      </c>
      <c r="G3177" t="s">
        <v>127</v>
      </c>
      <c r="H3177" t="s">
        <v>32</v>
      </c>
      <c r="I3177" t="s">
        <v>20</v>
      </c>
      <c r="J3177" t="s">
        <v>45</v>
      </c>
      <c r="K3177">
        <v>3.4</v>
      </c>
      <c r="L3177" t="s">
        <v>140</v>
      </c>
      <c r="M3177" t="s">
        <v>62</v>
      </c>
      <c r="N3177" t="s">
        <v>140</v>
      </c>
      <c r="O3177">
        <v>26</v>
      </c>
      <c r="P3177" t="s">
        <v>74</v>
      </c>
      <c r="Q3177" t="s">
        <v>85</v>
      </c>
      <c r="R3177" t="str" cm="1">
        <f t="array" ref="R3177">_xlfn.IFS(B3177&lt;31,"Young-Adult",B3177&lt;41,"Adult",B3177&lt;61,"Middle-aged",B3177&gt;=61,"Senior")</f>
        <v>Adult</v>
      </c>
      <c r="S3177" cm="1">
        <f t="array" ref="S3177">_xlfn.IFS(Q3177 ="Fortnightly",14,Q3177="Weekly",7,Q3177="Monthly",30,Q3177="Quarterly",90,Q3177="Bi-Weekly",14,Q3177="Annually",365,Q3177="Every 3 Months",90,TRUE,"NOT FOUND")</f>
        <v>90</v>
      </c>
    </row>
    <row r="3178" spans="1:19" x14ac:dyDescent="0.35">
      <c r="A3178">
        <v>3177</v>
      </c>
      <c r="B3178">
        <v>36</v>
      </c>
      <c r="C3178" t="s">
        <v>141</v>
      </c>
      <c r="D3178" t="s">
        <v>29</v>
      </c>
      <c r="E3178" t="s">
        <v>30</v>
      </c>
      <c r="F3178">
        <v>37</v>
      </c>
      <c r="G3178" t="s">
        <v>60</v>
      </c>
      <c r="H3178" t="s">
        <v>80</v>
      </c>
      <c r="I3178" t="s">
        <v>36</v>
      </c>
      <c r="J3178" t="s">
        <v>25</v>
      </c>
      <c r="K3178">
        <v>4.5999999999999996</v>
      </c>
      <c r="L3178" t="s">
        <v>140</v>
      </c>
      <c r="M3178" t="s">
        <v>58</v>
      </c>
      <c r="N3178" t="s">
        <v>140</v>
      </c>
      <c r="O3178">
        <v>39</v>
      </c>
      <c r="P3178" t="s">
        <v>27</v>
      </c>
      <c r="Q3178" t="s">
        <v>76</v>
      </c>
      <c r="R3178" t="str" cm="1">
        <f t="array" ref="R3178">_xlfn.IFS(B3178&lt;31,"Young-Adult",B3178&lt;41,"Adult",B3178&lt;61,"Middle-aged",B3178&gt;=61,"Senior")</f>
        <v>Adult</v>
      </c>
      <c r="S3178" cm="1">
        <f t="array" ref="S3178">_xlfn.IFS(Q3178 ="Fortnightly",14,Q3178="Weekly",7,Q3178="Monthly",30,Q3178="Quarterly",90,Q3178="Bi-Weekly",14,Q3178="Annually",365,Q3178="Every 3 Months",90,TRUE,"NOT FOUND")</f>
        <v>30</v>
      </c>
    </row>
    <row r="3179" spans="1:19" x14ac:dyDescent="0.35">
      <c r="A3179">
        <v>3178</v>
      </c>
      <c r="B3179">
        <v>55</v>
      </c>
      <c r="C3179" t="s">
        <v>141</v>
      </c>
      <c r="D3179" t="s">
        <v>121</v>
      </c>
      <c r="E3179" t="s">
        <v>55</v>
      </c>
      <c r="F3179">
        <v>52</v>
      </c>
      <c r="G3179" t="s">
        <v>56</v>
      </c>
      <c r="H3179" t="s">
        <v>11</v>
      </c>
      <c r="I3179" t="s">
        <v>106</v>
      </c>
      <c r="J3179" t="s">
        <v>45</v>
      </c>
      <c r="K3179">
        <v>3.2</v>
      </c>
      <c r="L3179" t="s">
        <v>140</v>
      </c>
      <c r="M3179" t="s">
        <v>42</v>
      </c>
      <c r="N3179" t="s">
        <v>140</v>
      </c>
      <c r="O3179">
        <v>31</v>
      </c>
      <c r="P3179" t="s">
        <v>27</v>
      </c>
      <c r="Q3179" t="s">
        <v>76</v>
      </c>
      <c r="R3179" t="str" cm="1">
        <f t="array" ref="R3179">_xlfn.IFS(B3179&lt;31,"Young-Adult",B3179&lt;41,"Adult",B3179&lt;61,"Middle-aged",B3179&gt;=61,"Senior")</f>
        <v>Middle-aged</v>
      </c>
      <c r="S3179" cm="1">
        <f t="array" ref="S3179">_xlfn.IFS(Q3179 ="Fortnightly",14,Q3179="Weekly",7,Q3179="Monthly",30,Q3179="Quarterly",90,Q3179="Bi-Weekly",14,Q3179="Annually",365,Q3179="Every 3 Months",90,TRUE,"NOT FOUND")</f>
        <v>30</v>
      </c>
    </row>
    <row r="3180" spans="1:19" x14ac:dyDescent="0.35">
      <c r="A3180">
        <v>3179</v>
      </c>
      <c r="B3180">
        <v>66</v>
      </c>
      <c r="C3180" t="s">
        <v>141</v>
      </c>
      <c r="D3180" t="s">
        <v>29</v>
      </c>
      <c r="E3180" t="s">
        <v>30</v>
      </c>
      <c r="F3180">
        <v>34</v>
      </c>
      <c r="G3180" t="s">
        <v>137</v>
      </c>
      <c r="H3180" t="s">
        <v>11</v>
      </c>
      <c r="I3180" t="s">
        <v>106</v>
      </c>
      <c r="J3180" t="s">
        <v>25</v>
      </c>
      <c r="K3180">
        <v>2.7</v>
      </c>
      <c r="L3180" t="s">
        <v>140</v>
      </c>
      <c r="M3180" t="s">
        <v>26</v>
      </c>
      <c r="N3180" t="s">
        <v>140</v>
      </c>
      <c r="O3180">
        <v>28</v>
      </c>
      <c r="P3180" t="s">
        <v>27</v>
      </c>
      <c r="Q3180" t="s">
        <v>37</v>
      </c>
      <c r="R3180" t="str" cm="1">
        <f t="array" ref="R3180">_xlfn.IFS(B3180&lt;31,"Young-Adult",B3180&lt;41,"Adult",B3180&lt;61,"Middle-aged",B3180&gt;=61,"Senior")</f>
        <v>Senior</v>
      </c>
      <c r="S3180" cm="1">
        <f t="array" ref="S3180">_xlfn.IFS(Q3180 ="Fortnightly",14,Q3180="Weekly",7,Q3180="Monthly",30,Q3180="Quarterly",90,Q3180="Bi-Weekly",14,Q3180="Annually",365,Q3180="Every 3 Months",90,TRUE,"NOT FOUND")</f>
        <v>365</v>
      </c>
    </row>
    <row r="3181" spans="1:19" x14ac:dyDescent="0.35">
      <c r="A3181">
        <v>3180</v>
      </c>
      <c r="B3181">
        <v>57</v>
      </c>
      <c r="C3181" t="s">
        <v>141</v>
      </c>
      <c r="D3181" t="s">
        <v>47</v>
      </c>
      <c r="E3181" t="s">
        <v>9</v>
      </c>
      <c r="F3181">
        <v>88</v>
      </c>
      <c r="G3181" t="s">
        <v>123</v>
      </c>
      <c r="H3181" t="s">
        <v>32</v>
      </c>
      <c r="I3181" t="s">
        <v>66</v>
      </c>
      <c r="J3181" t="s">
        <v>25</v>
      </c>
      <c r="K3181">
        <v>4.3</v>
      </c>
      <c r="L3181" t="s">
        <v>140</v>
      </c>
      <c r="M3181" t="s">
        <v>26</v>
      </c>
      <c r="N3181" t="s">
        <v>140</v>
      </c>
      <c r="O3181">
        <v>12</v>
      </c>
      <c r="P3181" t="s">
        <v>74</v>
      </c>
      <c r="Q3181" t="s">
        <v>64</v>
      </c>
      <c r="R3181" t="str" cm="1">
        <f t="array" ref="R3181">_xlfn.IFS(B3181&lt;31,"Young-Adult",B3181&lt;41,"Adult",B3181&lt;61,"Middle-aged",B3181&gt;=61,"Senior")</f>
        <v>Middle-aged</v>
      </c>
      <c r="S3181" cm="1">
        <f t="array" ref="S3181">_xlfn.IFS(Q3181 ="Fortnightly",14,Q3181="Weekly",7,Q3181="Monthly",30,Q3181="Quarterly",90,Q3181="Bi-Weekly",14,Q3181="Annually",365,Q3181="Every 3 Months",90,TRUE,"NOT FOUND")</f>
        <v>14</v>
      </c>
    </row>
    <row r="3182" spans="1:19" x14ac:dyDescent="0.35">
      <c r="A3182">
        <v>3181</v>
      </c>
      <c r="B3182">
        <v>18</v>
      </c>
      <c r="C3182" t="s">
        <v>141</v>
      </c>
      <c r="D3182" t="s">
        <v>54</v>
      </c>
      <c r="E3182" t="s">
        <v>55</v>
      </c>
      <c r="F3182">
        <v>88</v>
      </c>
      <c r="G3182" t="s">
        <v>44</v>
      </c>
      <c r="H3182" t="s">
        <v>11</v>
      </c>
      <c r="I3182" t="s">
        <v>36</v>
      </c>
      <c r="J3182" t="s">
        <v>45</v>
      </c>
      <c r="K3182">
        <v>3.8</v>
      </c>
      <c r="L3182" t="s">
        <v>140</v>
      </c>
      <c r="M3182" t="s">
        <v>42</v>
      </c>
      <c r="N3182" t="s">
        <v>140</v>
      </c>
      <c r="O3182">
        <v>46</v>
      </c>
      <c r="P3182" t="s">
        <v>34</v>
      </c>
      <c r="Q3182" t="s">
        <v>28</v>
      </c>
      <c r="R3182" t="str" cm="1">
        <f t="array" ref="R3182">_xlfn.IFS(B3182&lt;31,"Young-Adult",B3182&lt;41,"Adult",B3182&lt;61,"Middle-aged",B3182&gt;=61,"Senior")</f>
        <v>Young-Adult</v>
      </c>
      <c r="S3182" cm="1">
        <f t="array" ref="S3182">_xlfn.IFS(Q3182 ="Fortnightly",14,Q3182="Weekly",7,Q3182="Monthly",30,Q3182="Quarterly",90,Q3182="Bi-Weekly",14,Q3182="Annually",365,Q3182="Every 3 Months",90,TRUE,"NOT FOUND")</f>
        <v>7</v>
      </c>
    </row>
    <row r="3183" spans="1:19" x14ac:dyDescent="0.35">
      <c r="A3183">
        <v>3182</v>
      </c>
      <c r="B3183">
        <v>31</v>
      </c>
      <c r="C3183" t="s">
        <v>141</v>
      </c>
      <c r="D3183" t="s">
        <v>90</v>
      </c>
      <c r="E3183" t="s">
        <v>51</v>
      </c>
      <c r="F3183">
        <v>51</v>
      </c>
      <c r="G3183" t="s">
        <v>44</v>
      </c>
      <c r="H3183" t="s">
        <v>32</v>
      </c>
      <c r="I3183" t="s">
        <v>49</v>
      </c>
      <c r="J3183" t="s">
        <v>41</v>
      </c>
      <c r="K3183">
        <v>4.4000000000000004</v>
      </c>
      <c r="L3183" t="s">
        <v>140</v>
      </c>
      <c r="M3183" t="s">
        <v>26</v>
      </c>
      <c r="N3183" t="s">
        <v>140</v>
      </c>
      <c r="O3183">
        <v>27</v>
      </c>
      <c r="P3183" t="s">
        <v>34</v>
      </c>
      <c r="Q3183" t="s">
        <v>85</v>
      </c>
      <c r="R3183" t="str" cm="1">
        <f t="array" ref="R3183">_xlfn.IFS(B3183&lt;31,"Young-Adult",B3183&lt;41,"Adult",B3183&lt;61,"Middle-aged",B3183&gt;=61,"Senior")</f>
        <v>Adult</v>
      </c>
      <c r="S3183" cm="1">
        <f t="array" ref="S3183">_xlfn.IFS(Q3183 ="Fortnightly",14,Q3183="Weekly",7,Q3183="Monthly",30,Q3183="Quarterly",90,Q3183="Bi-Weekly",14,Q3183="Annually",365,Q3183="Every 3 Months",90,TRUE,"NOT FOUND")</f>
        <v>90</v>
      </c>
    </row>
    <row r="3184" spans="1:19" x14ac:dyDescent="0.35">
      <c r="A3184">
        <v>3183</v>
      </c>
      <c r="B3184">
        <v>50</v>
      </c>
      <c r="C3184" t="s">
        <v>141</v>
      </c>
      <c r="D3184" t="s">
        <v>77</v>
      </c>
      <c r="E3184" t="s">
        <v>55</v>
      </c>
      <c r="F3184">
        <v>97</v>
      </c>
      <c r="G3184" t="s">
        <v>130</v>
      </c>
      <c r="H3184" t="s">
        <v>11</v>
      </c>
      <c r="I3184" t="s">
        <v>84</v>
      </c>
      <c r="J3184" t="s">
        <v>45</v>
      </c>
      <c r="K3184">
        <v>3.6</v>
      </c>
      <c r="L3184" t="s">
        <v>140</v>
      </c>
      <c r="M3184" t="s">
        <v>26</v>
      </c>
      <c r="N3184" t="s">
        <v>140</v>
      </c>
      <c r="O3184">
        <v>4</v>
      </c>
      <c r="P3184" t="s">
        <v>27</v>
      </c>
      <c r="Q3184" t="s">
        <v>37</v>
      </c>
      <c r="R3184" t="str" cm="1">
        <f t="array" ref="R3184">_xlfn.IFS(B3184&lt;31,"Young-Adult",B3184&lt;41,"Adult",B3184&lt;61,"Middle-aged",B3184&gt;=61,"Senior")</f>
        <v>Middle-aged</v>
      </c>
      <c r="S3184" cm="1">
        <f t="array" ref="S3184">_xlfn.IFS(Q3184 ="Fortnightly",14,Q3184="Weekly",7,Q3184="Monthly",30,Q3184="Quarterly",90,Q3184="Bi-Weekly",14,Q3184="Annually",365,Q3184="Every 3 Months",90,TRUE,"NOT FOUND")</f>
        <v>365</v>
      </c>
    </row>
    <row r="3185" spans="1:19" x14ac:dyDescent="0.35">
      <c r="A3185">
        <v>3184</v>
      </c>
      <c r="B3185">
        <v>50</v>
      </c>
      <c r="C3185" t="s">
        <v>141</v>
      </c>
      <c r="D3185" t="s">
        <v>38</v>
      </c>
      <c r="E3185" t="s">
        <v>30</v>
      </c>
      <c r="F3185">
        <v>56</v>
      </c>
      <c r="G3185" t="s">
        <v>79</v>
      </c>
      <c r="H3185" t="s">
        <v>32</v>
      </c>
      <c r="I3185" t="s">
        <v>84</v>
      </c>
      <c r="J3185" t="s">
        <v>13</v>
      </c>
      <c r="K3185">
        <v>3.5</v>
      </c>
      <c r="L3185" t="s">
        <v>140</v>
      </c>
      <c r="M3185" t="s">
        <v>42</v>
      </c>
      <c r="N3185" t="s">
        <v>140</v>
      </c>
      <c r="O3185">
        <v>14</v>
      </c>
      <c r="P3185" t="s">
        <v>21</v>
      </c>
      <c r="Q3185" t="s">
        <v>85</v>
      </c>
      <c r="R3185" t="str" cm="1">
        <f t="array" ref="R3185">_xlfn.IFS(B3185&lt;31,"Young-Adult",B3185&lt;41,"Adult",B3185&lt;61,"Middle-aged",B3185&gt;=61,"Senior")</f>
        <v>Middle-aged</v>
      </c>
      <c r="S3185" cm="1">
        <f t="array" ref="S3185">_xlfn.IFS(Q3185 ="Fortnightly",14,Q3185="Weekly",7,Q3185="Monthly",30,Q3185="Quarterly",90,Q3185="Bi-Weekly",14,Q3185="Annually",365,Q3185="Every 3 Months",90,TRUE,"NOT FOUND")</f>
        <v>90</v>
      </c>
    </row>
    <row r="3186" spans="1:19" x14ac:dyDescent="0.35">
      <c r="A3186">
        <v>3185</v>
      </c>
      <c r="B3186">
        <v>61</v>
      </c>
      <c r="C3186" t="s">
        <v>141</v>
      </c>
      <c r="D3186" t="s">
        <v>18</v>
      </c>
      <c r="E3186" t="s">
        <v>9</v>
      </c>
      <c r="F3186">
        <v>53</v>
      </c>
      <c r="G3186" t="s">
        <v>65</v>
      </c>
      <c r="H3186" t="s">
        <v>11</v>
      </c>
      <c r="I3186" t="s">
        <v>84</v>
      </c>
      <c r="J3186" t="s">
        <v>25</v>
      </c>
      <c r="K3186">
        <v>4.2</v>
      </c>
      <c r="L3186" t="s">
        <v>140</v>
      </c>
      <c r="M3186" t="s">
        <v>58</v>
      </c>
      <c r="N3186" t="s">
        <v>140</v>
      </c>
      <c r="O3186">
        <v>30</v>
      </c>
      <c r="P3186" t="s">
        <v>16</v>
      </c>
      <c r="Q3186" t="s">
        <v>46</v>
      </c>
      <c r="R3186" t="str" cm="1">
        <f t="array" ref="R3186">_xlfn.IFS(B3186&lt;31,"Young-Adult",B3186&lt;41,"Adult",B3186&lt;61,"Middle-aged",B3186&gt;=61,"Senior")</f>
        <v>Senior</v>
      </c>
      <c r="S3186" cm="1">
        <f t="array" ref="S3186">_xlfn.IFS(Q3186 ="Fortnightly",14,Q3186="Weekly",7,Q3186="Monthly",30,Q3186="Quarterly",90,Q3186="Bi-Weekly",14,Q3186="Annually",365,Q3186="Every 3 Months",90,TRUE,"NOT FOUND")</f>
        <v>90</v>
      </c>
    </row>
    <row r="3187" spans="1:19" x14ac:dyDescent="0.35">
      <c r="A3187">
        <v>3186</v>
      </c>
      <c r="B3187">
        <v>52</v>
      </c>
      <c r="C3187" t="s">
        <v>141</v>
      </c>
      <c r="D3187" t="s">
        <v>75</v>
      </c>
      <c r="E3187" t="s">
        <v>9</v>
      </c>
      <c r="F3187">
        <v>71</v>
      </c>
      <c r="G3187" t="s">
        <v>111</v>
      </c>
      <c r="H3187" t="s">
        <v>11</v>
      </c>
      <c r="I3187" t="s">
        <v>68</v>
      </c>
      <c r="J3187" t="s">
        <v>45</v>
      </c>
      <c r="K3187">
        <v>4.7</v>
      </c>
      <c r="L3187" t="s">
        <v>140</v>
      </c>
      <c r="M3187" t="s">
        <v>15</v>
      </c>
      <c r="N3187" t="s">
        <v>140</v>
      </c>
      <c r="O3187">
        <v>6</v>
      </c>
      <c r="P3187" t="s">
        <v>34</v>
      </c>
      <c r="Q3187" t="s">
        <v>37</v>
      </c>
      <c r="R3187" t="str" cm="1">
        <f t="array" ref="R3187">_xlfn.IFS(B3187&lt;31,"Young-Adult",B3187&lt;41,"Adult",B3187&lt;61,"Middle-aged",B3187&gt;=61,"Senior")</f>
        <v>Middle-aged</v>
      </c>
      <c r="S3187" cm="1">
        <f t="array" ref="S3187">_xlfn.IFS(Q3187 ="Fortnightly",14,Q3187="Weekly",7,Q3187="Monthly",30,Q3187="Quarterly",90,Q3187="Bi-Weekly",14,Q3187="Annually",365,Q3187="Every 3 Months",90,TRUE,"NOT FOUND")</f>
        <v>365</v>
      </c>
    </row>
    <row r="3188" spans="1:19" x14ac:dyDescent="0.35">
      <c r="A3188">
        <v>3187</v>
      </c>
      <c r="B3188">
        <v>38</v>
      </c>
      <c r="C3188" t="s">
        <v>141</v>
      </c>
      <c r="D3188" t="s">
        <v>94</v>
      </c>
      <c r="E3188" t="s">
        <v>55</v>
      </c>
      <c r="F3188">
        <v>93</v>
      </c>
      <c r="G3188" t="s">
        <v>129</v>
      </c>
      <c r="H3188" t="s">
        <v>24</v>
      </c>
      <c r="I3188" t="s">
        <v>97</v>
      </c>
      <c r="J3188" t="s">
        <v>13</v>
      </c>
      <c r="K3188">
        <v>4.8</v>
      </c>
      <c r="L3188" t="s">
        <v>140</v>
      </c>
      <c r="M3188" t="s">
        <v>62</v>
      </c>
      <c r="N3188" t="s">
        <v>140</v>
      </c>
      <c r="O3188">
        <v>43</v>
      </c>
      <c r="P3188" t="s">
        <v>16</v>
      </c>
      <c r="Q3188" t="s">
        <v>37</v>
      </c>
      <c r="R3188" t="str" cm="1">
        <f t="array" ref="R3188">_xlfn.IFS(B3188&lt;31,"Young-Adult",B3188&lt;41,"Adult",B3188&lt;61,"Middle-aged",B3188&gt;=61,"Senior")</f>
        <v>Adult</v>
      </c>
      <c r="S3188" cm="1">
        <f t="array" ref="S3188">_xlfn.IFS(Q3188 ="Fortnightly",14,Q3188="Weekly",7,Q3188="Monthly",30,Q3188="Quarterly",90,Q3188="Bi-Weekly",14,Q3188="Annually",365,Q3188="Every 3 Months",90,TRUE,"NOT FOUND")</f>
        <v>365</v>
      </c>
    </row>
    <row r="3189" spans="1:19" x14ac:dyDescent="0.35">
      <c r="A3189">
        <v>3188</v>
      </c>
      <c r="B3189">
        <v>67</v>
      </c>
      <c r="C3189" t="s">
        <v>141</v>
      </c>
      <c r="D3189" t="s">
        <v>8</v>
      </c>
      <c r="E3189" t="s">
        <v>9</v>
      </c>
      <c r="F3189">
        <v>72</v>
      </c>
      <c r="G3189" t="s">
        <v>93</v>
      </c>
      <c r="H3189" t="s">
        <v>11</v>
      </c>
      <c r="I3189" t="s">
        <v>114</v>
      </c>
      <c r="J3189" t="s">
        <v>13</v>
      </c>
      <c r="K3189">
        <v>3.2</v>
      </c>
      <c r="L3189" t="s">
        <v>140</v>
      </c>
      <c r="M3189" t="s">
        <v>26</v>
      </c>
      <c r="N3189" t="s">
        <v>140</v>
      </c>
      <c r="O3189">
        <v>28</v>
      </c>
      <c r="P3189" t="s">
        <v>74</v>
      </c>
      <c r="Q3189" t="s">
        <v>28</v>
      </c>
      <c r="R3189" t="str" cm="1">
        <f t="array" ref="R3189">_xlfn.IFS(B3189&lt;31,"Young-Adult",B3189&lt;41,"Adult",B3189&lt;61,"Middle-aged",B3189&gt;=61,"Senior")</f>
        <v>Senior</v>
      </c>
      <c r="S3189" cm="1">
        <f t="array" ref="S3189">_xlfn.IFS(Q3189 ="Fortnightly",14,Q3189="Weekly",7,Q3189="Monthly",30,Q3189="Quarterly",90,Q3189="Bi-Weekly",14,Q3189="Annually",365,Q3189="Every 3 Months",90,TRUE,"NOT FOUND")</f>
        <v>7</v>
      </c>
    </row>
    <row r="3190" spans="1:19" x14ac:dyDescent="0.35">
      <c r="A3190">
        <v>3189</v>
      </c>
      <c r="B3190">
        <v>42</v>
      </c>
      <c r="C3190" t="s">
        <v>141</v>
      </c>
      <c r="D3190" t="s">
        <v>8</v>
      </c>
      <c r="E3190" t="s">
        <v>9</v>
      </c>
      <c r="F3190">
        <v>59</v>
      </c>
      <c r="G3190" t="s">
        <v>117</v>
      </c>
      <c r="H3190" t="s">
        <v>32</v>
      </c>
      <c r="I3190" t="s">
        <v>81</v>
      </c>
      <c r="J3190" t="s">
        <v>13</v>
      </c>
      <c r="K3190">
        <v>3.5</v>
      </c>
      <c r="L3190" t="s">
        <v>140</v>
      </c>
      <c r="M3190" t="s">
        <v>42</v>
      </c>
      <c r="N3190" t="s">
        <v>140</v>
      </c>
      <c r="O3190">
        <v>39</v>
      </c>
      <c r="P3190" t="s">
        <v>63</v>
      </c>
      <c r="Q3190" t="s">
        <v>76</v>
      </c>
      <c r="R3190" t="str" cm="1">
        <f t="array" ref="R3190">_xlfn.IFS(B3190&lt;31,"Young-Adult",B3190&lt;41,"Adult",B3190&lt;61,"Middle-aged",B3190&gt;=61,"Senior")</f>
        <v>Middle-aged</v>
      </c>
      <c r="S3190" cm="1">
        <f t="array" ref="S3190">_xlfn.IFS(Q3190 ="Fortnightly",14,Q3190="Weekly",7,Q3190="Monthly",30,Q3190="Quarterly",90,Q3190="Bi-Weekly",14,Q3190="Annually",365,Q3190="Every 3 Months",90,TRUE,"NOT FOUND")</f>
        <v>30</v>
      </c>
    </row>
    <row r="3191" spans="1:19" x14ac:dyDescent="0.35">
      <c r="A3191">
        <v>3190</v>
      </c>
      <c r="B3191">
        <v>25</v>
      </c>
      <c r="C3191" t="s">
        <v>141</v>
      </c>
      <c r="D3191" t="s">
        <v>125</v>
      </c>
      <c r="E3191" t="s">
        <v>30</v>
      </c>
      <c r="F3191">
        <v>87</v>
      </c>
      <c r="G3191" t="s">
        <v>99</v>
      </c>
      <c r="H3191" t="s">
        <v>32</v>
      </c>
      <c r="I3191" t="s">
        <v>106</v>
      </c>
      <c r="J3191" t="s">
        <v>41</v>
      </c>
      <c r="K3191">
        <v>4.2</v>
      </c>
      <c r="L3191" t="s">
        <v>140</v>
      </c>
      <c r="M3191" t="s">
        <v>62</v>
      </c>
      <c r="N3191" t="s">
        <v>140</v>
      </c>
      <c r="O3191">
        <v>30</v>
      </c>
      <c r="P3191" t="s">
        <v>34</v>
      </c>
      <c r="Q3191" t="s">
        <v>64</v>
      </c>
      <c r="R3191" t="str" cm="1">
        <f t="array" ref="R3191">_xlfn.IFS(B3191&lt;31,"Young-Adult",B3191&lt;41,"Adult",B3191&lt;61,"Middle-aged",B3191&gt;=61,"Senior")</f>
        <v>Young-Adult</v>
      </c>
      <c r="S3191" cm="1">
        <f t="array" ref="S3191">_xlfn.IFS(Q3191 ="Fortnightly",14,Q3191="Weekly",7,Q3191="Monthly",30,Q3191="Quarterly",90,Q3191="Bi-Weekly",14,Q3191="Annually",365,Q3191="Every 3 Months",90,TRUE,"NOT FOUND")</f>
        <v>14</v>
      </c>
    </row>
    <row r="3192" spans="1:19" x14ac:dyDescent="0.35">
      <c r="A3192">
        <v>3191</v>
      </c>
      <c r="B3192">
        <v>41</v>
      </c>
      <c r="C3192" t="s">
        <v>141</v>
      </c>
      <c r="D3192" t="s">
        <v>22</v>
      </c>
      <c r="E3192" t="s">
        <v>9</v>
      </c>
      <c r="F3192">
        <v>78</v>
      </c>
      <c r="G3192" t="s">
        <v>87</v>
      </c>
      <c r="H3192" t="s">
        <v>24</v>
      </c>
      <c r="I3192" t="s">
        <v>61</v>
      </c>
      <c r="J3192" t="s">
        <v>45</v>
      </c>
      <c r="K3192">
        <v>3.4</v>
      </c>
      <c r="L3192" t="s">
        <v>140</v>
      </c>
      <c r="M3192" t="s">
        <v>26</v>
      </c>
      <c r="N3192" t="s">
        <v>140</v>
      </c>
      <c r="O3192">
        <v>5</v>
      </c>
      <c r="P3192" t="s">
        <v>27</v>
      </c>
      <c r="Q3192" t="s">
        <v>17</v>
      </c>
      <c r="R3192" t="str" cm="1">
        <f t="array" ref="R3192">_xlfn.IFS(B3192&lt;31,"Young-Adult",B3192&lt;41,"Adult",B3192&lt;61,"Middle-aged",B3192&gt;=61,"Senior")</f>
        <v>Middle-aged</v>
      </c>
      <c r="S3192" cm="1">
        <f t="array" ref="S3192">_xlfn.IFS(Q3192 ="Fortnightly",14,Q3192="Weekly",7,Q3192="Monthly",30,Q3192="Quarterly",90,Q3192="Bi-Weekly",14,Q3192="Annually",365,Q3192="Every 3 Months",90,TRUE,"NOT FOUND")</f>
        <v>14</v>
      </c>
    </row>
    <row r="3193" spans="1:19" x14ac:dyDescent="0.35">
      <c r="A3193">
        <v>3192</v>
      </c>
      <c r="B3193">
        <v>62</v>
      </c>
      <c r="C3193" t="s">
        <v>141</v>
      </c>
      <c r="D3193" t="s">
        <v>92</v>
      </c>
      <c r="E3193" t="s">
        <v>9</v>
      </c>
      <c r="F3193">
        <v>68</v>
      </c>
      <c r="G3193" t="s">
        <v>79</v>
      </c>
      <c r="H3193" t="s">
        <v>80</v>
      </c>
      <c r="I3193" t="s">
        <v>20</v>
      </c>
      <c r="J3193" t="s">
        <v>13</v>
      </c>
      <c r="K3193">
        <v>4.7</v>
      </c>
      <c r="L3193" t="s">
        <v>140</v>
      </c>
      <c r="M3193" t="s">
        <v>62</v>
      </c>
      <c r="N3193" t="s">
        <v>140</v>
      </c>
      <c r="O3193">
        <v>42</v>
      </c>
      <c r="P3193" t="s">
        <v>27</v>
      </c>
      <c r="Q3193" t="s">
        <v>85</v>
      </c>
      <c r="R3193" t="str" cm="1">
        <f t="array" ref="R3193">_xlfn.IFS(B3193&lt;31,"Young-Adult",B3193&lt;41,"Adult",B3193&lt;61,"Middle-aged",B3193&gt;=61,"Senior")</f>
        <v>Senior</v>
      </c>
      <c r="S3193" cm="1">
        <f t="array" ref="S3193">_xlfn.IFS(Q3193 ="Fortnightly",14,Q3193="Weekly",7,Q3193="Monthly",30,Q3193="Quarterly",90,Q3193="Bi-Weekly",14,Q3193="Annually",365,Q3193="Every 3 Months",90,TRUE,"NOT FOUND")</f>
        <v>90</v>
      </c>
    </row>
    <row r="3194" spans="1:19" x14ac:dyDescent="0.35">
      <c r="A3194">
        <v>3193</v>
      </c>
      <c r="B3194">
        <v>19</v>
      </c>
      <c r="C3194" t="s">
        <v>141</v>
      </c>
      <c r="D3194" t="s">
        <v>18</v>
      </c>
      <c r="E3194" t="s">
        <v>9</v>
      </c>
      <c r="F3194">
        <v>76</v>
      </c>
      <c r="G3194" t="s">
        <v>134</v>
      </c>
      <c r="H3194" t="s">
        <v>24</v>
      </c>
      <c r="I3194" t="s">
        <v>20</v>
      </c>
      <c r="J3194" t="s">
        <v>45</v>
      </c>
      <c r="K3194">
        <v>3</v>
      </c>
      <c r="L3194" t="s">
        <v>140</v>
      </c>
      <c r="M3194" t="s">
        <v>26</v>
      </c>
      <c r="N3194" t="s">
        <v>140</v>
      </c>
      <c r="O3194">
        <v>20</v>
      </c>
      <c r="P3194" t="s">
        <v>21</v>
      </c>
      <c r="Q3194" t="s">
        <v>17</v>
      </c>
      <c r="R3194" t="str" cm="1">
        <f t="array" ref="R3194">_xlfn.IFS(B3194&lt;31,"Young-Adult",B3194&lt;41,"Adult",B3194&lt;61,"Middle-aged",B3194&gt;=61,"Senior")</f>
        <v>Young-Adult</v>
      </c>
      <c r="S3194" cm="1">
        <f t="array" ref="S3194">_xlfn.IFS(Q3194 ="Fortnightly",14,Q3194="Weekly",7,Q3194="Monthly",30,Q3194="Quarterly",90,Q3194="Bi-Weekly",14,Q3194="Annually",365,Q3194="Every 3 Months",90,TRUE,"NOT FOUND")</f>
        <v>14</v>
      </c>
    </row>
    <row r="3195" spans="1:19" x14ac:dyDescent="0.35">
      <c r="A3195">
        <v>3194</v>
      </c>
      <c r="B3195">
        <v>63</v>
      </c>
      <c r="C3195" t="s">
        <v>141</v>
      </c>
      <c r="D3195" t="s">
        <v>131</v>
      </c>
      <c r="E3195" t="s">
        <v>55</v>
      </c>
      <c r="F3195">
        <v>99</v>
      </c>
      <c r="G3195" t="s">
        <v>129</v>
      </c>
      <c r="H3195" t="s">
        <v>11</v>
      </c>
      <c r="I3195" t="s">
        <v>73</v>
      </c>
      <c r="J3195" t="s">
        <v>13</v>
      </c>
      <c r="K3195">
        <v>4</v>
      </c>
      <c r="L3195" t="s">
        <v>140</v>
      </c>
      <c r="M3195" t="s">
        <v>15</v>
      </c>
      <c r="N3195" t="s">
        <v>140</v>
      </c>
      <c r="O3195">
        <v>35</v>
      </c>
      <c r="P3195" t="s">
        <v>27</v>
      </c>
      <c r="Q3195" t="s">
        <v>17</v>
      </c>
      <c r="R3195" t="str" cm="1">
        <f t="array" ref="R3195">_xlfn.IFS(B3195&lt;31,"Young-Adult",B3195&lt;41,"Adult",B3195&lt;61,"Middle-aged",B3195&gt;=61,"Senior")</f>
        <v>Senior</v>
      </c>
      <c r="S3195" cm="1">
        <f t="array" ref="S3195">_xlfn.IFS(Q3195 ="Fortnightly",14,Q3195="Weekly",7,Q3195="Monthly",30,Q3195="Quarterly",90,Q3195="Bi-Weekly",14,Q3195="Annually",365,Q3195="Every 3 Months",90,TRUE,"NOT FOUND")</f>
        <v>14</v>
      </c>
    </row>
    <row r="3196" spans="1:19" x14ac:dyDescent="0.35">
      <c r="A3196">
        <v>3195</v>
      </c>
      <c r="B3196">
        <v>43</v>
      </c>
      <c r="C3196" t="s">
        <v>141</v>
      </c>
      <c r="D3196" t="s">
        <v>38</v>
      </c>
      <c r="E3196" t="s">
        <v>30</v>
      </c>
      <c r="F3196">
        <v>52</v>
      </c>
      <c r="G3196" t="s">
        <v>116</v>
      </c>
      <c r="H3196" t="s">
        <v>11</v>
      </c>
      <c r="I3196" t="s">
        <v>68</v>
      </c>
      <c r="J3196" t="s">
        <v>41</v>
      </c>
      <c r="K3196">
        <v>4.5999999999999996</v>
      </c>
      <c r="L3196" t="s">
        <v>140</v>
      </c>
      <c r="M3196" t="s">
        <v>42</v>
      </c>
      <c r="N3196" t="s">
        <v>140</v>
      </c>
      <c r="O3196">
        <v>10</v>
      </c>
      <c r="P3196" t="s">
        <v>27</v>
      </c>
      <c r="Q3196" t="s">
        <v>64</v>
      </c>
      <c r="R3196" t="str" cm="1">
        <f t="array" ref="R3196">_xlfn.IFS(B3196&lt;31,"Young-Adult",B3196&lt;41,"Adult",B3196&lt;61,"Middle-aged",B3196&gt;=61,"Senior")</f>
        <v>Middle-aged</v>
      </c>
      <c r="S3196" cm="1">
        <f t="array" ref="S3196">_xlfn.IFS(Q3196 ="Fortnightly",14,Q3196="Weekly",7,Q3196="Monthly",30,Q3196="Quarterly",90,Q3196="Bi-Weekly",14,Q3196="Annually",365,Q3196="Every 3 Months",90,TRUE,"NOT FOUND")</f>
        <v>14</v>
      </c>
    </row>
    <row r="3197" spans="1:19" x14ac:dyDescent="0.35">
      <c r="A3197">
        <v>3196</v>
      </c>
      <c r="B3197">
        <v>68</v>
      </c>
      <c r="C3197" t="s">
        <v>141</v>
      </c>
      <c r="D3197" t="s">
        <v>77</v>
      </c>
      <c r="E3197" t="s">
        <v>55</v>
      </c>
      <c r="F3197">
        <v>58</v>
      </c>
      <c r="G3197" t="s">
        <v>56</v>
      </c>
      <c r="H3197" t="s">
        <v>24</v>
      </c>
      <c r="I3197" t="s">
        <v>96</v>
      </c>
      <c r="J3197" t="s">
        <v>25</v>
      </c>
      <c r="K3197">
        <v>4.9000000000000004</v>
      </c>
      <c r="L3197" t="s">
        <v>140</v>
      </c>
      <c r="M3197" t="s">
        <v>33</v>
      </c>
      <c r="N3197" t="s">
        <v>140</v>
      </c>
      <c r="O3197">
        <v>36</v>
      </c>
      <c r="P3197" t="s">
        <v>27</v>
      </c>
      <c r="Q3197" t="s">
        <v>46</v>
      </c>
      <c r="R3197" t="str" cm="1">
        <f t="array" ref="R3197">_xlfn.IFS(B3197&lt;31,"Young-Adult",B3197&lt;41,"Adult",B3197&lt;61,"Middle-aged",B3197&gt;=61,"Senior")</f>
        <v>Senior</v>
      </c>
      <c r="S3197" cm="1">
        <f t="array" ref="S3197">_xlfn.IFS(Q3197 ="Fortnightly",14,Q3197="Weekly",7,Q3197="Monthly",30,Q3197="Quarterly",90,Q3197="Bi-Weekly",14,Q3197="Annually",365,Q3197="Every 3 Months",90,TRUE,"NOT FOUND")</f>
        <v>90</v>
      </c>
    </row>
    <row r="3198" spans="1:19" x14ac:dyDescent="0.35">
      <c r="A3198">
        <v>3197</v>
      </c>
      <c r="B3198">
        <v>24</v>
      </c>
      <c r="C3198" t="s">
        <v>141</v>
      </c>
      <c r="D3198" t="s">
        <v>121</v>
      </c>
      <c r="E3198" t="s">
        <v>55</v>
      </c>
      <c r="F3198">
        <v>59</v>
      </c>
      <c r="G3198" t="s">
        <v>138</v>
      </c>
      <c r="H3198" t="s">
        <v>11</v>
      </c>
      <c r="I3198" t="s">
        <v>20</v>
      </c>
      <c r="J3198" t="s">
        <v>13</v>
      </c>
      <c r="K3198">
        <v>2.8</v>
      </c>
      <c r="L3198" t="s">
        <v>140</v>
      </c>
      <c r="M3198" t="s">
        <v>15</v>
      </c>
      <c r="N3198" t="s">
        <v>140</v>
      </c>
      <c r="O3198">
        <v>21</v>
      </c>
      <c r="P3198" t="s">
        <v>74</v>
      </c>
      <c r="Q3198" t="s">
        <v>17</v>
      </c>
      <c r="R3198" t="str" cm="1">
        <f t="array" ref="R3198">_xlfn.IFS(B3198&lt;31,"Young-Adult",B3198&lt;41,"Adult",B3198&lt;61,"Middle-aged",B3198&gt;=61,"Senior")</f>
        <v>Young-Adult</v>
      </c>
      <c r="S3198" cm="1">
        <f t="array" ref="S3198">_xlfn.IFS(Q3198 ="Fortnightly",14,Q3198="Weekly",7,Q3198="Monthly",30,Q3198="Quarterly",90,Q3198="Bi-Weekly",14,Q3198="Annually",365,Q3198="Every 3 Months",90,TRUE,"NOT FOUND")</f>
        <v>14</v>
      </c>
    </row>
    <row r="3199" spans="1:19" x14ac:dyDescent="0.35">
      <c r="A3199">
        <v>3198</v>
      </c>
      <c r="B3199">
        <v>27</v>
      </c>
      <c r="C3199" t="s">
        <v>141</v>
      </c>
      <c r="D3199" t="s">
        <v>18</v>
      </c>
      <c r="E3199" t="s">
        <v>9</v>
      </c>
      <c r="F3199">
        <v>71</v>
      </c>
      <c r="G3199" t="s">
        <v>19</v>
      </c>
      <c r="H3199" t="s">
        <v>32</v>
      </c>
      <c r="I3199" t="s">
        <v>73</v>
      </c>
      <c r="J3199" t="s">
        <v>25</v>
      </c>
      <c r="K3199">
        <v>3.2</v>
      </c>
      <c r="L3199" t="s">
        <v>140</v>
      </c>
      <c r="M3199" t="s">
        <v>26</v>
      </c>
      <c r="N3199" t="s">
        <v>140</v>
      </c>
      <c r="O3199">
        <v>29</v>
      </c>
      <c r="P3199" t="s">
        <v>27</v>
      </c>
      <c r="Q3199" t="s">
        <v>85</v>
      </c>
      <c r="R3199" t="str" cm="1">
        <f t="array" ref="R3199">_xlfn.IFS(B3199&lt;31,"Young-Adult",B3199&lt;41,"Adult",B3199&lt;61,"Middle-aged",B3199&gt;=61,"Senior")</f>
        <v>Young-Adult</v>
      </c>
      <c r="S3199" cm="1">
        <f t="array" ref="S3199">_xlfn.IFS(Q3199 ="Fortnightly",14,Q3199="Weekly",7,Q3199="Monthly",30,Q3199="Quarterly",90,Q3199="Bi-Weekly",14,Q3199="Annually",365,Q3199="Every 3 Months",90,TRUE,"NOT FOUND")</f>
        <v>90</v>
      </c>
    </row>
    <row r="3200" spans="1:19" x14ac:dyDescent="0.35">
      <c r="A3200">
        <v>3199</v>
      </c>
      <c r="B3200">
        <v>61</v>
      </c>
      <c r="C3200" t="s">
        <v>141</v>
      </c>
      <c r="D3200" t="s">
        <v>131</v>
      </c>
      <c r="E3200" t="s">
        <v>55</v>
      </c>
      <c r="F3200">
        <v>94</v>
      </c>
      <c r="G3200" t="s">
        <v>126</v>
      </c>
      <c r="H3200" t="s">
        <v>11</v>
      </c>
      <c r="I3200" t="s">
        <v>88</v>
      </c>
      <c r="J3200" t="s">
        <v>13</v>
      </c>
      <c r="K3200">
        <v>2.8</v>
      </c>
      <c r="L3200" t="s">
        <v>140</v>
      </c>
      <c r="M3200" t="s">
        <v>26</v>
      </c>
      <c r="N3200" t="s">
        <v>140</v>
      </c>
      <c r="O3200">
        <v>39</v>
      </c>
      <c r="P3200" t="s">
        <v>74</v>
      </c>
      <c r="Q3200" t="s">
        <v>28</v>
      </c>
      <c r="R3200" t="str" cm="1">
        <f t="array" ref="R3200">_xlfn.IFS(B3200&lt;31,"Young-Adult",B3200&lt;41,"Adult",B3200&lt;61,"Middle-aged",B3200&gt;=61,"Senior")</f>
        <v>Senior</v>
      </c>
      <c r="S3200" cm="1">
        <f t="array" ref="S3200">_xlfn.IFS(Q3200 ="Fortnightly",14,Q3200="Weekly",7,Q3200="Monthly",30,Q3200="Quarterly",90,Q3200="Bi-Weekly",14,Q3200="Annually",365,Q3200="Every 3 Months",90,TRUE,"NOT FOUND")</f>
        <v>7</v>
      </c>
    </row>
    <row r="3201" spans="1:19" x14ac:dyDescent="0.35">
      <c r="A3201">
        <v>3200</v>
      </c>
      <c r="B3201">
        <v>59</v>
      </c>
      <c r="C3201" t="s">
        <v>141</v>
      </c>
      <c r="D3201" t="s">
        <v>54</v>
      </c>
      <c r="E3201" t="s">
        <v>55</v>
      </c>
      <c r="F3201">
        <v>40</v>
      </c>
      <c r="G3201" t="s">
        <v>19</v>
      </c>
      <c r="H3201" t="s">
        <v>80</v>
      </c>
      <c r="I3201" t="s">
        <v>57</v>
      </c>
      <c r="J3201" t="s">
        <v>13</v>
      </c>
      <c r="K3201">
        <v>4.2</v>
      </c>
      <c r="L3201" t="s">
        <v>140</v>
      </c>
      <c r="M3201" t="s">
        <v>15</v>
      </c>
      <c r="N3201" t="s">
        <v>140</v>
      </c>
      <c r="O3201">
        <v>16</v>
      </c>
      <c r="P3201" t="s">
        <v>34</v>
      </c>
      <c r="Q3201" t="s">
        <v>76</v>
      </c>
      <c r="R3201" t="str" cm="1">
        <f t="array" ref="R3201">_xlfn.IFS(B3201&lt;31,"Young-Adult",B3201&lt;41,"Adult",B3201&lt;61,"Middle-aged",B3201&gt;=61,"Senior")</f>
        <v>Middle-aged</v>
      </c>
      <c r="S3201" cm="1">
        <f t="array" ref="S3201">_xlfn.IFS(Q3201 ="Fortnightly",14,Q3201="Weekly",7,Q3201="Monthly",30,Q3201="Quarterly",90,Q3201="Bi-Weekly",14,Q3201="Annually",365,Q3201="Every 3 Months",90,TRUE,"NOT FOUND")</f>
        <v>30</v>
      </c>
    </row>
    <row r="3202" spans="1:19" x14ac:dyDescent="0.35">
      <c r="A3202">
        <v>3201</v>
      </c>
      <c r="B3202">
        <v>67</v>
      </c>
      <c r="C3202" t="s">
        <v>141</v>
      </c>
      <c r="D3202" t="s">
        <v>113</v>
      </c>
      <c r="E3202" t="s">
        <v>9</v>
      </c>
      <c r="F3202">
        <v>24</v>
      </c>
      <c r="G3202" t="s">
        <v>56</v>
      </c>
      <c r="H3202" t="s">
        <v>11</v>
      </c>
      <c r="I3202" t="s">
        <v>82</v>
      </c>
      <c r="J3202" t="s">
        <v>25</v>
      </c>
      <c r="K3202">
        <v>4.8</v>
      </c>
      <c r="L3202" t="s">
        <v>140</v>
      </c>
      <c r="M3202" t="s">
        <v>26</v>
      </c>
      <c r="N3202" t="s">
        <v>140</v>
      </c>
      <c r="O3202">
        <v>32</v>
      </c>
      <c r="P3202" t="s">
        <v>27</v>
      </c>
      <c r="Q3202" t="s">
        <v>76</v>
      </c>
      <c r="R3202" t="str" cm="1">
        <f t="array" ref="R3202">_xlfn.IFS(B3202&lt;31,"Young-Adult",B3202&lt;41,"Adult",B3202&lt;61,"Middle-aged",B3202&gt;=61,"Senior")</f>
        <v>Senior</v>
      </c>
      <c r="S3202" cm="1">
        <f t="array" ref="S3202">_xlfn.IFS(Q3202 ="Fortnightly",14,Q3202="Weekly",7,Q3202="Monthly",30,Q3202="Quarterly",90,Q3202="Bi-Weekly",14,Q3202="Annually",365,Q3202="Every 3 Months",90,TRUE,"NOT FOUND")</f>
        <v>30</v>
      </c>
    </row>
    <row r="3203" spans="1:19" x14ac:dyDescent="0.35">
      <c r="A3203">
        <v>3202</v>
      </c>
      <c r="B3203">
        <v>46</v>
      </c>
      <c r="C3203" t="s">
        <v>141</v>
      </c>
      <c r="D3203" t="s">
        <v>83</v>
      </c>
      <c r="E3203" t="s">
        <v>9</v>
      </c>
      <c r="F3203">
        <v>38</v>
      </c>
      <c r="G3203" t="s">
        <v>117</v>
      </c>
      <c r="H3203" t="s">
        <v>24</v>
      </c>
      <c r="I3203" t="s">
        <v>114</v>
      </c>
      <c r="J3203" t="s">
        <v>45</v>
      </c>
      <c r="K3203">
        <v>2.8</v>
      </c>
      <c r="L3203" t="s">
        <v>140</v>
      </c>
      <c r="M3203" t="s">
        <v>58</v>
      </c>
      <c r="N3203" t="s">
        <v>140</v>
      </c>
      <c r="O3203">
        <v>34</v>
      </c>
      <c r="P3203" t="s">
        <v>21</v>
      </c>
      <c r="Q3203" t="s">
        <v>76</v>
      </c>
      <c r="R3203" t="str" cm="1">
        <f t="array" ref="R3203">_xlfn.IFS(B3203&lt;31,"Young-Adult",B3203&lt;41,"Adult",B3203&lt;61,"Middle-aged",B3203&gt;=61,"Senior")</f>
        <v>Middle-aged</v>
      </c>
      <c r="S3203" cm="1">
        <f t="array" ref="S3203">_xlfn.IFS(Q3203 ="Fortnightly",14,Q3203="Weekly",7,Q3203="Monthly",30,Q3203="Quarterly",90,Q3203="Bi-Weekly",14,Q3203="Annually",365,Q3203="Every 3 Months",90,TRUE,"NOT FOUND")</f>
        <v>30</v>
      </c>
    </row>
    <row r="3204" spans="1:19" x14ac:dyDescent="0.35">
      <c r="A3204">
        <v>3203</v>
      </c>
      <c r="B3204">
        <v>65</v>
      </c>
      <c r="C3204" t="s">
        <v>141</v>
      </c>
      <c r="D3204" t="s">
        <v>107</v>
      </c>
      <c r="E3204" t="s">
        <v>55</v>
      </c>
      <c r="F3204">
        <v>37</v>
      </c>
      <c r="G3204" t="s">
        <v>138</v>
      </c>
      <c r="H3204" t="s">
        <v>11</v>
      </c>
      <c r="I3204" t="s">
        <v>84</v>
      </c>
      <c r="J3204" t="s">
        <v>45</v>
      </c>
      <c r="K3204">
        <v>4.5</v>
      </c>
      <c r="L3204" t="s">
        <v>140</v>
      </c>
      <c r="M3204" t="s">
        <v>42</v>
      </c>
      <c r="N3204" t="s">
        <v>140</v>
      </c>
      <c r="O3204">
        <v>38</v>
      </c>
      <c r="P3204" t="s">
        <v>16</v>
      </c>
      <c r="Q3204" t="s">
        <v>37</v>
      </c>
      <c r="R3204" t="str" cm="1">
        <f t="array" ref="R3204">_xlfn.IFS(B3204&lt;31,"Young-Adult",B3204&lt;41,"Adult",B3204&lt;61,"Middle-aged",B3204&gt;=61,"Senior")</f>
        <v>Senior</v>
      </c>
      <c r="S3204" cm="1">
        <f t="array" ref="S3204">_xlfn.IFS(Q3204 ="Fortnightly",14,Q3204="Weekly",7,Q3204="Monthly",30,Q3204="Quarterly",90,Q3204="Bi-Weekly",14,Q3204="Annually",365,Q3204="Every 3 Months",90,TRUE,"NOT FOUND")</f>
        <v>365</v>
      </c>
    </row>
    <row r="3205" spans="1:19" x14ac:dyDescent="0.35">
      <c r="A3205">
        <v>3204</v>
      </c>
      <c r="B3205">
        <v>63</v>
      </c>
      <c r="C3205" t="s">
        <v>141</v>
      </c>
      <c r="D3205" t="s">
        <v>50</v>
      </c>
      <c r="E3205" t="s">
        <v>51</v>
      </c>
      <c r="F3205">
        <v>29</v>
      </c>
      <c r="G3205" t="s">
        <v>115</v>
      </c>
      <c r="H3205" t="s">
        <v>11</v>
      </c>
      <c r="I3205" t="s">
        <v>73</v>
      </c>
      <c r="J3205" t="s">
        <v>25</v>
      </c>
      <c r="K3205">
        <v>4.0999999999999996</v>
      </c>
      <c r="L3205" t="s">
        <v>140</v>
      </c>
      <c r="M3205" t="s">
        <v>15</v>
      </c>
      <c r="N3205" t="s">
        <v>140</v>
      </c>
      <c r="O3205">
        <v>14</v>
      </c>
      <c r="P3205" t="s">
        <v>16</v>
      </c>
      <c r="Q3205" t="s">
        <v>37</v>
      </c>
      <c r="R3205" t="str" cm="1">
        <f t="array" ref="R3205">_xlfn.IFS(B3205&lt;31,"Young-Adult",B3205&lt;41,"Adult",B3205&lt;61,"Middle-aged",B3205&gt;=61,"Senior")</f>
        <v>Senior</v>
      </c>
      <c r="S3205" cm="1">
        <f t="array" ref="S3205">_xlfn.IFS(Q3205 ="Fortnightly",14,Q3205="Weekly",7,Q3205="Monthly",30,Q3205="Quarterly",90,Q3205="Bi-Weekly",14,Q3205="Annually",365,Q3205="Every 3 Months",90,TRUE,"NOT FOUND")</f>
        <v>365</v>
      </c>
    </row>
    <row r="3206" spans="1:19" x14ac:dyDescent="0.35">
      <c r="A3206">
        <v>3205</v>
      </c>
      <c r="B3206">
        <v>57</v>
      </c>
      <c r="C3206" t="s">
        <v>141</v>
      </c>
      <c r="D3206" t="s">
        <v>90</v>
      </c>
      <c r="E3206" t="s">
        <v>51</v>
      </c>
      <c r="F3206">
        <v>92</v>
      </c>
      <c r="G3206" t="s">
        <v>118</v>
      </c>
      <c r="H3206" t="s">
        <v>80</v>
      </c>
      <c r="I3206" t="s">
        <v>81</v>
      </c>
      <c r="J3206" t="s">
        <v>45</v>
      </c>
      <c r="K3206">
        <v>4.3</v>
      </c>
      <c r="L3206" t="s">
        <v>140</v>
      </c>
      <c r="M3206" t="s">
        <v>26</v>
      </c>
      <c r="N3206" t="s">
        <v>140</v>
      </c>
      <c r="O3206">
        <v>23</v>
      </c>
      <c r="P3206" t="s">
        <v>74</v>
      </c>
      <c r="Q3206" t="s">
        <v>64</v>
      </c>
      <c r="R3206" t="str" cm="1">
        <f t="array" ref="R3206">_xlfn.IFS(B3206&lt;31,"Young-Adult",B3206&lt;41,"Adult",B3206&lt;61,"Middle-aged",B3206&gt;=61,"Senior")</f>
        <v>Middle-aged</v>
      </c>
      <c r="S3206" cm="1">
        <f t="array" ref="S3206">_xlfn.IFS(Q3206 ="Fortnightly",14,Q3206="Weekly",7,Q3206="Monthly",30,Q3206="Quarterly",90,Q3206="Bi-Weekly",14,Q3206="Annually",365,Q3206="Every 3 Months",90,TRUE,"NOT FOUND")</f>
        <v>14</v>
      </c>
    </row>
    <row r="3207" spans="1:19" x14ac:dyDescent="0.35">
      <c r="A3207">
        <v>3206</v>
      </c>
      <c r="B3207">
        <v>40</v>
      </c>
      <c r="C3207" t="s">
        <v>141</v>
      </c>
      <c r="D3207" t="s">
        <v>92</v>
      </c>
      <c r="E3207" t="s">
        <v>9</v>
      </c>
      <c r="F3207">
        <v>24</v>
      </c>
      <c r="G3207" t="s">
        <v>100</v>
      </c>
      <c r="H3207" t="s">
        <v>80</v>
      </c>
      <c r="I3207" t="s">
        <v>124</v>
      </c>
      <c r="J3207" t="s">
        <v>45</v>
      </c>
      <c r="K3207">
        <v>4.4000000000000004</v>
      </c>
      <c r="L3207" t="s">
        <v>140</v>
      </c>
      <c r="M3207" t="s">
        <v>58</v>
      </c>
      <c r="N3207" t="s">
        <v>140</v>
      </c>
      <c r="O3207">
        <v>50</v>
      </c>
      <c r="P3207" t="s">
        <v>63</v>
      </c>
      <c r="Q3207" t="s">
        <v>85</v>
      </c>
      <c r="R3207" t="str" cm="1">
        <f t="array" ref="R3207">_xlfn.IFS(B3207&lt;31,"Young-Adult",B3207&lt;41,"Adult",B3207&lt;61,"Middle-aged",B3207&gt;=61,"Senior")</f>
        <v>Adult</v>
      </c>
      <c r="S3207" cm="1">
        <f t="array" ref="S3207">_xlfn.IFS(Q3207 ="Fortnightly",14,Q3207="Weekly",7,Q3207="Monthly",30,Q3207="Quarterly",90,Q3207="Bi-Weekly",14,Q3207="Annually",365,Q3207="Every 3 Months",90,TRUE,"NOT FOUND")</f>
        <v>90</v>
      </c>
    </row>
    <row r="3208" spans="1:19" x14ac:dyDescent="0.35">
      <c r="A3208">
        <v>3207</v>
      </c>
      <c r="B3208">
        <v>36</v>
      </c>
      <c r="C3208" t="s">
        <v>141</v>
      </c>
      <c r="D3208" t="s">
        <v>125</v>
      </c>
      <c r="E3208" t="s">
        <v>30</v>
      </c>
      <c r="F3208">
        <v>52</v>
      </c>
      <c r="G3208" t="s">
        <v>87</v>
      </c>
      <c r="H3208" t="s">
        <v>32</v>
      </c>
      <c r="I3208" t="s">
        <v>98</v>
      </c>
      <c r="J3208" t="s">
        <v>13</v>
      </c>
      <c r="K3208">
        <v>3</v>
      </c>
      <c r="L3208" t="s">
        <v>140</v>
      </c>
      <c r="M3208" t="s">
        <v>26</v>
      </c>
      <c r="N3208" t="s">
        <v>140</v>
      </c>
      <c r="O3208">
        <v>49</v>
      </c>
      <c r="P3208" t="s">
        <v>34</v>
      </c>
      <c r="Q3208" t="s">
        <v>76</v>
      </c>
      <c r="R3208" t="str" cm="1">
        <f t="array" ref="R3208">_xlfn.IFS(B3208&lt;31,"Young-Adult",B3208&lt;41,"Adult",B3208&lt;61,"Middle-aged",B3208&gt;=61,"Senior")</f>
        <v>Adult</v>
      </c>
      <c r="S3208" cm="1">
        <f t="array" ref="S3208">_xlfn.IFS(Q3208 ="Fortnightly",14,Q3208="Weekly",7,Q3208="Monthly",30,Q3208="Quarterly",90,Q3208="Bi-Weekly",14,Q3208="Annually",365,Q3208="Every 3 Months",90,TRUE,"NOT FOUND")</f>
        <v>30</v>
      </c>
    </row>
    <row r="3209" spans="1:19" x14ac:dyDescent="0.35">
      <c r="A3209">
        <v>3208</v>
      </c>
      <c r="B3209">
        <v>67</v>
      </c>
      <c r="C3209" t="s">
        <v>141</v>
      </c>
      <c r="D3209" t="s">
        <v>113</v>
      </c>
      <c r="E3209" t="s">
        <v>9</v>
      </c>
      <c r="F3209">
        <v>29</v>
      </c>
      <c r="G3209" t="s">
        <v>105</v>
      </c>
      <c r="H3209" t="s">
        <v>80</v>
      </c>
      <c r="I3209" t="s">
        <v>106</v>
      </c>
      <c r="J3209" t="s">
        <v>41</v>
      </c>
      <c r="K3209">
        <v>2.7</v>
      </c>
      <c r="L3209" t="s">
        <v>140</v>
      </c>
      <c r="M3209" t="s">
        <v>33</v>
      </c>
      <c r="N3209" t="s">
        <v>140</v>
      </c>
      <c r="O3209">
        <v>14</v>
      </c>
      <c r="P3209" t="s">
        <v>34</v>
      </c>
      <c r="Q3209" t="s">
        <v>37</v>
      </c>
      <c r="R3209" t="str" cm="1">
        <f t="array" ref="R3209">_xlfn.IFS(B3209&lt;31,"Young-Adult",B3209&lt;41,"Adult",B3209&lt;61,"Middle-aged",B3209&gt;=61,"Senior")</f>
        <v>Senior</v>
      </c>
      <c r="S3209" cm="1">
        <f t="array" ref="S3209">_xlfn.IFS(Q3209 ="Fortnightly",14,Q3209="Weekly",7,Q3209="Monthly",30,Q3209="Quarterly",90,Q3209="Bi-Weekly",14,Q3209="Annually",365,Q3209="Every 3 Months",90,TRUE,"NOT FOUND")</f>
        <v>365</v>
      </c>
    </row>
    <row r="3210" spans="1:19" x14ac:dyDescent="0.35">
      <c r="A3210">
        <v>3209</v>
      </c>
      <c r="B3210">
        <v>61</v>
      </c>
      <c r="C3210" t="s">
        <v>141</v>
      </c>
      <c r="D3210" t="s">
        <v>94</v>
      </c>
      <c r="E3210" t="s">
        <v>55</v>
      </c>
      <c r="F3210">
        <v>30</v>
      </c>
      <c r="G3210" t="s">
        <v>104</v>
      </c>
      <c r="H3210" t="s">
        <v>11</v>
      </c>
      <c r="I3210" t="s">
        <v>114</v>
      </c>
      <c r="J3210" t="s">
        <v>13</v>
      </c>
      <c r="K3210">
        <v>3.3</v>
      </c>
      <c r="L3210" t="s">
        <v>140</v>
      </c>
      <c r="M3210" t="s">
        <v>58</v>
      </c>
      <c r="N3210" t="s">
        <v>140</v>
      </c>
      <c r="O3210">
        <v>42</v>
      </c>
      <c r="P3210" t="s">
        <v>34</v>
      </c>
      <c r="Q3210" t="s">
        <v>28</v>
      </c>
      <c r="R3210" t="str" cm="1">
        <f t="array" ref="R3210">_xlfn.IFS(B3210&lt;31,"Young-Adult",B3210&lt;41,"Adult",B3210&lt;61,"Middle-aged",B3210&gt;=61,"Senior")</f>
        <v>Senior</v>
      </c>
      <c r="S3210" cm="1">
        <f t="array" ref="S3210">_xlfn.IFS(Q3210 ="Fortnightly",14,Q3210="Weekly",7,Q3210="Monthly",30,Q3210="Quarterly",90,Q3210="Bi-Weekly",14,Q3210="Annually",365,Q3210="Every 3 Months",90,TRUE,"NOT FOUND")</f>
        <v>7</v>
      </c>
    </row>
    <row r="3211" spans="1:19" x14ac:dyDescent="0.35">
      <c r="A3211">
        <v>3210</v>
      </c>
      <c r="B3211">
        <v>64</v>
      </c>
      <c r="C3211" t="s">
        <v>141</v>
      </c>
      <c r="D3211" t="s">
        <v>59</v>
      </c>
      <c r="E3211" t="s">
        <v>30</v>
      </c>
      <c r="F3211">
        <v>31</v>
      </c>
      <c r="G3211" t="s">
        <v>60</v>
      </c>
      <c r="H3211" t="s">
        <v>11</v>
      </c>
      <c r="I3211" t="s">
        <v>88</v>
      </c>
      <c r="J3211" t="s">
        <v>45</v>
      </c>
      <c r="K3211">
        <v>4.3</v>
      </c>
      <c r="L3211" t="s">
        <v>140</v>
      </c>
      <c r="M3211" t="s">
        <v>42</v>
      </c>
      <c r="N3211" t="s">
        <v>140</v>
      </c>
      <c r="O3211">
        <v>39</v>
      </c>
      <c r="P3211" t="s">
        <v>74</v>
      </c>
      <c r="Q3211" t="s">
        <v>37</v>
      </c>
      <c r="R3211" t="str" cm="1">
        <f t="array" ref="R3211">_xlfn.IFS(B3211&lt;31,"Young-Adult",B3211&lt;41,"Adult",B3211&lt;61,"Middle-aged",B3211&gt;=61,"Senior")</f>
        <v>Senior</v>
      </c>
      <c r="S3211" cm="1">
        <f t="array" ref="S3211">_xlfn.IFS(Q3211 ="Fortnightly",14,Q3211="Weekly",7,Q3211="Monthly",30,Q3211="Quarterly",90,Q3211="Bi-Weekly",14,Q3211="Annually",365,Q3211="Every 3 Months",90,TRUE,"NOT FOUND")</f>
        <v>365</v>
      </c>
    </row>
    <row r="3212" spans="1:19" x14ac:dyDescent="0.35">
      <c r="A3212">
        <v>3211</v>
      </c>
      <c r="B3212">
        <v>30</v>
      </c>
      <c r="C3212" t="s">
        <v>141</v>
      </c>
      <c r="D3212" t="s">
        <v>113</v>
      </c>
      <c r="E3212" t="s">
        <v>9</v>
      </c>
      <c r="F3212">
        <v>67</v>
      </c>
      <c r="G3212" t="s">
        <v>95</v>
      </c>
      <c r="H3212" t="s">
        <v>32</v>
      </c>
      <c r="I3212" t="s">
        <v>124</v>
      </c>
      <c r="J3212" t="s">
        <v>41</v>
      </c>
      <c r="K3212">
        <v>2.9</v>
      </c>
      <c r="L3212" t="s">
        <v>140</v>
      </c>
      <c r="M3212" t="s">
        <v>15</v>
      </c>
      <c r="N3212" t="s">
        <v>140</v>
      </c>
      <c r="O3212">
        <v>43</v>
      </c>
      <c r="P3212" t="s">
        <v>16</v>
      </c>
      <c r="Q3212" t="s">
        <v>64</v>
      </c>
      <c r="R3212" t="str" cm="1">
        <f t="array" ref="R3212">_xlfn.IFS(B3212&lt;31,"Young-Adult",B3212&lt;41,"Adult",B3212&lt;61,"Middle-aged",B3212&gt;=61,"Senior")</f>
        <v>Young-Adult</v>
      </c>
      <c r="S3212" cm="1">
        <f t="array" ref="S3212">_xlfn.IFS(Q3212 ="Fortnightly",14,Q3212="Weekly",7,Q3212="Monthly",30,Q3212="Quarterly",90,Q3212="Bi-Weekly",14,Q3212="Annually",365,Q3212="Every 3 Months",90,TRUE,"NOT FOUND")</f>
        <v>14</v>
      </c>
    </row>
    <row r="3213" spans="1:19" x14ac:dyDescent="0.35">
      <c r="A3213">
        <v>3212</v>
      </c>
      <c r="B3213">
        <v>53</v>
      </c>
      <c r="C3213" t="s">
        <v>141</v>
      </c>
      <c r="D3213" t="s">
        <v>83</v>
      </c>
      <c r="E3213" t="s">
        <v>9</v>
      </c>
      <c r="F3213">
        <v>65</v>
      </c>
      <c r="G3213" t="s">
        <v>31</v>
      </c>
      <c r="H3213" t="s">
        <v>11</v>
      </c>
      <c r="I3213" t="s">
        <v>36</v>
      </c>
      <c r="J3213" t="s">
        <v>13</v>
      </c>
      <c r="K3213">
        <v>4.9000000000000004</v>
      </c>
      <c r="L3213" t="s">
        <v>140</v>
      </c>
      <c r="M3213" t="s">
        <v>42</v>
      </c>
      <c r="N3213" t="s">
        <v>140</v>
      </c>
      <c r="O3213">
        <v>12</v>
      </c>
      <c r="P3213" t="s">
        <v>21</v>
      </c>
      <c r="Q3213" t="s">
        <v>76</v>
      </c>
      <c r="R3213" t="str" cm="1">
        <f t="array" ref="R3213">_xlfn.IFS(B3213&lt;31,"Young-Adult",B3213&lt;41,"Adult",B3213&lt;61,"Middle-aged",B3213&gt;=61,"Senior")</f>
        <v>Middle-aged</v>
      </c>
      <c r="S3213" cm="1">
        <f t="array" ref="S3213">_xlfn.IFS(Q3213 ="Fortnightly",14,Q3213="Weekly",7,Q3213="Monthly",30,Q3213="Quarterly",90,Q3213="Bi-Weekly",14,Q3213="Annually",365,Q3213="Every 3 Months",90,TRUE,"NOT FOUND")</f>
        <v>30</v>
      </c>
    </row>
    <row r="3214" spans="1:19" x14ac:dyDescent="0.35">
      <c r="A3214">
        <v>3213</v>
      </c>
      <c r="B3214">
        <v>27</v>
      </c>
      <c r="C3214" t="s">
        <v>141</v>
      </c>
      <c r="D3214" t="s">
        <v>38</v>
      </c>
      <c r="E3214" t="s">
        <v>30</v>
      </c>
      <c r="F3214">
        <v>22</v>
      </c>
      <c r="G3214" t="s">
        <v>39</v>
      </c>
      <c r="H3214" t="s">
        <v>32</v>
      </c>
      <c r="I3214" t="s">
        <v>114</v>
      </c>
      <c r="J3214" t="s">
        <v>13</v>
      </c>
      <c r="K3214">
        <v>3.6</v>
      </c>
      <c r="L3214" t="s">
        <v>140</v>
      </c>
      <c r="M3214" t="s">
        <v>58</v>
      </c>
      <c r="N3214" t="s">
        <v>140</v>
      </c>
      <c r="O3214">
        <v>21</v>
      </c>
      <c r="P3214" t="s">
        <v>74</v>
      </c>
      <c r="Q3214" t="s">
        <v>28</v>
      </c>
      <c r="R3214" t="str" cm="1">
        <f t="array" ref="R3214">_xlfn.IFS(B3214&lt;31,"Young-Adult",B3214&lt;41,"Adult",B3214&lt;61,"Middle-aged",B3214&gt;=61,"Senior")</f>
        <v>Young-Adult</v>
      </c>
      <c r="S3214" cm="1">
        <f t="array" ref="S3214">_xlfn.IFS(Q3214 ="Fortnightly",14,Q3214="Weekly",7,Q3214="Monthly",30,Q3214="Quarterly",90,Q3214="Bi-Weekly",14,Q3214="Annually",365,Q3214="Every 3 Months",90,TRUE,"NOT FOUND")</f>
        <v>7</v>
      </c>
    </row>
    <row r="3215" spans="1:19" x14ac:dyDescent="0.35">
      <c r="A3215">
        <v>3214</v>
      </c>
      <c r="B3215">
        <v>27</v>
      </c>
      <c r="C3215" t="s">
        <v>141</v>
      </c>
      <c r="D3215" t="s">
        <v>77</v>
      </c>
      <c r="E3215" t="s">
        <v>55</v>
      </c>
      <c r="F3215">
        <v>56</v>
      </c>
      <c r="G3215" t="s">
        <v>93</v>
      </c>
      <c r="H3215" t="s">
        <v>32</v>
      </c>
      <c r="I3215" t="s">
        <v>98</v>
      </c>
      <c r="J3215" t="s">
        <v>13</v>
      </c>
      <c r="K3215">
        <v>3.3</v>
      </c>
      <c r="L3215" t="s">
        <v>140</v>
      </c>
      <c r="M3215" t="s">
        <v>42</v>
      </c>
      <c r="N3215" t="s">
        <v>140</v>
      </c>
      <c r="O3215">
        <v>33</v>
      </c>
      <c r="P3215" t="s">
        <v>27</v>
      </c>
      <c r="Q3215" t="s">
        <v>76</v>
      </c>
      <c r="R3215" t="str" cm="1">
        <f t="array" ref="R3215">_xlfn.IFS(B3215&lt;31,"Young-Adult",B3215&lt;41,"Adult",B3215&lt;61,"Middle-aged",B3215&gt;=61,"Senior")</f>
        <v>Young-Adult</v>
      </c>
      <c r="S3215" cm="1">
        <f t="array" ref="S3215">_xlfn.IFS(Q3215 ="Fortnightly",14,Q3215="Weekly",7,Q3215="Monthly",30,Q3215="Quarterly",90,Q3215="Bi-Weekly",14,Q3215="Annually",365,Q3215="Every 3 Months",90,TRUE,"NOT FOUND")</f>
        <v>30</v>
      </c>
    </row>
    <row r="3216" spans="1:19" x14ac:dyDescent="0.35">
      <c r="A3216">
        <v>3215</v>
      </c>
      <c r="B3216">
        <v>53</v>
      </c>
      <c r="C3216" t="s">
        <v>141</v>
      </c>
      <c r="D3216" t="s">
        <v>75</v>
      </c>
      <c r="E3216" t="s">
        <v>9</v>
      </c>
      <c r="F3216">
        <v>78</v>
      </c>
      <c r="G3216" t="s">
        <v>137</v>
      </c>
      <c r="H3216" t="s">
        <v>32</v>
      </c>
      <c r="I3216" t="s">
        <v>122</v>
      </c>
      <c r="J3216" t="s">
        <v>25</v>
      </c>
      <c r="K3216">
        <v>3.1</v>
      </c>
      <c r="L3216" t="s">
        <v>140</v>
      </c>
      <c r="M3216" t="s">
        <v>26</v>
      </c>
      <c r="N3216" t="s">
        <v>140</v>
      </c>
      <c r="O3216">
        <v>6</v>
      </c>
      <c r="P3216" t="s">
        <v>74</v>
      </c>
      <c r="Q3216" t="s">
        <v>37</v>
      </c>
      <c r="R3216" t="str" cm="1">
        <f t="array" ref="R3216">_xlfn.IFS(B3216&lt;31,"Young-Adult",B3216&lt;41,"Adult",B3216&lt;61,"Middle-aged",B3216&gt;=61,"Senior")</f>
        <v>Middle-aged</v>
      </c>
      <c r="S3216" cm="1">
        <f t="array" ref="S3216">_xlfn.IFS(Q3216 ="Fortnightly",14,Q3216="Weekly",7,Q3216="Monthly",30,Q3216="Quarterly",90,Q3216="Bi-Weekly",14,Q3216="Annually",365,Q3216="Every 3 Months",90,TRUE,"NOT FOUND")</f>
        <v>365</v>
      </c>
    </row>
    <row r="3217" spans="1:19" x14ac:dyDescent="0.35">
      <c r="A3217">
        <v>3216</v>
      </c>
      <c r="B3217">
        <v>34</v>
      </c>
      <c r="C3217" t="s">
        <v>141</v>
      </c>
      <c r="D3217" t="s">
        <v>50</v>
      </c>
      <c r="E3217" t="s">
        <v>51</v>
      </c>
      <c r="F3217">
        <v>90</v>
      </c>
      <c r="G3217" t="s">
        <v>31</v>
      </c>
      <c r="H3217" t="s">
        <v>32</v>
      </c>
      <c r="I3217" t="s">
        <v>124</v>
      </c>
      <c r="J3217" t="s">
        <v>41</v>
      </c>
      <c r="K3217">
        <v>2.7</v>
      </c>
      <c r="L3217" t="s">
        <v>140</v>
      </c>
      <c r="M3217" t="s">
        <v>26</v>
      </c>
      <c r="N3217" t="s">
        <v>140</v>
      </c>
      <c r="O3217">
        <v>10</v>
      </c>
      <c r="P3217" t="s">
        <v>34</v>
      </c>
      <c r="Q3217" t="s">
        <v>85</v>
      </c>
      <c r="R3217" t="str" cm="1">
        <f t="array" ref="R3217">_xlfn.IFS(B3217&lt;31,"Young-Adult",B3217&lt;41,"Adult",B3217&lt;61,"Middle-aged",B3217&gt;=61,"Senior")</f>
        <v>Adult</v>
      </c>
      <c r="S3217" cm="1">
        <f t="array" ref="S3217">_xlfn.IFS(Q3217 ="Fortnightly",14,Q3217="Weekly",7,Q3217="Monthly",30,Q3217="Quarterly",90,Q3217="Bi-Weekly",14,Q3217="Annually",365,Q3217="Every 3 Months",90,TRUE,"NOT FOUND")</f>
        <v>90</v>
      </c>
    </row>
    <row r="3218" spans="1:19" x14ac:dyDescent="0.35">
      <c r="A3218">
        <v>3217</v>
      </c>
      <c r="B3218">
        <v>39</v>
      </c>
      <c r="C3218" t="s">
        <v>141</v>
      </c>
      <c r="D3218" t="s">
        <v>92</v>
      </c>
      <c r="E3218" t="s">
        <v>9</v>
      </c>
      <c r="F3218">
        <v>85</v>
      </c>
      <c r="G3218" t="s">
        <v>103</v>
      </c>
      <c r="H3218" t="s">
        <v>24</v>
      </c>
      <c r="I3218" t="s">
        <v>66</v>
      </c>
      <c r="J3218" t="s">
        <v>13</v>
      </c>
      <c r="K3218">
        <v>3.4</v>
      </c>
      <c r="L3218" t="s">
        <v>140</v>
      </c>
      <c r="M3218" t="s">
        <v>33</v>
      </c>
      <c r="N3218" t="s">
        <v>140</v>
      </c>
      <c r="O3218">
        <v>18</v>
      </c>
      <c r="P3218" t="s">
        <v>21</v>
      </c>
      <c r="Q3218" t="s">
        <v>28</v>
      </c>
      <c r="R3218" t="str" cm="1">
        <f t="array" ref="R3218">_xlfn.IFS(B3218&lt;31,"Young-Adult",B3218&lt;41,"Adult",B3218&lt;61,"Middle-aged",B3218&gt;=61,"Senior")</f>
        <v>Adult</v>
      </c>
      <c r="S3218" cm="1">
        <f t="array" ref="S3218">_xlfn.IFS(Q3218 ="Fortnightly",14,Q3218="Weekly",7,Q3218="Monthly",30,Q3218="Quarterly",90,Q3218="Bi-Weekly",14,Q3218="Annually",365,Q3218="Every 3 Months",90,TRUE,"NOT FOUND")</f>
        <v>7</v>
      </c>
    </row>
    <row r="3219" spans="1:19" x14ac:dyDescent="0.35">
      <c r="A3219">
        <v>3218</v>
      </c>
      <c r="B3219">
        <v>44</v>
      </c>
      <c r="C3219" t="s">
        <v>141</v>
      </c>
      <c r="D3219" t="s">
        <v>77</v>
      </c>
      <c r="E3219" t="s">
        <v>55</v>
      </c>
      <c r="F3219">
        <v>58</v>
      </c>
      <c r="G3219" t="s">
        <v>35</v>
      </c>
      <c r="H3219" t="s">
        <v>32</v>
      </c>
      <c r="I3219" t="s">
        <v>53</v>
      </c>
      <c r="J3219" t="s">
        <v>45</v>
      </c>
      <c r="K3219">
        <v>3.4</v>
      </c>
      <c r="L3219" t="s">
        <v>140</v>
      </c>
      <c r="M3219" t="s">
        <v>15</v>
      </c>
      <c r="N3219" t="s">
        <v>140</v>
      </c>
      <c r="O3219">
        <v>46</v>
      </c>
      <c r="P3219" t="s">
        <v>16</v>
      </c>
      <c r="Q3219" t="s">
        <v>28</v>
      </c>
      <c r="R3219" t="str" cm="1">
        <f t="array" ref="R3219">_xlfn.IFS(B3219&lt;31,"Young-Adult",B3219&lt;41,"Adult",B3219&lt;61,"Middle-aged",B3219&gt;=61,"Senior")</f>
        <v>Middle-aged</v>
      </c>
      <c r="S3219" cm="1">
        <f t="array" ref="S3219">_xlfn.IFS(Q3219 ="Fortnightly",14,Q3219="Weekly",7,Q3219="Monthly",30,Q3219="Quarterly",90,Q3219="Bi-Weekly",14,Q3219="Annually",365,Q3219="Every 3 Months",90,TRUE,"NOT FOUND")</f>
        <v>7</v>
      </c>
    </row>
    <row r="3220" spans="1:19" x14ac:dyDescent="0.35">
      <c r="A3220">
        <v>3219</v>
      </c>
      <c r="B3220">
        <v>37</v>
      </c>
      <c r="C3220" t="s">
        <v>141</v>
      </c>
      <c r="D3220" t="s">
        <v>75</v>
      </c>
      <c r="E3220" t="s">
        <v>9</v>
      </c>
      <c r="F3220">
        <v>34</v>
      </c>
      <c r="G3220" t="s">
        <v>91</v>
      </c>
      <c r="H3220" t="s">
        <v>32</v>
      </c>
      <c r="I3220" t="s">
        <v>73</v>
      </c>
      <c r="J3220" t="s">
        <v>45</v>
      </c>
      <c r="K3220">
        <v>3.9</v>
      </c>
      <c r="L3220" t="s">
        <v>140</v>
      </c>
      <c r="M3220" t="s">
        <v>15</v>
      </c>
      <c r="N3220" t="s">
        <v>140</v>
      </c>
      <c r="O3220">
        <v>49</v>
      </c>
      <c r="P3220" t="s">
        <v>34</v>
      </c>
      <c r="Q3220" t="s">
        <v>76</v>
      </c>
      <c r="R3220" t="str" cm="1">
        <f t="array" ref="R3220">_xlfn.IFS(B3220&lt;31,"Young-Adult",B3220&lt;41,"Adult",B3220&lt;61,"Middle-aged",B3220&gt;=61,"Senior")</f>
        <v>Adult</v>
      </c>
      <c r="S3220" cm="1">
        <f t="array" ref="S3220">_xlfn.IFS(Q3220 ="Fortnightly",14,Q3220="Weekly",7,Q3220="Monthly",30,Q3220="Quarterly",90,Q3220="Bi-Weekly",14,Q3220="Annually",365,Q3220="Every 3 Months",90,TRUE,"NOT FOUND")</f>
        <v>30</v>
      </c>
    </row>
    <row r="3221" spans="1:19" x14ac:dyDescent="0.35">
      <c r="A3221">
        <v>3220</v>
      </c>
      <c r="B3221">
        <v>57</v>
      </c>
      <c r="C3221" t="s">
        <v>141</v>
      </c>
      <c r="D3221" t="s">
        <v>50</v>
      </c>
      <c r="E3221" t="s">
        <v>51</v>
      </c>
      <c r="F3221">
        <v>40</v>
      </c>
      <c r="G3221" t="s">
        <v>99</v>
      </c>
      <c r="H3221" t="s">
        <v>11</v>
      </c>
      <c r="I3221" t="s">
        <v>40</v>
      </c>
      <c r="J3221" t="s">
        <v>41</v>
      </c>
      <c r="K3221">
        <v>3.5</v>
      </c>
      <c r="L3221" t="s">
        <v>140</v>
      </c>
      <c r="M3221" t="s">
        <v>58</v>
      </c>
      <c r="N3221" t="s">
        <v>140</v>
      </c>
      <c r="O3221">
        <v>39</v>
      </c>
      <c r="P3221" t="s">
        <v>27</v>
      </c>
      <c r="Q3221" t="s">
        <v>28</v>
      </c>
      <c r="R3221" t="str" cm="1">
        <f t="array" ref="R3221">_xlfn.IFS(B3221&lt;31,"Young-Adult",B3221&lt;41,"Adult",B3221&lt;61,"Middle-aged",B3221&gt;=61,"Senior")</f>
        <v>Middle-aged</v>
      </c>
      <c r="S3221" cm="1">
        <f t="array" ref="S3221">_xlfn.IFS(Q3221 ="Fortnightly",14,Q3221="Weekly",7,Q3221="Monthly",30,Q3221="Quarterly",90,Q3221="Bi-Weekly",14,Q3221="Annually",365,Q3221="Every 3 Months",90,TRUE,"NOT FOUND")</f>
        <v>7</v>
      </c>
    </row>
    <row r="3222" spans="1:19" x14ac:dyDescent="0.35">
      <c r="A3222">
        <v>3221</v>
      </c>
      <c r="B3222">
        <v>38</v>
      </c>
      <c r="C3222" t="s">
        <v>141</v>
      </c>
      <c r="D3222" t="s">
        <v>54</v>
      </c>
      <c r="E3222" t="s">
        <v>55</v>
      </c>
      <c r="F3222">
        <v>29</v>
      </c>
      <c r="G3222" t="s">
        <v>102</v>
      </c>
      <c r="H3222" t="s">
        <v>32</v>
      </c>
      <c r="I3222" t="s">
        <v>132</v>
      </c>
      <c r="J3222" t="s">
        <v>45</v>
      </c>
      <c r="K3222">
        <v>4.0999999999999996</v>
      </c>
      <c r="L3222" t="s">
        <v>140</v>
      </c>
      <c r="M3222" t="s">
        <v>26</v>
      </c>
      <c r="N3222" t="s">
        <v>140</v>
      </c>
      <c r="O3222">
        <v>16</v>
      </c>
      <c r="P3222" t="s">
        <v>21</v>
      </c>
      <c r="Q3222" t="s">
        <v>76</v>
      </c>
      <c r="R3222" t="str" cm="1">
        <f t="array" ref="R3222">_xlfn.IFS(B3222&lt;31,"Young-Adult",B3222&lt;41,"Adult",B3222&lt;61,"Middle-aged",B3222&gt;=61,"Senior")</f>
        <v>Adult</v>
      </c>
      <c r="S3222" cm="1">
        <f t="array" ref="S3222">_xlfn.IFS(Q3222 ="Fortnightly",14,Q3222="Weekly",7,Q3222="Monthly",30,Q3222="Quarterly",90,Q3222="Bi-Weekly",14,Q3222="Annually",365,Q3222="Every 3 Months",90,TRUE,"NOT FOUND")</f>
        <v>30</v>
      </c>
    </row>
    <row r="3223" spans="1:19" x14ac:dyDescent="0.35">
      <c r="A3223">
        <v>3222</v>
      </c>
      <c r="B3223">
        <v>21</v>
      </c>
      <c r="C3223" t="s">
        <v>141</v>
      </c>
      <c r="D3223" t="s">
        <v>101</v>
      </c>
      <c r="E3223" t="s">
        <v>9</v>
      </c>
      <c r="F3223">
        <v>76</v>
      </c>
      <c r="G3223" t="s">
        <v>70</v>
      </c>
      <c r="H3223" t="s">
        <v>32</v>
      </c>
      <c r="I3223" t="s">
        <v>122</v>
      </c>
      <c r="J3223" t="s">
        <v>13</v>
      </c>
      <c r="K3223">
        <v>3.2</v>
      </c>
      <c r="L3223" t="s">
        <v>140</v>
      </c>
      <c r="M3223" t="s">
        <v>42</v>
      </c>
      <c r="N3223" t="s">
        <v>140</v>
      </c>
      <c r="O3223">
        <v>28</v>
      </c>
      <c r="P3223" t="s">
        <v>21</v>
      </c>
      <c r="Q3223" t="s">
        <v>37</v>
      </c>
      <c r="R3223" t="str" cm="1">
        <f t="array" ref="R3223">_xlfn.IFS(B3223&lt;31,"Young-Adult",B3223&lt;41,"Adult",B3223&lt;61,"Middle-aged",B3223&gt;=61,"Senior")</f>
        <v>Young-Adult</v>
      </c>
      <c r="S3223" cm="1">
        <f t="array" ref="S3223">_xlfn.IFS(Q3223 ="Fortnightly",14,Q3223="Weekly",7,Q3223="Monthly",30,Q3223="Quarterly",90,Q3223="Bi-Weekly",14,Q3223="Annually",365,Q3223="Every 3 Months",90,TRUE,"NOT FOUND")</f>
        <v>365</v>
      </c>
    </row>
    <row r="3224" spans="1:19" x14ac:dyDescent="0.35">
      <c r="A3224">
        <v>3223</v>
      </c>
      <c r="B3224">
        <v>45</v>
      </c>
      <c r="C3224" t="s">
        <v>141</v>
      </c>
      <c r="D3224" t="s">
        <v>77</v>
      </c>
      <c r="E3224" t="s">
        <v>55</v>
      </c>
      <c r="F3224">
        <v>84</v>
      </c>
      <c r="G3224" t="s">
        <v>93</v>
      </c>
      <c r="H3224" t="s">
        <v>24</v>
      </c>
      <c r="I3224" t="s">
        <v>20</v>
      </c>
      <c r="J3224" t="s">
        <v>45</v>
      </c>
      <c r="K3224">
        <v>4.5999999999999996</v>
      </c>
      <c r="L3224" t="s">
        <v>140</v>
      </c>
      <c r="M3224" t="s">
        <v>62</v>
      </c>
      <c r="N3224" t="s">
        <v>140</v>
      </c>
      <c r="O3224">
        <v>22</v>
      </c>
      <c r="P3224" t="s">
        <v>34</v>
      </c>
      <c r="Q3224" t="s">
        <v>46</v>
      </c>
      <c r="R3224" t="str" cm="1">
        <f t="array" ref="R3224">_xlfn.IFS(B3224&lt;31,"Young-Adult",B3224&lt;41,"Adult",B3224&lt;61,"Middle-aged",B3224&gt;=61,"Senior")</f>
        <v>Middle-aged</v>
      </c>
      <c r="S3224" cm="1">
        <f t="array" ref="S3224">_xlfn.IFS(Q3224 ="Fortnightly",14,Q3224="Weekly",7,Q3224="Monthly",30,Q3224="Quarterly",90,Q3224="Bi-Weekly",14,Q3224="Annually",365,Q3224="Every 3 Months",90,TRUE,"NOT FOUND")</f>
        <v>90</v>
      </c>
    </row>
    <row r="3225" spans="1:19" x14ac:dyDescent="0.35">
      <c r="A3225">
        <v>3224</v>
      </c>
      <c r="B3225">
        <v>68</v>
      </c>
      <c r="C3225" t="s">
        <v>141</v>
      </c>
      <c r="D3225" t="s">
        <v>43</v>
      </c>
      <c r="E3225" t="s">
        <v>9</v>
      </c>
      <c r="F3225">
        <v>65</v>
      </c>
      <c r="G3225" t="s">
        <v>44</v>
      </c>
      <c r="H3225" t="s">
        <v>24</v>
      </c>
      <c r="I3225" t="s">
        <v>12</v>
      </c>
      <c r="J3225" t="s">
        <v>25</v>
      </c>
      <c r="K3225">
        <v>3.9</v>
      </c>
      <c r="L3225" t="s">
        <v>140</v>
      </c>
      <c r="M3225" t="s">
        <v>42</v>
      </c>
      <c r="N3225" t="s">
        <v>140</v>
      </c>
      <c r="O3225">
        <v>36</v>
      </c>
      <c r="P3225" t="s">
        <v>16</v>
      </c>
      <c r="Q3225" t="s">
        <v>64</v>
      </c>
      <c r="R3225" t="str" cm="1">
        <f t="array" ref="R3225">_xlfn.IFS(B3225&lt;31,"Young-Adult",B3225&lt;41,"Adult",B3225&lt;61,"Middle-aged",B3225&gt;=61,"Senior")</f>
        <v>Senior</v>
      </c>
      <c r="S3225" cm="1">
        <f t="array" ref="S3225">_xlfn.IFS(Q3225 ="Fortnightly",14,Q3225="Weekly",7,Q3225="Monthly",30,Q3225="Quarterly",90,Q3225="Bi-Weekly",14,Q3225="Annually",365,Q3225="Every 3 Months",90,TRUE,"NOT FOUND")</f>
        <v>14</v>
      </c>
    </row>
    <row r="3226" spans="1:19" x14ac:dyDescent="0.35">
      <c r="A3226">
        <v>3225</v>
      </c>
      <c r="B3226">
        <v>37</v>
      </c>
      <c r="C3226" t="s">
        <v>141</v>
      </c>
      <c r="D3226" t="s">
        <v>92</v>
      </c>
      <c r="E3226" t="s">
        <v>9</v>
      </c>
      <c r="F3226">
        <v>80</v>
      </c>
      <c r="G3226" t="s">
        <v>67</v>
      </c>
      <c r="H3226" t="s">
        <v>11</v>
      </c>
      <c r="I3226" t="s">
        <v>114</v>
      </c>
      <c r="J3226" t="s">
        <v>13</v>
      </c>
      <c r="K3226">
        <v>2.7</v>
      </c>
      <c r="L3226" t="s">
        <v>140</v>
      </c>
      <c r="M3226" t="s">
        <v>26</v>
      </c>
      <c r="N3226" t="s">
        <v>140</v>
      </c>
      <c r="O3226">
        <v>18</v>
      </c>
      <c r="P3226" t="s">
        <v>34</v>
      </c>
      <c r="Q3226" t="s">
        <v>76</v>
      </c>
      <c r="R3226" t="str" cm="1">
        <f t="array" ref="R3226">_xlfn.IFS(B3226&lt;31,"Young-Adult",B3226&lt;41,"Adult",B3226&lt;61,"Middle-aged",B3226&gt;=61,"Senior")</f>
        <v>Adult</v>
      </c>
      <c r="S3226" cm="1">
        <f t="array" ref="S3226">_xlfn.IFS(Q3226 ="Fortnightly",14,Q3226="Weekly",7,Q3226="Monthly",30,Q3226="Quarterly",90,Q3226="Bi-Weekly",14,Q3226="Annually",365,Q3226="Every 3 Months",90,TRUE,"NOT FOUND")</f>
        <v>30</v>
      </c>
    </row>
    <row r="3227" spans="1:19" x14ac:dyDescent="0.35">
      <c r="A3227">
        <v>3226</v>
      </c>
      <c r="B3227">
        <v>53</v>
      </c>
      <c r="C3227" t="s">
        <v>141</v>
      </c>
      <c r="D3227" t="s">
        <v>8</v>
      </c>
      <c r="E3227" t="s">
        <v>9</v>
      </c>
      <c r="F3227">
        <v>98</v>
      </c>
      <c r="G3227" t="s">
        <v>70</v>
      </c>
      <c r="H3227" t="s">
        <v>32</v>
      </c>
      <c r="I3227" t="s">
        <v>57</v>
      </c>
      <c r="J3227" t="s">
        <v>45</v>
      </c>
      <c r="K3227">
        <v>3</v>
      </c>
      <c r="L3227" t="s">
        <v>140</v>
      </c>
      <c r="M3227" t="s">
        <v>62</v>
      </c>
      <c r="N3227" t="s">
        <v>140</v>
      </c>
      <c r="O3227">
        <v>31</v>
      </c>
      <c r="P3227" t="s">
        <v>27</v>
      </c>
      <c r="Q3227" t="s">
        <v>28</v>
      </c>
      <c r="R3227" t="str" cm="1">
        <f t="array" ref="R3227">_xlfn.IFS(B3227&lt;31,"Young-Adult",B3227&lt;41,"Adult",B3227&lt;61,"Middle-aged",B3227&gt;=61,"Senior")</f>
        <v>Middle-aged</v>
      </c>
      <c r="S3227" cm="1">
        <f t="array" ref="S3227">_xlfn.IFS(Q3227 ="Fortnightly",14,Q3227="Weekly",7,Q3227="Monthly",30,Q3227="Quarterly",90,Q3227="Bi-Weekly",14,Q3227="Annually",365,Q3227="Every 3 Months",90,TRUE,"NOT FOUND")</f>
        <v>7</v>
      </c>
    </row>
    <row r="3228" spans="1:19" x14ac:dyDescent="0.35">
      <c r="A3228">
        <v>3227</v>
      </c>
      <c r="B3228">
        <v>57</v>
      </c>
      <c r="C3228" t="s">
        <v>141</v>
      </c>
      <c r="D3228" t="s">
        <v>38</v>
      </c>
      <c r="E3228" t="s">
        <v>30</v>
      </c>
      <c r="F3228">
        <v>71</v>
      </c>
      <c r="G3228" t="s">
        <v>136</v>
      </c>
      <c r="H3228" t="s">
        <v>80</v>
      </c>
      <c r="I3228" t="s">
        <v>106</v>
      </c>
      <c r="J3228" t="s">
        <v>25</v>
      </c>
      <c r="K3228">
        <v>3.3</v>
      </c>
      <c r="L3228" t="s">
        <v>140</v>
      </c>
      <c r="M3228" t="s">
        <v>33</v>
      </c>
      <c r="N3228" t="s">
        <v>140</v>
      </c>
      <c r="O3228">
        <v>38</v>
      </c>
      <c r="P3228" t="s">
        <v>63</v>
      </c>
      <c r="Q3228" t="s">
        <v>17</v>
      </c>
      <c r="R3228" t="str" cm="1">
        <f t="array" ref="R3228">_xlfn.IFS(B3228&lt;31,"Young-Adult",B3228&lt;41,"Adult",B3228&lt;61,"Middle-aged",B3228&gt;=61,"Senior")</f>
        <v>Middle-aged</v>
      </c>
      <c r="S3228" cm="1">
        <f t="array" ref="S3228">_xlfn.IFS(Q3228 ="Fortnightly",14,Q3228="Weekly",7,Q3228="Monthly",30,Q3228="Quarterly",90,Q3228="Bi-Weekly",14,Q3228="Annually",365,Q3228="Every 3 Months",90,TRUE,"NOT FOUND")</f>
        <v>14</v>
      </c>
    </row>
    <row r="3229" spans="1:19" x14ac:dyDescent="0.35">
      <c r="A3229">
        <v>3228</v>
      </c>
      <c r="B3229">
        <v>28</v>
      </c>
      <c r="C3229" t="s">
        <v>141</v>
      </c>
      <c r="D3229" t="s">
        <v>107</v>
      </c>
      <c r="E3229" t="s">
        <v>55</v>
      </c>
      <c r="F3229">
        <v>69</v>
      </c>
      <c r="G3229" t="s">
        <v>108</v>
      </c>
      <c r="H3229" t="s">
        <v>80</v>
      </c>
      <c r="I3229" t="s">
        <v>40</v>
      </c>
      <c r="J3229" t="s">
        <v>45</v>
      </c>
      <c r="K3229">
        <v>2.7</v>
      </c>
      <c r="L3229" t="s">
        <v>140</v>
      </c>
      <c r="M3229" t="s">
        <v>26</v>
      </c>
      <c r="N3229" t="s">
        <v>140</v>
      </c>
      <c r="O3229">
        <v>42</v>
      </c>
      <c r="P3229" t="s">
        <v>74</v>
      </c>
      <c r="Q3229" t="s">
        <v>46</v>
      </c>
      <c r="R3229" t="str" cm="1">
        <f t="array" ref="R3229">_xlfn.IFS(B3229&lt;31,"Young-Adult",B3229&lt;41,"Adult",B3229&lt;61,"Middle-aged",B3229&gt;=61,"Senior")</f>
        <v>Young-Adult</v>
      </c>
      <c r="S3229" cm="1">
        <f t="array" ref="S3229">_xlfn.IFS(Q3229 ="Fortnightly",14,Q3229="Weekly",7,Q3229="Monthly",30,Q3229="Quarterly",90,Q3229="Bi-Weekly",14,Q3229="Annually",365,Q3229="Every 3 Months",90,TRUE,"NOT FOUND")</f>
        <v>90</v>
      </c>
    </row>
    <row r="3230" spans="1:19" x14ac:dyDescent="0.35">
      <c r="A3230">
        <v>3229</v>
      </c>
      <c r="B3230">
        <v>37</v>
      </c>
      <c r="C3230" t="s">
        <v>141</v>
      </c>
      <c r="D3230" t="s">
        <v>94</v>
      </c>
      <c r="E3230" t="s">
        <v>55</v>
      </c>
      <c r="F3230">
        <v>95</v>
      </c>
      <c r="G3230" t="s">
        <v>127</v>
      </c>
      <c r="H3230" t="s">
        <v>32</v>
      </c>
      <c r="I3230" t="s">
        <v>122</v>
      </c>
      <c r="J3230" t="s">
        <v>25</v>
      </c>
      <c r="K3230">
        <v>4.5999999999999996</v>
      </c>
      <c r="L3230" t="s">
        <v>140</v>
      </c>
      <c r="M3230" t="s">
        <v>58</v>
      </c>
      <c r="N3230" t="s">
        <v>140</v>
      </c>
      <c r="O3230">
        <v>27</v>
      </c>
      <c r="P3230" t="s">
        <v>34</v>
      </c>
      <c r="Q3230" t="s">
        <v>37</v>
      </c>
      <c r="R3230" t="str" cm="1">
        <f t="array" ref="R3230">_xlfn.IFS(B3230&lt;31,"Young-Adult",B3230&lt;41,"Adult",B3230&lt;61,"Middle-aged",B3230&gt;=61,"Senior")</f>
        <v>Adult</v>
      </c>
      <c r="S3230" cm="1">
        <f t="array" ref="S3230">_xlfn.IFS(Q3230 ="Fortnightly",14,Q3230="Weekly",7,Q3230="Monthly",30,Q3230="Quarterly",90,Q3230="Bi-Weekly",14,Q3230="Annually",365,Q3230="Every 3 Months",90,TRUE,"NOT FOUND")</f>
        <v>365</v>
      </c>
    </row>
    <row r="3231" spans="1:19" x14ac:dyDescent="0.35">
      <c r="A3231">
        <v>3230</v>
      </c>
      <c r="B3231">
        <v>54</v>
      </c>
      <c r="C3231" t="s">
        <v>141</v>
      </c>
      <c r="D3231" t="s">
        <v>83</v>
      </c>
      <c r="E3231" t="s">
        <v>9</v>
      </c>
      <c r="F3231">
        <v>67</v>
      </c>
      <c r="G3231" t="s">
        <v>127</v>
      </c>
      <c r="H3231" t="s">
        <v>32</v>
      </c>
      <c r="I3231" t="s">
        <v>73</v>
      </c>
      <c r="J3231" t="s">
        <v>45</v>
      </c>
      <c r="K3231">
        <v>2.7</v>
      </c>
      <c r="L3231" t="s">
        <v>140</v>
      </c>
      <c r="M3231" t="s">
        <v>15</v>
      </c>
      <c r="N3231" t="s">
        <v>140</v>
      </c>
      <c r="O3231">
        <v>24</v>
      </c>
      <c r="P3231" t="s">
        <v>21</v>
      </c>
      <c r="Q3231" t="s">
        <v>76</v>
      </c>
      <c r="R3231" t="str" cm="1">
        <f t="array" ref="R3231">_xlfn.IFS(B3231&lt;31,"Young-Adult",B3231&lt;41,"Adult",B3231&lt;61,"Middle-aged",B3231&gt;=61,"Senior")</f>
        <v>Middle-aged</v>
      </c>
      <c r="S3231" cm="1">
        <f t="array" ref="S3231">_xlfn.IFS(Q3231 ="Fortnightly",14,Q3231="Weekly",7,Q3231="Monthly",30,Q3231="Quarterly",90,Q3231="Bi-Weekly",14,Q3231="Annually",365,Q3231="Every 3 Months",90,TRUE,"NOT FOUND")</f>
        <v>30</v>
      </c>
    </row>
    <row r="3232" spans="1:19" x14ac:dyDescent="0.35">
      <c r="A3232">
        <v>3231</v>
      </c>
      <c r="B3232">
        <v>49</v>
      </c>
      <c r="C3232" t="s">
        <v>141</v>
      </c>
      <c r="D3232" t="s">
        <v>38</v>
      </c>
      <c r="E3232" t="s">
        <v>30</v>
      </c>
      <c r="F3232">
        <v>49</v>
      </c>
      <c r="G3232" t="s">
        <v>99</v>
      </c>
      <c r="H3232" t="s">
        <v>32</v>
      </c>
      <c r="I3232" t="s">
        <v>66</v>
      </c>
      <c r="J3232" t="s">
        <v>41</v>
      </c>
      <c r="K3232">
        <v>2.5</v>
      </c>
      <c r="L3232" t="s">
        <v>140</v>
      </c>
      <c r="M3232" t="s">
        <v>33</v>
      </c>
      <c r="N3232" t="s">
        <v>140</v>
      </c>
      <c r="O3232">
        <v>38</v>
      </c>
      <c r="P3232" t="s">
        <v>74</v>
      </c>
      <c r="Q3232" t="s">
        <v>37</v>
      </c>
      <c r="R3232" t="str" cm="1">
        <f t="array" ref="R3232">_xlfn.IFS(B3232&lt;31,"Young-Adult",B3232&lt;41,"Adult",B3232&lt;61,"Middle-aged",B3232&gt;=61,"Senior")</f>
        <v>Middle-aged</v>
      </c>
      <c r="S3232" cm="1">
        <f t="array" ref="S3232">_xlfn.IFS(Q3232 ="Fortnightly",14,Q3232="Weekly",7,Q3232="Monthly",30,Q3232="Quarterly",90,Q3232="Bi-Weekly",14,Q3232="Annually",365,Q3232="Every 3 Months",90,TRUE,"NOT FOUND")</f>
        <v>365</v>
      </c>
    </row>
    <row r="3233" spans="1:19" x14ac:dyDescent="0.35">
      <c r="A3233">
        <v>3232</v>
      </c>
      <c r="B3233">
        <v>62</v>
      </c>
      <c r="C3233" t="s">
        <v>141</v>
      </c>
      <c r="D3233" t="s">
        <v>59</v>
      </c>
      <c r="E3233" t="s">
        <v>30</v>
      </c>
      <c r="F3233">
        <v>97</v>
      </c>
      <c r="G3233" t="s">
        <v>95</v>
      </c>
      <c r="H3233" t="s">
        <v>32</v>
      </c>
      <c r="I3233" t="s">
        <v>20</v>
      </c>
      <c r="J3233" t="s">
        <v>13</v>
      </c>
      <c r="K3233">
        <v>4.4000000000000004</v>
      </c>
      <c r="L3233" t="s">
        <v>140</v>
      </c>
      <c r="M3233" t="s">
        <v>26</v>
      </c>
      <c r="N3233" t="s">
        <v>140</v>
      </c>
      <c r="O3233">
        <v>9</v>
      </c>
      <c r="P3233" t="s">
        <v>27</v>
      </c>
      <c r="Q3233" t="s">
        <v>37</v>
      </c>
      <c r="R3233" t="str" cm="1">
        <f t="array" ref="R3233">_xlfn.IFS(B3233&lt;31,"Young-Adult",B3233&lt;41,"Adult",B3233&lt;61,"Middle-aged",B3233&gt;=61,"Senior")</f>
        <v>Senior</v>
      </c>
      <c r="S3233" cm="1">
        <f t="array" ref="S3233">_xlfn.IFS(Q3233 ="Fortnightly",14,Q3233="Weekly",7,Q3233="Monthly",30,Q3233="Quarterly",90,Q3233="Bi-Weekly",14,Q3233="Annually",365,Q3233="Every 3 Months",90,TRUE,"NOT FOUND")</f>
        <v>365</v>
      </c>
    </row>
    <row r="3234" spans="1:19" x14ac:dyDescent="0.35">
      <c r="A3234">
        <v>3233</v>
      </c>
      <c r="B3234">
        <v>45</v>
      </c>
      <c r="C3234" t="s">
        <v>141</v>
      </c>
      <c r="D3234" t="s">
        <v>101</v>
      </c>
      <c r="E3234" t="s">
        <v>9</v>
      </c>
      <c r="F3234">
        <v>34</v>
      </c>
      <c r="G3234" t="s">
        <v>23</v>
      </c>
      <c r="H3234" t="s">
        <v>32</v>
      </c>
      <c r="I3234" t="s">
        <v>40</v>
      </c>
      <c r="J3234" t="s">
        <v>25</v>
      </c>
      <c r="K3234">
        <v>4</v>
      </c>
      <c r="L3234" t="s">
        <v>140</v>
      </c>
      <c r="M3234" t="s">
        <v>33</v>
      </c>
      <c r="N3234" t="s">
        <v>140</v>
      </c>
      <c r="O3234">
        <v>19</v>
      </c>
      <c r="P3234" t="s">
        <v>63</v>
      </c>
      <c r="Q3234" t="s">
        <v>76</v>
      </c>
      <c r="R3234" t="str" cm="1">
        <f t="array" ref="R3234">_xlfn.IFS(B3234&lt;31,"Young-Adult",B3234&lt;41,"Adult",B3234&lt;61,"Middle-aged",B3234&gt;=61,"Senior")</f>
        <v>Middle-aged</v>
      </c>
      <c r="S3234" cm="1">
        <f t="array" ref="S3234">_xlfn.IFS(Q3234 ="Fortnightly",14,Q3234="Weekly",7,Q3234="Monthly",30,Q3234="Quarterly",90,Q3234="Bi-Weekly",14,Q3234="Annually",365,Q3234="Every 3 Months",90,TRUE,"NOT FOUND")</f>
        <v>30</v>
      </c>
    </row>
    <row r="3235" spans="1:19" x14ac:dyDescent="0.35">
      <c r="A3235">
        <v>3234</v>
      </c>
      <c r="B3235">
        <v>45</v>
      </c>
      <c r="C3235" t="s">
        <v>141</v>
      </c>
      <c r="D3235" t="s">
        <v>121</v>
      </c>
      <c r="E3235" t="s">
        <v>55</v>
      </c>
      <c r="F3235">
        <v>74</v>
      </c>
      <c r="G3235" t="s">
        <v>104</v>
      </c>
      <c r="H3235" t="s">
        <v>32</v>
      </c>
      <c r="I3235" t="s">
        <v>81</v>
      </c>
      <c r="J3235" t="s">
        <v>45</v>
      </c>
      <c r="K3235">
        <v>3.8</v>
      </c>
      <c r="L3235" t="s">
        <v>140</v>
      </c>
      <c r="M3235" t="s">
        <v>15</v>
      </c>
      <c r="N3235" t="s">
        <v>140</v>
      </c>
      <c r="O3235">
        <v>11</v>
      </c>
      <c r="P3235" t="s">
        <v>74</v>
      </c>
      <c r="Q3235" t="s">
        <v>64</v>
      </c>
      <c r="R3235" t="str" cm="1">
        <f t="array" ref="R3235">_xlfn.IFS(B3235&lt;31,"Young-Adult",B3235&lt;41,"Adult",B3235&lt;61,"Middle-aged",B3235&gt;=61,"Senior")</f>
        <v>Middle-aged</v>
      </c>
      <c r="S3235" cm="1">
        <f t="array" ref="S3235">_xlfn.IFS(Q3235 ="Fortnightly",14,Q3235="Weekly",7,Q3235="Monthly",30,Q3235="Quarterly",90,Q3235="Bi-Weekly",14,Q3235="Annually",365,Q3235="Every 3 Months",90,TRUE,"NOT FOUND")</f>
        <v>14</v>
      </c>
    </row>
    <row r="3236" spans="1:19" x14ac:dyDescent="0.35">
      <c r="A3236">
        <v>3235</v>
      </c>
      <c r="B3236">
        <v>49</v>
      </c>
      <c r="C3236" t="s">
        <v>141</v>
      </c>
      <c r="D3236" t="s">
        <v>94</v>
      </c>
      <c r="E3236" t="s">
        <v>55</v>
      </c>
      <c r="F3236">
        <v>96</v>
      </c>
      <c r="G3236" t="s">
        <v>137</v>
      </c>
      <c r="H3236" t="s">
        <v>32</v>
      </c>
      <c r="I3236" t="s">
        <v>82</v>
      </c>
      <c r="J3236" t="s">
        <v>13</v>
      </c>
      <c r="K3236">
        <v>2.5</v>
      </c>
      <c r="L3236" t="s">
        <v>140</v>
      </c>
      <c r="M3236" t="s">
        <v>58</v>
      </c>
      <c r="N3236" t="s">
        <v>140</v>
      </c>
      <c r="O3236">
        <v>16</v>
      </c>
      <c r="P3236" t="s">
        <v>74</v>
      </c>
      <c r="Q3236" t="s">
        <v>46</v>
      </c>
      <c r="R3236" t="str" cm="1">
        <f t="array" ref="R3236">_xlfn.IFS(B3236&lt;31,"Young-Adult",B3236&lt;41,"Adult",B3236&lt;61,"Middle-aged",B3236&gt;=61,"Senior")</f>
        <v>Middle-aged</v>
      </c>
      <c r="S3236" cm="1">
        <f t="array" ref="S3236">_xlfn.IFS(Q3236 ="Fortnightly",14,Q3236="Weekly",7,Q3236="Monthly",30,Q3236="Quarterly",90,Q3236="Bi-Weekly",14,Q3236="Annually",365,Q3236="Every 3 Months",90,TRUE,"NOT FOUND")</f>
        <v>90</v>
      </c>
    </row>
    <row r="3237" spans="1:19" x14ac:dyDescent="0.35">
      <c r="A3237">
        <v>3236</v>
      </c>
      <c r="B3237">
        <v>27</v>
      </c>
      <c r="C3237" t="s">
        <v>141</v>
      </c>
      <c r="D3237" t="s">
        <v>121</v>
      </c>
      <c r="E3237" t="s">
        <v>55</v>
      </c>
      <c r="F3237">
        <v>68</v>
      </c>
      <c r="G3237" t="s">
        <v>99</v>
      </c>
      <c r="H3237" t="s">
        <v>32</v>
      </c>
      <c r="I3237" t="s">
        <v>84</v>
      </c>
      <c r="J3237" t="s">
        <v>41</v>
      </c>
      <c r="K3237">
        <v>4</v>
      </c>
      <c r="L3237" t="s">
        <v>140</v>
      </c>
      <c r="M3237" t="s">
        <v>26</v>
      </c>
      <c r="N3237" t="s">
        <v>140</v>
      </c>
      <c r="O3237">
        <v>18</v>
      </c>
      <c r="P3237" t="s">
        <v>16</v>
      </c>
      <c r="Q3237" t="s">
        <v>76</v>
      </c>
      <c r="R3237" t="str" cm="1">
        <f t="array" ref="R3237">_xlfn.IFS(B3237&lt;31,"Young-Adult",B3237&lt;41,"Adult",B3237&lt;61,"Middle-aged",B3237&gt;=61,"Senior")</f>
        <v>Young-Adult</v>
      </c>
      <c r="S3237" cm="1">
        <f t="array" ref="S3237">_xlfn.IFS(Q3237 ="Fortnightly",14,Q3237="Weekly",7,Q3237="Monthly",30,Q3237="Quarterly",90,Q3237="Bi-Weekly",14,Q3237="Annually",365,Q3237="Every 3 Months",90,TRUE,"NOT FOUND")</f>
        <v>30</v>
      </c>
    </row>
    <row r="3238" spans="1:19" x14ac:dyDescent="0.35">
      <c r="A3238">
        <v>3237</v>
      </c>
      <c r="B3238">
        <v>63</v>
      </c>
      <c r="C3238" t="s">
        <v>141</v>
      </c>
      <c r="D3238" t="s">
        <v>121</v>
      </c>
      <c r="E3238" t="s">
        <v>55</v>
      </c>
      <c r="F3238">
        <v>84</v>
      </c>
      <c r="G3238" t="s">
        <v>119</v>
      </c>
      <c r="H3238" t="s">
        <v>11</v>
      </c>
      <c r="I3238" t="s">
        <v>66</v>
      </c>
      <c r="J3238" t="s">
        <v>45</v>
      </c>
      <c r="K3238">
        <v>4.0999999999999996</v>
      </c>
      <c r="L3238" t="s">
        <v>140</v>
      </c>
      <c r="M3238" t="s">
        <v>33</v>
      </c>
      <c r="N3238" t="s">
        <v>140</v>
      </c>
      <c r="O3238">
        <v>8</v>
      </c>
      <c r="P3238" t="s">
        <v>21</v>
      </c>
      <c r="Q3238" t="s">
        <v>76</v>
      </c>
      <c r="R3238" t="str" cm="1">
        <f t="array" ref="R3238">_xlfn.IFS(B3238&lt;31,"Young-Adult",B3238&lt;41,"Adult",B3238&lt;61,"Middle-aged",B3238&gt;=61,"Senior")</f>
        <v>Senior</v>
      </c>
      <c r="S3238" cm="1">
        <f t="array" ref="S3238">_xlfn.IFS(Q3238 ="Fortnightly",14,Q3238="Weekly",7,Q3238="Monthly",30,Q3238="Quarterly",90,Q3238="Bi-Weekly",14,Q3238="Annually",365,Q3238="Every 3 Months",90,TRUE,"NOT FOUND")</f>
        <v>30</v>
      </c>
    </row>
    <row r="3239" spans="1:19" x14ac:dyDescent="0.35">
      <c r="A3239">
        <v>3238</v>
      </c>
      <c r="B3239">
        <v>61</v>
      </c>
      <c r="C3239" t="s">
        <v>141</v>
      </c>
      <c r="D3239" t="s">
        <v>101</v>
      </c>
      <c r="E3239" t="s">
        <v>9</v>
      </c>
      <c r="F3239">
        <v>57</v>
      </c>
      <c r="G3239" t="s">
        <v>117</v>
      </c>
      <c r="H3239" t="s">
        <v>32</v>
      </c>
      <c r="I3239" t="s">
        <v>12</v>
      </c>
      <c r="J3239" t="s">
        <v>41</v>
      </c>
      <c r="K3239">
        <v>2.8</v>
      </c>
      <c r="L3239" t="s">
        <v>140</v>
      </c>
      <c r="M3239" t="s">
        <v>15</v>
      </c>
      <c r="N3239" t="s">
        <v>140</v>
      </c>
      <c r="O3239">
        <v>4</v>
      </c>
      <c r="P3239" t="s">
        <v>21</v>
      </c>
      <c r="Q3239" t="s">
        <v>28</v>
      </c>
      <c r="R3239" t="str" cm="1">
        <f t="array" ref="R3239">_xlfn.IFS(B3239&lt;31,"Young-Adult",B3239&lt;41,"Adult",B3239&lt;61,"Middle-aged",B3239&gt;=61,"Senior")</f>
        <v>Senior</v>
      </c>
      <c r="S3239" cm="1">
        <f t="array" ref="S3239">_xlfn.IFS(Q3239 ="Fortnightly",14,Q3239="Weekly",7,Q3239="Monthly",30,Q3239="Quarterly",90,Q3239="Bi-Weekly",14,Q3239="Annually",365,Q3239="Every 3 Months",90,TRUE,"NOT FOUND")</f>
        <v>7</v>
      </c>
    </row>
    <row r="3240" spans="1:19" x14ac:dyDescent="0.35">
      <c r="A3240">
        <v>3239</v>
      </c>
      <c r="B3240">
        <v>25</v>
      </c>
      <c r="C3240" t="s">
        <v>141</v>
      </c>
      <c r="D3240" t="s">
        <v>38</v>
      </c>
      <c r="E3240" t="s">
        <v>30</v>
      </c>
      <c r="F3240">
        <v>84</v>
      </c>
      <c r="G3240" t="s">
        <v>39</v>
      </c>
      <c r="H3240" t="s">
        <v>80</v>
      </c>
      <c r="I3240" t="s">
        <v>73</v>
      </c>
      <c r="J3240" t="s">
        <v>45</v>
      </c>
      <c r="K3240">
        <v>3.4</v>
      </c>
      <c r="L3240" t="s">
        <v>140</v>
      </c>
      <c r="M3240" t="s">
        <v>58</v>
      </c>
      <c r="N3240" t="s">
        <v>140</v>
      </c>
      <c r="O3240">
        <v>37</v>
      </c>
      <c r="P3240" t="s">
        <v>21</v>
      </c>
      <c r="Q3240" t="s">
        <v>46</v>
      </c>
      <c r="R3240" t="str" cm="1">
        <f t="array" ref="R3240">_xlfn.IFS(B3240&lt;31,"Young-Adult",B3240&lt;41,"Adult",B3240&lt;61,"Middle-aged",B3240&gt;=61,"Senior")</f>
        <v>Young-Adult</v>
      </c>
      <c r="S3240" cm="1">
        <f t="array" ref="S3240">_xlfn.IFS(Q3240 ="Fortnightly",14,Q3240="Weekly",7,Q3240="Monthly",30,Q3240="Quarterly",90,Q3240="Bi-Weekly",14,Q3240="Annually",365,Q3240="Every 3 Months",90,TRUE,"NOT FOUND")</f>
        <v>90</v>
      </c>
    </row>
    <row r="3241" spans="1:19" x14ac:dyDescent="0.35">
      <c r="A3241">
        <v>3240</v>
      </c>
      <c r="B3241">
        <v>33</v>
      </c>
      <c r="C3241" t="s">
        <v>141</v>
      </c>
      <c r="D3241" t="s">
        <v>77</v>
      </c>
      <c r="E3241" t="s">
        <v>55</v>
      </c>
      <c r="F3241">
        <v>32</v>
      </c>
      <c r="G3241" t="s">
        <v>100</v>
      </c>
      <c r="H3241" t="s">
        <v>32</v>
      </c>
      <c r="I3241" t="s">
        <v>49</v>
      </c>
      <c r="J3241" t="s">
        <v>45</v>
      </c>
      <c r="K3241">
        <v>2.7</v>
      </c>
      <c r="L3241" t="s">
        <v>140</v>
      </c>
      <c r="M3241" t="s">
        <v>58</v>
      </c>
      <c r="N3241" t="s">
        <v>140</v>
      </c>
      <c r="O3241">
        <v>30</v>
      </c>
      <c r="P3241" t="s">
        <v>21</v>
      </c>
      <c r="Q3241" t="s">
        <v>76</v>
      </c>
      <c r="R3241" t="str" cm="1">
        <f t="array" ref="R3241">_xlfn.IFS(B3241&lt;31,"Young-Adult",B3241&lt;41,"Adult",B3241&lt;61,"Middle-aged",B3241&gt;=61,"Senior")</f>
        <v>Adult</v>
      </c>
      <c r="S3241" cm="1">
        <f t="array" ref="S3241">_xlfn.IFS(Q3241 ="Fortnightly",14,Q3241="Weekly",7,Q3241="Monthly",30,Q3241="Quarterly",90,Q3241="Bi-Weekly",14,Q3241="Annually",365,Q3241="Every 3 Months",90,TRUE,"NOT FOUND")</f>
        <v>30</v>
      </c>
    </row>
    <row r="3242" spans="1:19" x14ac:dyDescent="0.35">
      <c r="A3242">
        <v>3241</v>
      </c>
      <c r="B3242">
        <v>56</v>
      </c>
      <c r="C3242" t="s">
        <v>141</v>
      </c>
      <c r="D3242" t="s">
        <v>29</v>
      </c>
      <c r="E3242" t="s">
        <v>30</v>
      </c>
      <c r="F3242">
        <v>37</v>
      </c>
      <c r="G3242" t="s">
        <v>52</v>
      </c>
      <c r="H3242" t="s">
        <v>32</v>
      </c>
      <c r="I3242" t="s">
        <v>71</v>
      </c>
      <c r="J3242" t="s">
        <v>45</v>
      </c>
      <c r="K3242">
        <v>3.8</v>
      </c>
      <c r="L3242" t="s">
        <v>140</v>
      </c>
      <c r="M3242" t="s">
        <v>58</v>
      </c>
      <c r="N3242" t="s">
        <v>140</v>
      </c>
      <c r="O3242">
        <v>37</v>
      </c>
      <c r="P3242" t="s">
        <v>63</v>
      </c>
      <c r="Q3242" t="s">
        <v>76</v>
      </c>
      <c r="R3242" t="str" cm="1">
        <f t="array" ref="R3242">_xlfn.IFS(B3242&lt;31,"Young-Adult",B3242&lt;41,"Adult",B3242&lt;61,"Middle-aged",B3242&gt;=61,"Senior")</f>
        <v>Middle-aged</v>
      </c>
      <c r="S3242" cm="1">
        <f t="array" ref="S3242">_xlfn.IFS(Q3242 ="Fortnightly",14,Q3242="Weekly",7,Q3242="Monthly",30,Q3242="Quarterly",90,Q3242="Bi-Weekly",14,Q3242="Annually",365,Q3242="Every 3 Months",90,TRUE,"NOT FOUND")</f>
        <v>30</v>
      </c>
    </row>
    <row r="3243" spans="1:19" x14ac:dyDescent="0.35">
      <c r="A3243">
        <v>3242</v>
      </c>
      <c r="B3243">
        <v>50</v>
      </c>
      <c r="C3243" t="s">
        <v>141</v>
      </c>
      <c r="D3243" t="s">
        <v>54</v>
      </c>
      <c r="E3243" t="s">
        <v>55</v>
      </c>
      <c r="F3243">
        <v>58</v>
      </c>
      <c r="G3243" t="s">
        <v>127</v>
      </c>
      <c r="H3243" t="s">
        <v>32</v>
      </c>
      <c r="I3243" t="s">
        <v>81</v>
      </c>
      <c r="J3243" t="s">
        <v>41</v>
      </c>
      <c r="K3243">
        <v>4.4000000000000004</v>
      </c>
      <c r="L3243" t="s">
        <v>140</v>
      </c>
      <c r="M3243" t="s">
        <v>62</v>
      </c>
      <c r="N3243" t="s">
        <v>140</v>
      </c>
      <c r="O3243">
        <v>30</v>
      </c>
      <c r="P3243" t="s">
        <v>34</v>
      </c>
      <c r="Q3243" t="s">
        <v>46</v>
      </c>
      <c r="R3243" t="str" cm="1">
        <f t="array" ref="R3243">_xlfn.IFS(B3243&lt;31,"Young-Adult",B3243&lt;41,"Adult",B3243&lt;61,"Middle-aged",B3243&gt;=61,"Senior")</f>
        <v>Middle-aged</v>
      </c>
      <c r="S3243" cm="1">
        <f t="array" ref="S3243">_xlfn.IFS(Q3243 ="Fortnightly",14,Q3243="Weekly",7,Q3243="Monthly",30,Q3243="Quarterly",90,Q3243="Bi-Weekly",14,Q3243="Annually",365,Q3243="Every 3 Months",90,TRUE,"NOT FOUND")</f>
        <v>90</v>
      </c>
    </row>
    <row r="3244" spans="1:19" x14ac:dyDescent="0.35">
      <c r="A3244">
        <v>3243</v>
      </c>
      <c r="B3244">
        <v>45</v>
      </c>
      <c r="C3244" t="s">
        <v>141</v>
      </c>
      <c r="D3244" t="s">
        <v>113</v>
      </c>
      <c r="E3244" t="s">
        <v>9</v>
      </c>
      <c r="F3244">
        <v>74</v>
      </c>
      <c r="G3244" t="s">
        <v>35</v>
      </c>
      <c r="H3244" t="s">
        <v>24</v>
      </c>
      <c r="I3244" t="s">
        <v>106</v>
      </c>
      <c r="J3244" t="s">
        <v>45</v>
      </c>
      <c r="K3244">
        <v>2.8</v>
      </c>
      <c r="L3244" t="s">
        <v>140</v>
      </c>
      <c r="M3244" t="s">
        <v>15</v>
      </c>
      <c r="N3244" t="s">
        <v>140</v>
      </c>
      <c r="O3244">
        <v>17</v>
      </c>
      <c r="P3244" t="s">
        <v>16</v>
      </c>
      <c r="Q3244" t="s">
        <v>28</v>
      </c>
      <c r="R3244" t="str" cm="1">
        <f t="array" ref="R3244">_xlfn.IFS(B3244&lt;31,"Young-Adult",B3244&lt;41,"Adult",B3244&lt;61,"Middle-aged",B3244&gt;=61,"Senior")</f>
        <v>Middle-aged</v>
      </c>
      <c r="S3244" cm="1">
        <f t="array" ref="S3244">_xlfn.IFS(Q3244 ="Fortnightly",14,Q3244="Weekly",7,Q3244="Monthly",30,Q3244="Quarterly",90,Q3244="Bi-Weekly",14,Q3244="Annually",365,Q3244="Every 3 Months",90,TRUE,"NOT FOUND")</f>
        <v>7</v>
      </c>
    </row>
    <row r="3245" spans="1:19" x14ac:dyDescent="0.35">
      <c r="A3245">
        <v>3244</v>
      </c>
      <c r="B3245">
        <v>45</v>
      </c>
      <c r="C3245" t="s">
        <v>141</v>
      </c>
      <c r="D3245" t="s">
        <v>92</v>
      </c>
      <c r="E3245" t="s">
        <v>9</v>
      </c>
      <c r="F3245">
        <v>99</v>
      </c>
      <c r="G3245" t="s">
        <v>123</v>
      </c>
      <c r="H3245" t="s">
        <v>11</v>
      </c>
      <c r="I3245" t="s">
        <v>82</v>
      </c>
      <c r="J3245" t="s">
        <v>41</v>
      </c>
      <c r="K3245">
        <v>5</v>
      </c>
      <c r="L3245" t="s">
        <v>140</v>
      </c>
      <c r="M3245" t="s">
        <v>62</v>
      </c>
      <c r="N3245" t="s">
        <v>140</v>
      </c>
      <c r="O3245">
        <v>11</v>
      </c>
      <c r="P3245" t="s">
        <v>63</v>
      </c>
      <c r="Q3245" t="s">
        <v>85</v>
      </c>
      <c r="R3245" t="str" cm="1">
        <f t="array" ref="R3245">_xlfn.IFS(B3245&lt;31,"Young-Adult",B3245&lt;41,"Adult",B3245&lt;61,"Middle-aged",B3245&gt;=61,"Senior")</f>
        <v>Middle-aged</v>
      </c>
      <c r="S3245" cm="1">
        <f t="array" ref="S3245">_xlfn.IFS(Q3245 ="Fortnightly",14,Q3245="Weekly",7,Q3245="Monthly",30,Q3245="Quarterly",90,Q3245="Bi-Weekly",14,Q3245="Annually",365,Q3245="Every 3 Months",90,TRUE,"NOT FOUND")</f>
        <v>90</v>
      </c>
    </row>
    <row r="3246" spans="1:19" x14ac:dyDescent="0.35">
      <c r="A3246">
        <v>3245</v>
      </c>
      <c r="B3246">
        <v>65</v>
      </c>
      <c r="C3246" t="s">
        <v>141</v>
      </c>
      <c r="D3246" t="s">
        <v>18</v>
      </c>
      <c r="E3246" t="s">
        <v>9</v>
      </c>
      <c r="F3246">
        <v>81</v>
      </c>
      <c r="G3246" t="s">
        <v>60</v>
      </c>
      <c r="H3246" t="s">
        <v>32</v>
      </c>
      <c r="I3246" t="s">
        <v>82</v>
      </c>
      <c r="J3246" t="s">
        <v>45</v>
      </c>
      <c r="K3246">
        <v>4.7</v>
      </c>
      <c r="L3246" t="s">
        <v>140</v>
      </c>
      <c r="M3246" t="s">
        <v>15</v>
      </c>
      <c r="N3246" t="s">
        <v>140</v>
      </c>
      <c r="O3246">
        <v>42</v>
      </c>
      <c r="P3246" t="s">
        <v>27</v>
      </c>
      <c r="Q3246" t="s">
        <v>37</v>
      </c>
      <c r="R3246" t="str" cm="1">
        <f t="array" ref="R3246">_xlfn.IFS(B3246&lt;31,"Young-Adult",B3246&lt;41,"Adult",B3246&lt;61,"Middle-aged",B3246&gt;=61,"Senior")</f>
        <v>Senior</v>
      </c>
      <c r="S3246" cm="1">
        <f t="array" ref="S3246">_xlfn.IFS(Q3246 ="Fortnightly",14,Q3246="Weekly",7,Q3246="Monthly",30,Q3246="Quarterly",90,Q3246="Bi-Weekly",14,Q3246="Annually",365,Q3246="Every 3 Months",90,TRUE,"NOT FOUND")</f>
        <v>365</v>
      </c>
    </row>
    <row r="3247" spans="1:19" x14ac:dyDescent="0.35">
      <c r="A3247">
        <v>3246</v>
      </c>
      <c r="B3247">
        <v>63</v>
      </c>
      <c r="C3247" t="s">
        <v>141</v>
      </c>
      <c r="D3247" t="s">
        <v>83</v>
      </c>
      <c r="E3247" t="s">
        <v>9</v>
      </c>
      <c r="F3247">
        <v>76</v>
      </c>
      <c r="G3247" t="s">
        <v>99</v>
      </c>
      <c r="H3247" t="s">
        <v>32</v>
      </c>
      <c r="I3247" t="s">
        <v>61</v>
      </c>
      <c r="J3247" t="s">
        <v>45</v>
      </c>
      <c r="K3247">
        <v>3.2</v>
      </c>
      <c r="L3247" t="s">
        <v>140</v>
      </c>
      <c r="M3247" t="s">
        <v>33</v>
      </c>
      <c r="N3247" t="s">
        <v>140</v>
      </c>
      <c r="O3247">
        <v>20</v>
      </c>
      <c r="P3247" t="s">
        <v>21</v>
      </c>
      <c r="Q3247" t="s">
        <v>28</v>
      </c>
      <c r="R3247" t="str" cm="1">
        <f t="array" ref="R3247">_xlfn.IFS(B3247&lt;31,"Young-Adult",B3247&lt;41,"Adult",B3247&lt;61,"Middle-aged",B3247&gt;=61,"Senior")</f>
        <v>Senior</v>
      </c>
      <c r="S3247" cm="1">
        <f t="array" ref="S3247">_xlfn.IFS(Q3247 ="Fortnightly",14,Q3247="Weekly",7,Q3247="Monthly",30,Q3247="Quarterly",90,Q3247="Bi-Weekly",14,Q3247="Annually",365,Q3247="Every 3 Months",90,TRUE,"NOT FOUND")</f>
        <v>7</v>
      </c>
    </row>
    <row r="3248" spans="1:19" x14ac:dyDescent="0.35">
      <c r="A3248">
        <v>3247</v>
      </c>
      <c r="B3248">
        <v>70</v>
      </c>
      <c r="C3248" t="s">
        <v>141</v>
      </c>
      <c r="D3248" t="s">
        <v>38</v>
      </c>
      <c r="E3248" t="s">
        <v>30</v>
      </c>
      <c r="F3248">
        <v>98</v>
      </c>
      <c r="G3248" t="s">
        <v>139</v>
      </c>
      <c r="H3248" t="s">
        <v>32</v>
      </c>
      <c r="I3248" t="s">
        <v>124</v>
      </c>
      <c r="J3248" t="s">
        <v>41</v>
      </c>
      <c r="K3248">
        <v>2.9</v>
      </c>
      <c r="L3248" t="s">
        <v>140</v>
      </c>
      <c r="M3248" t="s">
        <v>62</v>
      </c>
      <c r="N3248" t="s">
        <v>140</v>
      </c>
      <c r="O3248">
        <v>37</v>
      </c>
      <c r="P3248" t="s">
        <v>21</v>
      </c>
      <c r="Q3248" t="s">
        <v>76</v>
      </c>
      <c r="R3248" t="str" cm="1">
        <f t="array" ref="R3248">_xlfn.IFS(B3248&lt;31,"Young-Adult",B3248&lt;41,"Adult",B3248&lt;61,"Middle-aged",B3248&gt;=61,"Senior")</f>
        <v>Senior</v>
      </c>
      <c r="S3248" cm="1">
        <f t="array" ref="S3248">_xlfn.IFS(Q3248 ="Fortnightly",14,Q3248="Weekly",7,Q3248="Monthly",30,Q3248="Quarterly",90,Q3248="Bi-Weekly",14,Q3248="Annually",365,Q3248="Every 3 Months",90,TRUE,"NOT FOUND")</f>
        <v>30</v>
      </c>
    </row>
    <row r="3249" spans="1:19" x14ac:dyDescent="0.35">
      <c r="A3249">
        <v>3248</v>
      </c>
      <c r="B3249">
        <v>53</v>
      </c>
      <c r="C3249" t="s">
        <v>141</v>
      </c>
      <c r="D3249" t="s">
        <v>131</v>
      </c>
      <c r="E3249" t="s">
        <v>55</v>
      </c>
      <c r="F3249">
        <v>91</v>
      </c>
      <c r="G3249" t="s">
        <v>60</v>
      </c>
      <c r="H3249" t="s">
        <v>32</v>
      </c>
      <c r="I3249" t="s">
        <v>73</v>
      </c>
      <c r="J3249" t="s">
        <v>41</v>
      </c>
      <c r="K3249">
        <v>3.7</v>
      </c>
      <c r="L3249" t="s">
        <v>140</v>
      </c>
      <c r="M3249" t="s">
        <v>15</v>
      </c>
      <c r="N3249" t="s">
        <v>140</v>
      </c>
      <c r="O3249">
        <v>12</v>
      </c>
      <c r="P3249" t="s">
        <v>34</v>
      </c>
      <c r="Q3249" t="s">
        <v>17</v>
      </c>
      <c r="R3249" t="str" cm="1">
        <f t="array" ref="R3249">_xlfn.IFS(B3249&lt;31,"Young-Adult",B3249&lt;41,"Adult",B3249&lt;61,"Middle-aged",B3249&gt;=61,"Senior")</f>
        <v>Middle-aged</v>
      </c>
      <c r="S3249" cm="1">
        <f t="array" ref="S3249">_xlfn.IFS(Q3249 ="Fortnightly",14,Q3249="Weekly",7,Q3249="Monthly",30,Q3249="Quarterly",90,Q3249="Bi-Weekly",14,Q3249="Annually",365,Q3249="Every 3 Months",90,TRUE,"NOT FOUND")</f>
        <v>14</v>
      </c>
    </row>
    <row r="3250" spans="1:19" x14ac:dyDescent="0.35">
      <c r="A3250">
        <v>3249</v>
      </c>
      <c r="B3250">
        <v>22</v>
      </c>
      <c r="C3250" t="s">
        <v>141</v>
      </c>
      <c r="D3250" t="s">
        <v>101</v>
      </c>
      <c r="E3250" t="s">
        <v>9</v>
      </c>
      <c r="F3250">
        <v>79</v>
      </c>
      <c r="G3250" t="s">
        <v>126</v>
      </c>
      <c r="H3250" t="s">
        <v>24</v>
      </c>
      <c r="I3250" t="s">
        <v>73</v>
      </c>
      <c r="J3250" t="s">
        <v>41</v>
      </c>
      <c r="K3250">
        <v>4.2</v>
      </c>
      <c r="L3250" t="s">
        <v>140</v>
      </c>
      <c r="M3250" t="s">
        <v>26</v>
      </c>
      <c r="N3250" t="s">
        <v>140</v>
      </c>
      <c r="O3250">
        <v>41</v>
      </c>
      <c r="P3250" t="s">
        <v>63</v>
      </c>
      <c r="Q3250" t="s">
        <v>46</v>
      </c>
      <c r="R3250" t="str" cm="1">
        <f t="array" ref="R3250">_xlfn.IFS(B3250&lt;31,"Young-Adult",B3250&lt;41,"Adult",B3250&lt;61,"Middle-aged",B3250&gt;=61,"Senior")</f>
        <v>Young-Adult</v>
      </c>
      <c r="S3250" cm="1">
        <f t="array" ref="S3250">_xlfn.IFS(Q3250 ="Fortnightly",14,Q3250="Weekly",7,Q3250="Monthly",30,Q3250="Quarterly",90,Q3250="Bi-Weekly",14,Q3250="Annually",365,Q3250="Every 3 Months",90,TRUE,"NOT FOUND")</f>
        <v>90</v>
      </c>
    </row>
    <row r="3251" spans="1:19" x14ac:dyDescent="0.35">
      <c r="A3251">
        <v>3250</v>
      </c>
      <c r="B3251">
        <v>26</v>
      </c>
      <c r="C3251" t="s">
        <v>141</v>
      </c>
      <c r="D3251" t="s">
        <v>120</v>
      </c>
      <c r="E3251" t="s">
        <v>55</v>
      </c>
      <c r="F3251">
        <v>83</v>
      </c>
      <c r="G3251" t="s">
        <v>129</v>
      </c>
      <c r="H3251" t="s">
        <v>32</v>
      </c>
      <c r="I3251" t="s">
        <v>57</v>
      </c>
      <c r="J3251" t="s">
        <v>41</v>
      </c>
      <c r="K3251">
        <v>3.4</v>
      </c>
      <c r="L3251" t="s">
        <v>140</v>
      </c>
      <c r="M3251" t="s">
        <v>15</v>
      </c>
      <c r="N3251" t="s">
        <v>140</v>
      </c>
      <c r="O3251">
        <v>32</v>
      </c>
      <c r="P3251" t="s">
        <v>27</v>
      </c>
      <c r="Q3251" t="s">
        <v>46</v>
      </c>
      <c r="R3251" t="str" cm="1">
        <f t="array" ref="R3251">_xlfn.IFS(B3251&lt;31,"Young-Adult",B3251&lt;41,"Adult",B3251&lt;61,"Middle-aged",B3251&gt;=61,"Senior")</f>
        <v>Young-Adult</v>
      </c>
      <c r="S3251" cm="1">
        <f t="array" ref="S3251">_xlfn.IFS(Q3251 ="Fortnightly",14,Q3251="Weekly",7,Q3251="Monthly",30,Q3251="Quarterly",90,Q3251="Bi-Weekly",14,Q3251="Annually",365,Q3251="Every 3 Months",90,TRUE,"NOT FOUND")</f>
        <v>90</v>
      </c>
    </row>
    <row r="3252" spans="1:19" x14ac:dyDescent="0.35">
      <c r="A3252">
        <v>3251</v>
      </c>
      <c r="B3252">
        <v>23</v>
      </c>
      <c r="C3252" t="s">
        <v>141</v>
      </c>
      <c r="D3252" t="s">
        <v>50</v>
      </c>
      <c r="E3252" t="s">
        <v>51</v>
      </c>
      <c r="F3252">
        <v>90</v>
      </c>
      <c r="G3252" t="s">
        <v>136</v>
      </c>
      <c r="H3252" t="s">
        <v>32</v>
      </c>
      <c r="I3252" t="s">
        <v>73</v>
      </c>
      <c r="J3252" t="s">
        <v>25</v>
      </c>
      <c r="K3252">
        <v>2.9</v>
      </c>
      <c r="L3252" t="s">
        <v>140</v>
      </c>
      <c r="M3252" t="s">
        <v>58</v>
      </c>
      <c r="N3252" t="s">
        <v>140</v>
      </c>
      <c r="O3252">
        <v>15</v>
      </c>
      <c r="P3252" t="s">
        <v>16</v>
      </c>
      <c r="Q3252" t="s">
        <v>28</v>
      </c>
      <c r="R3252" t="str" cm="1">
        <f t="array" ref="R3252">_xlfn.IFS(B3252&lt;31,"Young-Adult",B3252&lt;41,"Adult",B3252&lt;61,"Middle-aged",B3252&gt;=61,"Senior")</f>
        <v>Young-Adult</v>
      </c>
      <c r="S3252" cm="1">
        <f t="array" ref="S3252">_xlfn.IFS(Q3252 ="Fortnightly",14,Q3252="Weekly",7,Q3252="Monthly",30,Q3252="Quarterly",90,Q3252="Bi-Weekly",14,Q3252="Annually",365,Q3252="Every 3 Months",90,TRUE,"NOT FOUND")</f>
        <v>7</v>
      </c>
    </row>
    <row r="3253" spans="1:19" x14ac:dyDescent="0.35">
      <c r="A3253">
        <v>3252</v>
      </c>
      <c r="B3253">
        <v>25</v>
      </c>
      <c r="C3253" t="s">
        <v>141</v>
      </c>
      <c r="D3253" t="s">
        <v>50</v>
      </c>
      <c r="E3253" t="s">
        <v>51</v>
      </c>
      <c r="F3253">
        <v>20</v>
      </c>
      <c r="G3253" t="s">
        <v>95</v>
      </c>
      <c r="H3253" t="s">
        <v>32</v>
      </c>
      <c r="I3253" t="s">
        <v>68</v>
      </c>
      <c r="J3253" t="s">
        <v>13</v>
      </c>
      <c r="K3253">
        <v>3.7</v>
      </c>
      <c r="L3253" t="s">
        <v>140</v>
      </c>
      <c r="M3253" t="s">
        <v>42</v>
      </c>
      <c r="N3253" t="s">
        <v>140</v>
      </c>
      <c r="O3253">
        <v>39</v>
      </c>
      <c r="P3253" t="s">
        <v>16</v>
      </c>
      <c r="Q3253" t="s">
        <v>46</v>
      </c>
      <c r="R3253" t="str" cm="1">
        <f t="array" ref="R3253">_xlfn.IFS(B3253&lt;31,"Young-Adult",B3253&lt;41,"Adult",B3253&lt;61,"Middle-aged",B3253&gt;=61,"Senior")</f>
        <v>Young-Adult</v>
      </c>
      <c r="S3253" cm="1">
        <f t="array" ref="S3253">_xlfn.IFS(Q3253 ="Fortnightly",14,Q3253="Weekly",7,Q3253="Monthly",30,Q3253="Quarterly",90,Q3253="Bi-Weekly",14,Q3253="Annually",365,Q3253="Every 3 Months",90,TRUE,"NOT FOUND")</f>
        <v>90</v>
      </c>
    </row>
    <row r="3254" spans="1:19" x14ac:dyDescent="0.35">
      <c r="A3254">
        <v>3253</v>
      </c>
      <c r="B3254">
        <v>69</v>
      </c>
      <c r="C3254" t="s">
        <v>141</v>
      </c>
      <c r="D3254" t="s">
        <v>29</v>
      </c>
      <c r="E3254" t="s">
        <v>30</v>
      </c>
      <c r="F3254">
        <v>21</v>
      </c>
      <c r="G3254" t="s">
        <v>44</v>
      </c>
      <c r="H3254" t="s">
        <v>11</v>
      </c>
      <c r="I3254" t="s">
        <v>98</v>
      </c>
      <c r="J3254" t="s">
        <v>25</v>
      </c>
      <c r="K3254">
        <v>2.7</v>
      </c>
      <c r="L3254" t="s">
        <v>140</v>
      </c>
      <c r="M3254" t="s">
        <v>62</v>
      </c>
      <c r="N3254" t="s">
        <v>140</v>
      </c>
      <c r="O3254">
        <v>48</v>
      </c>
      <c r="P3254" t="s">
        <v>27</v>
      </c>
      <c r="Q3254" t="s">
        <v>17</v>
      </c>
      <c r="R3254" t="str" cm="1">
        <f t="array" ref="R3254">_xlfn.IFS(B3254&lt;31,"Young-Adult",B3254&lt;41,"Adult",B3254&lt;61,"Middle-aged",B3254&gt;=61,"Senior")</f>
        <v>Senior</v>
      </c>
      <c r="S3254" cm="1">
        <f t="array" ref="S3254">_xlfn.IFS(Q3254 ="Fortnightly",14,Q3254="Weekly",7,Q3254="Monthly",30,Q3254="Quarterly",90,Q3254="Bi-Weekly",14,Q3254="Annually",365,Q3254="Every 3 Months",90,TRUE,"NOT FOUND")</f>
        <v>14</v>
      </c>
    </row>
    <row r="3255" spans="1:19" x14ac:dyDescent="0.35">
      <c r="A3255">
        <v>3254</v>
      </c>
      <c r="B3255">
        <v>36</v>
      </c>
      <c r="C3255" t="s">
        <v>141</v>
      </c>
      <c r="D3255" t="s">
        <v>120</v>
      </c>
      <c r="E3255" t="s">
        <v>55</v>
      </c>
      <c r="F3255">
        <v>60</v>
      </c>
      <c r="G3255" t="s">
        <v>133</v>
      </c>
      <c r="H3255" t="s">
        <v>32</v>
      </c>
      <c r="I3255" t="s">
        <v>98</v>
      </c>
      <c r="J3255" t="s">
        <v>45</v>
      </c>
      <c r="K3255">
        <v>3.2</v>
      </c>
      <c r="L3255" t="s">
        <v>140</v>
      </c>
      <c r="M3255" t="s">
        <v>58</v>
      </c>
      <c r="N3255" t="s">
        <v>140</v>
      </c>
      <c r="O3255">
        <v>8</v>
      </c>
      <c r="P3255" t="s">
        <v>16</v>
      </c>
      <c r="Q3255" t="s">
        <v>17</v>
      </c>
      <c r="R3255" t="str" cm="1">
        <f t="array" ref="R3255">_xlfn.IFS(B3255&lt;31,"Young-Adult",B3255&lt;41,"Adult",B3255&lt;61,"Middle-aged",B3255&gt;=61,"Senior")</f>
        <v>Adult</v>
      </c>
      <c r="S3255" cm="1">
        <f t="array" ref="S3255">_xlfn.IFS(Q3255 ="Fortnightly",14,Q3255="Weekly",7,Q3255="Monthly",30,Q3255="Quarterly",90,Q3255="Bi-Weekly",14,Q3255="Annually",365,Q3255="Every 3 Months",90,TRUE,"NOT FOUND")</f>
        <v>14</v>
      </c>
    </row>
    <row r="3256" spans="1:19" x14ac:dyDescent="0.35">
      <c r="A3256">
        <v>3255</v>
      </c>
      <c r="B3256">
        <v>21</v>
      </c>
      <c r="C3256" t="s">
        <v>141</v>
      </c>
      <c r="D3256" t="s">
        <v>18</v>
      </c>
      <c r="E3256" t="s">
        <v>9</v>
      </c>
      <c r="F3256">
        <v>31</v>
      </c>
      <c r="G3256" t="s">
        <v>104</v>
      </c>
      <c r="H3256" t="s">
        <v>24</v>
      </c>
      <c r="I3256" t="s">
        <v>124</v>
      </c>
      <c r="J3256" t="s">
        <v>13</v>
      </c>
      <c r="K3256">
        <v>4.9000000000000004</v>
      </c>
      <c r="L3256" t="s">
        <v>140</v>
      </c>
      <c r="M3256" t="s">
        <v>62</v>
      </c>
      <c r="N3256" t="s">
        <v>140</v>
      </c>
      <c r="O3256">
        <v>11</v>
      </c>
      <c r="P3256" t="s">
        <v>63</v>
      </c>
      <c r="Q3256" t="s">
        <v>85</v>
      </c>
      <c r="R3256" t="str" cm="1">
        <f t="array" ref="R3256">_xlfn.IFS(B3256&lt;31,"Young-Adult",B3256&lt;41,"Adult",B3256&lt;61,"Middle-aged",B3256&gt;=61,"Senior")</f>
        <v>Young-Adult</v>
      </c>
      <c r="S3256" cm="1">
        <f t="array" ref="S3256">_xlfn.IFS(Q3256 ="Fortnightly",14,Q3256="Weekly",7,Q3256="Monthly",30,Q3256="Quarterly",90,Q3256="Bi-Weekly",14,Q3256="Annually",365,Q3256="Every 3 Months",90,TRUE,"NOT FOUND")</f>
        <v>90</v>
      </c>
    </row>
    <row r="3257" spans="1:19" x14ac:dyDescent="0.35">
      <c r="A3257">
        <v>3256</v>
      </c>
      <c r="B3257">
        <v>57</v>
      </c>
      <c r="C3257" t="s">
        <v>141</v>
      </c>
      <c r="D3257" t="s">
        <v>47</v>
      </c>
      <c r="E3257" t="s">
        <v>9</v>
      </c>
      <c r="F3257">
        <v>40</v>
      </c>
      <c r="G3257" t="s">
        <v>115</v>
      </c>
      <c r="H3257" t="s">
        <v>32</v>
      </c>
      <c r="I3257" t="s">
        <v>82</v>
      </c>
      <c r="J3257" t="s">
        <v>45</v>
      </c>
      <c r="K3257">
        <v>2.8</v>
      </c>
      <c r="L3257" t="s">
        <v>140</v>
      </c>
      <c r="M3257" t="s">
        <v>33</v>
      </c>
      <c r="N3257" t="s">
        <v>140</v>
      </c>
      <c r="O3257">
        <v>36</v>
      </c>
      <c r="P3257" t="s">
        <v>63</v>
      </c>
      <c r="Q3257" t="s">
        <v>76</v>
      </c>
      <c r="R3257" t="str" cm="1">
        <f t="array" ref="R3257">_xlfn.IFS(B3257&lt;31,"Young-Adult",B3257&lt;41,"Adult",B3257&lt;61,"Middle-aged",B3257&gt;=61,"Senior")</f>
        <v>Middle-aged</v>
      </c>
      <c r="S3257" cm="1">
        <f t="array" ref="S3257">_xlfn.IFS(Q3257 ="Fortnightly",14,Q3257="Weekly",7,Q3257="Monthly",30,Q3257="Quarterly",90,Q3257="Bi-Weekly",14,Q3257="Annually",365,Q3257="Every 3 Months",90,TRUE,"NOT FOUND")</f>
        <v>30</v>
      </c>
    </row>
    <row r="3258" spans="1:19" x14ac:dyDescent="0.35">
      <c r="A3258">
        <v>3257</v>
      </c>
      <c r="B3258">
        <v>60</v>
      </c>
      <c r="C3258" t="s">
        <v>141</v>
      </c>
      <c r="D3258" t="s">
        <v>77</v>
      </c>
      <c r="E3258" t="s">
        <v>55</v>
      </c>
      <c r="F3258">
        <v>26</v>
      </c>
      <c r="G3258" t="s">
        <v>138</v>
      </c>
      <c r="H3258" t="s">
        <v>11</v>
      </c>
      <c r="I3258" t="s">
        <v>73</v>
      </c>
      <c r="J3258" t="s">
        <v>13</v>
      </c>
      <c r="K3258">
        <v>4.7</v>
      </c>
      <c r="L3258" t="s">
        <v>140</v>
      </c>
      <c r="M3258" t="s">
        <v>26</v>
      </c>
      <c r="N3258" t="s">
        <v>140</v>
      </c>
      <c r="O3258">
        <v>50</v>
      </c>
      <c r="P3258" t="s">
        <v>16</v>
      </c>
      <c r="Q3258" t="s">
        <v>85</v>
      </c>
      <c r="R3258" t="str" cm="1">
        <f t="array" ref="R3258">_xlfn.IFS(B3258&lt;31,"Young-Adult",B3258&lt;41,"Adult",B3258&lt;61,"Middle-aged",B3258&gt;=61,"Senior")</f>
        <v>Middle-aged</v>
      </c>
      <c r="S3258" cm="1">
        <f t="array" ref="S3258">_xlfn.IFS(Q3258 ="Fortnightly",14,Q3258="Weekly",7,Q3258="Monthly",30,Q3258="Quarterly",90,Q3258="Bi-Weekly",14,Q3258="Annually",365,Q3258="Every 3 Months",90,TRUE,"NOT FOUND")</f>
        <v>90</v>
      </c>
    </row>
    <row r="3259" spans="1:19" x14ac:dyDescent="0.35">
      <c r="A3259">
        <v>3258</v>
      </c>
      <c r="B3259">
        <v>44</v>
      </c>
      <c r="C3259" t="s">
        <v>141</v>
      </c>
      <c r="D3259" t="s">
        <v>43</v>
      </c>
      <c r="E3259" t="s">
        <v>9</v>
      </c>
      <c r="F3259">
        <v>98</v>
      </c>
      <c r="G3259" t="s">
        <v>136</v>
      </c>
      <c r="H3259" t="s">
        <v>32</v>
      </c>
      <c r="I3259" t="s">
        <v>98</v>
      </c>
      <c r="J3259" t="s">
        <v>45</v>
      </c>
      <c r="K3259">
        <v>3.3</v>
      </c>
      <c r="L3259" t="s">
        <v>140</v>
      </c>
      <c r="M3259" t="s">
        <v>15</v>
      </c>
      <c r="N3259" t="s">
        <v>140</v>
      </c>
      <c r="O3259">
        <v>39</v>
      </c>
      <c r="P3259" t="s">
        <v>16</v>
      </c>
      <c r="Q3259" t="s">
        <v>85</v>
      </c>
      <c r="R3259" t="str" cm="1">
        <f t="array" ref="R3259">_xlfn.IFS(B3259&lt;31,"Young-Adult",B3259&lt;41,"Adult",B3259&lt;61,"Middle-aged",B3259&gt;=61,"Senior")</f>
        <v>Middle-aged</v>
      </c>
      <c r="S3259" cm="1">
        <f t="array" ref="S3259">_xlfn.IFS(Q3259 ="Fortnightly",14,Q3259="Weekly",7,Q3259="Monthly",30,Q3259="Quarterly",90,Q3259="Bi-Weekly",14,Q3259="Annually",365,Q3259="Every 3 Months",90,TRUE,"NOT FOUND")</f>
        <v>90</v>
      </c>
    </row>
    <row r="3260" spans="1:19" x14ac:dyDescent="0.35">
      <c r="A3260">
        <v>3259</v>
      </c>
      <c r="B3260">
        <v>31</v>
      </c>
      <c r="C3260" t="s">
        <v>141</v>
      </c>
      <c r="D3260" t="s">
        <v>59</v>
      </c>
      <c r="E3260" t="s">
        <v>30</v>
      </c>
      <c r="F3260">
        <v>51</v>
      </c>
      <c r="G3260" t="s">
        <v>115</v>
      </c>
      <c r="H3260" t="s">
        <v>32</v>
      </c>
      <c r="I3260" t="s">
        <v>124</v>
      </c>
      <c r="J3260" t="s">
        <v>25</v>
      </c>
      <c r="K3260">
        <v>4.3</v>
      </c>
      <c r="L3260" t="s">
        <v>140</v>
      </c>
      <c r="M3260" t="s">
        <v>15</v>
      </c>
      <c r="N3260" t="s">
        <v>140</v>
      </c>
      <c r="O3260">
        <v>11</v>
      </c>
      <c r="P3260" t="s">
        <v>27</v>
      </c>
      <c r="Q3260" t="s">
        <v>64</v>
      </c>
      <c r="R3260" t="str" cm="1">
        <f t="array" ref="R3260">_xlfn.IFS(B3260&lt;31,"Young-Adult",B3260&lt;41,"Adult",B3260&lt;61,"Middle-aged",B3260&gt;=61,"Senior")</f>
        <v>Adult</v>
      </c>
      <c r="S3260" cm="1">
        <f t="array" ref="S3260">_xlfn.IFS(Q3260 ="Fortnightly",14,Q3260="Weekly",7,Q3260="Monthly",30,Q3260="Quarterly",90,Q3260="Bi-Weekly",14,Q3260="Annually",365,Q3260="Every 3 Months",90,TRUE,"NOT FOUND")</f>
        <v>14</v>
      </c>
    </row>
    <row r="3261" spans="1:19" x14ac:dyDescent="0.35">
      <c r="A3261">
        <v>3260</v>
      </c>
      <c r="B3261">
        <v>57</v>
      </c>
      <c r="C3261" t="s">
        <v>141</v>
      </c>
      <c r="D3261" t="s">
        <v>112</v>
      </c>
      <c r="E3261" t="s">
        <v>55</v>
      </c>
      <c r="F3261">
        <v>95</v>
      </c>
      <c r="G3261" t="s">
        <v>89</v>
      </c>
      <c r="H3261" t="s">
        <v>80</v>
      </c>
      <c r="I3261" t="s">
        <v>114</v>
      </c>
      <c r="J3261" t="s">
        <v>45</v>
      </c>
      <c r="K3261">
        <v>3.7</v>
      </c>
      <c r="L3261" t="s">
        <v>140</v>
      </c>
      <c r="M3261" t="s">
        <v>58</v>
      </c>
      <c r="N3261" t="s">
        <v>140</v>
      </c>
      <c r="O3261">
        <v>5</v>
      </c>
      <c r="P3261" t="s">
        <v>74</v>
      </c>
      <c r="Q3261" t="s">
        <v>85</v>
      </c>
      <c r="R3261" t="str" cm="1">
        <f t="array" ref="R3261">_xlfn.IFS(B3261&lt;31,"Young-Adult",B3261&lt;41,"Adult",B3261&lt;61,"Middle-aged",B3261&gt;=61,"Senior")</f>
        <v>Middle-aged</v>
      </c>
      <c r="S3261" cm="1">
        <f t="array" ref="S3261">_xlfn.IFS(Q3261 ="Fortnightly",14,Q3261="Weekly",7,Q3261="Monthly",30,Q3261="Quarterly",90,Q3261="Bi-Weekly",14,Q3261="Annually",365,Q3261="Every 3 Months",90,TRUE,"NOT FOUND")</f>
        <v>90</v>
      </c>
    </row>
    <row r="3262" spans="1:19" x14ac:dyDescent="0.35">
      <c r="A3262">
        <v>3261</v>
      </c>
      <c r="B3262">
        <v>39</v>
      </c>
      <c r="C3262" t="s">
        <v>141</v>
      </c>
      <c r="D3262" t="s">
        <v>107</v>
      </c>
      <c r="E3262" t="s">
        <v>55</v>
      </c>
      <c r="F3262">
        <v>36</v>
      </c>
      <c r="G3262" t="s">
        <v>138</v>
      </c>
      <c r="H3262" t="s">
        <v>32</v>
      </c>
      <c r="I3262" t="s">
        <v>71</v>
      </c>
      <c r="J3262" t="s">
        <v>41</v>
      </c>
      <c r="K3262">
        <v>4.5</v>
      </c>
      <c r="L3262" t="s">
        <v>140</v>
      </c>
      <c r="M3262" t="s">
        <v>58</v>
      </c>
      <c r="N3262" t="s">
        <v>140</v>
      </c>
      <c r="O3262">
        <v>7</v>
      </c>
      <c r="P3262" t="s">
        <v>27</v>
      </c>
      <c r="Q3262" t="s">
        <v>37</v>
      </c>
      <c r="R3262" t="str" cm="1">
        <f t="array" ref="R3262">_xlfn.IFS(B3262&lt;31,"Young-Adult",B3262&lt;41,"Adult",B3262&lt;61,"Middle-aged",B3262&gt;=61,"Senior")</f>
        <v>Adult</v>
      </c>
      <c r="S3262" cm="1">
        <f t="array" ref="S3262">_xlfn.IFS(Q3262 ="Fortnightly",14,Q3262="Weekly",7,Q3262="Monthly",30,Q3262="Quarterly",90,Q3262="Bi-Weekly",14,Q3262="Annually",365,Q3262="Every 3 Months",90,TRUE,"NOT FOUND")</f>
        <v>365</v>
      </c>
    </row>
    <row r="3263" spans="1:19" x14ac:dyDescent="0.35">
      <c r="A3263">
        <v>3262</v>
      </c>
      <c r="B3263">
        <v>48</v>
      </c>
      <c r="C3263" t="s">
        <v>141</v>
      </c>
      <c r="D3263" t="s">
        <v>121</v>
      </c>
      <c r="E3263" t="s">
        <v>55</v>
      </c>
      <c r="F3263">
        <v>52</v>
      </c>
      <c r="G3263" t="s">
        <v>31</v>
      </c>
      <c r="H3263" t="s">
        <v>11</v>
      </c>
      <c r="I3263" t="s">
        <v>97</v>
      </c>
      <c r="J3263" t="s">
        <v>13</v>
      </c>
      <c r="K3263">
        <v>3.4</v>
      </c>
      <c r="L3263" t="s">
        <v>140</v>
      </c>
      <c r="M3263" t="s">
        <v>62</v>
      </c>
      <c r="N3263" t="s">
        <v>140</v>
      </c>
      <c r="O3263">
        <v>50</v>
      </c>
      <c r="P3263" t="s">
        <v>74</v>
      </c>
      <c r="Q3263" t="s">
        <v>28</v>
      </c>
      <c r="R3263" t="str" cm="1">
        <f t="array" ref="R3263">_xlfn.IFS(B3263&lt;31,"Young-Adult",B3263&lt;41,"Adult",B3263&lt;61,"Middle-aged",B3263&gt;=61,"Senior")</f>
        <v>Middle-aged</v>
      </c>
      <c r="S3263" cm="1">
        <f t="array" ref="S3263">_xlfn.IFS(Q3263 ="Fortnightly",14,Q3263="Weekly",7,Q3263="Monthly",30,Q3263="Quarterly",90,Q3263="Bi-Weekly",14,Q3263="Annually",365,Q3263="Every 3 Months",90,TRUE,"NOT FOUND")</f>
        <v>7</v>
      </c>
    </row>
    <row r="3264" spans="1:19" x14ac:dyDescent="0.35">
      <c r="A3264">
        <v>3263</v>
      </c>
      <c r="B3264">
        <v>42</v>
      </c>
      <c r="C3264" t="s">
        <v>141</v>
      </c>
      <c r="D3264" t="s">
        <v>101</v>
      </c>
      <c r="E3264" t="s">
        <v>9</v>
      </c>
      <c r="F3264">
        <v>35</v>
      </c>
      <c r="G3264" t="s">
        <v>104</v>
      </c>
      <c r="H3264" t="s">
        <v>32</v>
      </c>
      <c r="I3264" t="s">
        <v>71</v>
      </c>
      <c r="J3264" t="s">
        <v>25</v>
      </c>
      <c r="K3264">
        <v>2.7</v>
      </c>
      <c r="L3264" t="s">
        <v>140</v>
      </c>
      <c r="M3264" t="s">
        <v>42</v>
      </c>
      <c r="N3264" t="s">
        <v>140</v>
      </c>
      <c r="O3264">
        <v>21</v>
      </c>
      <c r="P3264" t="s">
        <v>21</v>
      </c>
      <c r="Q3264" t="s">
        <v>85</v>
      </c>
      <c r="R3264" t="str" cm="1">
        <f t="array" ref="R3264">_xlfn.IFS(B3264&lt;31,"Young-Adult",B3264&lt;41,"Adult",B3264&lt;61,"Middle-aged",B3264&gt;=61,"Senior")</f>
        <v>Middle-aged</v>
      </c>
      <c r="S3264" cm="1">
        <f t="array" ref="S3264">_xlfn.IFS(Q3264 ="Fortnightly",14,Q3264="Weekly",7,Q3264="Monthly",30,Q3264="Quarterly",90,Q3264="Bi-Weekly",14,Q3264="Annually",365,Q3264="Every 3 Months",90,TRUE,"NOT FOUND")</f>
        <v>90</v>
      </c>
    </row>
    <row r="3265" spans="1:19" x14ac:dyDescent="0.35">
      <c r="A3265">
        <v>3264</v>
      </c>
      <c r="B3265">
        <v>56</v>
      </c>
      <c r="C3265" t="s">
        <v>141</v>
      </c>
      <c r="D3265" t="s">
        <v>47</v>
      </c>
      <c r="E3265" t="s">
        <v>9</v>
      </c>
      <c r="F3265">
        <v>68</v>
      </c>
      <c r="G3265" t="s">
        <v>117</v>
      </c>
      <c r="H3265" t="s">
        <v>24</v>
      </c>
      <c r="I3265" t="s">
        <v>82</v>
      </c>
      <c r="J3265" t="s">
        <v>45</v>
      </c>
      <c r="K3265">
        <v>4.4000000000000004</v>
      </c>
      <c r="L3265" t="s">
        <v>140</v>
      </c>
      <c r="M3265" t="s">
        <v>15</v>
      </c>
      <c r="N3265" t="s">
        <v>140</v>
      </c>
      <c r="O3265">
        <v>31</v>
      </c>
      <c r="P3265" t="s">
        <v>74</v>
      </c>
      <c r="Q3265" t="s">
        <v>17</v>
      </c>
      <c r="R3265" t="str" cm="1">
        <f t="array" ref="R3265">_xlfn.IFS(B3265&lt;31,"Young-Adult",B3265&lt;41,"Adult",B3265&lt;61,"Middle-aged",B3265&gt;=61,"Senior")</f>
        <v>Middle-aged</v>
      </c>
      <c r="S3265" cm="1">
        <f t="array" ref="S3265">_xlfn.IFS(Q3265 ="Fortnightly",14,Q3265="Weekly",7,Q3265="Monthly",30,Q3265="Quarterly",90,Q3265="Bi-Weekly",14,Q3265="Annually",365,Q3265="Every 3 Months",90,TRUE,"NOT FOUND")</f>
        <v>14</v>
      </c>
    </row>
    <row r="3266" spans="1:19" x14ac:dyDescent="0.35">
      <c r="A3266">
        <v>3265</v>
      </c>
      <c r="B3266">
        <v>28</v>
      </c>
      <c r="C3266" t="s">
        <v>141</v>
      </c>
      <c r="D3266" t="s">
        <v>83</v>
      </c>
      <c r="E3266" t="s">
        <v>9</v>
      </c>
      <c r="F3266">
        <v>50</v>
      </c>
      <c r="G3266" t="s">
        <v>19</v>
      </c>
      <c r="H3266" t="s">
        <v>24</v>
      </c>
      <c r="I3266" t="s">
        <v>49</v>
      </c>
      <c r="J3266" t="s">
        <v>13</v>
      </c>
      <c r="K3266">
        <v>4</v>
      </c>
      <c r="L3266" t="s">
        <v>140</v>
      </c>
      <c r="M3266" t="s">
        <v>15</v>
      </c>
      <c r="N3266" t="s">
        <v>140</v>
      </c>
      <c r="O3266">
        <v>39</v>
      </c>
      <c r="P3266" t="s">
        <v>21</v>
      </c>
      <c r="Q3266" t="s">
        <v>64</v>
      </c>
      <c r="R3266" t="str" cm="1">
        <f t="array" ref="R3266">_xlfn.IFS(B3266&lt;31,"Young-Adult",B3266&lt;41,"Adult",B3266&lt;61,"Middle-aged",B3266&gt;=61,"Senior")</f>
        <v>Young-Adult</v>
      </c>
      <c r="S3266" cm="1">
        <f t="array" ref="S3266">_xlfn.IFS(Q3266 ="Fortnightly",14,Q3266="Weekly",7,Q3266="Monthly",30,Q3266="Quarterly",90,Q3266="Bi-Weekly",14,Q3266="Annually",365,Q3266="Every 3 Months",90,TRUE,"NOT FOUND")</f>
        <v>14</v>
      </c>
    </row>
    <row r="3267" spans="1:19" x14ac:dyDescent="0.35">
      <c r="A3267">
        <v>3266</v>
      </c>
      <c r="B3267">
        <v>40</v>
      </c>
      <c r="C3267" t="s">
        <v>141</v>
      </c>
      <c r="D3267" t="s">
        <v>77</v>
      </c>
      <c r="E3267" t="s">
        <v>55</v>
      </c>
      <c r="F3267">
        <v>100</v>
      </c>
      <c r="G3267" t="s">
        <v>78</v>
      </c>
      <c r="H3267" t="s">
        <v>32</v>
      </c>
      <c r="I3267" t="s">
        <v>40</v>
      </c>
      <c r="J3267" t="s">
        <v>13</v>
      </c>
      <c r="K3267">
        <v>3.2</v>
      </c>
      <c r="L3267" t="s">
        <v>140</v>
      </c>
      <c r="M3267" t="s">
        <v>15</v>
      </c>
      <c r="N3267" t="s">
        <v>140</v>
      </c>
      <c r="O3267">
        <v>28</v>
      </c>
      <c r="P3267" t="s">
        <v>27</v>
      </c>
      <c r="Q3267" t="s">
        <v>17</v>
      </c>
      <c r="R3267" t="str" cm="1">
        <f t="array" ref="R3267">_xlfn.IFS(B3267&lt;31,"Young-Adult",B3267&lt;41,"Adult",B3267&lt;61,"Middle-aged",B3267&gt;=61,"Senior")</f>
        <v>Adult</v>
      </c>
      <c r="S3267" cm="1">
        <f t="array" ref="S3267">_xlfn.IFS(Q3267 ="Fortnightly",14,Q3267="Weekly",7,Q3267="Monthly",30,Q3267="Quarterly",90,Q3267="Bi-Weekly",14,Q3267="Annually",365,Q3267="Every 3 Months",90,TRUE,"NOT FOUND")</f>
        <v>14</v>
      </c>
    </row>
    <row r="3268" spans="1:19" x14ac:dyDescent="0.35">
      <c r="A3268">
        <v>3267</v>
      </c>
      <c r="B3268">
        <v>49</v>
      </c>
      <c r="C3268" t="s">
        <v>141</v>
      </c>
      <c r="D3268" t="s">
        <v>50</v>
      </c>
      <c r="E3268" t="s">
        <v>51</v>
      </c>
      <c r="F3268">
        <v>74</v>
      </c>
      <c r="G3268" t="s">
        <v>78</v>
      </c>
      <c r="H3268" t="s">
        <v>24</v>
      </c>
      <c r="I3268" t="s">
        <v>12</v>
      </c>
      <c r="J3268" t="s">
        <v>13</v>
      </c>
      <c r="K3268">
        <v>4.2</v>
      </c>
      <c r="L3268" t="s">
        <v>140</v>
      </c>
      <c r="M3268" t="s">
        <v>33</v>
      </c>
      <c r="N3268" t="s">
        <v>140</v>
      </c>
      <c r="O3268">
        <v>33</v>
      </c>
      <c r="P3268" t="s">
        <v>63</v>
      </c>
      <c r="Q3268" t="s">
        <v>28</v>
      </c>
      <c r="R3268" t="str" cm="1">
        <f t="array" ref="R3268">_xlfn.IFS(B3268&lt;31,"Young-Adult",B3268&lt;41,"Adult",B3268&lt;61,"Middle-aged",B3268&gt;=61,"Senior")</f>
        <v>Middle-aged</v>
      </c>
      <c r="S3268" cm="1">
        <f t="array" ref="S3268">_xlfn.IFS(Q3268 ="Fortnightly",14,Q3268="Weekly",7,Q3268="Monthly",30,Q3268="Quarterly",90,Q3268="Bi-Weekly",14,Q3268="Annually",365,Q3268="Every 3 Months",90,TRUE,"NOT FOUND")</f>
        <v>7</v>
      </c>
    </row>
    <row r="3269" spans="1:19" x14ac:dyDescent="0.35">
      <c r="A3269">
        <v>3268</v>
      </c>
      <c r="B3269">
        <v>37</v>
      </c>
      <c r="C3269" t="s">
        <v>141</v>
      </c>
      <c r="D3269" t="s">
        <v>92</v>
      </c>
      <c r="E3269" t="s">
        <v>9</v>
      </c>
      <c r="F3269">
        <v>45</v>
      </c>
      <c r="G3269" t="s">
        <v>123</v>
      </c>
      <c r="H3269" t="s">
        <v>11</v>
      </c>
      <c r="I3269" t="s">
        <v>57</v>
      </c>
      <c r="J3269" t="s">
        <v>13</v>
      </c>
      <c r="K3269">
        <v>3</v>
      </c>
      <c r="L3269" t="s">
        <v>140</v>
      </c>
      <c r="M3269" t="s">
        <v>62</v>
      </c>
      <c r="N3269" t="s">
        <v>140</v>
      </c>
      <c r="O3269">
        <v>42</v>
      </c>
      <c r="P3269" t="s">
        <v>27</v>
      </c>
      <c r="Q3269" t="s">
        <v>46</v>
      </c>
      <c r="R3269" t="str" cm="1">
        <f t="array" ref="R3269">_xlfn.IFS(B3269&lt;31,"Young-Adult",B3269&lt;41,"Adult",B3269&lt;61,"Middle-aged",B3269&gt;=61,"Senior")</f>
        <v>Adult</v>
      </c>
      <c r="S3269" cm="1">
        <f t="array" ref="S3269">_xlfn.IFS(Q3269 ="Fortnightly",14,Q3269="Weekly",7,Q3269="Monthly",30,Q3269="Quarterly",90,Q3269="Bi-Weekly",14,Q3269="Annually",365,Q3269="Every 3 Months",90,TRUE,"NOT FOUND")</f>
        <v>90</v>
      </c>
    </row>
    <row r="3270" spans="1:19" x14ac:dyDescent="0.35">
      <c r="A3270">
        <v>3269</v>
      </c>
      <c r="B3270">
        <v>22</v>
      </c>
      <c r="C3270" t="s">
        <v>141</v>
      </c>
      <c r="D3270" t="s">
        <v>69</v>
      </c>
      <c r="E3270" t="s">
        <v>9</v>
      </c>
      <c r="F3270">
        <v>97</v>
      </c>
      <c r="G3270" t="s">
        <v>60</v>
      </c>
      <c r="H3270" t="s">
        <v>32</v>
      </c>
      <c r="I3270" t="s">
        <v>97</v>
      </c>
      <c r="J3270" t="s">
        <v>45</v>
      </c>
      <c r="K3270">
        <v>2.8</v>
      </c>
      <c r="L3270" t="s">
        <v>140</v>
      </c>
      <c r="M3270" t="s">
        <v>26</v>
      </c>
      <c r="N3270" t="s">
        <v>140</v>
      </c>
      <c r="O3270">
        <v>5</v>
      </c>
      <c r="P3270" t="s">
        <v>63</v>
      </c>
      <c r="Q3270" t="s">
        <v>85</v>
      </c>
      <c r="R3270" t="str" cm="1">
        <f t="array" ref="R3270">_xlfn.IFS(B3270&lt;31,"Young-Adult",B3270&lt;41,"Adult",B3270&lt;61,"Middle-aged",B3270&gt;=61,"Senior")</f>
        <v>Young-Adult</v>
      </c>
      <c r="S3270" cm="1">
        <f t="array" ref="S3270">_xlfn.IFS(Q3270 ="Fortnightly",14,Q3270="Weekly",7,Q3270="Monthly",30,Q3270="Quarterly",90,Q3270="Bi-Weekly",14,Q3270="Annually",365,Q3270="Every 3 Months",90,TRUE,"NOT FOUND")</f>
        <v>90</v>
      </c>
    </row>
    <row r="3271" spans="1:19" x14ac:dyDescent="0.35">
      <c r="A3271">
        <v>3270</v>
      </c>
      <c r="B3271">
        <v>27</v>
      </c>
      <c r="C3271" t="s">
        <v>141</v>
      </c>
      <c r="D3271" t="s">
        <v>8</v>
      </c>
      <c r="E3271" t="s">
        <v>9</v>
      </c>
      <c r="F3271">
        <v>60</v>
      </c>
      <c r="G3271" t="s">
        <v>111</v>
      </c>
      <c r="H3271" t="s">
        <v>32</v>
      </c>
      <c r="I3271" t="s">
        <v>132</v>
      </c>
      <c r="J3271" t="s">
        <v>13</v>
      </c>
      <c r="K3271">
        <v>4.9000000000000004</v>
      </c>
      <c r="L3271" t="s">
        <v>140</v>
      </c>
      <c r="M3271" t="s">
        <v>15</v>
      </c>
      <c r="N3271" t="s">
        <v>140</v>
      </c>
      <c r="O3271">
        <v>25</v>
      </c>
      <c r="P3271" t="s">
        <v>21</v>
      </c>
      <c r="Q3271" t="s">
        <v>76</v>
      </c>
      <c r="R3271" t="str" cm="1">
        <f t="array" ref="R3271">_xlfn.IFS(B3271&lt;31,"Young-Adult",B3271&lt;41,"Adult",B3271&lt;61,"Middle-aged",B3271&gt;=61,"Senior")</f>
        <v>Young-Adult</v>
      </c>
      <c r="S3271" cm="1">
        <f t="array" ref="S3271">_xlfn.IFS(Q3271 ="Fortnightly",14,Q3271="Weekly",7,Q3271="Monthly",30,Q3271="Quarterly",90,Q3271="Bi-Weekly",14,Q3271="Annually",365,Q3271="Every 3 Months",90,TRUE,"NOT FOUND")</f>
        <v>30</v>
      </c>
    </row>
    <row r="3272" spans="1:19" x14ac:dyDescent="0.35">
      <c r="A3272">
        <v>3271</v>
      </c>
      <c r="B3272">
        <v>59</v>
      </c>
      <c r="C3272" t="s">
        <v>141</v>
      </c>
      <c r="D3272" t="s">
        <v>113</v>
      </c>
      <c r="E3272" t="s">
        <v>9</v>
      </c>
      <c r="F3272">
        <v>25</v>
      </c>
      <c r="G3272" t="s">
        <v>103</v>
      </c>
      <c r="H3272" t="s">
        <v>32</v>
      </c>
      <c r="I3272" t="s">
        <v>114</v>
      </c>
      <c r="J3272" t="s">
        <v>13</v>
      </c>
      <c r="K3272">
        <v>4.7</v>
      </c>
      <c r="L3272" t="s">
        <v>140</v>
      </c>
      <c r="M3272" t="s">
        <v>15</v>
      </c>
      <c r="N3272" t="s">
        <v>140</v>
      </c>
      <c r="O3272">
        <v>48</v>
      </c>
      <c r="P3272" t="s">
        <v>34</v>
      </c>
      <c r="Q3272" t="s">
        <v>37</v>
      </c>
      <c r="R3272" t="str" cm="1">
        <f t="array" ref="R3272">_xlfn.IFS(B3272&lt;31,"Young-Adult",B3272&lt;41,"Adult",B3272&lt;61,"Middle-aged",B3272&gt;=61,"Senior")</f>
        <v>Middle-aged</v>
      </c>
      <c r="S3272" cm="1">
        <f t="array" ref="S3272">_xlfn.IFS(Q3272 ="Fortnightly",14,Q3272="Weekly",7,Q3272="Monthly",30,Q3272="Quarterly",90,Q3272="Bi-Weekly",14,Q3272="Annually",365,Q3272="Every 3 Months",90,TRUE,"NOT FOUND")</f>
        <v>365</v>
      </c>
    </row>
    <row r="3273" spans="1:19" x14ac:dyDescent="0.35">
      <c r="A3273">
        <v>3272</v>
      </c>
      <c r="B3273">
        <v>35</v>
      </c>
      <c r="C3273" t="s">
        <v>141</v>
      </c>
      <c r="D3273" t="s">
        <v>113</v>
      </c>
      <c r="E3273" t="s">
        <v>9</v>
      </c>
      <c r="F3273">
        <v>55</v>
      </c>
      <c r="G3273" t="s">
        <v>95</v>
      </c>
      <c r="H3273" t="s">
        <v>80</v>
      </c>
      <c r="I3273" t="s">
        <v>124</v>
      </c>
      <c r="J3273" t="s">
        <v>25</v>
      </c>
      <c r="K3273">
        <v>4.4000000000000004</v>
      </c>
      <c r="L3273" t="s">
        <v>140</v>
      </c>
      <c r="M3273" t="s">
        <v>42</v>
      </c>
      <c r="N3273" t="s">
        <v>140</v>
      </c>
      <c r="O3273">
        <v>30</v>
      </c>
      <c r="P3273" t="s">
        <v>27</v>
      </c>
      <c r="Q3273" t="s">
        <v>28</v>
      </c>
      <c r="R3273" t="str" cm="1">
        <f t="array" ref="R3273">_xlfn.IFS(B3273&lt;31,"Young-Adult",B3273&lt;41,"Adult",B3273&lt;61,"Middle-aged",B3273&gt;=61,"Senior")</f>
        <v>Adult</v>
      </c>
      <c r="S3273" cm="1">
        <f t="array" ref="S3273">_xlfn.IFS(Q3273 ="Fortnightly",14,Q3273="Weekly",7,Q3273="Monthly",30,Q3273="Quarterly",90,Q3273="Bi-Weekly",14,Q3273="Annually",365,Q3273="Every 3 Months",90,TRUE,"NOT FOUND")</f>
        <v>7</v>
      </c>
    </row>
    <row r="3274" spans="1:19" x14ac:dyDescent="0.35">
      <c r="A3274">
        <v>3273</v>
      </c>
      <c r="B3274">
        <v>58</v>
      </c>
      <c r="C3274" t="s">
        <v>141</v>
      </c>
      <c r="D3274" t="s">
        <v>59</v>
      </c>
      <c r="E3274" t="s">
        <v>30</v>
      </c>
      <c r="F3274">
        <v>99</v>
      </c>
      <c r="G3274" t="s">
        <v>93</v>
      </c>
      <c r="H3274" t="s">
        <v>32</v>
      </c>
      <c r="I3274" t="s">
        <v>81</v>
      </c>
      <c r="J3274" t="s">
        <v>13</v>
      </c>
      <c r="K3274">
        <v>3.1</v>
      </c>
      <c r="L3274" t="s">
        <v>140</v>
      </c>
      <c r="M3274" t="s">
        <v>33</v>
      </c>
      <c r="N3274" t="s">
        <v>140</v>
      </c>
      <c r="O3274">
        <v>34</v>
      </c>
      <c r="P3274" t="s">
        <v>34</v>
      </c>
      <c r="Q3274" t="s">
        <v>46</v>
      </c>
      <c r="R3274" t="str" cm="1">
        <f t="array" ref="R3274">_xlfn.IFS(B3274&lt;31,"Young-Adult",B3274&lt;41,"Adult",B3274&lt;61,"Middle-aged",B3274&gt;=61,"Senior")</f>
        <v>Middle-aged</v>
      </c>
      <c r="S3274" cm="1">
        <f t="array" ref="S3274">_xlfn.IFS(Q3274 ="Fortnightly",14,Q3274="Weekly",7,Q3274="Monthly",30,Q3274="Quarterly",90,Q3274="Bi-Weekly",14,Q3274="Annually",365,Q3274="Every 3 Months",90,TRUE,"NOT FOUND")</f>
        <v>90</v>
      </c>
    </row>
    <row r="3275" spans="1:19" x14ac:dyDescent="0.35">
      <c r="A3275">
        <v>3274</v>
      </c>
      <c r="B3275">
        <v>58</v>
      </c>
      <c r="C3275" t="s">
        <v>141</v>
      </c>
      <c r="D3275" t="s">
        <v>121</v>
      </c>
      <c r="E3275" t="s">
        <v>55</v>
      </c>
      <c r="F3275">
        <v>45</v>
      </c>
      <c r="G3275" t="s">
        <v>95</v>
      </c>
      <c r="H3275" t="s">
        <v>24</v>
      </c>
      <c r="I3275" t="s">
        <v>109</v>
      </c>
      <c r="J3275" t="s">
        <v>41</v>
      </c>
      <c r="K3275">
        <v>2.6</v>
      </c>
      <c r="L3275" t="s">
        <v>140</v>
      </c>
      <c r="M3275" t="s">
        <v>26</v>
      </c>
      <c r="N3275" t="s">
        <v>140</v>
      </c>
      <c r="O3275">
        <v>34</v>
      </c>
      <c r="P3275" t="s">
        <v>34</v>
      </c>
      <c r="Q3275" t="s">
        <v>85</v>
      </c>
      <c r="R3275" t="str" cm="1">
        <f t="array" ref="R3275">_xlfn.IFS(B3275&lt;31,"Young-Adult",B3275&lt;41,"Adult",B3275&lt;61,"Middle-aged",B3275&gt;=61,"Senior")</f>
        <v>Middle-aged</v>
      </c>
      <c r="S3275" cm="1">
        <f t="array" ref="S3275">_xlfn.IFS(Q3275 ="Fortnightly",14,Q3275="Weekly",7,Q3275="Monthly",30,Q3275="Quarterly",90,Q3275="Bi-Weekly",14,Q3275="Annually",365,Q3275="Every 3 Months",90,TRUE,"NOT FOUND")</f>
        <v>90</v>
      </c>
    </row>
    <row r="3276" spans="1:19" x14ac:dyDescent="0.35">
      <c r="A3276">
        <v>3275</v>
      </c>
      <c r="B3276">
        <v>46</v>
      </c>
      <c r="C3276" t="s">
        <v>141</v>
      </c>
      <c r="D3276" t="s">
        <v>18</v>
      </c>
      <c r="E3276" t="s">
        <v>9</v>
      </c>
      <c r="F3276">
        <v>20</v>
      </c>
      <c r="G3276" t="s">
        <v>89</v>
      </c>
      <c r="H3276" t="s">
        <v>32</v>
      </c>
      <c r="I3276" t="s">
        <v>97</v>
      </c>
      <c r="J3276" t="s">
        <v>25</v>
      </c>
      <c r="K3276">
        <v>3.9</v>
      </c>
      <c r="L3276" t="s">
        <v>140</v>
      </c>
      <c r="M3276" t="s">
        <v>62</v>
      </c>
      <c r="N3276" t="s">
        <v>140</v>
      </c>
      <c r="O3276">
        <v>14</v>
      </c>
      <c r="P3276" t="s">
        <v>21</v>
      </c>
      <c r="Q3276" t="s">
        <v>17</v>
      </c>
      <c r="R3276" t="str" cm="1">
        <f t="array" ref="R3276">_xlfn.IFS(B3276&lt;31,"Young-Adult",B3276&lt;41,"Adult",B3276&lt;61,"Middle-aged",B3276&gt;=61,"Senior")</f>
        <v>Middle-aged</v>
      </c>
      <c r="S3276" cm="1">
        <f t="array" ref="S3276">_xlfn.IFS(Q3276 ="Fortnightly",14,Q3276="Weekly",7,Q3276="Monthly",30,Q3276="Quarterly",90,Q3276="Bi-Weekly",14,Q3276="Annually",365,Q3276="Every 3 Months",90,TRUE,"NOT FOUND")</f>
        <v>14</v>
      </c>
    </row>
    <row r="3277" spans="1:19" x14ac:dyDescent="0.35">
      <c r="A3277">
        <v>3276</v>
      </c>
      <c r="B3277">
        <v>43</v>
      </c>
      <c r="C3277" t="s">
        <v>141</v>
      </c>
      <c r="D3277" t="s">
        <v>83</v>
      </c>
      <c r="E3277" t="s">
        <v>9</v>
      </c>
      <c r="F3277">
        <v>88</v>
      </c>
      <c r="G3277" t="s">
        <v>78</v>
      </c>
      <c r="H3277" t="s">
        <v>80</v>
      </c>
      <c r="I3277" t="s">
        <v>84</v>
      </c>
      <c r="J3277" t="s">
        <v>41</v>
      </c>
      <c r="K3277">
        <v>2.6</v>
      </c>
      <c r="L3277" t="s">
        <v>140</v>
      </c>
      <c r="M3277" t="s">
        <v>58</v>
      </c>
      <c r="N3277" t="s">
        <v>140</v>
      </c>
      <c r="O3277">
        <v>2</v>
      </c>
      <c r="P3277" t="s">
        <v>74</v>
      </c>
      <c r="Q3277" t="s">
        <v>28</v>
      </c>
      <c r="R3277" t="str" cm="1">
        <f t="array" ref="R3277">_xlfn.IFS(B3277&lt;31,"Young-Adult",B3277&lt;41,"Adult",B3277&lt;61,"Middle-aged",B3277&gt;=61,"Senior")</f>
        <v>Middle-aged</v>
      </c>
      <c r="S3277" cm="1">
        <f t="array" ref="S3277">_xlfn.IFS(Q3277 ="Fortnightly",14,Q3277="Weekly",7,Q3277="Monthly",30,Q3277="Quarterly",90,Q3277="Bi-Weekly",14,Q3277="Annually",365,Q3277="Every 3 Months",90,TRUE,"NOT FOUND")</f>
        <v>7</v>
      </c>
    </row>
    <row r="3278" spans="1:19" x14ac:dyDescent="0.35">
      <c r="A3278">
        <v>3277</v>
      </c>
      <c r="B3278">
        <v>39</v>
      </c>
      <c r="C3278" t="s">
        <v>141</v>
      </c>
      <c r="D3278" t="s">
        <v>107</v>
      </c>
      <c r="E3278" t="s">
        <v>55</v>
      </c>
      <c r="F3278">
        <v>99</v>
      </c>
      <c r="G3278" t="s">
        <v>135</v>
      </c>
      <c r="H3278" t="s">
        <v>32</v>
      </c>
      <c r="I3278" t="s">
        <v>40</v>
      </c>
      <c r="J3278" t="s">
        <v>41</v>
      </c>
      <c r="K3278">
        <v>4</v>
      </c>
      <c r="L3278" t="s">
        <v>140</v>
      </c>
      <c r="M3278" t="s">
        <v>62</v>
      </c>
      <c r="N3278" t="s">
        <v>140</v>
      </c>
      <c r="O3278">
        <v>41</v>
      </c>
      <c r="P3278" t="s">
        <v>34</v>
      </c>
      <c r="Q3278" t="s">
        <v>85</v>
      </c>
      <c r="R3278" t="str" cm="1">
        <f t="array" ref="R3278">_xlfn.IFS(B3278&lt;31,"Young-Adult",B3278&lt;41,"Adult",B3278&lt;61,"Middle-aged",B3278&gt;=61,"Senior")</f>
        <v>Adult</v>
      </c>
      <c r="S3278" cm="1">
        <f t="array" ref="S3278">_xlfn.IFS(Q3278 ="Fortnightly",14,Q3278="Weekly",7,Q3278="Monthly",30,Q3278="Quarterly",90,Q3278="Bi-Weekly",14,Q3278="Annually",365,Q3278="Every 3 Months",90,TRUE,"NOT FOUND")</f>
        <v>90</v>
      </c>
    </row>
    <row r="3279" spans="1:19" x14ac:dyDescent="0.35">
      <c r="A3279">
        <v>3278</v>
      </c>
      <c r="B3279">
        <v>59</v>
      </c>
      <c r="C3279" t="s">
        <v>141</v>
      </c>
      <c r="D3279" t="s">
        <v>75</v>
      </c>
      <c r="E3279" t="s">
        <v>9</v>
      </c>
      <c r="F3279">
        <v>86</v>
      </c>
      <c r="G3279" t="s">
        <v>93</v>
      </c>
      <c r="H3279" t="s">
        <v>32</v>
      </c>
      <c r="I3279" t="s">
        <v>132</v>
      </c>
      <c r="J3279" t="s">
        <v>25</v>
      </c>
      <c r="K3279">
        <v>4.9000000000000004</v>
      </c>
      <c r="L3279" t="s">
        <v>140</v>
      </c>
      <c r="M3279" t="s">
        <v>62</v>
      </c>
      <c r="N3279" t="s">
        <v>140</v>
      </c>
      <c r="O3279">
        <v>3</v>
      </c>
      <c r="P3279" t="s">
        <v>27</v>
      </c>
      <c r="Q3279" t="s">
        <v>76</v>
      </c>
      <c r="R3279" t="str" cm="1">
        <f t="array" ref="R3279">_xlfn.IFS(B3279&lt;31,"Young-Adult",B3279&lt;41,"Adult",B3279&lt;61,"Middle-aged",B3279&gt;=61,"Senior")</f>
        <v>Middle-aged</v>
      </c>
      <c r="S3279" cm="1">
        <f t="array" ref="S3279">_xlfn.IFS(Q3279 ="Fortnightly",14,Q3279="Weekly",7,Q3279="Monthly",30,Q3279="Quarterly",90,Q3279="Bi-Weekly",14,Q3279="Annually",365,Q3279="Every 3 Months",90,TRUE,"NOT FOUND")</f>
        <v>30</v>
      </c>
    </row>
    <row r="3280" spans="1:19" x14ac:dyDescent="0.35">
      <c r="A3280">
        <v>3279</v>
      </c>
      <c r="B3280">
        <v>59</v>
      </c>
      <c r="C3280" t="s">
        <v>141</v>
      </c>
      <c r="D3280" t="s">
        <v>69</v>
      </c>
      <c r="E3280" t="s">
        <v>9</v>
      </c>
      <c r="F3280">
        <v>70</v>
      </c>
      <c r="G3280" t="s">
        <v>44</v>
      </c>
      <c r="H3280" t="s">
        <v>32</v>
      </c>
      <c r="I3280" t="s">
        <v>82</v>
      </c>
      <c r="J3280" t="s">
        <v>41</v>
      </c>
      <c r="K3280">
        <v>3.3</v>
      </c>
      <c r="L3280" t="s">
        <v>140</v>
      </c>
      <c r="M3280" t="s">
        <v>58</v>
      </c>
      <c r="N3280" t="s">
        <v>140</v>
      </c>
      <c r="O3280">
        <v>18</v>
      </c>
      <c r="P3280" t="s">
        <v>63</v>
      </c>
      <c r="Q3280" t="s">
        <v>28</v>
      </c>
      <c r="R3280" t="str" cm="1">
        <f t="array" ref="R3280">_xlfn.IFS(B3280&lt;31,"Young-Adult",B3280&lt;41,"Adult",B3280&lt;61,"Middle-aged",B3280&gt;=61,"Senior")</f>
        <v>Middle-aged</v>
      </c>
      <c r="S3280" cm="1">
        <f t="array" ref="S3280">_xlfn.IFS(Q3280 ="Fortnightly",14,Q3280="Weekly",7,Q3280="Monthly",30,Q3280="Quarterly",90,Q3280="Bi-Weekly",14,Q3280="Annually",365,Q3280="Every 3 Months",90,TRUE,"NOT FOUND")</f>
        <v>7</v>
      </c>
    </row>
    <row r="3281" spans="1:19" x14ac:dyDescent="0.35">
      <c r="A3281">
        <v>3280</v>
      </c>
      <c r="B3281">
        <v>59</v>
      </c>
      <c r="C3281" t="s">
        <v>141</v>
      </c>
      <c r="D3281" t="s">
        <v>112</v>
      </c>
      <c r="E3281" t="s">
        <v>55</v>
      </c>
      <c r="F3281">
        <v>50</v>
      </c>
      <c r="G3281" t="s">
        <v>39</v>
      </c>
      <c r="H3281" t="s">
        <v>24</v>
      </c>
      <c r="I3281" t="s">
        <v>96</v>
      </c>
      <c r="J3281" t="s">
        <v>45</v>
      </c>
      <c r="K3281">
        <v>3</v>
      </c>
      <c r="L3281" t="s">
        <v>140</v>
      </c>
      <c r="M3281" t="s">
        <v>15</v>
      </c>
      <c r="N3281" t="s">
        <v>140</v>
      </c>
      <c r="O3281">
        <v>1</v>
      </c>
      <c r="P3281" t="s">
        <v>74</v>
      </c>
      <c r="Q3281" t="s">
        <v>17</v>
      </c>
      <c r="R3281" t="str" cm="1">
        <f t="array" ref="R3281">_xlfn.IFS(B3281&lt;31,"Young-Adult",B3281&lt;41,"Adult",B3281&lt;61,"Middle-aged",B3281&gt;=61,"Senior")</f>
        <v>Middle-aged</v>
      </c>
      <c r="S3281" cm="1">
        <f t="array" ref="S3281">_xlfn.IFS(Q3281 ="Fortnightly",14,Q3281="Weekly",7,Q3281="Monthly",30,Q3281="Quarterly",90,Q3281="Bi-Weekly",14,Q3281="Annually",365,Q3281="Every 3 Months",90,TRUE,"NOT FOUND")</f>
        <v>14</v>
      </c>
    </row>
    <row r="3282" spans="1:19" x14ac:dyDescent="0.35">
      <c r="A3282">
        <v>3281</v>
      </c>
      <c r="B3282">
        <v>45</v>
      </c>
      <c r="C3282" t="s">
        <v>141</v>
      </c>
      <c r="D3282" t="s">
        <v>54</v>
      </c>
      <c r="E3282" t="s">
        <v>55</v>
      </c>
      <c r="F3282">
        <v>57</v>
      </c>
      <c r="G3282" t="s">
        <v>72</v>
      </c>
      <c r="H3282" t="s">
        <v>11</v>
      </c>
      <c r="I3282" t="s">
        <v>96</v>
      </c>
      <c r="J3282" t="s">
        <v>13</v>
      </c>
      <c r="K3282">
        <v>2.7</v>
      </c>
      <c r="L3282" t="s">
        <v>140</v>
      </c>
      <c r="M3282" t="s">
        <v>33</v>
      </c>
      <c r="N3282" t="s">
        <v>140</v>
      </c>
      <c r="O3282">
        <v>5</v>
      </c>
      <c r="P3282" t="s">
        <v>34</v>
      </c>
      <c r="Q3282" t="s">
        <v>76</v>
      </c>
      <c r="R3282" t="str" cm="1">
        <f t="array" ref="R3282">_xlfn.IFS(B3282&lt;31,"Young-Adult",B3282&lt;41,"Adult",B3282&lt;61,"Middle-aged",B3282&gt;=61,"Senior")</f>
        <v>Middle-aged</v>
      </c>
      <c r="S3282" cm="1">
        <f t="array" ref="S3282">_xlfn.IFS(Q3282 ="Fortnightly",14,Q3282="Weekly",7,Q3282="Monthly",30,Q3282="Quarterly",90,Q3282="Bi-Weekly",14,Q3282="Annually",365,Q3282="Every 3 Months",90,TRUE,"NOT FOUND")</f>
        <v>30</v>
      </c>
    </row>
    <row r="3283" spans="1:19" x14ac:dyDescent="0.35">
      <c r="A3283">
        <v>3282</v>
      </c>
      <c r="B3283">
        <v>27</v>
      </c>
      <c r="C3283" t="s">
        <v>141</v>
      </c>
      <c r="D3283" t="s">
        <v>83</v>
      </c>
      <c r="E3283" t="s">
        <v>9</v>
      </c>
      <c r="F3283">
        <v>69</v>
      </c>
      <c r="G3283" t="s">
        <v>35</v>
      </c>
      <c r="H3283" t="s">
        <v>11</v>
      </c>
      <c r="I3283" t="s">
        <v>68</v>
      </c>
      <c r="J3283" t="s">
        <v>13</v>
      </c>
      <c r="K3283">
        <v>3.1</v>
      </c>
      <c r="L3283" t="s">
        <v>140</v>
      </c>
      <c r="M3283" t="s">
        <v>26</v>
      </c>
      <c r="N3283" t="s">
        <v>140</v>
      </c>
      <c r="O3283">
        <v>41</v>
      </c>
      <c r="P3283" t="s">
        <v>63</v>
      </c>
      <c r="Q3283" t="s">
        <v>37</v>
      </c>
      <c r="R3283" t="str" cm="1">
        <f t="array" ref="R3283">_xlfn.IFS(B3283&lt;31,"Young-Adult",B3283&lt;41,"Adult",B3283&lt;61,"Middle-aged",B3283&gt;=61,"Senior")</f>
        <v>Young-Adult</v>
      </c>
      <c r="S3283" cm="1">
        <f t="array" ref="S3283">_xlfn.IFS(Q3283 ="Fortnightly",14,Q3283="Weekly",7,Q3283="Monthly",30,Q3283="Quarterly",90,Q3283="Bi-Weekly",14,Q3283="Annually",365,Q3283="Every 3 Months",90,TRUE,"NOT FOUND")</f>
        <v>365</v>
      </c>
    </row>
    <row r="3284" spans="1:19" x14ac:dyDescent="0.35">
      <c r="A3284">
        <v>3283</v>
      </c>
      <c r="B3284">
        <v>24</v>
      </c>
      <c r="C3284" t="s">
        <v>141</v>
      </c>
      <c r="D3284" t="s">
        <v>101</v>
      </c>
      <c r="E3284" t="s">
        <v>9</v>
      </c>
      <c r="F3284">
        <v>94</v>
      </c>
      <c r="G3284" t="s">
        <v>87</v>
      </c>
      <c r="H3284" t="s">
        <v>32</v>
      </c>
      <c r="I3284" t="s">
        <v>96</v>
      </c>
      <c r="J3284" t="s">
        <v>45</v>
      </c>
      <c r="K3284">
        <v>4.8</v>
      </c>
      <c r="L3284" t="s">
        <v>140</v>
      </c>
      <c r="M3284" t="s">
        <v>33</v>
      </c>
      <c r="N3284" t="s">
        <v>140</v>
      </c>
      <c r="O3284">
        <v>5</v>
      </c>
      <c r="P3284" t="s">
        <v>27</v>
      </c>
      <c r="Q3284" t="s">
        <v>76</v>
      </c>
      <c r="R3284" t="str" cm="1">
        <f t="array" ref="R3284">_xlfn.IFS(B3284&lt;31,"Young-Adult",B3284&lt;41,"Adult",B3284&lt;61,"Middle-aged",B3284&gt;=61,"Senior")</f>
        <v>Young-Adult</v>
      </c>
      <c r="S3284" cm="1">
        <f t="array" ref="S3284">_xlfn.IFS(Q3284 ="Fortnightly",14,Q3284="Weekly",7,Q3284="Monthly",30,Q3284="Quarterly",90,Q3284="Bi-Weekly",14,Q3284="Annually",365,Q3284="Every 3 Months",90,TRUE,"NOT FOUND")</f>
        <v>30</v>
      </c>
    </row>
    <row r="3285" spans="1:19" x14ac:dyDescent="0.35">
      <c r="A3285">
        <v>3284</v>
      </c>
      <c r="B3285">
        <v>47</v>
      </c>
      <c r="C3285" t="s">
        <v>141</v>
      </c>
      <c r="D3285" t="s">
        <v>90</v>
      </c>
      <c r="E3285" t="s">
        <v>51</v>
      </c>
      <c r="F3285">
        <v>24</v>
      </c>
      <c r="G3285" t="s">
        <v>86</v>
      </c>
      <c r="H3285" t="s">
        <v>11</v>
      </c>
      <c r="I3285" t="s">
        <v>61</v>
      </c>
      <c r="J3285" t="s">
        <v>25</v>
      </c>
      <c r="K3285">
        <v>2.9</v>
      </c>
      <c r="L3285" t="s">
        <v>140</v>
      </c>
      <c r="M3285" t="s">
        <v>15</v>
      </c>
      <c r="N3285" t="s">
        <v>140</v>
      </c>
      <c r="O3285">
        <v>10</v>
      </c>
      <c r="P3285" t="s">
        <v>74</v>
      </c>
      <c r="Q3285" t="s">
        <v>85</v>
      </c>
      <c r="R3285" t="str" cm="1">
        <f t="array" ref="R3285">_xlfn.IFS(B3285&lt;31,"Young-Adult",B3285&lt;41,"Adult",B3285&lt;61,"Middle-aged",B3285&gt;=61,"Senior")</f>
        <v>Middle-aged</v>
      </c>
      <c r="S3285" cm="1">
        <f t="array" ref="S3285">_xlfn.IFS(Q3285 ="Fortnightly",14,Q3285="Weekly",7,Q3285="Monthly",30,Q3285="Quarterly",90,Q3285="Bi-Weekly",14,Q3285="Annually",365,Q3285="Every 3 Months",90,TRUE,"NOT FOUND")</f>
        <v>90</v>
      </c>
    </row>
    <row r="3286" spans="1:19" x14ac:dyDescent="0.35">
      <c r="A3286">
        <v>3285</v>
      </c>
      <c r="B3286">
        <v>70</v>
      </c>
      <c r="C3286" t="s">
        <v>141</v>
      </c>
      <c r="D3286" t="s">
        <v>107</v>
      </c>
      <c r="E3286" t="s">
        <v>55</v>
      </c>
      <c r="F3286">
        <v>79</v>
      </c>
      <c r="G3286" t="s">
        <v>10</v>
      </c>
      <c r="H3286" t="s">
        <v>11</v>
      </c>
      <c r="I3286" t="s">
        <v>40</v>
      </c>
      <c r="J3286" t="s">
        <v>25</v>
      </c>
      <c r="K3286">
        <v>4.5</v>
      </c>
      <c r="L3286" t="s">
        <v>140</v>
      </c>
      <c r="M3286" t="s">
        <v>58</v>
      </c>
      <c r="N3286" t="s">
        <v>140</v>
      </c>
      <c r="O3286">
        <v>20</v>
      </c>
      <c r="P3286" t="s">
        <v>16</v>
      </c>
      <c r="Q3286" t="s">
        <v>37</v>
      </c>
      <c r="R3286" t="str" cm="1">
        <f t="array" ref="R3286">_xlfn.IFS(B3286&lt;31,"Young-Adult",B3286&lt;41,"Adult",B3286&lt;61,"Middle-aged",B3286&gt;=61,"Senior")</f>
        <v>Senior</v>
      </c>
      <c r="S3286" cm="1">
        <f t="array" ref="S3286">_xlfn.IFS(Q3286 ="Fortnightly",14,Q3286="Weekly",7,Q3286="Monthly",30,Q3286="Quarterly",90,Q3286="Bi-Weekly",14,Q3286="Annually",365,Q3286="Every 3 Months",90,TRUE,"NOT FOUND")</f>
        <v>365</v>
      </c>
    </row>
    <row r="3287" spans="1:19" x14ac:dyDescent="0.35">
      <c r="A3287">
        <v>3286</v>
      </c>
      <c r="B3287">
        <v>58</v>
      </c>
      <c r="C3287" t="s">
        <v>141</v>
      </c>
      <c r="D3287" t="s">
        <v>112</v>
      </c>
      <c r="E3287" t="s">
        <v>55</v>
      </c>
      <c r="F3287">
        <v>31</v>
      </c>
      <c r="G3287" t="s">
        <v>65</v>
      </c>
      <c r="H3287" t="s">
        <v>80</v>
      </c>
      <c r="I3287" t="s">
        <v>124</v>
      </c>
      <c r="J3287" t="s">
        <v>45</v>
      </c>
      <c r="K3287">
        <v>4.5999999999999996</v>
      </c>
      <c r="L3287" t="s">
        <v>140</v>
      </c>
      <c r="M3287" t="s">
        <v>26</v>
      </c>
      <c r="N3287" t="s">
        <v>140</v>
      </c>
      <c r="O3287">
        <v>11</v>
      </c>
      <c r="P3287" t="s">
        <v>21</v>
      </c>
      <c r="Q3287" t="s">
        <v>28</v>
      </c>
      <c r="R3287" t="str" cm="1">
        <f t="array" ref="R3287">_xlfn.IFS(B3287&lt;31,"Young-Adult",B3287&lt;41,"Adult",B3287&lt;61,"Middle-aged",B3287&gt;=61,"Senior")</f>
        <v>Middle-aged</v>
      </c>
      <c r="S3287" cm="1">
        <f t="array" ref="S3287">_xlfn.IFS(Q3287 ="Fortnightly",14,Q3287="Weekly",7,Q3287="Monthly",30,Q3287="Quarterly",90,Q3287="Bi-Weekly",14,Q3287="Annually",365,Q3287="Every 3 Months",90,TRUE,"NOT FOUND")</f>
        <v>7</v>
      </c>
    </row>
    <row r="3288" spans="1:19" x14ac:dyDescent="0.35">
      <c r="A3288">
        <v>3287</v>
      </c>
      <c r="B3288">
        <v>45</v>
      </c>
      <c r="C3288" t="s">
        <v>141</v>
      </c>
      <c r="D3288" t="s">
        <v>90</v>
      </c>
      <c r="E3288" t="s">
        <v>51</v>
      </c>
      <c r="F3288">
        <v>67</v>
      </c>
      <c r="G3288" t="s">
        <v>103</v>
      </c>
      <c r="H3288" t="s">
        <v>11</v>
      </c>
      <c r="I3288" t="s">
        <v>57</v>
      </c>
      <c r="J3288" t="s">
        <v>13</v>
      </c>
      <c r="K3288">
        <v>5</v>
      </c>
      <c r="L3288" t="s">
        <v>140</v>
      </c>
      <c r="M3288" t="s">
        <v>15</v>
      </c>
      <c r="N3288" t="s">
        <v>140</v>
      </c>
      <c r="O3288">
        <v>4</v>
      </c>
      <c r="P3288" t="s">
        <v>16</v>
      </c>
      <c r="Q3288" t="s">
        <v>17</v>
      </c>
      <c r="R3288" t="str" cm="1">
        <f t="array" ref="R3288">_xlfn.IFS(B3288&lt;31,"Young-Adult",B3288&lt;41,"Adult",B3288&lt;61,"Middle-aged",B3288&gt;=61,"Senior")</f>
        <v>Middle-aged</v>
      </c>
      <c r="S3288" cm="1">
        <f t="array" ref="S3288">_xlfn.IFS(Q3288 ="Fortnightly",14,Q3288="Weekly",7,Q3288="Monthly",30,Q3288="Quarterly",90,Q3288="Bi-Weekly",14,Q3288="Annually",365,Q3288="Every 3 Months",90,TRUE,"NOT FOUND")</f>
        <v>14</v>
      </c>
    </row>
    <row r="3289" spans="1:19" x14ac:dyDescent="0.35">
      <c r="A3289">
        <v>3288</v>
      </c>
      <c r="B3289">
        <v>24</v>
      </c>
      <c r="C3289" t="s">
        <v>141</v>
      </c>
      <c r="D3289" t="s">
        <v>75</v>
      </c>
      <c r="E3289" t="s">
        <v>9</v>
      </c>
      <c r="F3289">
        <v>63</v>
      </c>
      <c r="G3289" t="s">
        <v>52</v>
      </c>
      <c r="H3289" t="s">
        <v>11</v>
      </c>
      <c r="I3289" t="s">
        <v>82</v>
      </c>
      <c r="J3289" t="s">
        <v>25</v>
      </c>
      <c r="K3289">
        <v>4.3</v>
      </c>
      <c r="L3289" t="s">
        <v>140</v>
      </c>
      <c r="M3289" t="s">
        <v>58</v>
      </c>
      <c r="N3289" t="s">
        <v>140</v>
      </c>
      <c r="O3289">
        <v>38</v>
      </c>
      <c r="P3289" t="s">
        <v>27</v>
      </c>
      <c r="Q3289" t="s">
        <v>28</v>
      </c>
      <c r="R3289" t="str" cm="1">
        <f t="array" ref="R3289">_xlfn.IFS(B3289&lt;31,"Young-Adult",B3289&lt;41,"Adult",B3289&lt;61,"Middle-aged",B3289&gt;=61,"Senior")</f>
        <v>Young-Adult</v>
      </c>
      <c r="S3289" cm="1">
        <f t="array" ref="S3289">_xlfn.IFS(Q3289 ="Fortnightly",14,Q3289="Weekly",7,Q3289="Monthly",30,Q3289="Quarterly",90,Q3289="Bi-Weekly",14,Q3289="Annually",365,Q3289="Every 3 Months",90,TRUE,"NOT FOUND")</f>
        <v>7</v>
      </c>
    </row>
    <row r="3290" spans="1:19" x14ac:dyDescent="0.35">
      <c r="A3290">
        <v>3289</v>
      </c>
      <c r="B3290">
        <v>67</v>
      </c>
      <c r="C3290" t="s">
        <v>141</v>
      </c>
      <c r="D3290" t="s">
        <v>54</v>
      </c>
      <c r="E3290" t="s">
        <v>55</v>
      </c>
      <c r="F3290">
        <v>61</v>
      </c>
      <c r="G3290" t="s">
        <v>119</v>
      </c>
      <c r="H3290" t="s">
        <v>80</v>
      </c>
      <c r="I3290" t="s">
        <v>40</v>
      </c>
      <c r="J3290" t="s">
        <v>25</v>
      </c>
      <c r="K3290">
        <v>4.9000000000000004</v>
      </c>
      <c r="L3290" t="s">
        <v>140</v>
      </c>
      <c r="M3290" t="s">
        <v>33</v>
      </c>
      <c r="N3290" t="s">
        <v>140</v>
      </c>
      <c r="O3290">
        <v>19</v>
      </c>
      <c r="P3290" t="s">
        <v>27</v>
      </c>
      <c r="Q3290" t="s">
        <v>64</v>
      </c>
      <c r="R3290" t="str" cm="1">
        <f t="array" ref="R3290">_xlfn.IFS(B3290&lt;31,"Young-Adult",B3290&lt;41,"Adult",B3290&lt;61,"Middle-aged",B3290&gt;=61,"Senior")</f>
        <v>Senior</v>
      </c>
      <c r="S3290" cm="1">
        <f t="array" ref="S3290">_xlfn.IFS(Q3290 ="Fortnightly",14,Q3290="Weekly",7,Q3290="Monthly",30,Q3290="Quarterly",90,Q3290="Bi-Weekly",14,Q3290="Annually",365,Q3290="Every 3 Months",90,TRUE,"NOT FOUND")</f>
        <v>14</v>
      </c>
    </row>
    <row r="3291" spans="1:19" x14ac:dyDescent="0.35">
      <c r="A3291">
        <v>3290</v>
      </c>
      <c r="B3291">
        <v>31</v>
      </c>
      <c r="C3291" t="s">
        <v>141</v>
      </c>
      <c r="D3291" t="s">
        <v>120</v>
      </c>
      <c r="E3291" t="s">
        <v>55</v>
      </c>
      <c r="F3291">
        <v>50</v>
      </c>
      <c r="G3291" t="s">
        <v>44</v>
      </c>
      <c r="H3291" t="s">
        <v>32</v>
      </c>
      <c r="I3291" t="s">
        <v>20</v>
      </c>
      <c r="J3291" t="s">
        <v>41</v>
      </c>
      <c r="K3291">
        <v>4</v>
      </c>
      <c r="L3291" t="s">
        <v>140</v>
      </c>
      <c r="M3291" t="s">
        <v>58</v>
      </c>
      <c r="N3291" t="s">
        <v>140</v>
      </c>
      <c r="O3291">
        <v>16</v>
      </c>
      <c r="P3291" t="s">
        <v>16</v>
      </c>
      <c r="Q3291" t="s">
        <v>85</v>
      </c>
      <c r="R3291" t="str" cm="1">
        <f t="array" ref="R3291">_xlfn.IFS(B3291&lt;31,"Young-Adult",B3291&lt;41,"Adult",B3291&lt;61,"Middle-aged",B3291&gt;=61,"Senior")</f>
        <v>Adult</v>
      </c>
      <c r="S3291" cm="1">
        <f t="array" ref="S3291">_xlfn.IFS(Q3291 ="Fortnightly",14,Q3291="Weekly",7,Q3291="Monthly",30,Q3291="Quarterly",90,Q3291="Bi-Weekly",14,Q3291="Annually",365,Q3291="Every 3 Months",90,TRUE,"NOT FOUND")</f>
        <v>90</v>
      </c>
    </row>
    <row r="3292" spans="1:19" x14ac:dyDescent="0.35">
      <c r="A3292">
        <v>3291</v>
      </c>
      <c r="B3292">
        <v>52</v>
      </c>
      <c r="C3292" t="s">
        <v>141</v>
      </c>
      <c r="D3292" t="s">
        <v>50</v>
      </c>
      <c r="E3292" t="s">
        <v>51</v>
      </c>
      <c r="F3292">
        <v>82</v>
      </c>
      <c r="G3292" t="s">
        <v>102</v>
      </c>
      <c r="H3292" t="s">
        <v>11</v>
      </c>
      <c r="I3292" t="s">
        <v>82</v>
      </c>
      <c r="J3292" t="s">
        <v>25</v>
      </c>
      <c r="K3292">
        <v>3.1</v>
      </c>
      <c r="L3292" t="s">
        <v>140</v>
      </c>
      <c r="M3292" t="s">
        <v>26</v>
      </c>
      <c r="N3292" t="s">
        <v>140</v>
      </c>
      <c r="O3292">
        <v>2</v>
      </c>
      <c r="P3292" t="s">
        <v>34</v>
      </c>
      <c r="Q3292" t="s">
        <v>76</v>
      </c>
      <c r="R3292" t="str" cm="1">
        <f t="array" ref="R3292">_xlfn.IFS(B3292&lt;31,"Young-Adult",B3292&lt;41,"Adult",B3292&lt;61,"Middle-aged",B3292&gt;=61,"Senior")</f>
        <v>Middle-aged</v>
      </c>
      <c r="S3292" cm="1">
        <f t="array" ref="S3292">_xlfn.IFS(Q3292 ="Fortnightly",14,Q3292="Weekly",7,Q3292="Monthly",30,Q3292="Quarterly",90,Q3292="Bi-Weekly",14,Q3292="Annually",365,Q3292="Every 3 Months",90,TRUE,"NOT FOUND")</f>
        <v>30</v>
      </c>
    </row>
    <row r="3293" spans="1:19" x14ac:dyDescent="0.35">
      <c r="A3293">
        <v>3292</v>
      </c>
      <c r="B3293">
        <v>29</v>
      </c>
      <c r="C3293" t="s">
        <v>141</v>
      </c>
      <c r="D3293" t="s">
        <v>121</v>
      </c>
      <c r="E3293" t="s">
        <v>55</v>
      </c>
      <c r="F3293">
        <v>51</v>
      </c>
      <c r="G3293" t="s">
        <v>118</v>
      </c>
      <c r="H3293" t="s">
        <v>11</v>
      </c>
      <c r="I3293" t="s">
        <v>66</v>
      </c>
      <c r="J3293" t="s">
        <v>45</v>
      </c>
      <c r="K3293">
        <v>2.6</v>
      </c>
      <c r="L3293" t="s">
        <v>140</v>
      </c>
      <c r="M3293" t="s">
        <v>58</v>
      </c>
      <c r="N3293" t="s">
        <v>140</v>
      </c>
      <c r="O3293">
        <v>11</v>
      </c>
      <c r="P3293" t="s">
        <v>21</v>
      </c>
      <c r="Q3293" t="s">
        <v>76</v>
      </c>
      <c r="R3293" t="str" cm="1">
        <f t="array" ref="R3293">_xlfn.IFS(B3293&lt;31,"Young-Adult",B3293&lt;41,"Adult",B3293&lt;61,"Middle-aged",B3293&gt;=61,"Senior")</f>
        <v>Young-Adult</v>
      </c>
      <c r="S3293" cm="1">
        <f t="array" ref="S3293">_xlfn.IFS(Q3293 ="Fortnightly",14,Q3293="Weekly",7,Q3293="Monthly",30,Q3293="Quarterly",90,Q3293="Bi-Weekly",14,Q3293="Annually",365,Q3293="Every 3 Months",90,TRUE,"NOT FOUND")</f>
        <v>30</v>
      </c>
    </row>
    <row r="3294" spans="1:19" x14ac:dyDescent="0.35">
      <c r="A3294">
        <v>3293</v>
      </c>
      <c r="B3294">
        <v>62</v>
      </c>
      <c r="C3294" t="s">
        <v>141</v>
      </c>
      <c r="D3294" t="s">
        <v>54</v>
      </c>
      <c r="E3294" t="s">
        <v>55</v>
      </c>
      <c r="F3294">
        <v>23</v>
      </c>
      <c r="G3294" t="s">
        <v>56</v>
      </c>
      <c r="H3294" t="s">
        <v>11</v>
      </c>
      <c r="I3294" t="s">
        <v>12</v>
      </c>
      <c r="J3294" t="s">
        <v>25</v>
      </c>
      <c r="K3294">
        <v>4.9000000000000004</v>
      </c>
      <c r="L3294" t="s">
        <v>140</v>
      </c>
      <c r="M3294" t="s">
        <v>42</v>
      </c>
      <c r="N3294" t="s">
        <v>140</v>
      </c>
      <c r="O3294">
        <v>18</v>
      </c>
      <c r="P3294" t="s">
        <v>63</v>
      </c>
      <c r="Q3294" t="s">
        <v>17</v>
      </c>
      <c r="R3294" t="str" cm="1">
        <f t="array" ref="R3294">_xlfn.IFS(B3294&lt;31,"Young-Adult",B3294&lt;41,"Adult",B3294&lt;61,"Middle-aged",B3294&gt;=61,"Senior")</f>
        <v>Senior</v>
      </c>
      <c r="S3294" cm="1">
        <f t="array" ref="S3294">_xlfn.IFS(Q3294 ="Fortnightly",14,Q3294="Weekly",7,Q3294="Monthly",30,Q3294="Quarterly",90,Q3294="Bi-Weekly",14,Q3294="Annually",365,Q3294="Every 3 Months",90,TRUE,"NOT FOUND")</f>
        <v>14</v>
      </c>
    </row>
    <row r="3295" spans="1:19" x14ac:dyDescent="0.35">
      <c r="A3295">
        <v>3294</v>
      </c>
      <c r="B3295">
        <v>19</v>
      </c>
      <c r="C3295" t="s">
        <v>141</v>
      </c>
      <c r="D3295" t="s">
        <v>50</v>
      </c>
      <c r="E3295" t="s">
        <v>51</v>
      </c>
      <c r="F3295">
        <v>91</v>
      </c>
      <c r="G3295" t="s">
        <v>52</v>
      </c>
      <c r="H3295" t="s">
        <v>32</v>
      </c>
      <c r="I3295" t="s">
        <v>68</v>
      </c>
      <c r="J3295" t="s">
        <v>25</v>
      </c>
      <c r="K3295">
        <v>3.5</v>
      </c>
      <c r="L3295" t="s">
        <v>140</v>
      </c>
      <c r="M3295" t="s">
        <v>58</v>
      </c>
      <c r="N3295" t="s">
        <v>140</v>
      </c>
      <c r="O3295">
        <v>47</v>
      </c>
      <c r="P3295" t="s">
        <v>27</v>
      </c>
      <c r="Q3295" t="s">
        <v>17</v>
      </c>
      <c r="R3295" t="str" cm="1">
        <f t="array" ref="R3295">_xlfn.IFS(B3295&lt;31,"Young-Adult",B3295&lt;41,"Adult",B3295&lt;61,"Middle-aged",B3295&gt;=61,"Senior")</f>
        <v>Young-Adult</v>
      </c>
      <c r="S3295" cm="1">
        <f t="array" ref="S3295">_xlfn.IFS(Q3295 ="Fortnightly",14,Q3295="Weekly",7,Q3295="Monthly",30,Q3295="Quarterly",90,Q3295="Bi-Weekly",14,Q3295="Annually",365,Q3295="Every 3 Months",90,TRUE,"NOT FOUND")</f>
        <v>14</v>
      </c>
    </row>
    <row r="3296" spans="1:19" x14ac:dyDescent="0.35">
      <c r="A3296">
        <v>3295</v>
      </c>
      <c r="B3296">
        <v>62</v>
      </c>
      <c r="C3296" t="s">
        <v>141</v>
      </c>
      <c r="D3296" t="s">
        <v>18</v>
      </c>
      <c r="E3296" t="s">
        <v>9</v>
      </c>
      <c r="F3296">
        <v>60</v>
      </c>
      <c r="G3296" t="s">
        <v>119</v>
      </c>
      <c r="H3296" t="s">
        <v>24</v>
      </c>
      <c r="I3296" t="s">
        <v>124</v>
      </c>
      <c r="J3296" t="s">
        <v>25</v>
      </c>
      <c r="K3296">
        <v>4.5</v>
      </c>
      <c r="L3296" t="s">
        <v>140</v>
      </c>
      <c r="M3296" t="s">
        <v>62</v>
      </c>
      <c r="N3296" t="s">
        <v>140</v>
      </c>
      <c r="O3296">
        <v>15</v>
      </c>
      <c r="P3296" t="s">
        <v>63</v>
      </c>
      <c r="Q3296" t="s">
        <v>64</v>
      </c>
      <c r="R3296" t="str" cm="1">
        <f t="array" ref="R3296">_xlfn.IFS(B3296&lt;31,"Young-Adult",B3296&lt;41,"Adult",B3296&lt;61,"Middle-aged",B3296&gt;=61,"Senior")</f>
        <v>Senior</v>
      </c>
      <c r="S3296" cm="1">
        <f t="array" ref="S3296">_xlfn.IFS(Q3296 ="Fortnightly",14,Q3296="Weekly",7,Q3296="Monthly",30,Q3296="Quarterly",90,Q3296="Bi-Weekly",14,Q3296="Annually",365,Q3296="Every 3 Months",90,TRUE,"NOT FOUND")</f>
        <v>14</v>
      </c>
    </row>
    <row r="3297" spans="1:19" x14ac:dyDescent="0.35">
      <c r="A3297">
        <v>3296</v>
      </c>
      <c r="B3297">
        <v>70</v>
      </c>
      <c r="C3297" t="s">
        <v>141</v>
      </c>
      <c r="D3297" t="s">
        <v>8</v>
      </c>
      <c r="E3297" t="s">
        <v>9</v>
      </c>
      <c r="F3297">
        <v>34</v>
      </c>
      <c r="G3297" t="s">
        <v>52</v>
      </c>
      <c r="H3297" t="s">
        <v>24</v>
      </c>
      <c r="I3297" t="s">
        <v>81</v>
      </c>
      <c r="J3297" t="s">
        <v>41</v>
      </c>
      <c r="K3297">
        <v>2.8</v>
      </c>
      <c r="L3297" t="s">
        <v>140</v>
      </c>
      <c r="M3297" t="s">
        <v>33</v>
      </c>
      <c r="N3297" t="s">
        <v>140</v>
      </c>
      <c r="O3297">
        <v>15</v>
      </c>
      <c r="P3297" t="s">
        <v>21</v>
      </c>
      <c r="Q3297" t="s">
        <v>28</v>
      </c>
      <c r="R3297" t="str" cm="1">
        <f t="array" ref="R3297">_xlfn.IFS(B3297&lt;31,"Young-Adult",B3297&lt;41,"Adult",B3297&lt;61,"Middle-aged",B3297&gt;=61,"Senior")</f>
        <v>Senior</v>
      </c>
      <c r="S3297" cm="1">
        <f t="array" ref="S3297">_xlfn.IFS(Q3297 ="Fortnightly",14,Q3297="Weekly",7,Q3297="Monthly",30,Q3297="Quarterly",90,Q3297="Bi-Weekly",14,Q3297="Annually",365,Q3297="Every 3 Months",90,TRUE,"NOT FOUND")</f>
        <v>7</v>
      </c>
    </row>
    <row r="3298" spans="1:19" x14ac:dyDescent="0.35">
      <c r="A3298">
        <v>3297</v>
      </c>
      <c r="B3298">
        <v>20</v>
      </c>
      <c r="C3298" t="s">
        <v>141</v>
      </c>
      <c r="D3298" t="s">
        <v>8</v>
      </c>
      <c r="E3298" t="s">
        <v>9</v>
      </c>
      <c r="F3298">
        <v>23</v>
      </c>
      <c r="G3298" t="s">
        <v>108</v>
      </c>
      <c r="H3298" t="s">
        <v>32</v>
      </c>
      <c r="I3298" t="s">
        <v>84</v>
      </c>
      <c r="J3298" t="s">
        <v>25</v>
      </c>
      <c r="K3298">
        <v>4.2</v>
      </c>
      <c r="L3298" t="s">
        <v>140</v>
      </c>
      <c r="M3298" t="s">
        <v>33</v>
      </c>
      <c r="N3298" t="s">
        <v>140</v>
      </c>
      <c r="O3298">
        <v>47</v>
      </c>
      <c r="P3298" t="s">
        <v>16</v>
      </c>
      <c r="Q3298" t="s">
        <v>46</v>
      </c>
      <c r="R3298" t="str" cm="1">
        <f t="array" ref="R3298">_xlfn.IFS(B3298&lt;31,"Young-Adult",B3298&lt;41,"Adult",B3298&lt;61,"Middle-aged",B3298&gt;=61,"Senior")</f>
        <v>Young-Adult</v>
      </c>
      <c r="S3298" cm="1">
        <f t="array" ref="S3298">_xlfn.IFS(Q3298 ="Fortnightly",14,Q3298="Weekly",7,Q3298="Monthly",30,Q3298="Quarterly",90,Q3298="Bi-Weekly",14,Q3298="Annually",365,Q3298="Every 3 Months",90,TRUE,"NOT FOUND")</f>
        <v>90</v>
      </c>
    </row>
    <row r="3299" spans="1:19" x14ac:dyDescent="0.35">
      <c r="A3299">
        <v>3298</v>
      </c>
      <c r="B3299">
        <v>67</v>
      </c>
      <c r="C3299" t="s">
        <v>141</v>
      </c>
      <c r="D3299" t="s">
        <v>121</v>
      </c>
      <c r="E3299" t="s">
        <v>55</v>
      </c>
      <c r="F3299">
        <v>82</v>
      </c>
      <c r="G3299" t="s">
        <v>52</v>
      </c>
      <c r="H3299" t="s">
        <v>32</v>
      </c>
      <c r="I3299" t="s">
        <v>71</v>
      </c>
      <c r="J3299" t="s">
        <v>45</v>
      </c>
      <c r="K3299">
        <v>4.0999999999999996</v>
      </c>
      <c r="L3299" t="s">
        <v>140</v>
      </c>
      <c r="M3299" t="s">
        <v>26</v>
      </c>
      <c r="N3299" t="s">
        <v>140</v>
      </c>
      <c r="O3299">
        <v>47</v>
      </c>
      <c r="P3299" t="s">
        <v>34</v>
      </c>
      <c r="Q3299" t="s">
        <v>76</v>
      </c>
      <c r="R3299" t="str" cm="1">
        <f t="array" ref="R3299">_xlfn.IFS(B3299&lt;31,"Young-Adult",B3299&lt;41,"Adult",B3299&lt;61,"Middle-aged",B3299&gt;=61,"Senior")</f>
        <v>Senior</v>
      </c>
      <c r="S3299" cm="1">
        <f t="array" ref="S3299">_xlfn.IFS(Q3299 ="Fortnightly",14,Q3299="Weekly",7,Q3299="Monthly",30,Q3299="Quarterly",90,Q3299="Bi-Weekly",14,Q3299="Annually",365,Q3299="Every 3 Months",90,TRUE,"NOT FOUND")</f>
        <v>30</v>
      </c>
    </row>
    <row r="3300" spans="1:19" x14ac:dyDescent="0.35">
      <c r="A3300">
        <v>3299</v>
      </c>
      <c r="B3300">
        <v>65</v>
      </c>
      <c r="C3300" t="s">
        <v>141</v>
      </c>
      <c r="D3300" t="s">
        <v>90</v>
      </c>
      <c r="E3300" t="s">
        <v>51</v>
      </c>
      <c r="F3300">
        <v>73</v>
      </c>
      <c r="G3300" t="s">
        <v>118</v>
      </c>
      <c r="H3300" t="s">
        <v>32</v>
      </c>
      <c r="I3300" t="s">
        <v>98</v>
      </c>
      <c r="J3300" t="s">
        <v>45</v>
      </c>
      <c r="K3300">
        <v>3.5</v>
      </c>
      <c r="L3300" t="s">
        <v>140</v>
      </c>
      <c r="M3300" t="s">
        <v>15</v>
      </c>
      <c r="N3300" t="s">
        <v>140</v>
      </c>
      <c r="O3300">
        <v>6</v>
      </c>
      <c r="P3300" t="s">
        <v>63</v>
      </c>
      <c r="Q3300" t="s">
        <v>85</v>
      </c>
      <c r="R3300" t="str" cm="1">
        <f t="array" ref="R3300">_xlfn.IFS(B3300&lt;31,"Young-Adult",B3300&lt;41,"Adult",B3300&lt;61,"Middle-aged",B3300&gt;=61,"Senior")</f>
        <v>Senior</v>
      </c>
      <c r="S3300" cm="1">
        <f t="array" ref="S3300">_xlfn.IFS(Q3300 ="Fortnightly",14,Q3300="Weekly",7,Q3300="Monthly",30,Q3300="Quarterly",90,Q3300="Bi-Weekly",14,Q3300="Annually",365,Q3300="Every 3 Months",90,TRUE,"NOT FOUND")</f>
        <v>90</v>
      </c>
    </row>
    <row r="3301" spans="1:19" x14ac:dyDescent="0.35">
      <c r="A3301">
        <v>3300</v>
      </c>
      <c r="B3301">
        <v>45</v>
      </c>
      <c r="C3301" t="s">
        <v>141</v>
      </c>
      <c r="D3301" t="s">
        <v>47</v>
      </c>
      <c r="E3301" t="s">
        <v>9</v>
      </c>
      <c r="F3301">
        <v>32</v>
      </c>
      <c r="G3301" t="s">
        <v>135</v>
      </c>
      <c r="H3301" t="s">
        <v>11</v>
      </c>
      <c r="I3301" t="s">
        <v>73</v>
      </c>
      <c r="J3301" t="s">
        <v>25</v>
      </c>
      <c r="K3301">
        <v>4</v>
      </c>
      <c r="L3301" t="s">
        <v>140</v>
      </c>
      <c r="M3301" t="s">
        <v>58</v>
      </c>
      <c r="N3301" t="s">
        <v>140</v>
      </c>
      <c r="O3301">
        <v>18</v>
      </c>
      <c r="P3301" t="s">
        <v>16</v>
      </c>
      <c r="Q3301" t="s">
        <v>76</v>
      </c>
      <c r="R3301" t="str" cm="1">
        <f t="array" ref="R3301">_xlfn.IFS(B3301&lt;31,"Young-Adult",B3301&lt;41,"Adult",B3301&lt;61,"Middle-aged",B3301&gt;=61,"Senior")</f>
        <v>Middle-aged</v>
      </c>
      <c r="S3301" cm="1">
        <f t="array" ref="S3301">_xlfn.IFS(Q3301 ="Fortnightly",14,Q3301="Weekly",7,Q3301="Monthly",30,Q3301="Quarterly",90,Q3301="Bi-Weekly",14,Q3301="Annually",365,Q3301="Every 3 Months",90,TRUE,"NOT FOUND")</f>
        <v>30</v>
      </c>
    </row>
    <row r="3302" spans="1:19" x14ac:dyDescent="0.35">
      <c r="A3302">
        <v>3301</v>
      </c>
      <c r="B3302">
        <v>26</v>
      </c>
      <c r="C3302" t="s">
        <v>141</v>
      </c>
      <c r="D3302" t="s">
        <v>112</v>
      </c>
      <c r="E3302" t="s">
        <v>55</v>
      </c>
      <c r="F3302">
        <v>80</v>
      </c>
      <c r="G3302" t="s">
        <v>89</v>
      </c>
      <c r="H3302" t="s">
        <v>32</v>
      </c>
      <c r="I3302" t="s">
        <v>49</v>
      </c>
      <c r="J3302" t="s">
        <v>25</v>
      </c>
      <c r="K3302">
        <v>4</v>
      </c>
      <c r="L3302" t="s">
        <v>140</v>
      </c>
      <c r="M3302" t="s">
        <v>15</v>
      </c>
      <c r="N3302" t="s">
        <v>140</v>
      </c>
      <c r="O3302">
        <v>40</v>
      </c>
      <c r="P3302" t="s">
        <v>63</v>
      </c>
      <c r="Q3302" t="s">
        <v>64</v>
      </c>
      <c r="R3302" t="str" cm="1">
        <f t="array" ref="R3302">_xlfn.IFS(B3302&lt;31,"Young-Adult",B3302&lt;41,"Adult",B3302&lt;61,"Middle-aged",B3302&gt;=61,"Senior")</f>
        <v>Young-Adult</v>
      </c>
      <c r="S3302" cm="1">
        <f t="array" ref="S3302">_xlfn.IFS(Q3302 ="Fortnightly",14,Q3302="Weekly",7,Q3302="Monthly",30,Q3302="Quarterly",90,Q3302="Bi-Weekly",14,Q3302="Annually",365,Q3302="Every 3 Months",90,TRUE,"NOT FOUND")</f>
        <v>14</v>
      </c>
    </row>
    <row r="3303" spans="1:19" x14ac:dyDescent="0.35">
      <c r="A3303">
        <v>3302</v>
      </c>
      <c r="B3303">
        <v>36</v>
      </c>
      <c r="C3303" t="s">
        <v>141</v>
      </c>
      <c r="D3303" t="s">
        <v>83</v>
      </c>
      <c r="E3303" t="s">
        <v>9</v>
      </c>
      <c r="F3303">
        <v>58</v>
      </c>
      <c r="G3303" t="s">
        <v>89</v>
      </c>
      <c r="H3303" t="s">
        <v>80</v>
      </c>
      <c r="I3303" t="s">
        <v>49</v>
      </c>
      <c r="J3303" t="s">
        <v>41</v>
      </c>
      <c r="K3303">
        <v>2.5</v>
      </c>
      <c r="L3303" t="s">
        <v>140</v>
      </c>
      <c r="M3303" t="s">
        <v>26</v>
      </c>
      <c r="N3303" t="s">
        <v>140</v>
      </c>
      <c r="O3303">
        <v>31</v>
      </c>
      <c r="P3303" t="s">
        <v>27</v>
      </c>
      <c r="Q3303" t="s">
        <v>17</v>
      </c>
      <c r="R3303" t="str" cm="1">
        <f t="array" ref="R3303">_xlfn.IFS(B3303&lt;31,"Young-Adult",B3303&lt;41,"Adult",B3303&lt;61,"Middle-aged",B3303&gt;=61,"Senior")</f>
        <v>Adult</v>
      </c>
      <c r="S3303" cm="1">
        <f t="array" ref="S3303">_xlfn.IFS(Q3303 ="Fortnightly",14,Q3303="Weekly",7,Q3303="Monthly",30,Q3303="Quarterly",90,Q3303="Bi-Weekly",14,Q3303="Annually",365,Q3303="Every 3 Months",90,TRUE,"NOT FOUND")</f>
        <v>14</v>
      </c>
    </row>
    <row r="3304" spans="1:19" x14ac:dyDescent="0.35">
      <c r="A3304">
        <v>3303</v>
      </c>
      <c r="B3304">
        <v>36</v>
      </c>
      <c r="C3304" t="s">
        <v>141</v>
      </c>
      <c r="D3304" t="s">
        <v>8</v>
      </c>
      <c r="E3304" t="s">
        <v>9</v>
      </c>
      <c r="F3304">
        <v>82</v>
      </c>
      <c r="G3304" t="s">
        <v>78</v>
      </c>
      <c r="H3304" t="s">
        <v>80</v>
      </c>
      <c r="I3304" t="s">
        <v>106</v>
      </c>
      <c r="J3304" t="s">
        <v>13</v>
      </c>
      <c r="K3304">
        <v>4.2</v>
      </c>
      <c r="L3304" t="s">
        <v>140</v>
      </c>
      <c r="M3304" t="s">
        <v>42</v>
      </c>
      <c r="N3304" t="s">
        <v>140</v>
      </c>
      <c r="O3304">
        <v>31</v>
      </c>
      <c r="P3304" t="s">
        <v>16</v>
      </c>
      <c r="Q3304" t="s">
        <v>64</v>
      </c>
      <c r="R3304" t="str" cm="1">
        <f t="array" ref="R3304">_xlfn.IFS(B3304&lt;31,"Young-Adult",B3304&lt;41,"Adult",B3304&lt;61,"Middle-aged",B3304&gt;=61,"Senior")</f>
        <v>Adult</v>
      </c>
      <c r="S3304" cm="1">
        <f t="array" ref="S3304">_xlfn.IFS(Q3304 ="Fortnightly",14,Q3304="Weekly",7,Q3304="Monthly",30,Q3304="Quarterly",90,Q3304="Bi-Weekly",14,Q3304="Annually",365,Q3304="Every 3 Months",90,TRUE,"NOT FOUND")</f>
        <v>14</v>
      </c>
    </row>
    <row r="3305" spans="1:19" x14ac:dyDescent="0.35">
      <c r="A3305">
        <v>3304</v>
      </c>
      <c r="B3305">
        <v>20</v>
      </c>
      <c r="C3305" t="s">
        <v>141</v>
      </c>
      <c r="D3305" t="s">
        <v>121</v>
      </c>
      <c r="E3305" t="s">
        <v>55</v>
      </c>
      <c r="F3305">
        <v>60</v>
      </c>
      <c r="G3305" t="s">
        <v>79</v>
      </c>
      <c r="H3305" t="s">
        <v>24</v>
      </c>
      <c r="I3305" t="s">
        <v>36</v>
      </c>
      <c r="J3305" t="s">
        <v>41</v>
      </c>
      <c r="K3305">
        <v>3.4</v>
      </c>
      <c r="L3305" t="s">
        <v>140</v>
      </c>
      <c r="M3305" t="s">
        <v>33</v>
      </c>
      <c r="N3305" t="s">
        <v>140</v>
      </c>
      <c r="O3305">
        <v>4</v>
      </c>
      <c r="P3305" t="s">
        <v>27</v>
      </c>
      <c r="Q3305" t="s">
        <v>17</v>
      </c>
      <c r="R3305" t="str" cm="1">
        <f t="array" ref="R3305">_xlfn.IFS(B3305&lt;31,"Young-Adult",B3305&lt;41,"Adult",B3305&lt;61,"Middle-aged",B3305&gt;=61,"Senior")</f>
        <v>Young-Adult</v>
      </c>
      <c r="S3305" cm="1">
        <f t="array" ref="S3305">_xlfn.IFS(Q3305 ="Fortnightly",14,Q3305="Weekly",7,Q3305="Monthly",30,Q3305="Quarterly",90,Q3305="Bi-Weekly",14,Q3305="Annually",365,Q3305="Every 3 Months",90,TRUE,"NOT FOUND")</f>
        <v>14</v>
      </c>
    </row>
    <row r="3306" spans="1:19" x14ac:dyDescent="0.35">
      <c r="A3306">
        <v>3305</v>
      </c>
      <c r="B3306">
        <v>30</v>
      </c>
      <c r="C3306" t="s">
        <v>141</v>
      </c>
      <c r="D3306" t="s">
        <v>54</v>
      </c>
      <c r="E3306" t="s">
        <v>55</v>
      </c>
      <c r="F3306">
        <v>79</v>
      </c>
      <c r="G3306" t="s">
        <v>79</v>
      </c>
      <c r="H3306" t="s">
        <v>80</v>
      </c>
      <c r="I3306" t="s">
        <v>109</v>
      </c>
      <c r="J3306" t="s">
        <v>45</v>
      </c>
      <c r="K3306">
        <v>4.8</v>
      </c>
      <c r="L3306" t="s">
        <v>140</v>
      </c>
      <c r="M3306" t="s">
        <v>33</v>
      </c>
      <c r="N3306" t="s">
        <v>140</v>
      </c>
      <c r="O3306">
        <v>36</v>
      </c>
      <c r="P3306" t="s">
        <v>63</v>
      </c>
      <c r="Q3306" t="s">
        <v>85</v>
      </c>
      <c r="R3306" t="str" cm="1">
        <f t="array" ref="R3306">_xlfn.IFS(B3306&lt;31,"Young-Adult",B3306&lt;41,"Adult",B3306&lt;61,"Middle-aged",B3306&gt;=61,"Senior")</f>
        <v>Young-Adult</v>
      </c>
      <c r="S3306" cm="1">
        <f t="array" ref="S3306">_xlfn.IFS(Q3306 ="Fortnightly",14,Q3306="Weekly",7,Q3306="Monthly",30,Q3306="Quarterly",90,Q3306="Bi-Weekly",14,Q3306="Annually",365,Q3306="Every 3 Months",90,TRUE,"NOT FOUND")</f>
        <v>90</v>
      </c>
    </row>
    <row r="3307" spans="1:19" x14ac:dyDescent="0.35">
      <c r="A3307">
        <v>3306</v>
      </c>
      <c r="B3307">
        <v>34</v>
      </c>
      <c r="C3307" t="s">
        <v>141</v>
      </c>
      <c r="D3307" t="s">
        <v>92</v>
      </c>
      <c r="E3307" t="s">
        <v>9</v>
      </c>
      <c r="F3307">
        <v>41</v>
      </c>
      <c r="G3307" t="s">
        <v>133</v>
      </c>
      <c r="H3307" t="s">
        <v>11</v>
      </c>
      <c r="I3307" t="s">
        <v>97</v>
      </c>
      <c r="J3307" t="s">
        <v>41</v>
      </c>
      <c r="K3307">
        <v>4.9000000000000004</v>
      </c>
      <c r="L3307" t="s">
        <v>140</v>
      </c>
      <c r="M3307" t="s">
        <v>42</v>
      </c>
      <c r="N3307" t="s">
        <v>140</v>
      </c>
      <c r="O3307">
        <v>31</v>
      </c>
      <c r="P3307" t="s">
        <v>34</v>
      </c>
      <c r="Q3307" t="s">
        <v>64</v>
      </c>
      <c r="R3307" t="str" cm="1">
        <f t="array" ref="R3307">_xlfn.IFS(B3307&lt;31,"Young-Adult",B3307&lt;41,"Adult",B3307&lt;61,"Middle-aged",B3307&gt;=61,"Senior")</f>
        <v>Adult</v>
      </c>
      <c r="S3307" cm="1">
        <f t="array" ref="S3307">_xlfn.IFS(Q3307 ="Fortnightly",14,Q3307="Weekly",7,Q3307="Monthly",30,Q3307="Quarterly",90,Q3307="Bi-Weekly",14,Q3307="Annually",365,Q3307="Every 3 Months",90,TRUE,"NOT FOUND")</f>
        <v>14</v>
      </c>
    </row>
    <row r="3308" spans="1:19" x14ac:dyDescent="0.35">
      <c r="A3308">
        <v>3307</v>
      </c>
      <c r="B3308">
        <v>63</v>
      </c>
      <c r="C3308" t="s">
        <v>141</v>
      </c>
      <c r="D3308" t="s">
        <v>90</v>
      </c>
      <c r="E3308" t="s">
        <v>51</v>
      </c>
      <c r="F3308">
        <v>39</v>
      </c>
      <c r="G3308" t="s">
        <v>100</v>
      </c>
      <c r="H3308" t="s">
        <v>11</v>
      </c>
      <c r="I3308" t="s">
        <v>109</v>
      </c>
      <c r="J3308" t="s">
        <v>41</v>
      </c>
      <c r="K3308">
        <v>3.6</v>
      </c>
      <c r="L3308" t="s">
        <v>140</v>
      </c>
      <c r="M3308" t="s">
        <v>62</v>
      </c>
      <c r="N3308" t="s">
        <v>140</v>
      </c>
      <c r="O3308">
        <v>6</v>
      </c>
      <c r="P3308" t="s">
        <v>16</v>
      </c>
      <c r="Q3308" t="s">
        <v>17</v>
      </c>
      <c r="R3308" t="str" cm="1">
        <f t="array" ref="R3308">_xlfn.IFS(B3308&lt;31,"Young-Adult",B3308&lt;41,"Adult",B3308&lt;61,"Middle-aged",B3308&gt;=61,"Senior")</f>
        <v>Senior</v>
      </c>
      <c r="S3308" cm="1">
        <f t="array" ref="S3308">_xlfn.IFS(Q3308 ="Fortnightly",14,Q3308="Weekly",7,Q3308="Monthly",30,Q3308="Quarterly",90,Q3308="Bi-Weekly",14,Q3308="Annually",365,Q3308="Every 3 Months",90,TRUE,"NOT FOUND")</f>
        <v>14</v>
      </c>
    </row>
    <row r="3309" spans="1:19" x14ac:dyDescent="0.35">
      <c r="A3309">
        <v>3308</v>
      </c>
      <c r="B3309">
        <v>18</v>
      </c>
      <c r="C3309" t="s">
        <v>141</v>
      </c>
      <c r="D3309" t="s">
        <v>107</v>
      </c>
      <c r="E3309" t="s">
        <v>55</v>
      </c>
      <c r="F3309">
        <v>36</v>
      </c>
      <c r="G3309" t="s">
        <v>126</v>
      </c>
      <c r="H3309" t="s">
        <v>24</v>
      </c>
      <c r="I3309" t="s">
        <v>84</v>
      </c>
      <c r="J3309" t="s">
        <v>13</v>
      </c>
      <c r="K3309">
        <v>4</v>
      </c>
      <c r="L3309" t="s">
        <v>140</v>
      </c>
      <c r="M3309" t="s">
        <v>62</v>
      </c>
      <c r="N3309" t="s">
        <v>140</v>
      </c>
      <c r="O3309">
        <v>1</v>
      </c>
      <c r="P3309" t="s">
        <v>21</v>
      </c>
      <c r="Q3309" t="s">
        <v>76</v>
      </c>
      <c r="R3309" t="str" cm="1">
        <f t="array" ref="R3309">_xlfn.IFS(B3309&lt;31,"Young-Adult",B3309&lt;41,"Adult",B3309&lt;61,"Middle-aged",B3309&gt;=61,"Senior")</f>
        <v>Young-Adult</v>
      </c>
      <c r="S3309" cm="1">
        <f t="array" ref="S3309">_xlfn.IFS(Q3309 ="Fortnightly",14,Q3309="Weekly",7,Q3309="Monthly",30,Q3309="Quarterly",90,Q3309="Bi-Weekly",14,Q3309="Annually",365,Q3309="Every 3 Months",90,TRUE,"NOT FOUND")</f>
        <v>30</v>
      </c>
    </row>
    <row r="3310" spans="1:19" x14ac:dyDescent="0.35">
      <c r="A3310">
        <v>3309</v>
      </c>
      <c r="B3310">
        <v>55</v>
      </c>
      <c r="C3310" t="s">
        <v>141</v>
      </c>
      <c r="D3310" t="s">
        <v>22</v>
      </c>
      <c r="E3310" t="s">
        <v>9</v>
      </c>
      <c r="F3310">
        <v>70</v>
      </c>
      <c r="G3310" t="s">
        <v>128</v>
      </c>
      <c r="H3310" t="s">
        <v>32</v>
      </c>
      <c r="I3310" t="s">
        <v>57</v>
      </c>
      <c r="J3310" t="s">
        <v>45</v>
      </c>
      <c r="K3310">
        <v>2.6</v>
      </c>
      <c r="L3310" t="s">
        <v>140</v>
      </c>
      <c r="M3310" t="s">
        <v>15</v>
      </c>
      <c r="N3310" t="s">
        <v>140</v>
      </c>
      <c r="O3310">
        <v>29</v>
      </c>
      <c r="P3310" t="s">
        <v>21</v>
      </c>
      <c r="Q3310" t="s">
        <v>76</v>
      </c>
      <c r="R3310" t="str" cm="1">
        <f t="array" ref="R3310">_xlfn.IFS(B3310&lt;31,"Young-Adult",B3310&lt;41,"Adult",B3310&lt;61,"Middle-aged",B3310&gt;=61,"Senior")</f>
        <v>Middle-aged</v>
      </c>
      <c r="S3310" cm="1">
        <f t="array" ref="S3310">_xlfn.IFS(Q3310 ="Fortnightly",14,Q3310="Weekly",7,Q3310="Monthly",30,Q3310="Quarterly",90,Q3310="Bi-Weekly",14,Q3310="Annually",365,Q3310="Every 3 Months",90,TRUE,"NOT FOUND")</f>
        <v>30</v>
      </c>
    </row>
    <row r="3311" spans="1:19" x14ac:dyDescent="0.35">
      <c r="A3311">
        <v>3310</v>
      </c>
      <c r="B3311">
        <v>48</v>
      </c>
      <c r="C3311" t="s">
        <v>141</v>
      </c>
      <c r="D3311" t="s">
        <v>54</v>
      </c>
      <c r="E3311" t="s">
        <v>55</v>
      </c>
      <c r="F3311">
        <v>47</v>
      </c>
      <c r="G3311" t="s">
        <v>23</v>
      </c>
      <c r="H3311" t="s">
        <v>32</v>
      </c>
      <c r="I3311" t="s">
        <v>132</v>
      </c>
      <c r="J3311" t="s">
        <v>41</v>
      </c>
      <c r="K3311">
        <v>3.1</v>
      </c>
      <c r="L3311" t="s">
        <v>140</v>
      </c>
      <c r="M3311" t="s">
        <v>62</v>
      </c>
      <c r="N3311" t="s">
        <v>140</v>
      </c>
      <c r="O3311">
        <v>19</v>
      </c>
      <c r="P3311" t="s">
        <v>34</v>
      </c>
      <c r="Q3311" t="s">
        <v>76</v>
      </c>
      <c r="R3311" t="str" cm="1">
        <f t="array" ref="R3311">_xlfn.IFS(B3311&lt;31,"Young-Adult",B3311&lt;41,"Adult",B3311&lt;61,"Middle-aged",B3311&gt;=61,"Senior")</f>
        <v>Middle-aged</v>
      </c>
      <c r="S3311" cm="1">
        <f t="array" ref="S3311">_xlfn.IFS(Q3311 ="Fortnightly",14,Q3311="Weekly",7,Q3311="Monthly",30,Q3311="Quarterly",90,Q3311="Bi-Weekly",14,Q3311="Annually",365,Q3311="Every 3 Months",90,TRUE,"NOT FOUND")</f>
        <v>30</v>
      </c>
    </row>
    <row r="3312" spans="1:19" x14ac:dyDescent="0.35">
      <c r="A3312">
        <v>3311</v>
      </c>
      <c r="B3312">
        <v>45</v>
      </c>
      <c r="C3312" t="s">
        <v>141</v>
      </c>
      <c r="D3312" t="s">
        <v>90</v>
      </c>
      <c r="E3312" t="s">
        <v>51</v>
      </c>
      <c r="F3312">
        <v>27</v>
      </c>
      <c r="G3312" t="s">
        <v>134</v>
      </c>
      <c r="H3312" t="s">
        <v>32</v>
      </c>
      <c r="I3312" t="s">
        <v>57</v>
      </c>
      <c r="J3312" t="s">
        <v>13</v>
      </c>
      <c r="K3312">
        <v>3.6</v>
      </c>
      <c r="L3312" t="s">
        <v>140</v>
      </c>
      <c r="M3312" t="s">
        <v>26</v>
      </c>
      <c r="N3312" t="s">
        <v>140</v>
      </c>
      <c r="O3312">
        <v>12</v>
      </c>
      <c r="P3312" t="s">
        <v>34</v>
      </c>
      <c r="Q3312" t="s">
        <v>17</v>
      </c>
      <c r="R3312" t="str" cm="1">
        <f t="array" ref="R3312">_xlfn.IFS(B3312&lt;31,"Young-Adult",B3312&lt;41,"Adult",B3312&lt;61,"Middle-aged",B3312&gt;=61,"Senior")</f>
        <v>Middle-aged</v>
      </c>
      <c r="S3312" cm="1">
        <f t="array" ref="S3312">_xlfn.IFS(Q3312 ="Fortnightly",14,Q3312="Weekly",7,Q3312="Monthly",30,Q3312="Quarterly",90,Q3312="Bi-Weekly",14,Q3312="Annually",365,Q3312="Every 3 Months",90,TRUE,"NOT FOUND")</f>
        <v>14</v>
      </c>
    </row>
    <row r="3313" spans="1:19" x14ac:dyDescent="0.35">
      <c r="A3313">
        <v>3312</v>
      </c>
      <c r="B3313">
        <v>29</v>
      </c>
      <c r="C3313" t="s">
        <v>141</v>
      </c>
      <c r="D3313" t="s">
        <v>112</v>
      </c>
      <c r="E3313" t="s">
        <v>55</v>
      </c>
      <c r="F3313">
        <v>52</v>
      </c>
      <c r="G3313" t="s">
        <v>91</v>
      </c>
      <c r="H3313" t="s">
        <v>11</v>
      </c>
      <c r="I3313" t="s">
        <v>132</v>
      </c>
      <c r="J3313" t="s">
        <v>41</v>
      </c>
      <c r="K3313">
        <v>4</v>
      </c>
      <c r="L3313" t="s">
        <v>140</v>
      </c>
      <c r="M3313" t="s">
        <v>15</v>
      </c>
      <c r="N3313" t="s">
        <v>140</v>
      </c>
      <c r="O3313">
        <v>18</v>
      </c>
      <c r="P3313" t="s">
        <v>63</v>
      </c>
      <c r="Q3313" t="s">
        <v>37</v>
      </c>
      <c r="R3313" t="str" cm="1">
        <f t="array" ref="R3313">_xlfn.IFS(B3313&lt;31,"Young-Adult",B3313&lt;41,"Adult",B3313&lt;61,"Middle-aged",B3313&gt;=61,"Senior")</f>
        <v>Young-Adult</v>
      </c>
      <c r="S3313" cm="1">
        <f t="array" ref="S3313">_xlfn.IFS(Q3313 ="Fortnightly",14,Q3313="Weekly",7,Q3313="Monthly",30,Q3313="Quarterly",90,Q3313="Bi-Weekly",14,Q3313="Annually",365,Q3313="Every 3 Months",90,TRUE,"NOT FOUND")</f>
        <v>365</v>
      </c>
    </row>
    <row r="3314" spans="1:19" x14ac:dyDescent="0.35">
      <c r="A3314">
        <v>3313</v>
      </c>
      <c r="B3314">
        <v>55</v>
      </c>
      <c r="C3314" t="s">
        <v>141</v>
      </c>
      <c r="D3314" t="s">
        <v>38</v>
      </c>
      <c r="E3314" t="s">
        <v>30</v>
      </c>
      <c r="F3314">
        <v>75</v>
      </c>
      <c r="G3314" t="s">
        <v>48</v>
      </c>
      <c r="H3314" t="s">
        <v>11</v>
      </c>
      <c r="I3314" t="s">
        <v>82</v>
      </c>
      <c r="J3314" t="s">
        <v>41</v>
      </c>
      <c r="K3314">
        <v>3.9</v>
      </c>
      <c r="L3314" t="s">
        <v>140</v>
      </c>
      <c r="M3314" t="s">
        <v>33</v>
      </c>
      <c r="N3314" t="s">
        <v>140</v>
      </c>
      <c r="O3314">
        <v>45</v>
      </c>
      <c r="P3314" t="s">
        <v>21</v>
      </c>
      <c r="Q3314" t="s">
        <v>46</v>
      </c>
      <c r="R3314" t="str" cm="1">
        <f t="array" ref="R3314">_xlfn.IFS(B3314&lt;31,"Young-Adult",B3314&lt;41,"Adult",B3314&lt;61,"Middle-aged",B3314&gt;=61,"Senior")</f>
        <v>Middle-aged</v>
      </c>
      <c r="S3314" cm="1">
        <f t="array" ref="S3314">_xlfn.IFS(Q3314 ="Fortnightly",14,Q3314="Weekly",7,Q3314="Monthly",30,Q3314="Quarterly",90,Q3314="Bi-Weekly",14,Q3314="Annually",365,Q3314="Every 3 Months",90,TRUE,"NOT FOUND")</f>
        <v>90</v>
      </c>
    </row>
    <row r="3315" spans="1:19" x14ac:dyDescent="0.35">
      <c r="A3315">
        <v>3314</v>
      </c>
      <c r="B3315">
        <v>55</v>
      </c>
      <c r="C3315" t="s">
        <v>141</v>
      </c>
      <c r="D3315" t="s">
        <v>112</v>
      </c>
      <c r="E3315" t="s">
        <v>55</v>
      </c>
      <c r="F3315">
        <v>30</v>
      </c>
      <c r="G3315" t="s">
        <v>99</v>
      </c>
      <c r="H3315" t="s">
        <v>80</v>
      </c>
      <c r="I3315" t="s">
        <v>82</v>
      </c>
      <c r="J3315" t="s">
        <v>45</v>
      </c>
      <c r="K3315">
        <v>3.9</v>
      </c>
      <c r="L3315" t="s">
        <v>140</v>
      </c>
      <c r="M3315" t="s">
        <v>15</v>
      </c>
      <c r="N3315" t="s">
        <v>140</v>
      </c>
      <c r="O3315">
        <v>45</v>
      </c>
      <c r="P3315" t="s">
        <v>27</v>
      </c>
      <c r="Q3315" t="s">
        <v>76</v>
      </c>
      <c r="R3315" t="str" cm="1">
        <f t="array" ref="R3315">_xlfn.IFS(B3315&lt;31,"Young-Adult",B3315&lt;41,"Adult",B3315&lt;61,"Middle-aged",B3315&gt;=61,"Senior")</f>
        <v>Middle-aged</v>
      </c>
      <c r="S3315" cm="1">
        <f t="array" ref="S3315">_xlfn.IFS(Q3315 ="Fortnightly",14,Q3315="Weekly",7,Q3315="Monthly",30,Q3315="Quarterly",90,Q3315="Bi-Weekly",14,Q3315="Annually",365,Q3315="Every 3 Months",90,TRUE,"NOT FOUND")</f>
        <v>30</v>
      </c>
    </row>
    <row r="3316" spans="1:19" x14ac:dyDescent="0.35">
      <c r="A3316">
        <v>3315</v>
      </c>
      <c r="B3316">
        <v>55</v>
      </c>
      <c r="C3316" t="s">
        <v>141</v>
      </c>
      <c r="D3316" t="s">
        <v>113</v>
      </c>
      <c r="E3316" t="s">
        <v>9</v>
      </c>
      <c r="F3316">
        <v>94</v>
      </c>
      <c r="G3316" t="s">
        <v>99</v>
      </c>
      <c r="H3316" t="s">
        <v>32</v>
      </c>
      <c r="I3316" t="s">
        <v>71</v>
      </c>
      <c r="J3316" t="s">
        <v>25</v>
      </c>
      <c r="K3316">
        <v>3.3</v>
      </c>
      <c r="L3316" t="s">
        <v>140</v>
      </c>
      <c r="M3316" t="s">
        <v>42</v>
      </c>
      <c r="N3316" t="s">
        <v>140</v>
      </c>
      <c r="O3316">
        <v>8</v>
      </c>
      <c r="P3316" t="s">
        <v>27</v>
      </c>
      <c r="Q3316" t="s">
        <v>46</v>
      </c>
      <c r="R3316" t="str" cm="1">
        <f t="array" ref="R3316">_xlfn.IFS(B3316&lt;31,"Young-Adult",B3316&lt;41,"Adult",B3316&lt;61,"Middle-aged",B3316&gt;=61,"Senior")</f>
        <v>Middle-aged</v>
      </c>
      <c r="S3316" cm="1">
        <f t="array" ref="S3316">_xlfn.IFS(Q3316 ="Fortnightly",14,Q3316="Weekly",7,Q3316="Monthly",30,Q3316="Quarterly",90,Q3316="Bi-Weekly",14,Q3316="Annually",365,Q3316="Every 3 Months",90,TRUE,"NOT FOUND")</f>
        <v>90</v>
      </c>
    </row>
    <row r="3317" spans="1:19" x14ac:dyDescent="0.35">
      <c r="A3317">
        <v>3316</v>
      </c>
      <c r="B3317">
        <v>48</v>
      </c>
      <c r="C3317" t="s">
        <v>141</v>
      </c>
      <c r="D3317" t="s">
        <v>107</v>
      </c>
      <c r="E3317" t="s">
        <v>55</v>
      </c>
      <c r="F3317">
        <v>68</v>
      </c>
      <c r="G3317" t="s">
        <v>10</v>
      </c>
      <c r="H3317" t="s">
        <v>24</v>
      </c>
      <c r="I3317" t="s">
        <v>68</v>
      </c>
      <c r="J3317" t="s">
        <v>41</v>
      </c>
      <c r="K3317">
        <v>2.9</v>
      </c>
      <c r="L3317" t="s">
        <v>140</v>
      </c>
      <c r="M3317" t="s">
        <v>42</v>
      </c>
      <c r="N3317" t="s">
        <v>140</v>
      </c>
      <c r="O3317">
        <v>4</v>
      </c>
      <c r="P3317" t="s">
        <v>34</v>
      </c>
      <c r="Q3317" t="s">
        <v>85</v>
      </c>
      <c r="R3317" t="str" cm="1">
        <f t="array" ref="R3317">_xlfn.IFS(B3317&lt;31,"Young-Adult",B3317&lt;41,"Adult",B3317&lt;61,"Middle-aged",B3317&gt;=61,"Senior")</f>
        <v>Middle-aged</v>
      </c>
      <c r="S3317" cm="1">
        <f t="array" ref="S3317">_xlfn.IFS(Q3317 ="Fortnightly",14,Q3317="Weekly",7,Q3317="Monthly",30,Q3317="Quarterly",90,Q3317="Bi-Weekly",14,Q3317="Annually",365,Q3317="Every 3 Months",90,TRUE,"NOT FOUND")</f>
        <v>90</v>
      </c>
    </row>
    <row r="3318" spans="1:19" x14ac:dyDescent="0.35">
      <c r="A3318">
        <v>3317</v>
      </c>
      <c r="B3318">
        <v>42</v>
      </c>
      <c r="C3318" t="s">
        <v>141</v>
      </c>
      <c r="D3318" t="s">
        <v>113</v>
      </c>
      <c r="E3318" t="s">
        <v>9</v>
      </c>
      <c r="F3318">
        <v>45</v>
      </c>
      <c r="G3318" t="s">
        <v>118</v>
      </c>
      <c r="H3318" t="s">
        <v>32</v>
      </c>
      <c r="I3318" t="s">
        <v>66</v>
      </c>
      <c r="J3318" t="s">
        <v>41</v>
      </c>
      <c r="K3318">
        <v>3.1</v>
      </c>
      <c r="L3318" t="s">
        <v>140</v>
      </c>
      <c r="M3318" t="s">
        <v>26</v>
      </c>
      <c r="N3318" t="s">
        <v>140</v>
      </c>
      <c r="O3318">
        <v>5</v>
      </c>
      <c r="P3318" t="s">
        <v>74</v>
      </c>
      <c r="Q3318" t="s">
        <v>17</v>
      </c>
      <c r="R3318" t="str" cm="1">
        <f t="array" ref="R3318">_xlfn.IFS(B3318&lt;31,"Young-Adult",B3318&lt;41,"Adult",B3318&lt;61,"Middle-aged",B3318&gt;=61,"Senior")</f>
        <v>Middle-aged</v>
      </c>
      <c r="S3318" cm="1">
        <f t="array" ref="S3318">_xlfn.IFS(Q3318 ="Fortnightly",14,Q3318="Weekly",7,Q3318="Monthly",30,Q3318="Quarterly",90,Q3318="Bi-Weekly",14,Q3318="Annually",365,Q3318="Every 3 Months",90,TRUE,"NOT FOUND")</f>
        <v>14</v>
      </c>
    </row>
    <row r="3319" spans="1:19" x14ac:dyDescent="0.35">
      <c r="A3319">
        <v>3318</v>
      </c>
      <c r="B3319">
        <v>21</v>
      </c>
      <c r="C3319" t="s">
        <v>141</v>
      </c>
      <c r="D3319" t="s">
        <v>112</v>
      </c>
      <c r="E3319" t="s">
        <v>55</v>
      </c>
      <c r="F3319">
        <v>67</v>
      </c>
      <c r="G3319" t="s">
        <v>86</v>
      </c>
      <c r="H3319" t="s">
        <v>80</v>
      </c>
      <c r="I3319" t="s">
        <v>57</v>
      </c>
      <c r="J3319" t="s">
        <v>41</v>
      </c>
      <c r="K3319">
        <v>4.7</v>
      </c>
      <c r="L3319" t="s">
        <v>140</v>
      </c>
      <c r="M3319" t="s">
        <v>42</v>
      </c>
      <c r="N3319" t="s">
        <v>140</v>
      </c>
      <c r="O3319">
        <v>30</v>
      </c>
      <c r="P3319" t="s">
        <v>21</v>
      </c>
      <c r="Q3319" t="s">
        <v>46</v>
      </c>
      <c r="R3319" t="str" cm="1">
        <f t="array" ref="R3319">_xlfn.IFS(B3319&lt;31,"Young-Adult",B3319&lt;41,"Adult",B3319&lt;61,"Middle-aged",B3319&gt;=61,"Senior")</f>
        <v>Young-Adult</v>
      </c>
      <c r="S3319" cm="1">
        <f t="array" ref="S3319">_xlfn.IFS(Q3319 ="Fortnightly",14,Q3319="Weekly",7,Q3319="Monthly",30,Q3319="Quarterly",90,Q3319="Bi-Weekly",14,Q3319="Annually",365,Q3319="Every 3 Months",90,TRUE,"NOT FOUND")</f>
        <v>90</v>
      </c>
    </row>
    <row r="3320" spans="1:19" x14ac:dyDescent="0.35">
      <c r="A3320">
        <v>3319</v>
      </c>
      <c r="B3320">
        <v>45</v>
      </c>
      <c r="C3320" t="s">
        <v>141</v>
      </c>
      <c r="D3320" t="s">
        <v>90</v>
      </c>
      <c r="E3320" t="s">
        <v>51</v>
      </c>
      <c r="F3320">
        <v>46</v>
      </c>
      <c r="G3320" t="s">
        <v>102</v>
      </c>
      <c r="H3320" t="s">
        <v>32</v>
      </c>
      <c r="I3320" t="s">
        <v>66</v>
      </c>
      <c r="J3320" t="s">
        <v>41</v>
      </c>
      <c r="K3320">
        <v>3.9</v>
      </c>
      <c r="L3320" t="s">
        <v>140</v>
      </c>
      <c r="M3320" t="s">
        <v>26</v>
      </c>
      <c r="N3320" t="s">
        <v>140</v>
      </c>
      <c r="O3320">
        <v>15</v>
      </c>
      <c r="P3320" t="s">
        <v>34</v>
      </c>
      <c r="Q3320" t="s">
        <v>76</v>
      </c>
      <c r="R3320" t="str" cm="1">
        <f t="array" ref="R3320">_xlfn.IFS(B3320&lt;31,"Young-Adult",B3320&lt;41,"Adult",B3320&lt;61,"Middle-aged",B3320&gt;=61,"Senior")</f>
        <v>Middle-aged</v>
      </c>
      <c r="S3320" cm="1">
        <f t="array" ref="S3320">_xlfn.IFS(Q3320 ="Fortnightly",14,Q3320="Weekly",7,Q3320="Monthly",30,Q3320="Quarterly",90,Q3320="Bi-Weekly",14,Q3320="Annually",365,Q3320="Every 3 Months",90,TRUE,"NOT FOUND")</f>
        <v>30</v>
      </c>
    </row>
    <row r="3321" spans="1:19" x14ac:dyDescent="0.35">
      <c r="A3321">
        <v>3320</v>
      </c>
      <c r="B3321">
        <v>23</v>
      </c>
      <c r="C3321" t="s">
        <v>141</v>
      </c>
      <c r="D3321" t="s">
        <v>47</v>
      </c>
      <c r="E3321" t="s">
        <v>9</v>
      </c>
      <c r="F3321">
        <v>31</v>
      </c>
      <c r="G3321" t="s">
        <v>102</v>
      </c>
      <c r="H3321" t="s">
        <v>32</v>
      </c>
      <c r="I3321" t="s">
        <v>114</v>
      </c>
      <c r="J3321" t="s">
        <v>41</v>
      </c>
      <c r="K3321">
        <v>4.3</v>
      </c>
      <c r="L3321" t="s">
        <v>140</v>
      </c>
      <c r="M3321" t="s">
        <v>33</v>
      </c>
      <c r="N3321" t="s">
        <v>140</v>
      </c>
      <c r="O3321">
        <v>17</v>
      </c>
      <c r="P3321" t="s">
        <v>27</v>
      </c>
      <c r="Q3321" t="s">
        <v>85</v>
      </c>
      <c r="R3321" t="str" cm="1">
        <f t="array" ref="R3321">_xlfn.IFS(B3321&lt;31,"Young-Adult",B3321&lt;41,"Adult",B3321&lt;61,"Middle-aged",B3321&gt;=61,"Senior")</f>
        <v>Young-Adult</v>
      </c>
      <c r="S3321" cm="1">
        <f t="array" ref="S3321">_xlfn.IFS(Q3321 ="Fortnightly",14,Q3321="Weekly",7,Q3321="Monthly",30,Q3321="Quarterly",90,Q3321="Bi-Weekly",14,Q3321="Annually",365,Q3321="Every 3 Months",90,TRUE,"NOT FOUND")</f>
        <v>90</v>
      </c>
    </row>
    <row r="3322" spans="1:19" x14ac:dyDescent="0.35">
      <c r="A3322">
        <v>3321</v>
      </c>
      <c r="B3322">
        <v>66</v>
      </c>
      <c r="C3322" t="s">
        <v>141</v>
      </c>
      <c r="D3322" t="s">
        <v>8</v>
      </c>
      <c r="E3322" t="s">
        <v>9</v>
      </c>
      <c r="F3322">
        <v>44</v>
      </c>
      <c r="G3322" t="s">
        <v>103</v>
      </c>
      <c r="H3322" t="s">
        <v>80</v>
      </c>
      <c r="I3322" t="s">
        <v>53</v>
      </c>
      <c r="J3322" t="s">
        <v>45</v>
      </c>
      <c r="K3322">
        <v>4.2</v>
      </c>
      <c r="L3322" t="s">
        <v>140</v>
      </c>
      <c r="M3322" t="s">
        <v>58</v>
      </c>
      <c r="N3322" t="s">
        <v>140</v>
      </c>
      <c r="O3322">
        <v>45</v>
      </c>
      <c r="P3322" t="s">
        <v>21</v>
      </c>
      <c r="Q3322" t="s">
        <v>85</v>
      </c>
      <c r="R3322" t="str" cm="1">
        <f t="array" ref="R3322">_xlfn.IFS(B3322&lt;31,"Young-Adult",B3322&lt;41,"Adult",B3322&lt;61,"Middle-aged",B3322&gt;=61,"Senior")</f>
        <v>Senior</v>
      </c>
      <c r="S3322" cm="1">
        <f t="array" ref="S3322">_xlfn.IFS(Q3322 ="Fortnightly",14,Q3322="Weekly",7,Q3322="Monthly",30,Q3322="Quarterly",90,Q3322="Bi-Weekly",14,Q3322="Annually",365,Q3322="Every 3 Months",90,TRUE,"NOT FOUND")</f>
        <v>90</v>
      </c>
    </row>
    <row r="3323" spans="1:19" x14ac:dyDescent="0.35">
      <c r="A3323">
        <v>3322</v>
      </c>
      <c r="B3323">
        <v>32</v>
      </c>
      <c r="C3323" t="s">
        <v>141</v>
      </c>
      <c r="D3323" t="s">
        <v>50</v>
      </c>
      <c r="E3323" t="s">
        <v>51</v>
      </c>
      <c r="F3323">
        <v>100</v>
      </c>
      <c r="G3323" t="s">
        <v>19</v>
      </c>
      <c r="H3323" t="s">
        <v>24</v>
      </c>
      <c r="I3323" t="s">
        <v>49</v>
      </c>
      <c r="J3323" t="s">
        <v>13</v>
      </c>
      <c r="K3323">
        <v>4.3</v>
      </c>
      <c r="L3323" t="s">
        <v>140</v>
      </c>
      <c r="M3323" t="s">
        <v>33</v>
      </c>
      <c r="N3323" t="s">
        <v>140</v>
      </c>
      <c r="O3323">
        <v>3</v>
      </c>
      <c r="P3323" t="s">
        <v>16</v>
      </c>
      <c r="Q3323" t="s">
        <v>37</v>
      </c>
      <c r="R3323" t="str" cm="1">
        <f t="array" ref="R3323">_xlfn.IFS(B3323&lt;31,"Young-Adult",B3323&lt;41,"Adult",B3323&lt;61,"Middle-aged",B3323&gt;=61,"Senior")</f>
        <v>Adult</v>
      </c>
      <c r="S3323" cm="1">
        <f t="array" ref="S3323">_xlfn.IFS(Q3323 ="Fortnightly",14,Q3323="Weekly",7,Q3323="Monthly",30,Q3323="Quarterly",90,Q3323="Bi-Weekly",14,Q3323="Annually",365,Q3323="Every 3 Months",90,TRUE,"NOT FOUND")</f>
        <v>365</v>
      </c>
    </row>
    <row r="3324" spans="1:19" x14ac:dyDescent="0.35">
      <c r="A3324">
        <v>3323</v>
      </c>
      <c r="B3324">
        <v>52</v>
      </c>
      <c r="C3324" t="s">
        <v>141</v>
      </c>
      <c r="D3324" t="s">
        <v>18</v>
      </c>
      <c r="E3324" t="s">
        <v>9</v>
      </c>
      <c r="F3324">
        <v>92</v>
      </c>
      <c r="G3324" t="s">
        <v>104</v>
      </c>
      <c r="H3324" t="s">
        <v>80</v>
      </c>
      <c r="I3324" t="s">
        <v>109</v>
      </c>
      <c r="J3324" t="s">
        <v>13</v>
      </c>
      <c r="K3324">
        <v>4.5999999999999996</v>
      </c>
      <c r="L3324" t="s">
        <v>140</v>
      </c>
      <c r="M3324" t="s">
        <v>33</v>
      </c>
      <c r="N3324" t="s">
        <v>140</v>
      </c>
      <c r="O3324">
        <v>43</v>
      </c>
      <c r="P3324" t="s">
        <v>34</v>
      </c>
      <c r="Q3324" t="s">
        <v>28</v>
      </c>
      <c r="R3324" t="str" cm="1">
        <f t="array" ref="R3324">_xlfn.IFS(B3324&lt;31,"Young-Adult",B3324&lt;41,"Adult",B3324&lt;61,"Middle-aged",B3324&gt;=61,"Senior")</f>
        <v>Middle-aged</v>
      </c>
      <c r="S3324" cm="1">
        <f t="array" ref="S3324">_xlfn.IFS(Q3324 ="Fortnightly",14,Q3324="Weekly",7,Q3324="Monthly",30,Q3324="Quarterly",90,Q3324="Bi-Weekly",14,Q3324="Annually",365,Q3324="Every 3 Months",90,TRUE,"NOT FOUND")</f>
        <v>7</v>
      </c>
    </row>
    <row r="3325" spans="1:19" x14ac:dyDescent="0.35">
      <c r="A3325">
        <v>3324</v>
      </c>
      <c r="B3325">
        <v>54</v>
      </c>
      <c r="C3325" t="s">
        <v>141</v>
      </c>
      <c r="D3325" t="s">
        <v>54</v>
      </c>
      <c r="E3325" t="s">
        <v>55</v>
      </c>
      <c r="F3325">
        <v>78</v>
      </c>
      <c r="G3325" t="s">
        <v>102</v>
      </c>
      <c r="H3325" t="s">
        <v>32</v>
      </c>
      <c r="I3325" t="s">
        <v>122</v>
      </c>
      <c r="J3325" t="s">
        <v>13</v>
      </c>
      <c r="K3325">
        <v>3.8</v>
      </c>
      <c r="L3325" t="s">
        <v>140</v>
      </c>
      <c r="M3325" t="s">
        <v>26</v>
      </c>
      <c r="N3325" t="s">
        <v>140</v>
      </c>
      <c r="O3325">
        <v>4</v>
      </c>
      <c r="P3325" t="s">
        <v>27</v>
      </c>
      <c r="Q3325" t="s">
        <v>76</v>
      </c>
      <c r="R3325" t="str" cm="1">
        <f t="array" ref="R3325">_xlfn.IFS(B3325&lt;31,"Young-Adult",B3325&lt;41,"Adult",B3325&lt;61,"Middle-aged",B3325&gt;=61,"Senior")</f>
        <v>Middle-aged</v>
      </c>
      <c r="S3325" cm="1">
        <f t="array" ref="S3325">_xlfn.IFS(Q3325 ="Fortnightly",14,Q3325="Weekly",7,Q3325="Monthly",30,Q3325="Quarterly",90,Q3325="Bi-Weekly",14,Q3325="Annually",365,Q3325="Every 3 Months",90,TRUE,"NOT FOUND")</f>
        <v>30</v>
      </c>
    </row>
    <row r="3326" spans="1:19" x14ac:dyDescent="0.35">
      <c r="A3326">
        <v>3325</v>
      </c>
      <c r="B3326">
        <v>37</v>
      </c>
      <c r="C3326" t="s">
        <v>141</v>
      </c>
      <c r="D3326" t="s">
        <v>101</v>
      </c>
      <c r="E3326" t="s">
        <v>9</v>
      </c>
      <c r="F3326">
        <v>32</v>
      </c>
      <c r="G3326" t="s">
        <v>56</v>
      </c>
      <c r="H3326" t="s">
        <v>24</v>
      </c>
      <c r="I3326" t="s">
        <v>96</v>
      </c>
      <c r="J3326" t="s">
        <v>45</v>
      </c>
      <c r="K3326">
        <v>3.3</v>
      </c>
      <c r="L3326" t="s">
        <v>140</v>
      </c>
      <c r="M3326" t="s">
        <v>42</v>
      </c>
      <c r="N3326" t="s">
        <v>140</v>
      </c>
      <c r="O3326">
        <v>41</v>
      </c>
      <c r="P3326" t="s">
        <v>16</v>
      </c>
      <c r="Q3326" t="s">
        <v>28</v>
      </c>
      <c r="R3326" t="str" cm="1">
        <f t="array" ref="R3326">_xlfn.IFS(B3326&lt;31,"Young-Adult",B3326&lt;41,"Adult",B3326&lt;61,"Middle-aged",B3326&gt;=61,"Senior")</f>
        <v>Adult</v>
      </c>
      <c r="S3326" cm="1">
        <f t="array" ref="S3326">_xlfn.IFS(Q3326 ="Fortnightly",14,Q3326="Weekly",7,Q3326="Monthly",30,Q3326="Quarterly",90,Q3326="Bi-Weekly",14,Q3326="Annually",365,Q3326="Every 3 Months",90,TRUE,"NOT FOUND")</f>
        <v>7</v>
      </c>
    </row>
    <row r="3327" spans="1:19" x14ac:dyDescent="0.35">
      <c r="A3327">
        <v>3326</v>
      </c>
      <c r="B3327">
        <v>29</v>
      </c>
      <c r="C3327" t="s">
        <v>141</v>
      </c>
      <c r="D3327" t="s">
        <v>29</v>
      </c>
      <c r="E3327" t="s">
        <v>30</v>
      </c>
      <c r="F3327">
        <v>97</v>
      </c>
      <c r="G3327" t="s">
        <v>108</v>
      </c>
      <c r="H3327" t="s">
        <v>32</v>
      </c>
      <c r="I3327" t="s">
        <v>20</v>
      </c>
      <c r="J3327" t="s">
        <v>45</v>
      </c>
      <c r="K3327">
        <v>3.7</v>
      </c>
      <c r="L3327" t="s">
        <v>140</v>
      </c>
      <c r="M3327" t="s">
        <v>58</v>
      </c>
      <c r="N3327" t="s">
        <v>140</v>
      </c>
      <c r="O3327">
        <v>16</v>
      </c>
      <c r="P3327" t="s">
        <v>16</v>
      </c>
      <c r="Q3327" t="s">
        <v>76</v>
      </c>
      <c r="R3327" t="str" cm="1">
        <f t="array" ref="R3327">_xlfn.IFS(B3327&lt;31,"Young-Adult",B3327&lt;41,"Adult",B3327&lt;61,"Middle-aged",B3327&gt;=61,"Senior")</f>
        <v>Young-Adult</v>
      </c>
      <c r="S3327" cm="1">
        <f t="array" ref="S3327">_xlfn.IFS(Q3327 ="Fortnightly",14,Q3327="Weekly",7,Q3327="Monthly",30,Q3327="Quarterly",90,Q3327="Bi-Weekly",14,Q3327="Annually",365,Q3327="Every 3 Months",90,TRUE,"NOT FOUND")</f>
        <v>30</v>
      </c>
    </row>
    <row r="3328" spans="1:19" x14ac:dyDescent="0.35">
      <c r="A3328">
        <v>3327</v>
      </c>
      <c r="B3328">
        <v>47</v>
      </c>
      <c r="C3328" t="s">
        <v>141</v>
      </c>
      <c r="D3328" t="s">
        <v>131</v>
      </c>
      <c r="E3328" t="s">
        <v>55</v>
      </c>
      <c r="F3328">
        <v>95</v>
      </c>
      <c r="G3328" t="s">
        <v>102</v>
      </c>
      <c r="H3328" t="s">
        <v>32</v>
      </c>
      <c r="I3328" t="s">
        <v>124</v>
      </c>
      <c r="J3328" t="s">
        <v>41</v>
      </c>
      <c r="K3328">
        <v>4.3</v>
      </c>
      <c r="L3328" t="s">
        <v>140</v>
      </c>
      <c r="M3328" t="s">
        <v>42</v>
      </c>
      <c r="N3328" t="s">
        <v>140</v>
      </c>
      <c r="O3328">
        <v>10</v>
      </c>
      <c r="P3328" t="s">
        <v>74</v>
      </c>
      <c r="Q3328" t="s">
        <v>37</v>
      </c>
      <c r="R3328" t="str" cm="1">
        <f t="array" ref="R3328">_xlfn.IFS(B3328&lt;31,"Young-Adult",B3328&lt;41,"Adult",B3328&lt;61,"Middle-aged",B3328&gt;=61,"Senior")</f>
        <v>Middle-aged</v>
      </c>
      <c r="S3328" cm="1">
        <f t="array" ref="S3328">_xlfn.IFS(Q3328 ="Fortnightly",14,Q3328="Weekly",7,Q3328="Monthly",30,Q3328="Quarterly",90,Q3328="Bi-Weekly",14,Q3328="Annually",365,Q3328="Every 3 Months",90,TRUE,"NOT FOUND")</f>
        <v>365</v>
      </c>
    </row>
    <row r="3329" spans="1:19" x14ac:dyDescent="0.35">
      <c r="A3329">
        <v>3328</v>
      </c>
      <c r="B3329">
        <v>47</v>
      </c>
      <c r="C3329" t="s">
        <v>141</v>
      </c>
      <c r="D3329" t="s">
        <v>47</v>
      </c>
      <c r="E3329" t="s">
        <v>9</v>
      </c>
      <c r="F3329">
        <v>64</v>
      </c>
      <c r="G3329" t="s">
        <v>127</v>
      </c>
      <c r="H3329" t="s">
        <v>32</v>
      </c>
      <c r="I3329" t="s">
        <v>82</v>
      </c>
      <c r="J3329" t="s">
        <v>25</v>
      </c>
      <c r="K3329">
        <v>4.0999999999999996</v>
      </c>
      <c r="L3329" t="s">
        <v>140</v>
      </c>
      <c r="M3329" t="s">
        <v>15</v>
      </c>
      <c r="N3329" t="s">
        <v>140</v>
      </c>
      <c r="O3329">
        <v>2</v>
      </c>
      <c r="P3329" t="s">
        <v>74</v>
      </c>
      <c r="Q3329" t="s">
        <v>46</v>
      </c>
      <c r="R3329" t="str" cm="1">
        <f t="array" ref="R3329">_xlfn.IFS(B3329&lt;31,"Young-Adult",B3329&lt;41,"Adult",B3329&lt;61,"Middle-aged",B3329&gt;=61,"Senior")</f>
        <v>Middle-aged</v>
      </c>
      <c r="S3329" cm="1">
        <f t="array" ref="S3329">_xlfn.IFS(Q3329 ="Fortnightly",14,Q3329="Weekly",7,Q3329="Monthly",30,Q3329="Quarterly",90,Q3329="Bi-Weekly",14,Q3329="Annually",365,Q3329="Every 3 Months",90,TRUE,"NOT FOUND")</f>
        <v>90</v>
      </c>
    </row>
    <row r="3330" spans="1:19" x14ac:dyDescent="0.35">
      <c r="A3330">
        <v>3329</v>
      </c>
      <c r="B3330">
        <v>42</v>
      </c>
      <c r="C3330" t="s">
        <v>141</v>
      </c>
      <c r="D3330" t="s">
        <v>29</v>
      </c>
      <c r="E3330" t="s">
        <v>30</v>
      </c>
      <c r="F3330">
        <v>35</v>
      </c>
      <c r="G3330" t="s">
        <v>138</v>
      </c>
      <c r="H3330" t="s">
        <v>32</v>
      </c>
      <c r="I3330" t="s">
        <v>71</v>
      </c>
      <c r="J3330" t="s">
        <v>25</v>
      </c>
      <c r="K3330">
        <v>3.2</v>
      </c>
      <c r="L3330" t="s">
        <v>140</v>
      </c>
      <c r="M3330" t="s">
        <v>26</v>
      </c>
      <c r="N3330" t="s">
        <v>140</v>
      </c>
      <c r="O3330">
        <v>11</v>
      </c>
      <c r="P3330" t="s">
        <v>21</v>
      </c>
      <c r="Q3330" t="s">
        <v>64</v>
      </c>
      <c r="R3330" t="str" cm="1">
        <f t="array" ref="R3330">_xlfn.IFS(B3330&lt;31,"Young-Adult",B3330&lt;41,"Adult",B3330&lt;61,"Middle-aged",B3330&gt;=61,"Senior")</f>
        <v>Middle-aged</v>
      </c>
      <c r="S3330" cm="1">
        <f t="array" ref="S3330">_xlfn.IFS(Q3330 ="Fortnightly",14,Q3330="Weekly",7,Q3330="Monthly",30,Q3330="Quarterly",90,Q3330="Bi-Weekly",14,Q3330="Annually",365,Q3330="Every 3 Months",90,TRUE,"NOT FOUND")</f>
        <v>14</v>
      </c>
    </row>
    <row r="3331" spans="1:19" x14ac:dyDescent="0.35">
      <c r="A3331">
        <v>3330</v>
      </c>
      <c r="B3331">
        <v>34</v>
      </c>
      <c r="C3331" t="s">
        <v>141</v>
      </c>
      <c r="D3331" t="s">
        <v>120</v>
      </c>
      <c r="E3331" t="s">
        <v>55</v>
      </c>
      <c r="F3331">
        <v>54</v>
      </c>
      <c r="G3331" t="s">
        <v>115</v>
      </c>
      <c r="H3331" t="s">
        <v>32</v>
      </c>
      <c r="I3331" t="s">
        <v>12</v>
      </c>
      <c r="J3331" t="s">
        <v>13</v>
      </c>
      <c r="K3331">
        <v>3.8</v>
      </c>
      <c r="L3331" t="s">
        <v>140</v>
      </c>
      <c r="M3331" t="s">
        <v>15</v>
      </c>
      <c r="N3331" t="s">
        <v>140</v>
      </c>
      <c r="O3331">
        <v>1</v>
      </c>
      <c r="P3331" t="s">
        <v>74</v>
      </c>
      <c r="Q3331" t="s">
        <v>64</v>
      </c>
      <c r="R3331" t="str" cm="1">
        <f t="array" ref="R3331">_xlfn.IFS(B3331&lt;31,"Young-Adult",B3331&lt;41,"Adult",B3331&lt;61,"Middle-aged",B3331&gt;=61,"Senior")</f>
        <v>Adult</v>
      </c>
      <c r="S3331" cm="1">
        <f t="array" ref="S3331">_xlfn.IFS(Q3331 ="Fortnightly",14,Q3331="Weekly",7,Q3331="Monthly",30,Q3331="Quarterly",90,Q3331="Bi-Weekly",14,Q3331="Annually",365,Q3331="Every 3 Months",90,TRUE,"NOT FOUND")</f>
        <v>14</v>
      </c>
    </row>
    <row r="3332" spans="1:19" x14ac:dyDescent="0.35">
      <c r="A3332">
        <v>3331</v>
      </c>
      <c r="B3332">
        <v>38</v>
      </c>
      <c r="C3332" t="s">
        <v>141</v>
      </c>
      <c r="D3332" t="s">
        <v>38</v>
      </c>
      <c r="E3332" t="s">
        <v>30</v>
      </c>
      <c r="F3332">
        <v>96</v>
      </c>
      <c r="G3332" t="s">
        <v>56</v>
      </c>
      <c r="H3332" t="s">
        <v>32</v>
      </c>
      <c r="I3332" t="s">
        <v>82</v>
      </c>
      <c r="J3332" t="s">
        <v>25</v>
      </c>
      <c r="K3332">
        <v>3.2</v>
      </c>
      <c r="L3332" t="s">
        <v>140</v>
      </c>
      <c r="M3332" t="s">
        <v>58</v>
      </c>
      <c r="N3332" t="s">
        <v>140</v>
      </c>
      <c r="O3332">
        <v>41</v>
      </c>
      <c r="P3332" t="s">
        <v>63</v>
      </c>
      <c r="Q3332" t="s">
        <v>46</v>
      </c>
      <c r="R3332" t="str" cm="1">
        <f t="array" ref="R3332">_xlfn.IFS(B3332&lt;31,"Young-Adult",B3332&lt;41,"Adult",B3332&lt;61,"Middle-aged",B3332&gt;=61,"Senior")</f>
        <v>Adult</v>
      </c>
      <c r="S3332" cm="1">
        <f t="array" ref="S3332">_xlfn.IFS(Q3332 ="Fortnightly",14,Q3332="Weekly",7,Q3332="Monthly",30,Q3332="Quarterly",90,Q3332="Bi-Weekly",14,Q3332="Annually",365,Q3332="Every 3 Months",90,TRUE,"NOT FOUND")</f>
        <v>90</v>
      </c>
    </row>
    <row r="3333" spans="1:19" x14ac:dyDescent="0.35">
      <c r="A3333">
        <v>3332</v>
      </c>
      <c r="B3333">
        <v>55</v>
      </c>
      <c r="C3333" t="s">
        <v>141</v>
      </c>
      <c r="D3333" t="s">
        <v>77</v>
      </c>
      <c r="E3333" t="s">
        <v>55</v>
      </c>
      <c r="F3333">
        <v>58</v>
      </c>
      <c r="G3333" t="s">
        <v>87</v>
      </c>
      <c r="H3333" t="s">
        <v>32</v>
      </c>
      <c r="I3333" t="s">
        <v>57</v>
      </c>
      <c r="J3333" t="s">
        <v>41</v>
      </c>
      <c r="K3333">
        <v>3.5</v>
      </c>
      <c r="L3333" t="s">
        <v>140</v>
      </c>
      <c r="M3333" t="s">
        <v>26</v>
      </c>
      <c r="N3333" t="s">
        <v>140</v>
      </c>
      <c r="O3333">
        <v>39</v>
      </c>
      <c r="P3333" t="s">
        <v>34</v>
      </c>
      <c r="Q3333" t="s">
        <v>46</v>
      </c>
      <c r="R3333" t="str" cm="1">
        <f t="array" ref="R3333">_xlfn.IFS(B3333&lt;31,"Young-Adult",B3333&lt;41,"Adult",B3333&lt;61,"Middle-aged",B3333&gt;=61,"Senior")</f>
        <v>Middle-aged</v>
      </c>
      <c r="S3333" cm="1">
        <f t="array" ref="S3333">_xlfn.IFS(Q3333 ="Fortnightly",14,Q3333="Weekly",7,Q3333="Monthly",30,Q3333="Quarterly",90,Q3333="Bi-Weekly",14,Q3333="Annually",365,Q3333="Every 3 Months",90,TRUE,"NOT FOUND")</f>
        <v>90</v>
      </c>
    </row>
    <row r="3334" spans="1:19" x14ac:dyDescent="0.35">
      <c r="A3334">
        <v>3333</v>
      </c>
      <c r="B3334">
        <v>27</v>
      </c>
      <c r="C3334" t="s">
        <v>141</v>
      </c>
      <c r="D3334" t="s">
        <v>101</v>
      </c>
      <c r="E3334" t="s">
        <v>9</v>
      </c>
      <c r="F3334">
        <v>23</v>
      </c>
      <c r="G3334" t="s">
        <v>137</v>
      </c>
      <c r="H3334" t="s">
        <v>32</v>
      </c>
      <c r="I3334" t="s">
        <v>53</v>
      </c>
      <c r="J3334" t="s">
        <v>41</v>
      </c>
      <c r="K3334">
        <v>3.1</v>
      </c>
      <c r="L3334" t="s">
        <v>140</v>
      </c>
      <c r="M3334" t="s">
        <v>58</v>
      </c>
      <c r="N3334" t="s">
        <v>140</v>
      </c>
      <c r="O3334">
        <v>1</v>
      </c>
      <c r="P3334" t="s">
        <v>34</v>
      </c>
      <c r="Q3334" t="s">
        <v>64</v>
      </c>
      <c r="R3334" t="str" cm="1">
        <f t="array" ref="R3334">_xlfn.IFS(B3334&lt;31,"Young-Adult",B3334&lt;41,"Adult",B3334&lt;61,"Middle-aged",B3334&gt;=61,"Senior")</f>
        <v>Young-Adult</v>
      </c>
      <c r="S3334" cm="1">
        <f t="array" ref="S3334">_xlfn.IFS(Q3334 ="Fortnightly",14,Q3334="Weekly",7,Q3334="Monthly",30,Q3334="Quarterly",90,Q3334="Bi-Weekly",14,Q3334="Annually",365,Q3334="Every 3 Months",90,TRUE,"NOT FOUND")</f>
        <v>14</v>
      </c>
    </row>
    <row r="3335" spans="1:19" x14ac:dyDescent="0.35">
      <c r="A3335">
        <v>3334</v>
      </c>
      <c r="B3335">
        <v>55</v>
      </c>
      <c r="C3335" t="s">
        <v>141</v>
      </c>
      <c r="D3335" t="s">
        <v>22</v>
      </c>
      <c r="E3335" t="s">
        <v>9</v>
      </c>
      <c r="F3335">
        <v>35</v>
      </c>
      <c r="G3335" t="s">
        <v>136</v>
      </c>
      <c r="H3335" t="s">
        <v>32</v>
      </c>
      <c r="I3335" t="s">
        <v>71</v>
      </c>
      <c r="J3335" t="s">
        <v>25</v>
      </c>
      <c r="K3335">
        <v>4.2</v>
      </c>
      <c r="L3335" t="s">
        <v>140</v>
      </c>
      <c r="M3335" t="s">
        <v>15</v>
      </c>
      <c r="N3335" t="s">
        <v>140</v>
      </c>
      <c r="O3335">
        <v>3</v>
      </c>
      <c r="P3335" t="s">
        <v>34</v>
      </c>
      <c r="Q3335" t="s">
        <v>76</v>
      </c>
      <c r="R3335" t="str" cm="1">
        <f t="array" ref="R3335">_xlfn.IFS(B3335&lt;31,"Young-Adult",B3335&lt;41,"Adult",B3335&lt;61,"Middle-aged",B3335&gt;=61,"Senior")</f>
        <v>Middle-aged</v>
      </c>
      <c r="S3335" cm="1">
        <f t="array" ref="S3335">_xlfn.IFS(Q3335 ="Fortnightly",14,Q3335="Weekly",7,Q3335="Monthly",30,Q3335="Quarterly",90,Q3335="Bi-Weekly",14,Q3335="Annually",365,Q3335="Every 3 Months",90,TRUE,"NOT FOUND")</f>
        <v>30</v>
      </c>
    </row>
    <row r="3336" spans="1:19" x14ac:dyDescent="0.35">
      <c r="A3336">
        <v>3335</v>
      </c>
      <c r="B3336">
        <v>66</v>
      </c>
      <c r="C3336" t="s">
        <v>141</v>
      </c>
      <c r="D3336" t="s">
        <v>43</v>
      </c>
      <c r="E3336" t="s">
        <v>9</v>
      </c>
      <c r="F3336">
        <v>23</v>
      </c>
      <c r="G3336" t="s">
        <v>87</v>
      </c>
      <c r="H3336" t="s">
        <v>32</v>
      </c>
      <c r="I3336" t="s">
        <v>106</v>
      </c>
      <c r="J3336" t="s">
        <v>41</v>
      </c>
      <c r="K3336">
        <v>3.4</v>
      </c>
      <c r="L3336" t="s">
        <v>140</v>
      </c>
      <c r="M3336" t="s">
        <v>26</v>
      </c>
      <c r="N3336" t="s">
        <v>140</v>
      </c>
      <c r="O3336">
        <v>21</v>
      </c>
      <c r="P3336" t="s">
        <v>27</v>
      </c>
      <c r="Q3336" t="s">
        <v>37</v>
      </c>
      <c r="R3336" t="str" cm="1">
        <f t="array" ref="R3336">_xlfn.IFS(B3336&lt;31,"Young-Adult",B3336&lt;41,"Adult",B3336&lt;61,"Middle-aged",B3336&gt;=61,"Senior")</f>
        <v>Senior</v>
      </c>
      <c r="S3336" cm="1">
        <f t="array" ref="S3336">_xlfn.IFS(Q3336 ="Fortnightly",14,Q3336="Weekly",7,Q3336="Monthly",30,Q3336="Quarterly",90,Q3336="Bi-Weekly",14,Q3336="Annually",365,Q3336="Every 3 Months",90,TRUE,"NOT FOUND")</f>
        <v>365</v>
      </c>
    </row>
    <row r="3337" spans="1:19" x14ac:dyDescent="0.35">
      <c r="A3337">
        <v>3336</v>
      </c>
      <c r="B3337">
        <v>44</v>
      </c>
      <c r="C3337" t="s">
        <v>141</v>
      </c>
      <c r="D3337" t="s">
        <v>112</v>
      </c>
      <c r="E3337" t="s">
        <v>55</v>
      </c>
      <c r="F3337">
        <v>94</v>
      </c>
      <c r="G3337" t="s">
        <v>93</v>
      </c>
      <c r="H3337" t="s">
        <v>80</v>
      </c>
      <c r="I3337" t="s">
        <v>97</v>
      </c>
      <c r="J3337" t="s">
        <v>13</v>
      </c>
      <c r="K3337">
        <v>3.5</v>
      </c>
      <c r="L3337" t="s">
        <v>140</v>
      </c>
      <c r="M3337" t="s">
        <v>15</v>
      </c>
      <c r="N3337" t="s">
        <v>140</v>
      </c>
      <c r="O3337">
        <v>48</v>
      </c>
      <c r="P3337" t="s">
        <v>63</v>
      </c>
      <c r="Q3337" t="s">
        <v>46</v>
      </c>
      <c r="R3337" t="str" cm="1">
        <f t="array" ref="R3337">_xlfn.IFS(B3337&lt;31,"Young-Adult",B3337&lt;41,"Adult",B3337&lt;61,"Middle-aged",B3337&gt;=61,"Senior")</f>
        <v>Middle-aged</v>
      </c>
      <c r="S3337" cm="1">
        <f t="array" ref="S3337">_xlfn.IFS(Q3337 ="Fortnightly",14,Q3337="Weekly",7,Q3337="Monthly",30,Q3337="Quarterly",90,Q3337="Bi-Weekly",14,Q3337="Annually",365,Q3337="Every 3 Months",90,TRUE,"NOT FOUND")</f>
        <v>90</v>
      </c>
    </row>
    <row r="3338" spans="1:19" x14ac:dyDescent="0.35">
      <c r="A3338">
        <v>3337</v>
      </c>
      <c r="B3338">
        <v>39</v>
      </c>
      <c r="C3338" t="s">
        <v>141</v>
      </c>
      <c r="D3338" t="s">
        <v>8</v>
      </c>
      <c r="E3338" t="s">
        <v>9</v>
      </c>
      <c r="F3338">
        <v>45</v>
      </c>
      <c r="G3338" t="s">
        <v>44</v>
      </c>
      <c r="H3338" t="s">
        <v>32</v>
      </c>
      <c r="I3338" t="s">
        <v>98</v>
      </c>
      <c r="J3338" t="s">
        <v>45</v>
      </c>
      <c r="K3338">
        <v>4</v>
      </c>
      <c r="L3338" t="s">
        <v>140</v>
      </c>
      <c r="M3338" t="s">
        <v>26</v>
      </c>
      <c r="N3338" t="s">
        <v>140</v>
      </c>
      <c r="O3338">
        <v>24</v>
      </c>
      <c r="P3338" t="s">
        <v>74</v>
      </c>
      <c r="Q3338" t="s">
        <v>37</v>
      </c>
      <c r="R3338" t="str" cm="1">
        <f t="array" ref="R3338">_xlfn.IFS(B3338&lt;31,"Young-Adult",B3338&lt;41,"Adult",B3338&lt;61,"Middle-aged",B3338&gt;=61,"Senior")</f>
        <v>Adult</v>
      </c>
      <c r="S3338" cm="1">
        <f t="array" ref="S3338">_xlfn.IFS(Q3338 ="Fortnightly",14,Q3338="Weekly",7,Q3338="Monthly",30,Q3338="Quarterly",90,Q3338="Bi-Weekly",14,Q3338="Annually",365,Q3338="Every 3 Months",90,TRUE,"NOT FOUND")</f>
        <v>365</v>
      </c>
    </row>
    <row r="3339" spans="1:19" x14ac:dyDescent="0.35">
      <c r="A3339">
        <v>3338</v>
      </c>
      <c r="B3339">
        <v>23</v>
      </c>
      <c r="C3339" t="s">
        <v>141</v>
      </c>
      <c r="D3339" t="s">
        <v>90</v>
      </c>
      <c r="E3339" t="s">
        <v>51</v>
      </c>
      <c r="F3339">
        <v>23</v>
      </c>
      <c r="G3339" t="s">
        <v>105</v>
      </c>
      <c r="H3339" t="s">
        <v>11</v>
      </c>
      <c r="I3339" t="s">
        <v>132</v>
      </c>
      <c r="J3339" t="s">
        <v>13</v>
      </c>
      <c r="K3339">
        <v>4.4000000000000004</v>
      </c>
      <c r="L3339" t="s">
        <v>140</v>
      </c>
      <c r="M3339" t="s">
        <v>58</v>
      </c>
      <c r="N3339" t="s">
        <v>140</v>
      </c>
      <c r="O3339">
        <v>45</v>
      </c>
      <c r="P3339" t="s">
        <v>63</v>
      </c>
      <c r="Q3339" t="s">
        <v>64</v>
      </c>
      <c r="R3339" t="str" cm="1">
        <f t="array" ref="R3339">_xlfn.IFS(B3339&lt;31,"Young-Adult",B3339&lt;41,"Adult",B3339&lt;61,"Middle-aged",B3339&gt;=61,"Senior")</f>
        <v>Young-Adult</v>
      </c>
      <c r="S3339" cm="1">
        <f t="array" ref="S3339">_xlfn.IFS(Q3339 ="Fortnightly",14,Q3339="Weekly",7,Q3339="Monthly",30,Q3339="Quarterly",90,Q3339="Bi-Weekly",14,Q3339="Annually",365,Q3339="Every 3 Months",90,TRUE,"NOT FOUND")</f>
        <v>14</v>
      </c>
    </row>
    <row r="3340" spans="1:19" x14ac:dyDescent="0.35">
      <c r="A3340">
        <v>3339</v>
      </c>
      <c r="B3340">
        <v>29</v>
      </c>
      <c r="C3340" t="s">
        <v>141</v>
      </c>
      <c r="D3340" t="s">
        <v>75</v>
      </c>
      <c r="E3340" t="s">
        <v>9</v>
      </c>
      <c r="F3340">
        <v>94</v>
      </c>
      <c r="G3340" t="s">
        <v>136</v>
      </c>
      <c r="H3340" t="s">
        <v>11</v>
      </c>
      <c r="I3340" t="s">
        <v>40</v>
      </c>
      <c r="J3340" t="s">
        <v>13</v>
      </c>
      <c r="K3340">
        <v>2.9</v>
      </c>
      <c r="L3340" t="s">
        <v>140</v>
      </c>
      <c r="M3340" t="s">
        <v>58</v>
      </c>
      <c r="N3340" t="s">
        <v>140</v>
      </c>
      <c r="O3340">
        <v>46</v>
      </c>
      <c r="P3340" t="s">
        <v>27</v>
      </c>
      <c r="Q3340" t="s">
        <v>76</v>
      </c>
      <c r="R3340" t="str" cm="1">
        <f t="array" ref="R3340">_xlfn.IFS(B3340&lt;31,"Young-Adult",B3340&lt;41,"Adult",B3340&lt;61,"Middle-aged",B3340&gt;=61,"Senior")</f>
        <v>Young-Adult</v>
      </c>
      <c r="S3340" cm="1">
        <f t="array" ref="S3340">_xlfn.IFS(Q3340 ="Fortnightly",14,Q3340="Weekly",7,Q3340="Monthly",30,Q3340="Quarterly",90,Q3340="Bi-Weekly",14,Q3340="Annually",365,Q3340="Every 3 Months",90,TRUE,"NOT FOUND")</f>
        <v>30</v>
      </c>
    </row>
    <row r="3341" spans="1:19" x14ac:dyDescent="0.35">
      <c r="A3341">
        <v>3340</v>
      </c>
      <c r="B3341">
        <v>20</v>
      </c>
      <c r="C3341" t="s">
        <v>141</v>
      </c>
      <c r="D3341" t="s">
        <v>131</v>
      </c>
      <c r="E3341" t="s">
        <v>55</v>
      </c>
      <c r="F3341">
        <v>99</v>
      </c>
      <c r="G3341" t="s">
        <v>133</v>
      </c>
      <c r="H3341" t="s">
        <v>32</v>
      </c>
      <c r="I3341" t="s">
        <v>97</v>
      </c>
      <c r="J3341" t="s">
        <v>45</v>
      </c>
      <c r="K3341">
        <v>3.6</v>
      </c>
      <c r="L3341" t="s">
        <v>140</v>
      </c>
      <c r="M3341" t="s">
        <v>62</v>
      </c>
      <c r="N3341" t="s">
        <v>140</v>
      </c>
      <c r="O3341">
        <v>35</v>
      </c>
      <c r="P3341" t="s">
        <v>21</v>
      </c>
      <c r="Q3341" t="s">
        <v>17</v>
      </c>
      <c r="R3341" t="str" cm="1">
        <f t="array" ref="R3341">_xlfn.IFS(B3341&lt;31,"Young-Adult",B3341&lt;41,"Adult",B3341&lt;61,"Middle-aged",B3341&gt;=61,"Senior")</f>
        <v>Young-Adult</v>
      </c>
      <c r="S3341" cm="1">
        <f t="array" ref="S3341">_xlfn.IFS(Q3341 ="Fortnightly",14,Q3341="Weekly",7,Q3341="Monthly",30,Q3341="Quarterly",90,Q3341="Bi-Weekly",14,Q3341="Annually",365,Q3341="Every 3 Months",90,TRUE,"NOT FOUND")</f>
        <v>14</v>
      </c>
    </row>
    <row r="3342" spans="1:19" x14ac:dyDescent="0.35">
      <c r="A3342">
        <v>3341</v>
      </c>
      <c r="B3342">
        <v>42</v>
      </c>
      <c r="C3342" t="s">
        <v>141</v>
      </c>
      <c r="D3342" t="s">
        <v>101</v>
      </c>
      <c r="E3342" t="s">
        <v>9</v>
      </c>
      <c r="F3342">
        <v>36</v>
      </c>
      <c r="G3342" t="s">
        <v>129</v>
      </c>
      <c r="H3342" t="s">
        <v>80</v>
      </c>
      <c r="I3342" t="s">
        <v>20</v>
      </c>
      <c r="J3342" t="s">
        <v>45</v>
      </c>
      <c r="K3342">
        <v>4.4000000000000004</v>
      </c>
      <c r="L3342" t="s">
        <v>140</v>
      </c>
      <c r="M3342" t="s">
        <v>26</v>
      </c>
      <c r="N3342" t="s">
        <v>140</v>
      </c>
      <c r="O3342">
        <v>47</v>
      </c>
      <c r="P3342" t="s">
        <v>27</v>
      </c>
      <c r="Q3342" t="s">
        <v>17</v>
      </c>
      <c r="R3342" t="str" cm="1">
        <f t="array" ref="R3342">_xlfn.IFS(B3342&lt;31,"Young-Adult",B3342&lt;41,"Adult",B3342&lt;61,"Middle-aged",B3342&gt;=61,"Senior")</f>
        <v>Middle-aged</v>
      </c>
      <c r="S3342" cm="1">
        <f t="array" ref="S3342">_xlfn.IFS(Q3342 ="Fortnightly",14,Q3342="Weekly",7,Q3342="Monthly",30,Q3342="Quarterly",90,Q3342="Bi-Weekly",14,Q3342="Annually",365,Q3342="Every 3 Months",90,TRUE,"NOT FOUND")</f>
        <v>14</v>
      </c>
    </row>
    <row r="3343" spans="1:19" x14ac:dyDescent="0.35">
      <c r="A3343">
        <v>3342</v>
      </c>
      <c r="B3343">
        <v>55</v>
      </c>
      <c r="C3343" t="s">
        <v>141</v>
      </c>
      <c r="D3343" t="s">
        <v>90</v>
      </c>
      <c r="E3343" t="s">
        <v>51</v>
      </c>
      <c r="F3343">
        <v>50</v>
      </c>
      <c r="G3343" t="s">
        <v>127</v>
      </c>
      <c r="H3343" t="s">
        <v>80</v>
      </c>
      <c r="I3343" t="s">
        <v>66</v>
      </c>
      <c r="J3343" t="s">
        <v>41</v>
      </c>
      <c r="K3343">
        <v>4.5</v>
      </c>
      <c r="L3343" t="s">
        <v>140</v>
      </c>
      <c r="M3343" t="s">
        <v>42</v>
      </c>
      <c r="N3343" t="s">
        <v>140</v>
      </c>
      <c r="O3343">
        <v>35</v>
      </c>
      <c r="P3343" t="s">
        <v>27</v>
      </c>
      <c r="Q3343" t="s">
        <v>76</v>
      </c>
      <c r="R3343" t="str" cm="1">
        <f t="array" ref="R3343">_xlfn.IFS(B3343&lt;31,"Young-Adult",B3343&lt;41,"Adult",B3343&lt;61,"Middle-aged",B3343&gt;=61,"Senior")</f>
        <v>Middle-aged</v>
      </c>
      <c r="S3343" cm="1">
        <f t="array" ref="S3343">_xlfn.IFS(Q3343 ="Fortnightly",14,Q3343="Weekly",7,Q3343="Monthly",30,Q3343="Quarterly",90,Q3343="Bi-Weekly",14,Q3343="Annually",365,Q3343="Every 3 Months",90,TRUE,"NOT FOUND")</f>
        <v>30</v>
      </c>
    </row>
    <row r="3344" spans="1:19" x14ac:dyDescent="0.35">
      <c r="A3344">
        <v>3343</v>
      </c>
      <c r="B3344">
        <v>66</v>
      </c>
      <c r="C3344" t="s">
        <v>141</v>
      </c>
      <c r="D3344" t="s">
        <v>90</v>
      </c>
      <c r="E3344" t="s">
        <v>51</v>
      </c>
      <c r="F3344">
        <v>81</v>
      </c>
      <c r="G3344" t="s">
        <v>115</v>
      </c>
      <c r="H3344" t="s">
        <v>32</v>
      </c>
      <c r="I3344" t="s">
        <v>71</v>
      </c>
      <c r="J3344" t="s">
        <v>25</v>
      </c>
      <c r="K3344">
        <v>3.8</v>
      </c>
      <c r="L3344" t="s">
        <v>140</v>
      </c>
      <c r="M3344" t="s">
        <v>26</v>
      </c>
      <c r="N3344" t="s">
        <v>140</v>
      </c>
      <c r="O3344">
        <v>45</v>
      </c>
      <c r="P3344" t="s">
        <v>27</v>
      </c>
      <c r="Q3344" t="s">
        <v>28</v>
      </c>
      <c r="R3344" t="str" cm="1">
        <f t="array" ref="R3344">_xlfn.IFS(B3344&lt;31,"Young-Adult",B3344&lt;41,"Adult",B3344&lt;61,"Middle-aged",B3344&gt;=61,"Senior")</f>
        <v>Senior</v>
      </c>
      <c r="S3344" cm="1">
        <f t="array" ref="S3344">_xlfn.IFS(Q3344 ="Fortnightly",14,Q3344="Weekly",7,Q3344="Monthly",30,Q3344="Quarterly",90,Q3344="Bi-Weekly",14,Q3344="Annually",365,Q3344="Every 3 Months",90,TRUE,"NOT FOUND")</f>
        <v>7</v>
      </c>
    </row>
    <row r="3345" spans="1:19" x14ac:dyDescent="0.35">
      <c r="A3345">
        <v>3344</v>
      </c>
      <c r="B3345">
        <v>24</v>
      </c>
      <c r="C3345" t="s">
        <v>141</v>
      </c>
      <c r="D3345" t="s">
        <v>47</v>
      </c>
      <c r="E3345" t="s">
        <v>9</v>
      </c>
      <c r="F3345">
        <v>31</v>
      </c>
      <c r="G3345" t="s">
        <v>10</v>
      </c>
      <c r="H3345" t="s">
        <v>80</v>
      </c>
      <c r="I3345" t="s">
        <v>84</v>
      </c>
      <c r="J3345" t="s">
        <v>13</v>
      </c>
      <c r="K3345">
        <v>3.6</v>
      </c>
      <c r="L3345" t="s">
        <v>140</v>
      </c>
      <c r="M3345" t="s">
        <v>58</v>
      </c>
      <c r="N3345" t="s">
        <v>140</v>
      </c>
      <c r="O3345">
        <v>6</v>
      </c>
      <c r="P3345" t="s">
        <v>21</v>
      </c>
      <c r="Q3345" t="s">
        <v>64</v>
      </c>
      <c r="R3345" t="str" cm="1">
        <f t="array" ref="R3345">_xlfn.IFS(B3345&lt;31,"Young-Adult",B3345&lt;41,"Adult",B3345&lt;61,"Middle-aged",B3345&gt;=61,"Senior")</f>
        <v>Young-Adult</v>
      </c>
      <c r="S3345" cm="1">
        <f t="array" ref="S3345">_xlfn.IFS(Q3345 ="Fortnightly",14,Q3345="Weekly",7,Q3345="Monthly",30,Q3345="Quarterly",90,Q3345="Bi-Weekly",14,Q3345="Annually",365,Q3345="Every 3 Months",90,TRUE,"NOT FOUND")</f>
        <v>14</v>
      </c>
    </row>
    <row r="3346" spans="1:19" x14ac:dyDescent="0.35">
      <c r="A3346">
        <v>3345</v>
      </c>
      <c r="B3346">
        <v>62</v>
      </c>
      <c r="C3346" t="s">
        <v>141</v>
      </c>
      <c r="D3346" t="s">
        <v>112</v>
      </c>
      <c r="E3346" t="s">
        <v>55</v>
      </c>
      <c r="F3346">
        <v>48</v>
      </c>
      <c r="G3346" t="s">
        <v>137</v>
      </c>
      <c r="H3346" t="s">
        <v>80</v>
      </c>
      <c r="I3346" t="s">
        <v>124</v>
      </c>
      <c r="J3346" t="s">
        <v>45</v>
      </c>
      <c r="K3346">
        <v>4.3</v>
      </c>
      <c r="L3346" t="s">
        <v>140</v>
      </c>
      <c r="M3346" t="s">
        <v>26</v>
      </c>
      <c r="N3346" t="s">
        <v>140</v>
      </c>
      <c r="O3346">
        <v>20</v>
      </c>
      <c r="P3346" t="s">
        <v>21</v>
      </c>
      <c r="Q3346" t="s">
        <v>37</v>
      </c>
      <c r="R3346" t="str" cm="1">
        <f t="array" ref="R3346">_xlfn.IFS(B3346&lt;31,"Young-Adult",B3346&lt;41,"Adult",B3346&lt;61,"Middle-aged",B3346&gt;=61,"Senior")</f>
        <v>Senior</v>
      </c>
      <c r="S3346" cm="1">
        <f t="array" ref="S3346">_xlfn.IFS(Q3346 ="Fortnightly",14,Q3346="Weekly",7,Q3346="Monthly",30,Q3346="Quarterly",90,Q3346="Bi-Weekly",14,Q3346="Annually",365,Q3346="Every 3 Months",90,TRUE,"NOT FOUND")</f>
        <v>365</v>
      </c>
    </row>
    <row r="3347" spans="1:19" x14ac:dyDescent="0.35">
      <c r="A3347">
        <v>3346</v>
      </c>
      <c r="B3347">
        <v>28</v>
      </c>
      <c r="C3347" t="s">
        <v>141</v>
      </c>
      <c r="D3347" t="s">
        <v>54</v>
      </c>
      <c r="E3347" t="s">
        <v>55</v>
      </c>
      <c r="F3347">
        <v>91</v>
      </c>
      <c r="G3347" t="s">
        <v>91</v>
      </c>
      <c r="H3347" t="s">
        <v>32</v>
      </c>
      <c r="I3347" t="s">
        <v>36</v>
      </c>
      <c r="J3347" t="s">
        <v>41</v>
      </c>
      <c r="K3347">
        <v>4</v>
      </c>
      <c r="L3347" t="s">
        <v>140</v>
      </c>
      <c r="M3347" t="s">
        <v>58</v>
      </c>
      <c r="N3347" t="s">
        <v>140</v>
      </c>
      <c r="O3347">
        <v>3</v>
      </c>
      <c r="P3347" t="s">
        <v>16</v>
      </c>
      <c r="Q3347" t="s">
        <v>64</v>
      </c>
      <c r="R3347" t="str" cm="1">
        <f t="array" ref="R3347">_xlfn.IFS(B3347&lt;31,"Young-Adult",B3347&lt;41,"Adult",B3347&lt;61,"Middle-aged",B3347&gt;=61,"Senior")</f>
        <v>Young-Adult</v>
      </c>
      <c r="S3347" cm="1">
        <f t="array" ref="S3347">_xlfn.IFS(Q3347 ="Fortnightly",14,Q3347="Weekly",7,Q3347="Monthly",30,Q3347="Quarterly",90,Q3347="Bi-Weekly",14,Q3347="Annually",365,Q3347="Every 3 Months",90,TRUE,"NOT FOUND")</f>
        <v>14</v>
      </c>
    </row>
    <row r="3348" spans="1:19" x14ac:dyDescent="0.35">
      <c r="A3348">
        <v>3347</v>
      </c>
      <c r="B3348">
        <v>30</v>
      </c>
      <c r="C3348" t="s">
        <v>141</v>
      </c>
      <c r="D3348" t="s">
        <v>22</v>
      </c>
      <c r="E3348" t="s">
        <v>9</v>
      </c>
      <c r="F3348">
        <v>99</v>
      </c>
      <c r="G3348" t="s">
        <v>89</v>
      </c>
      <c r="H3348" t="s">
        <v>32</v>
      </c>
      <c r="I3348" t="s">
        <v>82</v>
      </c>
      <c r="J3348" t="s">
        <v>41</v>
      </c>
      <c r="K3348">
        <v>3.4</v>
      </c>
      <c r="L3348" t="s">
        <v>140</v>
      </c>
      <c r="M3348" t="s">
        <v>15</v>
      </c>
      <c r="N3348" t="s">
        <v>140</v>
      </c>
      <c r="O3348">
        <v>30</v>
      </c>
      <c r="P3348" t="s">
        <v>16</v>
      </c>
      <c r="Q3348" t="s">
        <v>46</v>
      </c>
      <c r="R3348" t="str" cm="1">
        <f t="array" ref="R3348">_xlfn.IFS(B3348&lt;31,"Young-Adult",B3348&lt;41,"Adult",B3348&lt;61,"Middle-aged",B3348&gt;=61,"Senior")</f>
        <v>Young-Adult</v>
      </c>
      <c r="S3348" cm="1">
        <f t="array" ref="S3348">_xlfn.IFS(Q3348 ="Fortnightly",14,Q3348="Weekly",7,Q3348="Monthly",30,Q3348="Quarterly",90,Q3348="Bi-Weekly",14,Q3348="Annually",365,Q3348="Every 3 Months",90,TRUE,"NOT FOUND")</f>
        <v>90</v>
      </c>
    </row>
    <row r="3349" spans="1:19" x14ac:dyDescent="0.35">
      <c r="A3349">
        <v>3348</v>
      </c>
      <c r="B3349">
        <v>22</v>
      </c>
      <c r="C3349" t="s">
        <v>141</v>
      </c>
      <c r="D3349" t="s">
        <v>59</v>
      </c>
      <c r="E3349" t="s">
        <v>30</v>
      </c>
      <c r="F3349">
        <v>70</v>
      </c>
      <c r="G3349" t="s">
        <v>134</v>
      </c>
      <c r="H3349" t="s">
        <v>80</v>
      </c>
      <c r="I3349" t="s">
        <v>97</v>
      </c>
      <c r="J3349" t="s">
        <v>41</v>
      </c>
      <c r="K3349">
        <v>4.4000000000000004</v>
      </c>
      <c r="L3349" t="s">
        <v>140</v>
      </c>
      <c r="M3349" t="s">
        <v>42</v>
      </c>
      <c r="N3349" t="s">
        <v>140</v>
      </c>
      <c r="O3349">
        <v>28</v>
      </c>
      <c r="P3349" t="s">
        <v>34</v>
      </c>
      <c r="Q3349" t="s">
        <v>64</v>
      </c>
      <c r="R3349" t="str" cm="1">
        <f t="array" ref="R3349">_xlfn.IFS(B3349&lt;31,"Young-Adult",B3349&lt;41,"Adult",B3349&lt;61,"Middle-aged",B3349&gt;=61,"Senior")</f>
        <v>Young-Adult</v>
      </c>
      <c r="S3349" cm="1">
        <f t="array" ref="S3349">_xlfn.IFS(Q3349 ="Fortnightly",14,Q3349="Weekly",7,Q3349="Monthly",30,Q3349="Quarterly",90,Q3349="Bi-Weekly",14,Q3349="Annually",365,Q3349="Every 3 Months",90,TRUE,"NOT FOUND")</f>
        <v>14</v>
      </c>
    </row>
    <row r="3350" spans="1:19" x14ac:dyDescent="0.35">
      <c r="A3350">
        <v>3349</v>
      </c>
      <c r="B3350">
        <v>28</v>
      </c>
      <c r="C3350" t="s">
        <v>141</v>
      </c>
      <c r="D3350" t="s">
        <v>101</v>
      </c>
      <c r="E3350" t="s">
        <v>9</v>
      </c>
      <c r="F3350">
        <v>74</v>
      </c>
      <c r="G3350" t="s">
        <v>70</v>
      </c>
      <c r="H3350" t="s">
        <v>11</v>
      </c>
      <c r="I3350" t="s">
        <v>12</v>
      </c>
      <c r="J3350" t="s">
        <v>13</v>
      </c>
      <c r="K3350">
        <v>2.8</v>
      </c>
      <c r="L3350" t="s">
        <v>140</v>
      </c>
      <c r="M3350" t="s">
        <v>42</v>
      </c>
      <c r="N3350" t="s">
        <v>140</v>
      </c>
      <c r="O3350">
        <v>15</v>
      </c>
      <c r="P3350" t="s">
        <v>21</v>
      </c>
      <c r="Q3350" t="s">
        <v>85</v>
      </c>
      <c r="R3350" t="str" cm="1">
        <f t="array" ref="R3350">_xlfn.IFS(B3350&lt;31,"Young-Adult",B3350&lt;41,"Adult",B3350&lt;61,"Middle-aged",B3350&gt;=61,"Senior")</f>
        <v>Young-Adult</v>
      </c>
      <c r="S3350" cm="1">
        <f t="array" ref="S3350">_xlfn.IFS(Q3350 ="Fortnightly",14,Q3350="Weekly",7,Q3350="Monthly",30,Q3350="Quarterly",90,Q3350="Bi-Weekly",14,Q3350="Annually",365,Q3350="Every 3 Months",90,TRUE,"NOT FOUND")</f>
        <v>90</v>
      </c>
    </row>
    <row r="3351" spans="1:19" x14ac:dyDescent="0.35">
      <c r="A3351">
        <v>3350</v>
      </c>
      <c r="B3351">
        <v>35</v>
      </c>
      <c r="C3351" t="s">
        <v>141</v>
      </c>
      <c r="D3351" t="s">
        <v>94</v>
      </c>
      <c r="E3351" t="s">
        <v>55</v>
      </c>
      <c r="F3351">
        <v>79</v>
      </c>
      <c r="G3351" t="s">
        <v>130</v>
      </c>
      <c r="H3351" t="s">
        <v>32</v>
      </c>
      <c r="I3351" t="s">
        <v>96</v>
      </c>
      <c r="J3351" t="s">
        <v>45</v>
      </c>
      <c r="K3351">
        <v>2.8</v>
      </c>
      <c r="L3351" t="s">
        <v>140</v>
      </c>
      <c r="M3351" t="s">
        <v>62</v>
      </c>
      <c r="N3351" t="s">
        <v>140</v>
      </c>
      <c r="O3351">
        <v>29</v>
      </c>
      <c r="P3351" t="s">
        <v>34</v>
      </c>
      <c r="Q3351" t="s">
        <v>46</v>
      </c>
      <c r="R3351" t="str" cm="1">
        <f t="array" ref="R3351">_xlfn.IFS(B3351&lt;31,"Young-Adult",B3351&lt;41,"Adult",B3351&lt;61,"Middle-aged",B3351&gt;=61,"Senior")</f>
        <v>Adult</v>
      </c>
      <c r="S3351" cm="1">
        <f t="array" ref="S3351">_xlfn.IFS(Q3351 ="Fortnightly",14,Q3351="Weekly",7,Q3351="Monthly",30,Q3351="Quarterly",90,Q3351="Bi-Weekly",14,Q3351="Annually",365,Q3351="Every 3 Months",90,TRUE,"NOT FOUND")</f>
        <v>90</v>
      </c>
    </row>
    <row r="3352" spans="1:19" x14ac:dyDescent="0.35">
      <c r="A3352">
        <v>3351</v>
      </c>
      <c r="B3352">
        <v>45</v>
      </c>
      <c r="C3352" t="s">
        <v>141</v>
      </c>
      <c r="D3352" t="s">
        <v>54</v>
      </c>
      <c r="E3352" t="s">
        <v>55</v>
      </c>
      <c r="F3352">
        <v>33</v>
      </c>
      <c r="G3352" t="s">
        <v>79</v>
      </c>
      <c r="H3352" t="s">
        <v>24</v>
      </c>
      <c r="I3352" t="s">
        <v>66</v>
      </c>
      <c r="J3352" t="s">
        <v>45</v>
      </c>
      <c r="K3352">
        <v>4.9000000000000004</v>
      </c>
      <c r="L3352" t="s">
        <v>140</v>
      </c>
      <c r="M3352" t="s">
        <v>58</v>
      </c>
      <c r="N3352" t="s">
        <v>140</v>
      </c>
      <c r="O3352">
        <v>15</v>
      </c>
      <c r="P3352" t="s">
        <v>21</v>
      </c>
      <c r="Q3352" t="s">
        <v>64</v>
      </c>
      <c r="R3352" t="str" cm="1">
        <f t="array" ref="R3352">_xlfn.IFS(B3352&lt;31,"Young-Adult",B3352&lt;41,"Adult",B3352&lt;61,"Middle-aged",B3352&gt;=61,"Senior")</f>
        <v>Middle-aged</v>
      </c>
      <c r="S3352" cm="1">
        <f t="array" ref="S3352">_xlfn.IFS(Q3352 ="Fortnightly",14,Q3352="Weekly",7,Q3352="Monthly",30,Q3352="Quarterly",90,Q3352="Bi-Weekly",14,Q3352="Annually",365,Q3352="Every 3 Months",90,TRUE,"NOT FOUND")</f>
        <v>14</v>
      </c>
    </row>
    <row r="3353" spans="1:19" x14ac:dyDescent="0.35">
      <c r="A3353">
        <v>3352</v>
      </c>
      <c r="B3353">
        <v>43</v>
      </c>
      <c r="C3353" t="s">
        <v>141</v>
      </c>
      <c r="D3353" t="s">
        <v>43</v>
      </c>
      <c r="E3353" t="s">
        <v>9</v>
      </c>
      <c r="F3353">
        <v>49</v>
      </c>
      <c r="G3353" t="s">
        <v>70</v>
      </c>
      <c r="H3353" t="s">
        <v>11</v>
      </c>
      <c r="I3353" t="s">
        <v>97</v>
      </c>
      <c r="J3353" t="s">
        <v>25</v>
      </c>
      <c r="K3353">
        <v>4.2</v>
      </c>
      <c r="L3353" t="s">
        <v>140</v>
      </c>
      <c r="M3353" t="s">
        <v>58</v>
      </c>
      <c r="N3353" t="s">
        <v>140</v>
      </c>
      <c r="O3353">
        <v>18</v>
      </c>
      <c r="P3353" t="s">
        <v>63</v>
      </c>
      <c r="Q3353" t="s">
        <v>17</v>
      </c>
      <c r="R3353" t="str" cm="1">
        <f t="array" ref="R3353">_xlfn.IFS(B3353&lt;31,"Young-Adult",B3353&lt;41,"Adult",B3353&lt;61,"Middle-aged",B3353&gt;=61,"Senior")</f>
        <v>Middle-aged</v>
      </c>
      <c r="S3353" cm="1">
        <f t="array" ref="S3353">_xlfn.IFS(Q3353 ="Fortnightly",14,Q3353="Weekly",7,Q3353="Monthly",30,Q3353="Quarterly",90,Q3353="Bi-Weekly",14,Q3353="Annually",365,Q3353="Every 3 Months",90,TRUE,"NOT FOUND")</f>
        <v>14</v>
      </c>
    </row>
    <row r="3354" spans="1:19" x14ac:dyDescent="0.35">
      <c r="A3354">
        <v>3353</v>
      </c>
      <c r="B3354">
        <v>55</v>
      </c>
      <c r="C3354" t="s">
        <v>141</v>
      </c>
      <c r="D3354" t="s">
        <v>121</v>
      </c>
      <c r="E3354" t="s">
        <v>55</v>
      </c>
      <c r="F3354">
        <v>96</v>
      </c>
      <c r="G3354" t="s">
        <v>137</v>
      </c>
      <c r="H3354" t="s">
        <v>32</v>
      </c>
      <c r="I3354" t="s">
        <v>73</v>
      </c>
      <c r="J3354" t="s">
        <v>41</v>
      </c>
      <c r="K3354">
        <v>2.9</v>
      </c>
      <c r="L3354" t="s">
        <v>140</v>
      </c>
      <c r="M3354" t="s">
        <v>33</v>
      </c>
      <c r="N3354" t="s">
        <v>140</v>
      </c>
      <c r="O3354">
        <v>7</v>
      </c>
      <c r="P3354" t="s">
        <v>63</v>
      </c>
      <c r="Q3354" t="s">
        <v>64</v>
      </c>
      <c r="R3354" t="str" cm="1">
        <f t="array" ref="R3354">_xlfn.IFS(B3354&lt;31,"Young-Adult",B3354&lt;41,"Adult",B3354&lt;61,"Middle-aged",B3354&gt;=61,"Senior")</f>
        <v>Middle-aged</v>
      </c>
      <c r="S3354" cm="1">
        <f t="array" ref="S3354">_xlfn.IFS(Q3354 ="Fortnightly",14,Q3354="Weekly",7,Q3354="Monthly",30,Q3354="Quarterly",90,Q3354="Bi-Weekly",14,Q3354="Annually",365,Q3354="Every 3 Months",90,TRUE,"NOT FOUND")</f>
        <v>14</v>
      </c>
    </row>
    <row r="3355" spans="1:19" x14ac:dyDescent="0.35">
      <c r="A3355">
        <v>3354</v>
      </c>
      <c r="B3355">
        <v>31</v>
      </c>
      <c r="C3355" t="s">
        <v>141</v>
      </c>
      <c r="D3355" t="s">
        <v>69</v>
      </c>
      <c r="E3355" t="s">
        <v>9</v>
      </c>
      <c r="F3355">
        <v>66</v>
      </c>
      <c r="G3355" t="s">
        <v>111</v>
      </c>
      <c r="H3355" t="s">
        <v>11</v>
      </c>
      <c r="I3355" t="s">
        <v>73</v>
      </c>
      <c r="J3355" t="s">
        <v>45</v>
      </c>
      <c r="K3355">
        <v>4.5999999999999996</v>
      </c>
      <c r="L3355" t="s">
        <v>140</v>
      </c>
      <c r="M3355" t="s">
        <v>26</v>
      </c>
      <c r="N3355" t="s">
        <v>140</v>
      </c>
      <c r="O3355">
        <v>19</v>
      </c>
      <c r="P3355" t="s">
        <v>27</v>
      </c>
      <c r="Q3355" t="s">
        <v>85</v>
      </c>
      <c r="R3355" t="str" cm="1">
        <f t="array" ref="R3355">_xlfn.IFS(B3355&lt;31,"Young-Adult",B3355&lt;41,"Adult",B3355&lt;61,"Middle-aged",B3355&gt;=61,"Senior")</f>
        <v>Adult</v>
      </c>
      <c r="S3355" cm="1">
        <f t="array" ref="S3355">_xlfn.IFS(Q3355 ="Fortnightly",14,Q3355="Weekly",7,Q3355="Monthly",30,Q3355="Quarterly",90,Q3355="Bi-Weekly",14,Q3355="Annually",365,Q3355="Every 3 Months",90,TRUE,"NOT FOUND")</f>
        <v>90</v>
      </c>
    </row>
    <row r="3356" spans="1:19" x14ac:dyDescent="0.35">
      <c r="A3356">
        <v>3355</v>
      </c>
      <c r="B3356">
        <v>42</v>
      </c>
      <c r="C3356" t="s">
        <v>141</v>
      </c>
      <c r="D3356" t="s">
        <v>75</v>
      </c>
      <c r="E3356" t="s">
        <v>9</v>
      </c>
      <c r="F3356">
        <v>45</v>
      </c>
      <c r="G3356" t="s">
        <v>116</v>
      </c>
      <c r="H3356" t="s">
        <v>32</v>
      </c>
      <c r="I3356" t="s">
        <v>109</v>
      </c>
      <c r="J3356" t="s">
        <v>45</v>
      </c>
      <c r="K3356">
        <v>2.8</v>
      </c>
      <c r="L3356" t="s">
        <v>140</v>
      </c>
      <c r="M3356" t="s">
        <v>33</v>
      </c>
      <c r="N3356" t="s">
        <v>140</v>
      </c>
      <c r="O3356">
        <v>15</v>
      </c>
      <c r="P3356" t="s">
        <v>34</v>
      </c>
      <c r="Q3356" t="s">
        <v>28</v>
      </c>
      <c r="R3356" t="str" cm="1">
        <f t="array" ref="R3356">_xlfn.IFS(B3356&lt;31,"Young-Adult",B3356&lt;41,"Adult",B3356&lt;61,"Middle-aged",B3356&gt;=61,"Senior")</f>
        <v>Middle-aged</v>
      </c>
      <c r="S3356" cm="1">
        <f t="array" ref="S3356">_xlfn.IFS(Q3356 ="Fortnightly",14,Q3356="Weekly",7,Q3356="Monthly",30,Q3356="Quarterly",90,Q3356="Bi-Weekly",14,Q3356="Annually",365,Q3356="Every 3 Months",90,TRUE,"NOT FOUND")</f>
        <v>7</v>
      </c>
    </row>
    <row r="3357" spans="1:19" x14ac:dyDescent="0.35">
      <c r="A3357">
        <v>3356</v>
      </c>
      <c r="B3357">
        <v>40</v>
      </c>
      <c r="C3357" t="s">
        <v>141</v>
      </c>
      <c r="D3357" t="s">
        <v>8</v>
      </c>
      <c r="E3357" t="s">
        <v>9</v>
      </c>
      <c r="F3357">
        <v>28</v>
      </c>
      <c r="G3357" t="s">
        <v>67</v>
      </c>
      <c r="H3357" t="s">
        <v>32</v>
      </c>
      <c r="I3357" t="s">
        <v>88</v>
      </c>
      <c r="J3357" t="s">
        <v>25</v>
      </c>
      <c r="K3357">
        <v>2.6</v>
      </c>
      <c r="L3357" t="s">
        <v>140</v>
      </c>
      <c r="M3357" t="s">
        <v>62</v>
      </c>
      <c r="N3357" t="s">
        <v>140</v>
      </c>
      <c r="O3357">
        <v>3</v>
      </c>
      <c r="P3357" t="s">
        <v>63</v>
      </c>
      <c r="Q3357" t="s">
        <v>64</v>
      </c>
      <c r="R3357" t="str" cm="1">
        <f t="array" ref="R3357">_xlfn.IFS(B3357&lt;31,"Young-Adult",B3357&lt;41,"Adult",B3357&lt;61,"Middle-aged",B3357&gt;=61,"Senior")</f>
        <v>Adult</v>
      </c>
      <c r="S3357" cm="1">
        <f t="array" ref="S3357">_xlfn.IFS(Q3357 ="Fortnightly",14,Q3357="Weekly",7,Q3357="Monthly",30,Q3357="Quarterly",90,Q3357="Bi-Weekly",14,Q3357="Annually",365,Q3357="Every 3 Months",90,TRUE,"NOT FOUND")</f>
        <v>14</v>
      </c>
    </row>
    <row r="3358" spans="1:19" x14ac:dyDescent="0.35">
      <c r="A3358">
        <v>3357</v>
      </c>
      <c r="B3358">
        <v>39</v>
      </c>
      <c r="C3358" t="s">
        <v>141</v>
      </c>
      <c r="D3358" t="s">
        <v>22</v>
      </c>
      <c r="E3358" t="s">
        <v>9</v>
      </c>
      <c r="F3358">
        <v>48</v>
      </c>
      <c r="G3358" t="s">
        <v>110</v>
      </c>
      <c r="H3358" t="s">
        <v>32</v>
      </c>
      <c r="I3358" t="s">
        <v>53</v>
      </c>
      <c r="J3358" t="s">
        <v>41</v>
      </c>
      <c r="K3358">
        <v>3.5</v>
      </c>
      <c r="L3358" t="s">
        <v>140</v>
      </c>
      <c r="M3358" t="s">
        <v>62</v>
      </c>
      <c r="N3358" t="s">
        <v>140</v>
      </c>
      <c r="O3358">
        <v>13</v>
      </c>
      <c r="P3358" t="s">
        <v>34</v>
      </c>
      <c r="Q3358" t="s">
        <v>64</v>
      </c>
      <c r="R3358" t="str" cm="1">
        <f t="array" ref="R3358">_xlfn.IFS(B3358&lt;31,"Young-Adult",B3358&lt;41,"Adult",B3358&lt;61,"Middle-aged",B3358&gt;=61,"Senior")</f>
        <v>Adult</v>
      </c>
      <c r="S3358" cm="1">
        <f t="array" ref="S3358">_xlfn.IFS(Q3358 ="Fortnightly",14,Q3358="Weekly",7,Q3358="Monthly",30,Q3358="Quarterly",90,Q3358="Bi-Weekly",14,Q3358="Annually",365,Q3358="Every 3 Months",90,TRUE,"NOT FOUND")</f>
        <v>14</v>
      </c>
    </row>
    <row r="3359" spans="1:19" x14ac:dyDescent="0.35">
      <c r="A3359">
        <v>3358</v>
      </c>
      <c r="B3359">
        <v>41</v>
      </c>
      <c r="C3359" t="s">
        <v>141</v>
      </c>
      <c r="D3359" t="s">
        <v>92</v>
      </c>
      <c r="E3359" t="s">
        <v>9</v>
      </c>
      <c r="F3359">
        <v>67</v>
      </c>
      <c r="G3359" t="s">
        <v>60</v>
      </c>
      <c r="H3359" t="s">
        <v>32</v>
      </c>
      <c r="I3359" t="s">
        <v>57</v>
      </c>
      <c r="J3359" t="s">
        <v>13</v>
      </c>
      <c r="K3359">
        <v>3.5</v>
      </c>
      <c r="L3359" t="s">
        <v>140</v>
      </c>
      <c r="M3359" t="s">
        <v>26</v>
      </c>
      <c r="N3359" t="s">
        <v>140</v>
      </c>
      <c r="O3359">
        <v>37</v>
      </c>
      <c r="P3359" t="s">
        <v>27</v>
      </c>
      <c r="Q3359" t="s">
        <v>76</v>
      </c>
      <c r="R3359" t="str" cm="1">
        <f t="array" ref="R3359">_xlfn.IFS(B3359&lt;31,"Young-Adult",B3359&lt;41,"Adult",B3359&lt;61,"Middle-aged",B3359&gt;=61,"Senior")</f>
        <v>Middle-aged</v>
      </c>
      <c r="S3359" cm="1">
        <f t="array" ref="S3359">_xlfn.IFS(Q3359 ="Fortnightly",14,Q3359="Weekly",7,Q3359="Monthly",30,Q3359="Quarterly",90,Q3359="Bi-Weekly",14,Q3359="Annually",365,Q3359="Every 3 Months",90,TRUE,"NOT FOUND")</f>
        <v>30</v>
      </c>
    </row>
    <row r="3360" spans="1:19" x14ac:dyDescent="0.35">
      <c r="A3360">
        <v>3359</v>
      </c>
      <c r="B3360">
        <v>56</v>
      </c>
      <c r="C3360" t="s">
        <v>141</v>
      </c>
      <c r="D3360" t="s">
        <v>101</v>
      </c>
      <c r="E3360" t="s">
        <v>9</v>
      </c>
      <c r="F3360">
        <v>59</v>
      </c>
      <c r="G3360" t="s">
        <v>110</v>
      </c>
      <c r="H3360" t="s">
        <v>32</v>
      </c>
      <c r="I3360" t="s">
        <v>124</v>
      </c>
      <c r="J3360" t="s">
        <v>45</v>
      </c>
      <c r="K3360">
        <v>3.4</v>
      </c>
      <c r="L3360" t="s">
        <v>140</v>
      </c>
      <c r="M3360" t="s">
        <v>58</v>
      </c>
      <c r="N3360" t="s">
        <v>140</v>
      </c>
      <c r="O3360">
        <v>26</v>
      </c>
      <c r="P3360" t="s">
        <v>21</v>
      </c>
      <c r="Q3360" t="s">
        <v>37</v>
      </c>
      <c r="R3360" t="str" cm="1">
        <f t="array" ref="R3360">_xlfn.IFS(B3360&lt;31,"Young-Adult",B3360&lt;41,"Adult",B3360&lt;61,"Middle-aged",B3360&gt;=61,"Senior")</f>
        <v>Middle-aged</v>
      </c>
      <c r="S3360" cm="1">
        <f t="array" ref="S3360">_xlfn.IFS(Q3360 ="Fortnightly",14,Q3360="Weekly",7,Q3360="Monthly",30,Q3360="Quarterly",90,Q3360="Bi-Weekly",14,Q3360="Annually",365,Q3360="Every 3 Months",90,TRUE,"NOT FOUND")</f>
        <v>365</v>
      </c>
    </row>
    <row r="3361" spans="1:19" x14ac:dyDescent="0.35">
      <c r="A3361">
        <v>3360</v>
      </c>
      <c r="B3361">
        <v>43</v>
      </c>
      <c r="C3361" t="s">
        <v>141</v>
      </c>
      <c r="D3361" t="s">
        <v>77</v>
      </c>
      <c r="E3361" t="s">
        <v>55</v>
      </c>
      <c r="F3361">
        <v>74</v>
      </c>
      <c r="G3361" t="s">
        <v>70</v>
      </c>
      <c r="H3361" t="s">
        <v>11</v>
      </c>
      <c r="I3361" t="s">
        <v>96</v>
      </c>
      <c r="J3361" t="s">
        <v>45</v>
      </c>
      <c r="K3361">
        <v>3.9</v>
      </c>
      <c r="L3361" t="s">
        <v>140</v>
      </c>
      <c r="M3361" t="s">
        <v>33</v>
      </c>
      <c r="N3361" t="s">
        <v>140</v>
      </c>
      <c r="O3361">
        <v>29</v>
      </c>
      <c r="P3361" t="s">
        <v>74</v>
      </c>
      <c r="Q3361" t="s">
        <v>76</v>
      </c>
      <c r="R3361" t="str" cm="1">
        <f t="array" ref="R3361">_xlfn.IFS(B3361&lt;31,"Young-Adult",B3361&lt;41,"Adult",B3361&lt;61,"Middle-aged",B3361&gt;=61,"Senior")</f>
        <v>Middle-aged</v>
      </c>
      <c r="S3361" cm="1">
        <f t="array" ref="S3361">_xlfn.IFS(Q3361 ="Fortnightly",14,Q3361="Weekly",7,Q3361="Monthly",30,Q3361="Quarterly",90,Q3361="Bi-Weekly",14,Q3361="Annually",365,Q3361="Every 3 Months",90,TRUE,"NOT FOUND")</f>
        <v>30</v>
      </c>
    </row>
    <row r="3362" spans="1:19" x14ac:dyDescent="0.35">
      <c r="A3362">
        <v>3361</v>
      </c>
      <c r="B3362">
        <v>22</v>
      </c>
      <c r="C3362" t="s">
        <v>141</v>
      </c>
      <c r="D3362" t="s">
        <v>90</v>
      </c>
      <c r="E3362" t="s">
        <v>51</v>
      </c>
      <c r="F3362">
        <v>81</v>
      </c>
      <c r="G3362" t="s">
        <v>136</v>
      </c>
      <c r="H3362" t="s">
        <v>32</v>
      </c>
      <c r="I3362" t="s">
        <v>20</v>
      </c>
      <c r="J3362" t="s">
        <v>25</v>
      </c>
      <c r="K3362">
        <v>3.3</v>
      </c>
      <c r="L3362" t="s">
        <v>140</v>
      </c>
      <c r="M3362" t="s">
        <v>58</v>
      </c>
      <c r="N3362" t="s">
        <v>140</v>
      </c>
      <c r="O3362">
        <v>47</v>
      </c>
      <c r="P3362" t="s">
        <v>21</v>
      </c>
      <c r="Q3362" t="s">
        <v>85</v>
      </c>
      <c r="R3362" t="str" cm="1">
        <f t="array" ref="R3362">_xlfn.IFS(B3362&lt;31,"Young-Adult",B3362&lt;41,"Adult",B3362&lt;61,"Middle-aged",B3362&gt;=61,"Senior")</f>
        <v>Young-Adult</v>
      </c>
      <c r="S3362" cm="1">
        <f t="array" ref="S3362">_xlfn.IFS(Q3362 ="Fortnightly",14,Q3362="Weekly",7,Q3362="Monthly",30,Q3362="Quarterly",90,Q3362="Bi-Weekly",14,Q3362="Annually",365,Q3362="Every 3 Months",90,TRUE,"NOT FOUND")</f>
        <v>90</v>
      </c>
    </row>
    <row r="3363" spans="1:19" x14ac:dyDescent="0.35">
      <c r="A3363">
        <v>3362</v>
      </c>
      <c r="B3363">
        <v>47</v>
      </c>
      <c r="C3363" t="s">
        <v>141</v>
      </c>
      <c r="D3363" t="s">
        <v>59</v>
      </c>
      <c r="E3363" t="s">
        <v>30</v>
      </c>
      <c r="F3363">
        <v>26</v>
      </c>
      <c r="G3363" t="s">
        <v>91</v>
      </c>
      <c r="H3363" t="s">
        <v>32</v>
      </c>
      <c r="I3363" t="s">
        <v>53</v>
      </c>
      <c r="J3363" t="s">
        <v>25</v>
      </c>
      <c r="K3363">
        <v>4.0999999999999996</v>
      </c>
      <c r="L3363" t="s">
        <v>140</v>
      </c>
      <c r="M3363" t="s">
        <v>26</v>
      </c>
      <c r="N3363" t="s">
        <v>140</v>
      </c>
      <c r="O3363">
        <v>47</v>
      </c>
      <c r="P3363" t="s">
        <v>27</v>
      </c>
      <c r="Q3363" t="s">
        <v>64</v>
      </c>
      <c r="R3363" t="str" cm="1">
        <f t="array" ref="R3363">_xlfn.IFS(B3363&lt;31,"Young-Adult",B3363&lt;41,"Adult",B3363&lt;61,"Middle-aged",B3363&gt;=61,"Senior")</f>
        <v>Middle-aged</v>
      </c>
      <c r="S3363" cm="1">
        <f t="array" ref="S3363">_xlfn.IFS(Q3363 ="Fortnightly",14,Q3363="Weekly",7,Q3363="Monthly",30,Q3363="Quarterly",90,Q3363="Bi-Weekly",14,Q3363="Annually",365,Q3363="Every 3 Months",90,TRUE,"NOT FOUND")</f>
        <v>14</v>
      </c>
    </row>
    <row r="3364" spans="1:19" x14ac:dyDescent="0.35">
      <c r="A3364">
        <v>3363</v>
      </c>
      <c r="B3364">
        <v>50</v>
      </c>
      <c r="C3364" t="s">
        <v>141</v>
      </c>
      <c r="D3364" t="s">
        <v>54</v>
      </c>
      <c r="E3364" t="s">
        <v>55</v>
      </c>
      <c r="F3364">
        <v>61</v>
      </c>
      <c r="G3364" t="s">
        <v>110</v>
      </c>
      <c r="H3364" t="s">
        <v>32</v>
      </c>
      <c r="I3364" t="s">
        <v>12</v>
      </c>
      <c r="J3364" t="s">
        <v>41</v>
      </c>
      <c r="K3364">
        <v>3</v>
      </c>
      <c r="L3364" t="s">
        <v>140</v>
      </c>
      <c r="M3364" t="s">
        <v>33</v>
      </c>
      <c r="N3364" t="s">
        <v>140</v>
      </c>
      <c r="O3364">
        <v>48</v>
      </c>
      <c r="P3364" t="s">
        <v>16</v>
      </c>
      <c r="Q3364" t="s">
        <v>17</v>
      </c>
      <c r="R3364" t="str" cm="1">
        <f t="array" ref="R3364">_xlfn.IFS(B3364&lt;31,"Young-Adult",B3364&lt;41,"Adult",B3364&lt;61,"Middle-aged",B3364&gt;=61,"Senior")</f>
        <v>Middle-aged</v>
      </c>
      <c r="S3364" cm="1">
        <f t="array" ref="S3364">_xlfn.IFS(Q3364 ="Fortnightly",14,Q3364="Weekly",7,Q3364="Monthly",30,Q3364="Quarterly",90,Q3364="Bi-Weekly",14,Q3364="Annually",365,Q3364="Every 3 Months",90,TRUE,"NOT FOUND")</f>
        <v>14</v>
      </c>
    </row>
    <row r="3365" spans="1:19" x14ac:dyDescent="0.35">
      <c r="A3365">
        <v>3364</v>
      </c>
      <c r="B3365">
        <v>58</v>
      </c>
      <c r="C3365" t="s">
        <v>141</v>
      </c>
      <c r="D3365" t="s">
        <v>18</v>
      </c>
      <c r="E3365" t="s">
        <v>9</v>
      </c>
      <c r="F3365">
        <v>23</v>
      </c>
      <c r="G3365" t="s">
        <v>87</v>
      </c>
      <c r="H3365" t="s">
        <v>32</v>
      </c>
      <c r="I3365" t="s">
        <v>36</v>
      </c>
      <c r="J3365" t="s">
        <v>13</v>
      </c>
      <c r="K3365">
        <v>3</v>
      </c>
      <c r="L3365" t="s">
        <v>140</v>
      </c>
      <c r="M3365" t="s">
        <v>33</v>
      </c>
      <c r="N3365" t="s">
        <v>140</v>
      </c>
      <c r="O3365">
        <v>46</v>
      </c>
      <c r="P3365" t="s">
        <v>63</v>
      </c>
      <c r="Q3365" t="s">
        <v>64</v>
      </c>
      <c r="R3365" t="str" cm="1">
        <f t="array" ref="R3365">_xlfn.IFS(B3365&lt;31,"Young-Adult",B3365&lt;41,"Adult",B3365&lt;61,"Middle-aged",B3365&gt;=61,"Senior")</f>
        <v>Middle-aged</v>
      </c>
      <c r="S3365" cm="1">
        <f t="array" ref="S3365">_xlfn.IFS(Q3365 ="Fortnightly",14,Q3365="Weekly",7,Q3365="Monthly",30,Q3365="Quarterly",90,Q3365="Bi-Weekly",14,Q3365="Annually",365,Q3365="Every 3 Months",90,TRUE,"NOT FOUND")</f>
        <v>14</v>
      </c>
    </row>
    <row r="3366" spans="1:19" x14ac:dyDescent="0.35">
      <c r="A3366">
        <v>3365</v>
      </c>
      <c r="B3366">
        <v>50</v>
      </c>
      <c r="C3366" t="s">
        <v>141</v>
      </c>
      <c r="D3366" t="s">
        <v>107</v>
      </c>
      <c r="E3366" t="s">
        <v>55</v>
      </c>
      <c r="F3366">
        <v>33</v>
      </c>
      <c r="G3366" t="s">
        <v>35</v>
      </c>
      <c r="H3366" t="s">
        <v>32</v>
      </c>
      <c r="I3366" t="s">
        <v>88</v>
      </c>
      <c r="J3366" t="s">
        <v>45</v>
      </c>
      <c r="K3366">
        <v>3.2</v>
      </c>
      <c r="L3366" t="s">
        <v>140</v>
      </c>
      <c r="M3366" t="s">
        <v>42</v>
      </c>
      <c r="N3366" t="s">
        <v>140</v>
      </c>
      <c r="O3366">
        <v>7</v>
      </c>
      <c r="P3366" t="s">
        <v>27</v>
      </c>
      <c r="Q3366" t="s">
        <v>76</v>
      </c>
      <c r="R3366" t="str" cm="1">
        <f t="array" ref="R3366">_xlfn.IFS(B3366&lt;31,"Young-Adult",B3366&lt;41,"Adult",B3366&lt;61,"Middle-aged",B3366&gt;=61,"Senior")</f>
        <v>Middle-aged</v>
      </c>
      <c r="S3366" cm="1">
        <f t="array" ref="S3366">_xlfn.IFS(Q3366 ="Fortnightly",14,Q3366="Weekly",7,Q3366="Monthly",30,Q3366="Quarterly",90,Q3366="Bi-Weekly",14,Q3366="Annually",365,Q3366="Every 3 Months",90,TRUE,"NOT FOUND")</f>
        <v>30</v>
      </c>
    </row>
    <row r="3367" spans="1:19" x14ac:dyDescent="0.35">
      <c r="A3367">
        <v>3366</v>
      </c>
      <c r="B3367">
        <v>43</v>
      </c>
      <c r="C3367" t="s">
        <v>141</v>
      </c>
      <c r="D3367" t="s">
        <v>75</v>
      </c>
      <c r="E3367" t="s">
        <v>9</v>
      </c>
      <c r="F3367">
        <v>58</v>
      </c>
      <c r="G3367" t="s">
        <v>110</v>
      </c>
      <c r="H3367" t="s">
        <v>11</v>
      </c>
      <c r="I3367" t="s">
        <v>73</v>
      </c>
      <c r="J3367" t="s">
        <v>45</v>
      </c>
      <c r="K3367">
        <v>3.9</v>
      </c>
      <c r="L3367" t="s">
        <v>140</v>
      </c>
      <c r="M3367" t="s">
        <v>15</v>
      </c>
      <c r="N3367" t="s">
        <v>140</v>
      </c>
      <c r="O3367">
        <v>45</v>
      </c>
      <c r="P3367" t="s">
        <v>27</v>
      </c>
      <c r="Q3367" t="s">
        <v>85</v>
      </c>
      <c r="R3367" t="str" cm="1">
        <f t="array" ref="R3367">_xlfn.IFS(B3367&lt;31,"Young-Adult",B3367&lt;41,"Adult",B3367&lt;61,"Middle-aged",B3367&gt;=61,"Senior")</f>
        <v>Middle-aged</v>
      </c>
      <c r="S3367" cm="1">
        <f t="array" ref="S3367">_xlfn.IFS(Q3367 ="Fortnightly",14,Q3367="Weekly",7,Q3367="Monthly",30,Q3367="Quarterly",90,Q3367="Bi-Weekly",14,Q3367="Annually",365,Q3367="Every 3 Months",90,TRUE,"NOT FOUND")</f>
        <v>90</v>
      </c>
    </row>
    <row r="3368" spans="1:19" x14ac:dyDescent="0.35">
      <c r="A3368">
        <v>3367</v>
      </c>
      <c r="B3368">
        <v>38</v>
      </c>
      <c r="C3368" t="s">
        <v>141</v>
      </c>
      <c r="D3368" t="s">
        <v>131</v>
      </c>
      <c r="E3368" t="s">
        <v>55</v>
      </c>
      <c r="F3368">
        <v>65</v>
      </c>
      <c r="G3368" t="s">
        <v>86</v>
      </c>
      <c r="H3368" t="s">
        <v>32</v>
      </c>
      <c r="I3368" t="s">
        <v>96</v>
      </c>
      <c r="J3368" t="s">
        <v>25</v>
      </c>
      <c r="K3368">
        <v>3.6</v>
      </c>
      <c r="L3368" t="s">
        <v>140</v>
      </c>
      <c r="M3368" t="s">
        <v>58</v>
      </c>
      <c r="N3368" t="s">
        <v>140</v>
      </c>
      <c r="O3368">
        <v>47</v>
      </c>
      <c r="P3368" t="s">
        <v>74</v>
      </c>
      <c r="Q3368" t="s">
        <v>46</v>
      </c>
      <c r="R3368" t="str" cm="1">
        <f t="array" ref="R3368">_xlfn.IFS(B3368&lt;31,"Young-Adult",B3368&lt;41,"Adult",B3368&lt;61,"Middle-aged",B3368&gt;=61,"Senior")</f>
        <v>Adult</v>
      </c>
      <c r="S3368" cm="1">
        <f t="array" ref="S3368">_xlfn.IFS(Q3368 ="Fortnightly",14,Q3368="Weekly",7,Q3368="Monthly",30,Q3368="Quarterly",90,Q3368="Bi-Weekly",14,Q3368="Annually",365,Q3368="Every 3 Months",90,TRUE,"NOT FOUND")</f>
        <v>90</v>
      </c>
    </row>
    <row r="3369" spans="1:19" x14ac:dyDescent="0.35">
      <c r="A3369">
        <v>3368</v>
      </c>
      <c r="B3369">
        <v>44</v>
      </c>
      <c r="C3369" t="s">
        <v>141</v>
      </c>
      <c r="D3369" t="s">
        <v>101</v>
      </c>
      <c r="E3369" t="s">
        <v>9</v>
      </c>
      <c r="F3369">
        <v>48</v>
      </c>
      <c r="G3369" t="s">
        <v>110</v>
      </c>
      <c r="H3369" t="s">
        <v>32</v>
      </c>
      <c r="I3369" t="s">
        <v>132</v>
      </c>
      <c r="J3369" t="s">
        <v>41</v>
      </c>
      <c r="K3369">
        <v>3.1</v>
      </c>
      <c r="L3369" t="s">
        <v>140</v>
      </c>
      <c r="M3369" t="s">
        <v>62</v>
      </c>
      <c r="N3369" t="s">
        <v>140</v>
      </c>
      <c r="O3369">
        <v>6</v>
      </c>
      <c r="P3369" t="s">
        <v>16</v>
      </c>
      <c r="Q3369" t="s">
        <v>17</v>
      </c>
      <c r="R3369" t="str" cm="1">
        <f t="array" ref="R3369">_xlfn.IFS(B3369&lt;31,"Young-Adult",B3369&lt;41,"Adult",B3369&lt;61,"Middle-aged",B3369&gt;=61,"Senior")</f>
        <v>Middle-aged</v>
      </c>
      <c r="S3369" cm="1">
        <f t="array" ref="S3369">_xlfn.IFS(Q3369 ="Fortnightly",14,Q3369="Weekly",7,Q3369="Monthly",30,Q3369="Quarterly",90,Q3369="Bi-Weekly",14,Q3369="Annually",365,Q3369="Every 3 Months",90,TRUE,"NOT FOUND")</f>
        <v>14</v>
      </c>
    </row>
    <row r="3370" spans="1:19" x14ac:dyDescent="0.35">
      <c r="A3370">
        <v>3369</v>
      </c>
      <c r="B3370">
        <v>30</v>
      </c>
      <c r="C3370" t="s">
        <v>141</v>
      </c>
      <c r="D3370" t="s">
        <v>29</v>
      </c>
      <c r="E3370" t="s">
        <v>30</v>
      </c>
      <c r="F3370">
        <v>25</v>
      </c>
      <c r="G3370" t="s">
        <v>133</v>
      </c>
      <c r="H3370" t="s">
        <v>32</v>
      </c>
      <c r="I3370" t="s">
        <v>132</v>
      </c>
      <c r="J3370" t="s">
        <v>25</v>
      </c>
      <c r="K3370">
        <v>4.8</v>
      </c>
      <c r="L3370" t="s">
        <v>140</v>
      </c>
      <c r="M3370" t="s">
        <v>15</v>
      </c>
      <c r="N3370" t="s">
        <v>140</v>
      </c>
      <c r="O3370">
        <v>29</v>
      </c>
      <c r="P3370" t="s">
        <v>63</v>
      </c>
      <c r="Q3370" t="s">
        <v>85</v>
      </c>
      <c r="R3370" t="str" cm="1">
        <f t="array" ref="R3370">_xlfn.IFS(B3370&lt;31,"Young-Adult",B3370&lt;41,"Adult",B3370&lt;61,"Middle-aged",B3370&gt;=61,"Senior")</f>
        <v>Young-Adult</v>
      </c>
      <c r="S3370" cm="1">
        <f t="array" ref="S3370">_xlfn.IFS(Q3370 ="Fortnightly",14,Q3370="Weekly",7,Q3370="Monthly",30,Q3370="Quarterly",90,Q3370="Bi-Weekly",14,Q3370="Annually",365,Q3370="Every 3 Months",90,TRUE,"NOT FOUND")</f>
        <v>90</v>
      </c>
    </row>
    <row r="3371" spans="1:19" x14ac:dyDescent="0.35">
      <c r="A3371">
        <v>3370</v>
      </c>
      <c r="B3371">
        <v>47</v>
      </c>
      <c r="C3371" t="s">
        <v>141</v>
      </c>
      <c r="D3371" t="s">
        <v>18</v>
      </c>
      <c r="E3371" t="s">
        <v>9</v>
      </c>
      <c r="F3371">
        <v>51</v>
      </c>
      <c r="G3371" t="s">
        <v>19</v>
      </c>
      <c r="H3371" t="s">
        <v>32</v>
      </c>
      <c r="I3371" t="s">
        <v>114</v>
      </c>
      <c r="J3371" t="s">
        <v>13</v>
      </c>
      <c r="K3371">
        <v>3.8</v>
      </c>
      <c r="L3371" t="s">
        <v>140</v>
      </c>
      <c r="M3371" t="s">
        <v>58</v>
      </c>
      <c r="N3371" t="s">
        <v>140</v>
      </c>
      <c r="O3371">
        <v>42</v>
      </c>
      <c r="P3371" t="s">
        <v>21</v>
      </c>
      <c r="Q3371" t="s">
        <v>76</v>
      </c>
      <c r="R3371" t="str" cm="1">
        <f t="array" ref="R3371">_xlfn.IFS(B3371&lt;31,"Young-Adult",B3371&lt;41,"Adult",B3371&lt;61,"Middle-aged",B3371&gt;=61,"Senior")</f>
        <v>Middle-aged</v>
      </c>
      <c r="S3371" cm="1">
        <f t="array" ref="S3371">_xlfn.IFS(Q3371 ="Fortnightly",14,Q3371="Weekly",7,Q3371="Monthly",30,Q3371="Quarterly",90,Q3371="Bi-Weekly",14,Q3371="Annually",365,Q3371="Every 3 Months",90,TRUE,"NOT FOUND")</f>
        <v>30</v>
      </c>
    </row>
    <row r="3372" spans="1:19" x14ac:dyDescent="0.35">
      <c r="A3372">
        <v>3371</v>
      </c>
      <c r="B3372">
        <v>30</v>
      </c>
      <c r="C3372" t="s">
        <v>141</v>
      </c>
      <c r="D3372" t="s">
        <v>121</v>
      </c>
      <c r="E3372" t="s">
        <v>55</v>
      </c>
      <c r="F3372">
        <v>31</v>
      </c>
      <c r="G3372" t="s">
        <v>103</v>
      </c>
      <c r="H3372" t="s">
        <v>32</v>
      </c>
      <c r="I3372" t="s">
        <v>49</v>
      </c>
      <c r="J3372" t="s">
        <v>41</v>
      </c>
      <c r="K3372">
        <v>2.8</v>
      </c>
      <c r="L3372" t="s">
        <v>140</v>
      </c>
      <c r="M3372" t="s">
        <v>62</v>
      </c>
      <c r="N3372" t="s">
        <v>140</v>
      </c>
      <c r="O3372">
        <v>46</v>
      </c>
      <c r="P3372" t="s">
        <v>21</v>
      </c>
      <c r="Q3372" t="s">
        <v>17</v>
      </c>
      <c r="R3372" t="str" cm="1">
        <f t="array" ref="R3372">_xlfn.IFS(B3372&lt;31,"Young-Adult",B3372&lt;41,"Adult",B3372&lt;61,"Middle-aged",B3372&gt;=61,"Senior")</f>
        <v>Young-Adult</v>
      </c>
      <c r="S3372" cm="1">
        <f t="array" ref="S3372">_xlfn.IFS(Q3372 ="Fortnightly",14,Q3372="Weekly",7,Q3372="Monthly",30,Q3372="Quarterly",90,Q3372="Bi-Weekly",14,Q3372="Annually",365,Q3372="Every 3 Months",90,TRUE,"NOT FOUND")</f>
        <v>14</v>
      </c>
    </row>
    <row r="3373" spans="1:19" x14ac:dyDescent="0.35">
      <c r="A3373">
        <v>3372</v>
      </c>
      <c r="B3373">
        <v>49</v>
      </c>
      <c r="C3373" t="s">
        <v>141</v>
      </c>
      <c r="D3373" t="s">
        <v>92</v>
      </c>
      <c r="E3373" t="s">
        <v>9</v>
      </c>
      <c r="F3373">
        <v>99</v>
      </c>
      <c r="G3373" t="s">
        <v>100</v>
      </c>
      <c r="H3373" t="s">
        <v>24</v>
      </c>
      <c r="I3373" t="s">
        <v>36</v>
      </c>
      <c r="J3373" t="s">
        <v>13</v>
      </c>
      <c r="K3373">
        <v>4</v>
      </c>
      <c r="L3373" t="s">
        <v>140</v>
      </c>
      <c r="M3373" t="s">
        <v>33</v>
      </c>
      <c r="N3373" t="s">
        <v>140</v>
      </c>
      <c r="O3373">
        <v>28</v>
      </c>
      <c r="P3373" t="s">
        <v>34</v>
      </c>
      <c r="Q3373" t="s">
        <v>37</v>
      </c>
      <c r="R3373" t="str" cm="1">
        <f t="array" ref="R3373">_xlfn.IFS(B3373&lt;31,"Young-Adult",B3373&lt;41,"Adult",B3373&lt;61,"Middle-aged",B3373&gt;=61,"Senior")</f>
        <v>Middle-aged</v>
      </c>
      <c r="S3373" cm="1">
        <f t="array" ref="S3373">_xlfn.IFS(Q3373 ="Fortnightly",14,Q3373="Weekly",7,Q3373="Monthly",30,Q3373="Quarterly",90,Q3373="Bi-Weekly",14,Q3373="Annually",365,Q3373="Every 3 Months",90,TRUE,"NOT FOUND")</f>
        <v>365</v>
      </c>
    </row>
    <row r="3374" spans="1:19" x14ac:dyDescent="0.35">
      <c r="A3374">
        <v>3373</v>
      </c>
      <c r="B3374">
        <v>56</v>
      </c>
      <c r="C3374" t="s">
        <v>141</v>
      </c>
      <c r="D3374" t="s">
        <v>113</v>
      </c>
      <c r="E3374" t="s">
        <v>9</v>
      </c>
      <c r="F3374">
        <v>25</v>
      </c>
      <c r="G3374" t="s">
        <v>126</v>
      </c>
      <c r="H3374" t="s">
        <v>32</v>
      </c>
      <c r="I3374" t="s">
        <v>20</v>
      </c>
      <c r="J3374" t="s">
        <v>13</v>
      </c>
      <c r="K3374">
        <v>4.5999999999999996</v>
      </c>
      <c r="L3374" t="s">
        <v>140</v>
      </c>
      <c r="M3374" t="s">
        <v>26</v>
      </c>
      <c r="N3374" t="s">
        <v>140</v>
      </c>
      <c r="O3374">
        <v>14</v>
      </c>
      <c r="P3374" t="s">
        <v>27</v>
      </c>
      <c r="Q3374" t="s">
        <v>85</v>
      </c>
      <c r="R3374" t="str" cm="1">
        <f t="array" ref="R3374">_xlfn.IFS(B3374&lt;31,"Young-Adult",B3374&lt;41,"Adult",B3374&lt;61,"Middle-aged",B3374&gt;=61,"Senior")</f>
        <v>Middle-aged</v>
      </c>
      <c r="S3374" cm="1">
        <f t="array" ref="S3374">_xlfn.IFS(Q3374 ="Fortnightly",14,Q3374="Weekly",7,Q3374="Monthly",30,Q3374="Quarterly",90,Q3374="Bi-Weekly",14,Q3374="Annually",365,Q3374="Every 3 Months",90,TRUE,"NOT FOUND")</f>
        <v>90</v>
      </c>
    </row>
    <row r="3375" spans="1:19" x14ac:dyDescent="0.35">
      <c r="A3375">
        <v>3374</v>
      </c>
      <c r="B3375">
        <v>70</v>
      </c>
      <c r="C3375" t="s">
        <v>141</v>
      </c>
      <c r="D3375" t="s">
        <v>29</v>
      </c>
      <c r="E3375" t="s">
        <v>30</v>
      </c>
      <c r="F3375">
        <v>52</v>
      </c>
      <c r="G3375" t="s">
        <v>136</v>
      </c>
      <c r="H3375" t="s">
        <v>32</v>
      </c>
      <c r="I3375" t="s">
        <v>61</v>
      </c>
      <c r="J3375" t="s">
        <v>25</v>
      </c>
      <c r="K3375">
        <v>3.5</v>
      </c>
      <c r="L3375" t="s">
        <v>140</v>
      </c>
      <c r="M3375" t="s">
        <v>62</v>
      </c>
      <c r="N3375" t="s">
        <v>140</v>
      </c>
      <c r="O3375">
        <v>12</v>
      </c>
      <c r="P3375" t="s">
        <v>74</v>
      </c>
      <c r="Q3375" t="s">
        <v>85</v>
      </c>
      <c r="R3375" t="str" cm="1">
        <f t="array" ref="R3375">_xlfn.IFS(B3375&lt;31,"Young-Adult",B3375&lt;41,"Adult",B3375&lt;61,"Middle-aged",B3375&gt;=61,"Senior")</f>
        <v>Senior</v>
      </c>
      <c r="S3375" cm="1">
        <f t="array" ref="S3375">_xlfn.IFS(Q3375 ="Fortnightly",14,Q3375="Weekly",7,Q3375="Monthly",30,Q3375="Quarterly",90,Q3375="Bi-Weekly",14,Q3375="Annually",365,Q3375="Every 3 Months",90,TRUE,"NOT FOUND")</f>
        <v>90</v>
      </c>
    </row>
    <row r="3376" spans="1:19" x14ac:dyDescent="0.35">
      <c r="A3376">
        <v>3375</v>
      </c>
      <c r="B3376">
        <v>22</v>
      </c>
      <c r="C3376" t="s">
        <v>141</v>
      </c>
      <c r="D3376" t="s">
        <v>8</v>
      </c>
      <c r="E3376" t="s">
        <v>9</v>
      </c>
      <c r="F3376">
        <v>47</v>
      </c>
      <c r="G3376" t="s">
        <v>95</v>
      </c>
      <c r="H3376" t="s">
        <v>24</v>
      </c>
      <c r="I3376" t="s">
        <v>81</v>
      </c>
      <c r="J3376" t="s">
        <v>25</v>
      </c>
      <c r="K3376">
        <v>3.7</v>
      </c>
      <c r="L3376" t="s">
        <v>140</v>
      </c>
      <c r="M3376" t="s">
        <v>58</v>
      </c>
      <c r="N3376" t="s">
        <v>140</v>
      </c>
      <c r="O3376">
        <v>41</v>
      </c>
      <c r="P3376" t="s">
        <v>74</v>
      </c>
      <c r="Q3376" t="s">
        <v>37</v>
      </c>
      <c r="R3376" t="str" cm="1">
        <f t="array" ref="R3376">_xlfn.IFS(B3376&lt;31,"Young-Adult",B3376&lt;41,"Adult",B3376&lt;61,"Middle-aged",B3376&gt;=61,"Senior")</f>
        <v>Young-Adult</v>
      </c>
      <c r="S3376" cm="1">
        <f t="array" ref="S3376">_xlfn.IFS(Q3376 ="Fortnightly",14,Q3376="Weekly",7,Q3376="Monthly",30,Q3376="Quarterly",90,Q3376="Bi-Weekly",14,Q3376="Annually",365,Q3376="Every 3 Months",90,TRUE,"NOT FOUND")</f>
        <v>365</v>
      </c>
    </row>
    <row r="3377" spans="1:19" x14ac:dyDescent="0.35">
      <c r="A3377">
        <v>3376</v>
      </c>
      <c r="B3377">
        <v>51</v>
      </c>
      <c r="C3377" t="s">
        <v>141</v>
      </c>
      <c r="D3377" t="s">
        <v>125</v>
      </c>
      <c r="E3377" t="s">
        <v>30</v>
      </c>
      <c r="F3377">
        <v>98</v>
      </c>
      <c r="G3377" t="s">
        <v>127</v>
      </c>
      <c r="H3377" t="s">
        <v>80</v>
      </c>
      <c r="I3377" t="s">
        <v>122</v>
      </c>
      <c r="J3377" t="s">
        <v>45</v>
      </c>
      <c r="K3377">
        <v>4.9000000000000004</v>
      </c>
      <c r="L3377" t="s">
        <v>140</v>
      </c>
      <c r="M3377" t="s">
        <v>15</v>
      </c>
      <c r="N3377" t="s">
        <v>140</v>
      </c>
      <c r="O3377">
        <v>8</v>
      </c>
      <c r="P3377" t="s">
        <v>27</v>
      </c>
      <c r="Q3377" t="s">
        <v>37</v>
      </c>
      <c r="R3377" t="str" cm="1">
        <f t="array" ref="R3377">_xlfn.IFS(B3377&lt;31,"Young-Adult",B3377&lt;41,"Adult",B3377&lt;61,"Middle-aged",B3377&gt;=61,"Senior")</f>
        <v>Middle-aged</v>
      </c>
      <c r="S3377" cm="1">
        <f t="array" ref="S3377">_xlfn.IFS(Q3377 ="Fortnightly",14,Q3377="Weekly",7,Q3377="Monthly",30,Q3377="Quarterly",90,Q3377="Bi-Weekly",14,Q3377="Annually",365,Q3377="Every 3 Months",90,TRUE,"NOT FOUND")</f>
        <v>365</v>
      </c>
    </row>
    <row r="3378" spans="1:19" x14ac:dyDescent="0.35">
      <c r="A3378">
        <v>3377</v>
      </c>
      <c r="B3378">
        <v>22</v>
      </c>
      <c r="C3378" t="s">
        <v>141</v>
      </c>
      <c r="D3378" t="s">
        <v>112</v>
      </c>
      <c r="E3378" t="s">
        <v>55</v>
      </c>
      <c r="F3378">
        <v>46</v>
      </c>
      <c r="G3378" t="s">
        <v>111</v>
      </c>
      <c r="H3378" t="s">
        <v>32</v>
      </c>
      <c r="I3378" t="s">
        <v>84</v>
      </c>
      <c r="J3378" t="s">
        <v>13</v>
      </c>
      <c r="K3378">
        <v>4.0999999999999996</v>
      </c>
      <c r="L3378" t="s">
        <v>140</v>
      </c>
      <c r="M3378" t="s">
        <v>62</v>
      </c>
      <c r="N3378" t="s">
        <v>140</v>
      </c>
      <c r="O3378">
        <v>24</v>
      </c>
      <c r="P3378" t="s">
        <v>21</v>
      </c>
      <c r="Q3378" t="s">
        <v>46</v>
      </c>
      <c r="R3378" t="str" cm="1">
        <f t="array" ref="R3378">_xlfn.IFS(B3378&lt;31,"Young-Adult",B3378&lt;41,"Adult",B3378&lt;61,"Middle-aged",B3378&gt;=61,"Senior")</f>
        <v>Young-Adult</v>
      </c>
      <c r="S3378" cm="1">
        <f t="array" ref="S3378">_xlfn.IFS(Q3378 ="Fortnightly",14,Q3378="Weekly",7,Q3378="Monthly",30,Q3378="Quarterly",90,Q3378="Bi-Weekly",14,Q3378="Annually",365,Q3378="Every 3 Months",90,TRUE,"NOT FOUND")</f>
        <v>90</v>
      </c>
    </row>
    <row r="3379" spans="1:19" x14ac:dyDescent="0.35">
      <c r="A3379">
        <v>3378</v>
      </c>
      <c r="B3379">
        <v>37</v>
      </c>
      <c r="C3379" t="s">
        <v>141</v>
      </c>
      <c r="D3379" t="s">
        <v>43</v>
      </c>
      <c r="E3379" t="s">
        <v>9</v>
      </c>
      <c r="F3379">
        <v>32</v>
      </c>
      <c r="G3379" t="s">
        <v>10</v>
      </c>
      <c r="H3379" t="s">
        <v>32</v>
      </c>
      <c r="I3379" t="s">
        <v>122</v>
      </c>
      <c r="J3379" t="s">
        <v>13</v>
      </c>
      <c r="K3379">
        <v>4.5999999999999996</v>
      </c>
      <c r="L3379" t="s">
        <v>140</v>
      </c>
      <c r="M3379" t="s">
        <v>33</v>
      </c>
      <c r="N3379" t="s">
        <v>140</v>
      </c>
      <c r="O3379">
        <v>18</v>
      </c>
      <c r="P3379" t="s">
        <v>34</v>
      </c>
      <c r="Q3379" t="s">
        <v>17</v>
      </c>
      <c r="R3379" t="str" cm="1">
        <f t="array" ref="R3379">_xlfn.IFS(B3379&lt;31,"Young-Adult",B3379&lt;41,"Adult",B3379&lt;61,"Middle-aged",B3379&gt;=61,"Senior")</f>
        <v>Adult</v>
      </c>
      <c r="S3379" cm="1">
        <f t="array" ref="S3379">_xlfn.IFS(Q3379 ="Fortnightly",14,Q3379="Weekly",7,Q3379="Monthly",30,Q3379="Quarterly",90,Q3379="Bi-Weekly",14,Q3379="Annually",365,Q3379="Every 3 Months",90,TRUE,"NOT FOUND")</f>
        <v>14</v>
      </c>
    </row>
    <row r="3380" spans="1:19" x14ac:dyDescent="0.35">
      <c r="A3380">
        <v>3379</v>
      </c>
      <c r="B3380">
        <v>49</v>
      </c>
      <c r="C3380" t="s">
        <v>141</v>
      </c>
      <c r="D3380" t="s">
        <v>47</v>
      </c>
      <c r="E3380" t="s">
        <v>9</v>
      </c>
      <c r="F3380">
        <v>75</v>
      </c>
      <c r="G3380" t="s">
        <v>136</v>
      </c>
      <c r="H3380" t="s">
        <v>11</v>
      </c>
      <c r="I3380" t="s">
        <v>68</v>
      </c>
      <c r="J3380" t="s">
        <v>45</v>
      </c>
      <c r="K3380">
        <v>4.5</v>
      </c>
      <c r="L3380" t="s">
        <v>140</v>
      </c>
      <c r="M3380" t="s">
        <v>33</v>
      </c>
      <c r="N3380" t="s">
        <v>140</v>
      </c>
      <c r="O3380">
        <v>6</v>
      </c>
      <c r="P3380" t="s">
        <v>21</v>
      </c>
      <c r="Q3380" t="s">
        <v>46</v>
      </c>
      <c r="R3380" t="str" cm="1">
        <f t="array" ref="R3380">_xlfn.IFS(B3380&lt;31,"Young-Adult",B3380&lt;41,"Adult",B3380&lt;61,"Middle-aged",B3380&gt;=61,"Senior")</f>
        <v>Middle-aged</v>
      </c>
      <c r="S3380" cm="1">
        <f t="array" ref="S3380">_xlfn.IFS(Q3380 ="Fortnightly",14,Q3380="Weekly",7,Q3380="Monthly",30,Q3380="Quarterly",90,Q3380="Bi-Weekly",14,Q3380="Annually",365,Q3380="Every 3 Months",90,TRUE,"NOT FOUND")</f>
        <v>90</v>
      </c>
    </row>
    <row r="3381" spans="1:19" x14ac:dyDescent="0.35">
      <c r="A3381">
        <v>3380</v>
      </c>
      <c r="B3381">
        <v>61</v>
      </c>
      <c r="C3381" t="s">
        <v>141</v>
      </c>
      <c r="D3381" t="s">
        <v>54</v>
      </c>
      <c r="E3381" t="s">
        <v>55</v>
      </c>
      <c r="F3381">
        <v>51</v>
      </c>
      <c r="G3381" t="s">
        <v>110</v>
      </c>
      <c r="H3381" t="s">
        <v>11</v>
      </c>
      <c r="I3381" t="s">
        <v>36</v>
      </c>
      <c r="J3381" t="s">
        <v>41</v>
      </c>
      <c r="K3381">
        <v>5</v>
      </c>
      <c r="L3381" t="s">
        <v>140</v>
      </c>
      <c r="M3381" t="s">
        <v>62</v>
      </c>
      <c r="N3381" t="s">
        <v>140</v>
      </c>
      <c r="O3381">
        <v>40</v>
      </c>
      <c r="P3381" t="s">
        <v>21</v>
      </c>
      <c r="Q3381" t="s">
        <v>28</v>
      </c>
      <c r="R3381" t="str" cm="1">
        <f t="array" ref="R3381">_xlfn.IFS(B3381&lt;31,"Young-Adult",B3381&lt;41,"Adult",B3381&lt;61,"Middle-aged",B3381&gt;=61,"Senior")</f>
        <v>Senior</v>
      </c>
      <c r="S3381" cm="1">
        <f t="array" ref="S3381">_xlfn.IFS(Q3381 ="Fortnightly",14,Q3381="Weekly",7,Q3381="Monthly",30,Q3381="Quarterly",90,Q3381="Bi-Weekly",14,Q3381="Annually",365,Q3381="Every 3 Months",90,TRUE,"NOT FOUND")</f>
        <v>7</v>
      </c>
    </row>
    <row r="3382" spans="1:19" x14ac:dyDescent="0.35">
      <c r="A3382">
        <v>3381</v>
      </c>
      <c r="B3382">
        <v>41</v>
      </c>
      <c r="C3382" t="s">
        <v>141</v>
      </c>
      <c r="D3382" t="s">
        <v>69</v>
      </c>
      <c r="E3382" t="s">
        <v>9</v>
      </c>
      <c r="F3382">
        <v>52</v>
      </c>
      <c r="G3382" t="s">
        <v>102</v>
      </c>
      <c r="H3382" t="s">
        <v>11</v>
      </c>
      <c r="I3382" t="s">
        <v>132</v>
      </c>
      <c r="J3382" t="s">
        <v>41</v>
      </c>
      <c r="K3382">
        <v>3.8</v>
      </c>
      <c r="L3382" t="s">
        <v>140</v>
      </c>
      <c r="M3382" t="s">
        <v>42</v>
      </c>
      <c r="N3382" t="s">
        <v>140</v>
      </c>
      <c r="O3382">
        <v>6</v>
      </c>
      <c r="P3382" t="s">
        <v>34</v>
      </c>
      <c r="Q3382" t="s">
        <v>85</v>
      </c>
      <c r="R3382" t="str" cm="1">
        <f t="array" ref="R3382">_xlfn.IFS(B3382&lt;31,"Young-Adult",B3382&lt;41,"Adult",B3382&lt;61,"Middle-aged",B3382&gt;=61,"Senior")</f>
        <v>Middle-aged</v>
      </c>
      <c r="S3382" cm="1">
        <f t="array" ref="S3382">_xlfn.IFS(Q3382 ="Fortnightly",14,Q3382="Weekly",7,Q3382="Monthly",30,Q3382="Quarterly",90,Q3382="Bi-Weekly",14,Q3382="Annually",365,Q3382="Every 3 Months",90,TRUE,"NOT FOUND")</f>
        <v>90</v>
      </c>
    </row>
    <row r="3383" spans="1:19" x14ac:dyDescent="0.35">
      <c r="A3383">
        <v>3382</v>
      </c>
      <c r="B3383">
        <v>57</v>
      </c>
      <c r="C3383" t="s">
        <v>141</v>
      </c>
      <c r="D3383" t="s">
        <v>112</v>
      </c>
      <c r="E3383" t="s">
        <v>55</v>
      </c>
      <c r="F3383">
        <v>66</v>
      </c>
      <c r="G3383" t="s">
        <v>136</v>
      </c>
      <c r="H3383" t="s">
        <v>11</v>
      </c>
      <c r="I3383" t="s">
        <v>36</v>
      </c>
      <c r="J3383" t="s">
        <v>13</v>
      </c>
      <c r="K3383">
        <v>4.7</v>
      </c>
      <c r="L3383" t="s">
        <v>140</v>
      </c>
      <c r="M3383" t="s">
        <v>42</v>
      </c>
      <c r="N3383" t="s">
        <v>140</v>
      </c>
      <c r="O3383">
        <v>27</v>
      </c>
      <c r="P3383" t="s">
        <v>27</v>
      </c>
      <c r="Q3383" t="s">
        <v>46</v>
      </c>
      <c r="R3383" t="str" cm="1">
        <f t="array" ref="R3383">_xlfn.IFS(B3383&lt;31,"Young-Adult",B3383&lt;41,"Adult",B3383&lt;61,"Middle-aged",B3383&gt;=61,"Senior")</f>
        <v>Middle-aged</v>
      </c>
      <c r="S3383" cm="1">
        <f t="array" ref="S3383">_xlfn.IFS(Q3383 ="Fortnightly",14,Q3383="Weekly",7,Q3383="Monthly",30,Q3383="Quarterly",90,Q3383="Bi-Weekly",14,Q3383="Annually",365,Q3383="Every 3 Months",90,TRUE,"NOT FOUND")</f>
        <v>90</v>
      </c>
    </row>
    <row r="3384" spans="1:19" x14ac:dyDescent="0.35">
      <c r="A3384">
        <v>3383</v>
      </c>
      <c r="B3384">
        <v>34</v>
      </c>
      <c r="C3384" t="s">
        <v>141</v>
      </c>
      <c r="D3384" t="s">
        <v>18</v>
      </c>
      <c r="E3384" t="s">
        <v>9</v>
      </c>
      <c r="F3384">
        <v>35</v>
      </c>
      <c r="G3384" t="s">
        <v>133</v>
      </c>
      <c r="H3384" t="s">
        <v>32</v>
      </c>
      <c r="I3384" t="s">
        <v>20</v>
      </c>
      <c r="J3384" t="s">
        <v>25</v>
      </c>
      <c r="K3384">
        <v>2.8</v>
      </c>
      <c r="L3384" t="s">
        <v>140</v>
      </c>
      <c r="M3384" t="s">
        <v>15</v>
      </c>
      <c r="N3384" t="s">
        <v>140</v>
      </c>
      <c r="O3384">
        <v>2</v>
      </c>
      <c r="P3384" t="s">
        <v>63</v>
      </c>
      <c r="Q3384" t="s">
        <v>28</v>
      </c>
      <c r="R3384" t="str" cm="1">
        <f t="array" ref="R3384">_xlfn.IFS(B3384&lt;31,"Young-Adult",B3384&lt;41,"Adult",B3384&lt;61,"Middle-aged",B3384&gt;=61,"Senior")</f>
        <v>Adult</v>
      </c>
      <c r="S3384" cm="1">
        <f t="array" ref="S3384">_xlfn.IFS(Q3384 ="Fortnightly",14,Q3384="Weekly",7,Q3384="Monthly",30,Q3384="Quarterly",90,Q3384="Bi-Weekly",14,Q3384="Annually",365,Q3384="Every 3 Months",90,TRUE,"NOT FOUND")</f>
        <v>7</v>
      </c>
    </row>
    <row r="3385" spans="1:19" x14ac:dyDescent="0.35">
      <c r="A3385">
        <v>3384</v>
      </c>
      <c r="B3385">
        <v>27</v>
      </c>
      <c r="C3385" t="s">
        <v>141</v>
      </c>
      <c r="D3385" t="s">
        <v>50</v>
      </c>
      <c r="E3385" t="s">
        <v>51</v>
      </c>
      <c r="F3385">
        <v>43</v>
      </c>
      <c r="G3385" t="s">
        <v>67</v>
      </c>
      <c r="H3385" t="s">
        <v>32</v>
      </c>
      <c r="I3385" t="s">
        <v>57</v>
      </c>
      <c r="J3385" t="s">
        <v>45</v>
      </c>
      <c r="K3385">
        <v>2.6</v>
      </c>
      <c r="L3385" t="s">
        <v>140</v>
      </c>
      <c r="M3385" t="s">
        <v>33</v>
      </c>
      <c r="N3385" t="s">
        <v>140</v>
      </c>
      <c r="O3385">
        <v>39</v>
      </c>
      <c r="P3385" t="s">
        <v>16</v>
      </c>
      <c r="Q3385" t="s">
        <v>64</v>
      </c>
      <c r="R3385" t="str" cm="1">
        <f t="array" ref="R3385">_xlfn.IFS(B3385&lt;31,"Young-Adult",B3385&lt;41,"Adult",B3385&lt;61,"Middle-aged",B3385&gt;=61,"Senior")</f>
        <v>Young-Adult</v>
      </c>
      <c r="S3385" cm="1">
        <f t="array" ref="S3385">_xlfn.IFS(Q3385 ="Fortnightly",14,Q3385="Weekly",7,Q3385="Monthly",30,Q3385="Quarterly",90,Q3385="Bi-Weekly",14,Q3385="Annually",365,Q3385="Every 3 Months",90,TRUE,"NOT FOUND")</f>
        <v>14</v>
      </c>
    </row>
    <row r="3386" spans="1:19" x14ac:dyDescent="0.35">
      <c r="A3386">
        <v>3385</v>
      </c>
      <c r="B3386">
        <v>39</v>
      </c>
      <c r="C3386" t="s">
        <v>141</v>
      </c>
      <c r="D3386" t="s">
        <v>92</v>
      </c>
      <c r="E3386" t="s">
        <v>9</v>
      </c>
      <c r="F3386">
        <v>24</v>
      </c>
      <c r="G3386" t="s">
        <v>136</v>
      </c>
      <c r="H3386" t="s">
        <v>11</v>
      </c>
      <c r="I3386" t="s">
        <v>20</v>
      </c>
      <c r="J3386" t="s">
        <v>41</v>
      </c>
      <c r="K3386">
        <v>3.8</v>
      </c>
      <c r="L3386" t="s">
        <v>140</v>
      </c>
      <c r="M3386" t="s">
        <v>26</v>
      </c>
      <c r="N3386" t="s">
        <v>140</v>
      </c>
      <c r="O3386">
        <v>9</v>
      </c>
      <c r="P3386" t="s">
        <v>16</v>
      </c>
      <c r="Q3386" t="s">
        <v>46</v>
      </c>
      <c r="R3386" t="str" cm="1">
        <f t="array" ref="R3386">_xlfn.IFS(B3386&lt;31,"Young-Adult",B3386&lt;41,"Adult",B3386&lt;61,"Middle-aged",B3386&gt;=61,"Senior")</f>
        <v>Adult</v>
      </c>
      <c r="S3386" cm="1">
        <f t="array" ref="S3386">_xlfn.IFS(Q3386 ="Fortnightly",14,Q3386="Weekly",7,Q3386="Monthly",30,Q3386="Quarterly",90,Q3386="Bi-Weekly",14,Q3386="Annually",365,Q3386="Every 3 Months",90,TRUE,"NOT FOUND")</f>
        <v>90</v>
      </c>
    </row>
    <row r="3387" spans="1:19" x14ac:dyDescent="0.35">
      <c r="A3387">
        <v>3386</v>
      </c>
      <c r="B3387">
        <v>62</v>
      </c>
      <c r="C3387" t="s">
        <v>141</v>
      </c>
      <c r="D3387" t="s">
        <v>94</v>
      </c>
      <c r="E3387" t="s">
        <v>55</v>
      </c>
      <c r="F3387">
        <v>83</v>
      </c>
      <c r="G3387" t="s">
        <v>31</v>
      </c>
      <c r="H3387" t="s">
        <v>32</v>
      </c>
      <c r="I3387" t="s">
        <v>66</v>
      </c>
      <c r="J3387" t="s">
        <v>13</v>
      </c>
      <c r="K3387">
        <v>2.8</v>
      </c>
      <c r="L3387" t="s">
        <v>140</v>
      </c>
      <c r="M3387" t="s">
        <v>42</v>
      </c>
      <c r="N3387" t="s">
        <v>140</v>
      </c>
      <c r="O3387">
        <v>16</v>
      </c>
      <c r="P3387" t="s">
        <v>27</v>
      </c>
      <c r="Q3387" t="s">
        <v>85</v>
      </c>
      <c r="R3387" t="str" cm="1">
        <f t="array" ref="R3387">_xlfn.IFS(B3387&lt;31,"Young-Adult",B3387&lt;41,"Adult",B3387&lt;61,"Middle-aged",B3387&gt;=61,"Senior")</f>
        <v>Senior</v>
      </c>
      <c r="S3387" cm="1">
        <f t="array" ref="S3387">_xlfn.IFS(Q3387 ="Fortnightly",14,Q3387="Weekly",7,Q3387="Monthly",30,Q3387="Quarterly",90,Q3387="Bi-Weekly",14,Q3387="Annually",365,Q3387="Every 3 Months",90,TRUE,"NOT FOUND")</f>
        <v>90</v>
      </c>
    </row>
    <row r="3388" spans="1:19" x14ac:dyDescent="0.35">
      <c r="A3388">
        <v>3387</v>
      </c>
      <c r="B3388">
        <v>34</v>
      </c>
      <c r="C3388" t="s">
        <v>141</v>
      </c>
      <c r="D3388" t="s">
        <v>101</v>
      </c>
      <c r="E3388" t="s">
        <v>9</v>
      </c>
      <c r="F3388">
        <v>62</v>
      </c>
      <c r="G3388" t="s">
        <v>139</v>
      </c>
      <c r="H3388" t="s">
        <v>32</v>
      </c>
      <c r="I3388" t="s">
        <v>81</v>
      </c>
      <c r="J3388" t="s">
        <v>45</v>
      </c>
      <c r="K3388">
        <v>2.6</v>
      </c>
      <c r="L3388" t="s">
        <v>140</v>
      </c>
      <c r="M3388" t="s">
        <v>58</v>
      </c>
      <c r="N3388" t="s">
        <v>140</v>
      </c>
      <c r="O3388">
        <v>36</v>
      </c>
      <c r="P3388" t="s">
        <v>21</v>
      </c>
      <c r="Q3388" t="s">
        <v>46</v>
      </c>
      <c r="R3388" t="str" cm="1">
        <f t="array" ref="R3388">_xlfn.IFS(B3388&lt;31,"Young-Adult",B3388&lt;41,"Adult",B3388&lt;61,"Middle-aged",B3388&gt;=61,"Senior")</f>
        <v>Adult</v>
      </c>
      <c r="S3388" cm="1">
        <f t="array" ref="S3388">_xlfn.IFS(Q3388 ="Fortnightly",14,Q3388="Weekly",7,Q3388="Monthly",30,Q3388="Quarterly",90,Q3388="Bi-Weekly",14,Q3388="Annually",365,Q3388="Every 3 Months",90,TRUE,"NOT FOUND")</f>
        <v>90</v>
      </c>
    </row>
    <row r="3389" spans="1:19" x14ac:dyDescent="0.35">
      <c r="A3389">
        <v>3388</v>
      </c>
      <c r="B3389">
        <v>53</v>
      </c>
      <c r="C3389" t="s">
        <v>141</v>
      </c>
      <c r="D3389" t="s">
        <v>83</v>
      </c>
      <c r="E3389" t="s">
        <v>9</v>
      </c>
      <c r="F3389">
        <v>78</v>
      </c>
      <c r="G3389" t="s">
        <v>115</v>
      </c>
      <c r="H3389" t="s">
        <v>24</v>
      </c>
      <c r="I3389" t="s">
        <v>57</v>
      </c>
      <c r="J3389" t="s">
        <v>25</v>
      </c>
      <c r="K3389">
        <v>3.4</v>
      </c>
      <c r="L3389" t="s">
        <v>140</v>
      </c>
      <c r="M3389" t="s">
        <v>58</v>
      </c>
      <c r="N3389" t="s">
        <v>140</v>
      </c>
      <c r="O3389">
        <v>2</v>
      </c>
      <c r="P3389" t="s">
        <v>27</v>
      </c>
      <c r="Q3389" t="s">
        <v>64</v>
      </c>
      <c r="R3389" t="str" cm="1">
        <f t="array" ref="R3389">_xlfn.IFS(B3389&lt;31,"Young-Adult",B3389&lt;41,"Adult",B3389&lt;61,"Middle-aged",B3389&gt;=61,"Senior")</f>
        <v>Middle-aged</v>
      </c>
      <c r="S3389" cm="1">
        <f t="array" ref="S3389">_xlfn.IFS(Q3389 ="Fortnightly",14,Q3389="Weekly",7,Q3389="Monthly",30,Q3389="Quarterly",90,Q3389="Bi-Weekly",14,Q3389="Annually",365,Q3389="Every 3 Months",90,TRUE,"NOT FOUND")</f>
        <v>14</v>
      </c>
    </row>
    <row r="3390" spans="1:19" x14ac:dyDescent="0.35">
      <c r="A3390">
        <v>3389</v>
      </c>
      <c r="B3390">
        <v>35</v>
      </c>
      <c r="C3390" t="s">
        <v>141</v>
      </c>
      <c r="D3390" t="s">
        <v>18</v>
      </c>
      <c r="E3390" t="s">
        <v>9</v>
      </c>
      <c r="F3390">
        <v>61</v>
      </c>
      <c r="G3390" t="s">
        <v>135</v>
      </c>
      <c r="H3390" t="s">
        <v>32</v>
      </c>
      <c r="I3390" t="s">
        <v>97</v>
      </c>
      <c r="J3390" t="s">
        <v>25</v>
      </c>
      <c r="K3390">
        <v>4.5</v>
      </c>
      <c r="L3390" t="s">
        <v>140</v>
      </c>
      <c r="M3390" t="s">
        <v>62</v>
      </c>
      <c r="N3390" t="s">
        <v>140</v>
      </c>
      <c r="O3390">
        <v>21</v>
      </c>
      <c r="P3390" t="s">
        <v>27</v>
      </c>
      <c r="Q3390" t="s">
        <v>28</v>
      </c>
      <c r="R3390" t="str" cm="1">
        <f t="array" ref="R3390">_xlfn.IFS(B3390&lt;31,"Young-Adult",B3390&lt;41,"Adult",B3390&lt;61,"Middle-aged",B3390&gt;=61,"Senior")</f>
        <v>Adult</v>
      </c>
      <c r="S3390" cm="1">
        <f t="array" ref="S3390">_xlfn.IFS(Q3390 ="Fortnightly",14,Q3390="Weekly",7,Q3390="Monthly",30,Q3390="Quarterly",90,Q3390="Bi-Weekly",14,Q3390="Annually",365,Q3390="Every 3 Months",90,TRUE,"NOT FOUND")</f>
        <v>7</v>
      </c>
    </row>
    <row r="3391" spans="1:19" x14ac:dyDescent="0.35">
      <c r="A3391">
        <v>3390</v>
      </c>
      <c r="B3391">
        <v>38</v>
      </c>
      <c r="C3391" t="s">
        <v>141</v>
      </c>
      <c r="D3391" t="s">
        <v>83</v>
      </c>
      <c r="E3391" t="s">
        <v>9</v>
      </c>
      <c r="F3391">
        <v>57</v>
      </c>
      <c r="G3391" t="s">
        <v>86</v>
      </c>
      <c r="H3391" t="s">
        <v>11</v>
      </c>
      <c r="I3391" t="s">
        <v>20</v>
      </c>
      <c r="J3391" t="s">
        <v>45</v>
      </c>
      <c r="K3391">
        <v>3.8</v>
      </c>
      <c r="L3391" t="s">
        <v>140</v>
      </c>
      <c r="M3391" t="s">
        <v>26</v>
      </c>
      <c r="N3391" t="s">
        <v>140</v>
      </c>
      <c r="O3391">
        <v>39</v>
      </c>
      <c r="P3391" t="s">
        <v>16</v>
      </c>
      <c r="Q3391" t="s">
        <v>37</v>
      </c>
      <c r="R3391" t="str" cm="1">
        <f t="array" ref="R3391">_xlfn.IFS(B3391&lt;31,"Young-Adult",B3391&lt;41,"Adult",B3391&lt;61,"Middle-aged",B3391&gt;=61,"Senior")</f>
        <v>Adult</v>
      </c>
      <c r="S3391" cm="1">
        <f t="array" ref="S3391">_xlfn.IFS(Q3391 ="Fortnightly",14,Q3391="Weekly",7,Q3391="Monthly",30,Q3391="Quarterly",90,Q3391="Bi-Weekly",14,Q3391="Annually",365,Q3391="Every 3 Months",90,TRUE,"NOT FOUND")</f>
        <v>365</v>
      </c>
    </row>
    <row r="3392" spans="1:19" x14ac:dyDescent="0.35">
      <c r="A3392">
        <v>3391</v>
      </c>
      <c r="B3392">
        <v>32</v>
      </c>
      <c r="C3392" t="s">
        <v>141</v>
      </c>
      <c r="D3392" t="s">
        <v>113</v>
      </c>
      <c r="E3392" t="s">
        <v>9</v>
      </c>
      <c r="F3392">
        <v>70</v>
      </c>
      <c r="G3392" t="s">
        <v>35</v>
      </c>
      <c r="H3392" t="s">
        <v>24</v>
      </c>
      <c r="I3392" t="s">
        <v>96</v>
      </c>
      <c r="J3392" t="s">
        <v>41</v>
      </c>
      <c r="K3392">
        <v>3</v>
      </c>
      <c r="L3392" t="s">
        <v>140</v>
      </c>
      <c r="M3392" t="s">
        <v>33</v>
      </c>
      <c r="N3392" t="s">
        <v>140</v>
      </c>
      <c r="O3392">
        <v>38</v>
      </c>
      <c r="P3392" t="s">
        <v>34</v>
      </c>
      <c r="Q3392" t="s">
        <v>37</v>
      </c>
      <c r="R3392" t="str" cm="1">
        <f t="array" ref="R3392">_xlfn.IFS(B3392&lt;31,"Young-Adult",B3392&lt;41,"Adult",B3392&lt;61,"Middle-aged",B3392&gt;=61,"Senior")</f>
        <v>Adult</v>
      </c>
      <c r="S3392" cm="1">
        <f t="array" ref="S3392">_xlfn.IFS(Q3392 ="Fortnightly",14,Q3392="Weekly",7,Q3392="Monthly",30,Q3392="Quarterly",90,Q3392="Bi-Weekly",14,Q3392="Annually",365,Q3392="Every 3 Months",90,TRUE,"NOT FOUND")</f>
        <v>365</v>
      </c>
    </row>
    <row r="3393" spans="1:19" x14ac:dyDescent="0.35">
      <c r="A3393">
        <v>3392</v>
      </c>
      <c r="B3393">
        <v>47</v>
      </c>
      <c r="C3393" t="s">
        <v>141</v>
      </c>
      <c r="D3393" t="s">
        <v>92</v>
      </c>
      <c r="E3393" t="s">
        <v>9</v>
      </c>
      <c r="F3393">
        <v>57</v>
      </c>
      <c r="G3393" t="s">
        <v>44</v>
      </c>
      <c r="H3393" t="s">
        <v>32</v>
      </c>
      <c r="I3393" t="s">
        <v>53</v>
      </c>
      <c r="J3393" t="s">
        <v>45</v>
      </c>
      <c r="K3393">
        <v>3.7</v>
      </c>
      <c r="L3393" t="s">
        <v>140</v>
      </c>
      <c r="M3393" t="s">
        <v>58</v>
      </c>
      <c r="N3393" t="s">
        <v>140</v>
      </c>
      <c r="O3393">
        <v>6</v>
      </c>
      <c r="P3393" t="s">
        <v>74</v>
      </c>
      <c r="Q3393" t="s">
        <v>85</v>
      </c>
      <c r="R3393" t="str" cm="1">
        <f t="array" ref="R3393">_xlfn.IFS(B3393&lt;31,"Young-Adult",B3393&lt;41,"Adult",B3393&lt;61,"Middle-aged",B3393&gt;=61,"Senior")</f>
        <v>Middle-aged</v>
      </c>
      <c r="S3393" cm="1">
        <f t="array" ref="S3393">_xlfn.IFS(Q3393 ="Fortnightly",14,Q3393="Weekly",7,Q3393="Monthly",30,Q3393="Quarterly",90,Q3393="Bi-Weekly",14,Q3393="Annually",365,Q3393="Every 3 Months",90,TRUE,"NOT FOUND")</f>
        <v>90</v>
      </c>
    </row>
    <row r="3394" spans="1:19" x14ac:dyDescent="0.35">
      <c r="A3394">
        <v>3393</v>
      </c>
      <c r="B3394">
        <v>53</v>
      </c>
      <c r="C3394" t="s">
        <v>141</v>
      </c>
      <c r="D3394" t="s">
        <v>107</v>
      </c>
      <c r="E3394" t="s">
        <v>55</v>
      </c>
      <c r="F3394">
        <v>74</v>
      </c>
      <c r="G3394" t="s">
        <v>115</v>
      </c>
      <c r="H3394" t="s">
        <v>80</v>
      </c>
      <c r="I3394" t="s">
        <v>132</v>
      </c>
      <c r="J3394" t="s">
        <v>13</v>
      </c>
      <c r="K3394">
        <v>4.4000000000000004</v>
      </c>
      <c r="L3394" t="s">
        <v>140</v>
      </c>
      <c r="M3394" t="s">
        <v>26</v>
      </c>
      <c r="N3394" t="s">
        <v>140</v>
      </c>
      <c r="O3394">
        <v>6</v>
      </c>
      <c r="P3394" t="s">
        <v>16</v>
      </c>
      <c r="Q3394" t="s">
        <v>64</v>
      </c>
      <c r="R3394" t="str" cm="1">
        <f t="array" ref="R3394">_xlfn.IFS(B3394&lt;31,"Young-Adult",B3394&lt;41,"Adult",B3394&lt;61,"Middle-aged",B3394&gt;=61,"Senior")</f>
        <v>Middle-aged</v>
      </c>
      <c r="S3394" cm="1">
        <f t="array" ref="S3394">_xlfn.IFS(Q3394 ="Fortnightly",14,Q3394="Weekly",7,Q3394="Monthly",30,Q3394="Quarterly",90,Q3394="Bi-Weekly",14,Q3394="Annually",365,Q3394="Every 3 Months",90,TRUE,"NOT FOUND")</f>
        <v>14</v>
      </c>
    </row>
    <row r="3395" spans="1:19" x14ac:dyDescent="0.35">
      <c r="A3395">
        <v>3394</v>
      </c>
      <c r="B3395">
        <v>60</v>
      </c>
      <c r="C3395" t="s">
        <v>141</v>
      </c>
      <c r="D3395" t="s">
        <v>69</v>
      </c>
      <c r="E3395" t="s">
        <v>9</v>
      </c>
      <c r="F3395">
        <v>90</v>
      </c>
      <c r="G3395" t="s">
        <v>105</v>
      </c>
      <c r="H3395" t="s">
        <v>32</v>
      </c>
      <c r="I3395" t="s">
        <v>68</v>
      </c>
      <c r="J3395" t="s">
        <v>45</v>
      </c>
      <c r="K3395">
        <v>3.1</v>
      </c>
      <c r="L3395" t="s">
        <v>140</v>
      </c>
      <c r="M3395" t="s">
        <v>33</v>
      </c>
      <c r="N3395" t="s">
        <v>140</v>
      </c>
      <c r="O3395">
        <v>50</v>
      </c>
      <c r="P3395" t="s">
        <v>74</v>
      </c>
      <c r="Q3395" t="s">
        <v>76</v>
      </c>
      <c r="R3395" t="str" cm="1">
        <f t="array" ref="R3395">_xlfn.IFS(B3395&lt;31,"Young-Adult",B3395&lt;41,"Adult",B3395&lt;61,"Middle-aged",B3395&gt;=61,"Senior")</f>
        <v>Middle-aged</v>
      </c>
      <c r="S3395" cm="1">
        <f t="array" ref="S3395">_xlfn.IFS(Q3395 ="Fortnightly",14,Q3395="Weekly",7,Q3395="Monthly",30,Q3395="Quarterly",90,Q3395="Bi-Weekly",14,Q3395="Annually",365,Q3395="Every 3 Months",90,TRUE,"NOT FOUND")</f>
        <v>30</v>
      </c>
    </row>
    <row r="3396" spans="1:19" x14ac:dyDescent="0.35">
      <c r="A3396">
        <v>3395</v>
      </c>
      <c r="B3396">
        <v>31</v>
      </c>
      <c r="C3396" t="s">
        <v>141</v>
      </c>
      <c r="D3396" t="s">
        <v>29</v>
      </c>
      <c r="E3396" t="s">
        <v>30</v>
      </c>
      <c r="F3396">
        <v>98</v>
      </c>
      <c r="G3396" t="s">
        <v>117</v>
      </c>
      <c r="H3396" t="s">
        <v>24</v>
      </c>
      <c r="I3396" t="s">
        <v>122</v>
      </c>
      <c r="J3396" t="s">
        <v>25</v>
      </c>
      <c r="K3396">
        <v>4.2</v>
      </c>
      <c r="L3396" t="s">
        <v>140</v>
      </c>
      <c r="M3396" t="s">
        <v>62</v>
      </c>
      <c r="N3396" t="s">
        <v>140</v>
      </c>
      <c r="O3396">
        <v>9</v>
      </c>
      <c r="P3396" t="s">
        <v>34</v>
      </c>
      <c r="Q3396" t="s">
        <v>37</v>
      </c>
      <c r="R3396" t="str" cm="1">
        <f t="array" ref="R3396">_xlfn.IFS(B3396&lt;31,"Young-Adult",B3396&lt;41,"Adult",B3396&lt;61,"Middle-aged",B3396&gt;=61,"Senior")</f>
        <v>Adult</v>
      </c>
      <c r="S3396" cm="1">
        <f t="array" ref="S3396">_xlfn.IFS(Q3396 ="Fortnightly",14,Q3396="Weekly",7,Q3396="Monthly",30,Q3396="Quarterly",90,Q3396="Bi-Weekly",14,Q3396="Annually",365,Q3396="Every 3 Months",90,TRUE,"NOT FOUND")</f>
        <v>365</v>
      </c>
    </row>
    <row r="3397" spans="1:19" x14ac:dyDescent="0.35">
      <c r="A3397">
        <v>3396</v>
      </c>
      <c r="B3397">
        <v>44</v>
      </c>
      <c r="C3397" t="s">
        <v>141</v>
      </c>
      <c r="D3397" t="s">
        <v>69</v>
      </c>
      <c r="E3397" t="s">
        <v>9</v>
      </c>
      <c r="F3397">
        <v>43</v>
      </c>
      <c r="G3397" t="s">
        <v>100</v>
      </c>
      <c r="H3397" t="s">
        <v>32</v>
      </c>
      <c r="I3397" t="s">
        <v>53</v>
      </c>
      <c r="J3397" t="s">
        <v>13</v>
      </c>
      <c r="K3397">
        <v>3.1</v>
      </c>
      <c r="L3397" t="s">
        <v>140</v>
      </c>
      <c r="M3397" t="s">
        <v>26</v>
      </c>
      <c r="N3397" t="s">
        <v>140</v>
      </c>
      <c r="O3397">
        <v>15</v>
      </c>
      <c r="P3397" t="s">
        <v>74</v>
      </c>
      <c r="Q3397" t="s">
        <v>85</v>
      </c>
      <c r="R3397" t="str" cm="1">
        <f t="array" ref="R3397">_xlfn.IFS(B3397&lt;31,"Young-Adult",B3397&lt;41,"Adult",B3397&lt;61,"Middle-aged",B3397&gt;=61,"Senior")</f>
        <v>Middle-aged</v>
      </c>
      <c r="S3397" cm="1">
        <f t="array" ref="S3397">_xlfn.IFS(Q3397 ="Fortnightly",14,Q3397="Weekly",7,Q3397="Monthly",30,Q3397="Quarterly",90,Q3397="Bi-Weekly",14,Q3397="Annually",365,Q3397="Every 3 Months",90,TRUE,"NOT FOUND")</f>
        <v>90</v>
      </c>
    </row>
    <row r="3398" spans="1:19" x14ac:dyDescent="0.35">
      <c r="A3398">
        <v>3397</v>
      </c>
      <c r="B3398">
        <v>29</v>
      </c>
      <c r="C3398" t="s">
        <v>141</v>
      </c>
      <c r="D3398" t="s">
        <v>83</v>
      </c>
      <c r="E3398" t="s">
        <v>9</v>
      </c>
      <c r="F3398">
        <v>37</v>
      </c>
      <c r="G3398" t="s">
        <v>110</v>
      </c>
      <c r="H3398" t="s">
        <v>80</v>
      </c>
      <c r="I3398" t="s">
        <v>82</v>
      </c>
      <c r="J3398" t="s">
        <v>13</v>
      </c>
      <c r="K3398">
        <v>5</v>
      </c>
      <c r="L3398" t="s">
        <v>140</v>
      </c>
      <c r="M3398" t="s">
        <v>33</v>
      </c>
      <c r="N3398" t="s">
        <v>140</v>
      </c>
      <c r="O3398">
        <v>5</v>
      </c>
      <c r="P3398" t="s">
        <v>34</v>
      </c>
      <c r="Q3398" t="s">
        <v>46</v>
      </c>
      <c r="R3398" t="str" cm="1">
        <f t="array" ref="R3398">_xlfn.IFS(B3398&lt;31,"Young-Adult",B3398&lt;41,"Adult",B3398&lt;61,"Middle-aged",B3398&gt;=61,"Senior")</f>
        <v>Young-Adult</v>
      </c>
      <c r="S3398" cm="1">
        <f t="array" ref="S3398">_xlfn.IFS(Q3398 ="Fortnightly",14,Q3398="Weekly",7,Q3398="Monthly",30,Q3398="Quarterly",90,Q3398="Bi-Weekly",14,Q3398="Annually",365,Q3398="Every 3 Months",90,TRUE,"NOT FOUND")</f>
        <v>90</v>
      </c>
    </row>
    <row r="3399" spans="1:19" x14ac:dyDescent="0.35">
      <c r="A3399">
        <v>3398</v>
      </c>
      <c r="B3399">
        <v>19</v>
      </c>
      <c r="C3399" t="s">
        <v>141</v>
      </c>
      <c r="D3399" t="s">
        <v>8</v>
      </c>
      <c r="E3399" t="s">
        <v>9</v>
      </c>
      <c r="F3399">
        <v>38</v>
      </c>
      <c r="G3399" t="s">
        <v>115</v>
      </c>
      <c r="H3399" t="s">
        <v>11</v>
      </c>
      <c r="I3399" t="s">
        <v>122</v>
      </c>
      <c r="J3399" t="s">
        <v>41</v>
      </c>
      <c r="K3399">
        <v>2.7</v>
      </c>
      <c r="L3399" t="s">
        <v>140</v>
      </c>
      <c r="M3399" t="s">
        <v>42</v>
      </c>
      <c r="N3399" t="s">
        <v>140</v>
      </c>
      <c r="O3399">
        <v>13</v>
      </c>
      <c r="P3399" t="s">
        <v>63</v>
      </c>
      <c r="Q3399" t="s">
        <v>64</v>
      </c>
      <c r="R3399" t="str" cm="1">
        <f t="array" ref="R3399">_xlfn.IFS(B3399&lt;31,"Young-Adult",B3399&lt;41,"Adult",B3399&lt;61,"Middle-aged",B3399&gt;=61,"Senior")</f>
        <v>Young-Adult</v>
      </c>
      <c r="S3399" cm="1">
        <f t="array" ref="S3399">_xlfn.IFS(Q3399 ="Fortnightly",14,Q3399="Weekly",7,Q3399="Monthly",30,Q3399="Quarterly",90,Q3399="Bi-Weekly",14,Q3399="Annually",365,Q3399="Every 3 Months",90,TRUE,"NOT FOUND")</f>
        <v>14</v>
      </c>
    </row>
    <row r="3400" spans="1:19" x14ac:dyDescent="0.35">
      <c r="A3400">
        <v>3399</v>
      </c>
      <c r="B3400">
        <v>54</v>
      </c>
      <c r="C3400" t="s">
        <v>141</v>
      </c>
      <c r="D3400" t="s">
        <v>22</v>
      </c>
      <c r="E3400" t="s">
        <v>9</v>
      </c>
      <c r="F3400">
        <v>60</v>
      </c>
      <c r="G3400" t="s">
        <v>44</v>
      </c>
      <c r="H3400" t="s">
        <v>11</v>
      </c>
      <c r="I3400" t="s">
        <v>57</v>
      </c>
      <c r="J3400" t="s">
        <v>13</v>
      </c>
      <c r="K3400">
        <v>3.8</v>
      </c>
      <c r="L3400" t="s">
        <v>140</v>
      </c>
      <c r="M3400" t="s">
        <v>42</v>
      </c>
      <c r="N3400" t="s">
        <v>140</v>
      </c>
      <c r="O3400">
        <v>44</v>
      </c>
      <c r="P3400" t="s">
        <v>21</v>
      </c>
      <c r="Q3400" t="s">
        <v>17</v>
      </c>
      <c r="R3400" t="str" cm="1">
        <f t="array" ref="R3400">_xlfn.IFS(B3400&lt;31,"Young-Adult",B3400&lt;41,"Adult",B3400&lt;61,"Middle-aged",B3400&gt;=61,"Senior")</f>
        <v>Middle-aged</v>
      </c>
      <c r="S3400" cm="1">
        <f t="array" ref="S3400">_xlfn.IFS(Q3400 ="Fortnightly",14,Q3400="Weekly",7,Q3400="Monthly",30,Q3400="Quarterly",90,Q3400="Bi-Weekly",14,Q3400="Annually",365,Q3400="Every 3 Months",90,TRUE,"NOT FOUND")</f>
        <v>14</v>
      </c>
    </row>
    <row r="3401" spans="1:19" x14ac:dyDescent="0.35">
      <c r="A3401">
        <v>3400</v>
      </c>
      <c r="B3401">
        <v>40</v>
      </c>
      <c r="C3401" t="s">
        <v>141</v>
      </c>
      <c r="D3401" t="s">
        <v>83</v>
      </c>
      <c r="E3401" t="s">
        <v>9</v>
      </c>
      <c r="F3401">
        <v>55</v>
      </c>
      <c r="G3401" t="s">
        <v>44</v>
      </c>
      <c r="H3401" t="s">
        <v>80</v>
      </c>
      <c r="I3401" t="s">
        <v>122</v>
      </c>
      <c r="J3401" t="s">
        <v>13</v>
      </c>
      <c r="K3401">
        <v>3.3</v>
      </c>
      <c r="L3401" t="s">
        <v>140</v>
      </c>
      <c r="M3401" t="s">
        <v>42</v>
      </c>
      <c r="N3401" t="s">
        <v>140</v>
      </c>
      <c r="O3401">
        <v>36</v>
      </c>
      <c r="P3401" t="s">
        <v>74</v>
      </c>
      <c r="Q3401" t="s">
        <v>37</v>
      </c>
      <c r="R3401" t="str" cm="1">
        <f t="array" ref="R3401">_xlfn.IFS(B3401&lt;31,"Young-Adult",B3401&lt;41,"Adult",B3401&lt;61,"Middle-aged",B3401&gt;=61,"Senior")</f>
        <v>Adult</v>
      </c>
      <c r="S3401" cm="1">
        <f t="array" ref="S3401">_xlfn.IFS(Q3401 ="Fortnightly",14,Q3401="Weekly",7,Q3401="Monthly",30,Q3401="Quarterly",90,Q3401="Bi-Weekly",14,Q3401="Annually",365,Q3401="Every 3 Months",90,TRUE,"NOT FOUND")</f>
        <v>365</v>
      </c>
    </row>
    <row r="3402" spans="1:19" x14ac:dyDescent="0.35">
      <c r="A3402">
        <v>3401</v>
      </c>
      <c r="B3402">
        <v>39</v>
      </c>
      <c r="C3402" t="s">
        <v>141</v>
      </c>
      <c r="D3402" t="s">
        <v>77</v>
      </c>
      <c r="E3402" t="s">
        <v>55</v>
      </c>
      <c r="F3402">
        <v>51</v>
      </c>
      <c r="G3402" t="s">
        <v>95</v>
      </c>
      <c r="H3402" t="s">
        <v>32</v>
      </c>
      <c r="I3402" t="s">
        <v>81</v>
      </c>
      <c r="J3402" t="s">
        <v>45</v>
      </c>
      <c r="K3402">
        <v>4.8</v>
      </c>
      <c r="L3402" t="s">
        <v>140</v>
      </c>
      <c r="M3402" t="s">
        <v>26</v>
      </c>
      <c r="N3402" t="s">
        <v>140</v>
      </c>
      <c r="O3402">
        <v>18</v>
      </c>
      <c r="P3402" t="s">
        <v>16</v>
      </c>
      <c r="Q3402" t="s">
        <v>17</v>
      </c>
      <c r="R3402" t="str" cm="1">
        <f t="array" ref="R3402">_xlfn.IFS(B3402&lt;31,"Young-Adult",B3402&lt;41,"Adult",B3402&lt;61,"Middle-aged",B3402&gt;=61,"Senior")</f>
        <v>Adult</v>
      </c>
      <c r="S3402" cm="1">
        <f t="array" ref="S3402">_xlfn.IFS(Q3402 ="Fortnightly",14,Q3402="Weekly",7,Q3402="Monthly",30,Q3402="Quarterly",90,Q3402="Bi-Weekly",14,Q3402="Annually",365,Q3402="Every 3 Months",90,TRUE,"NOT FOUND")</f>
        <v>14</v>
      </c>
    </row>
    <row r="3403" spans="1:19" x14ac:dyDescent="0.35">
      <c r="A3403">
        <v>3402</v>
      </c>
      <c r="B3403">
        <v>44</v>
      </c>
      <c r="C3403" t="s">
        <v>141</v>
      </c>
      <c r="D3403" t="s">
        <v>120</v>
      </c>
      <c r="E3403" t="s">
        <v>55</v>
      </c>
      <c r="F3403">
        <v>71</v>
      </c>
      <c r="G3403" t="s">
        <v>95</v>
      </c>
      <c r="H3403" t="s">
        <v>11</v>
      </c>
      <c r="I3403" t="s">
        <v>88</v>
      </c>
      <c r="J3403" t="s">
        <v>13</v>
      </c>
      <c r="K3403">
        <v>3.4</v>
      </c>
      <c r="L3403" t="s">
        <v>140</v>
      </c>
      <c r="M3403" t="s">
        <v>42</v>
      </c>
      <c r="N3403" t="s">
        <v>140</v>
      </c>
      <c r="O3403">
        <v>39</v>
      </c>
      <c r="P3403" t="s">
        <v>27</v>
      </c>
      <c r="Q3403" t="s">
        <v>28</v>
      </c>
      <c r="R3403" t="str" cm="1">
        <f t="array" ref="R3403">_xlfn.IFS(B3403&lt;31,"Young-Adult",B3403&lt;41,"Adult",B3403&lt;61,"Middle-aged",B3403&gt;=61,"Senior")</f>
        <v>Middle-aged</v>
      </c>
      <c r="S3403" cm="1">
        <f t="array" ref="S3403">_xlfn.IFS(Q3403 ="Fortnightly",14,Q3403="Weekly",7,Q3403="Monthly",30,Q3403="Quarterly",90,Q3403="Bi-Weekly",14,Q3403="Annually",365,Q3403="Every 3 Months",90,TRUE,"NOT FOUND")</f>
        <v>7</v>
      </c>
    </row>
    <row r="3404" spans="1:19" x14ac:dyDescent="0.35">
      <c r="A3404">
        <v>3403</v>
      </c>
      <c r="B3404">
        <v>22</v>
      </c>
      <c r="C3404" t="s">
        <v>141</v>
      </c>
      <c r="D3404" t="s">
        <v>92</v>
      </c>
      <c r="E3404" t="s">
        <v>9</v>
      </c>
      <c r="F3404">
        <v>61</v>
      </c>
      <c r="G3404" t="s">
        <v>48</v>
      </c>
      <c r="H3404" t="s">
        <v>32</v>
      </c>
      <c r="I3404" t="s">
        <v>82</v>
      </c>
      <c r="J3404" t="s">
        <v>25</v>
      </c>
      <c r="K3404">
        <v>4.4000000000000004</v>
      </c>
      <c r="L3404" t="s">
        <v>140</v>
      </c>
      <c r="M3404" t="s">
        <v>58</v>
      </c>
      <c r="N3404" t="s">
        <v>140</v>
      </c>
      <c r="O3404">
        <v>11</v>
      </c>
      <c r="P3404" t="s">
        <v>34</v>
      </c>
      <c r="Q3404" t="s">
        <v>85</v>
      </c>
      <c r="R3404" t="str" cm="1">
        <f t="array" ref="R3404">_xlfn.IFS(B3404&lt;31,"Young-Adult",B3404&lt;41,"Adult",B3404&lt;61,"Middle-aged",B3404&gt;=61,"Senior")</f>
        <v>Young-Adult</v>
      </c>
      <c r="S3404" cm="1">
        <f t="array" ref="S3404">_xlfn.IFS(Q3404 ="Fortnightly",14,Q3404="Weekly",7,Q3404="Monthly",30,Q3404="Quarterly",90,Q3404="Bi-Weekly",14,Q3404="Annually",365,Q3404="Every 3 Months",90,TRUE,"NOT FOUND")</f>
        <v>90</v>
      </c>
    </row>
    <row r="3405" spans="1:19" x14ac:dyDescent="0.35">
      <c r="A3405">
        <v>3404</v>
      </c>
      <c r="B3405">
        <v>30</v>
      </c>
      <c r="C3405" t="s">
        <v>141</v>
      </c>
      <c r="D3405" t="s">
        <v>125</v>
      </c>
      <c r="E3405" t="s">
        <v>30</v>
      </c>
      <c r="F3405">
        <v>65</v>
      </c>
      <c r="G3405" t="s">
        <v>103</v>
      </c>
      <c r="H3405" t="s">
        <v>32</v>
      </c>
      <c r="I3405" t="s">
        <v>66</v>
      </c>
      <c r="J3405" t="s">
        <v>41</v>
      </c>
      <c r="K3405">
        <v>3.9</v>
      </c>
      <c r="L3405" t="s">
        <v>140</v>
      </c>
      <c r="M3405" t="s">
        <v>42</v>
      </c>
      <c r="N3405" t="s">
        <v>140</v>
      </c>
      <c r="O3405">
        <v>1</v>
      </c>
      <c r="P3405" t="s">
        <v>21</v>
      </c>
      <c r="Q3405" t="s">
        <v>64</v>
      </c>
      <c r="R3405" t="str" cm="1">
        <f t="array" ref="R3405">_xlfn.IFS(B3405&lt;31,"Young-Adult",B3405&lt;41,"Adult",B3405&lt;61,"Middle-aged",B3405&gt;=61,"Senior")</f>
        <v>Young-Adult</v>
      </c>
      <c r="S3405" cm="1">
        <f t="array" ref="S3405">_xlfn.IFS(Q3405 ="Fortnightly",14,Q3405="Weekly",7,Q3405="Monthly",30,Q3405="Quarterly",90,Q3405="Bi-Weekly",14,Q3405="Annually",365,Q3405="Every 3 Months",90,TRUE,"NOT FOUND")</f>
        <v>14</v>
      </c>
    </row>
    <row r="3406" spans="1:19" x14ac:dyDescent="0.35">
      <c r="A3406">
        <v>3405</v>
      </c>
      <c r="B3406">
        <v>69</v>
      </c>
      <c r="C3406" t="s">
        <v>141</v>
      </c>
      <c r="D3406" t="s">
        <v>131</v>
      </c>
      <c r="E3406" t="s">
        <v>55</v>
      </c>
      <c r="F3406">
        <v>34</v>
      </c>
      <c r="G3406" t="s">
        <v>119</v>
      </c>
      <c r="H3406" t="s">
        <v>11</v>
      </c>
      <c r="I3406" t="s">
        <v>66</v>
      </c>
      <c r="J3406" t="s">
        <v>45</v>
      </c>
      <c r="K3406">
        <v>3.9</v>
      </c>
      <c r="L3406" t="s">
        <v>140</v>
      </c>
      <c r="M3406" t="s">
        <v>58</v>
      </c>
      <c r="N3406" t="s">
        <v>140</v>
      </c>
      <c r="O3406">
        <v>34</v>
      </c>
      <c r="P3406" t="s">
        <v>27</v>
      </c>
      <c r="Q3406" t="s">
        <v>37</v>
      </c>
      <c r="R3406" t="str" cm="1">
        <f t="array" ref="R3406">_xlfn.IFS(B3406&lt;31,"Young-Adult",B3406&lt;41,"Adult",B3406&lt;61,"Middle-aged",B3406&gt;=61,"Senior")</f>
        <v>Senior</v>
      </c>
      <c r="S3406" cm="1">
        <f t="array" ref="S3406">_xlfn.IFS(Q3406 ="Fortnightly",14,Q3406="Weekly",7,Q3406="Monthly",30,Q3406="Quarterly",90,Q3406="Bi-Weekly",14,Q3406="Annually",365,Q3406="Every 3 Months",90,TRUE,"NOT FOUND")</f>
        <v>365</v>
      </c>
    </row>
    <row r="3407" spans="1:19" x14ac:dyDescent="0.35">
      <c r="A3407">
        <v>3406</v>
      </c>
      <c r="B3407">
        <v>28</v>
      </c>
      <c r="C3407" t="s">
        <v>141</v>
      </c>
      <c r="D3407" t="s">
        <v>8</v>
      </c>
      <c r="E3407" t="s">
        <v>9</v>
      </c>
      <c r="F3407">
        <v>87</v>
      </c>
      <c r="G3407" t="s">
        <v>137</v>
      </c>
      <c r="H3407" t="s">
        <v>32</v>
      </c>
      <c r="I3407" t="s">
        <v>40</v>
      </c>
      <c r="J3407" t="s">
        <v>41</v>
      </c>
      <c r="K3407">
        <v>4.2</v>
      </c>
      <c r="L3407" t="s">
        <v>140</v>
      </c>
      <c r="M3407" t="s">
        <v>62</v>
      </c>
      <c r="N3407" t="s">
        <v>140</v>
      </c>
      <c r="O3407">
        <v>47</v>
      </c>
      <c r="P3407" t="s">
        <v>63</v>
      </c>
      <c r="Q3407" t="s">
        <v>64</v>
      </c>
      <c r="R3407" t="str" cm="1">
        <f t="array" ref="R3407">_xlfn.IFS(B3407&lt;31,"Young-Adult",B3407&lt;41,"Adult",B3407&lt;61,"Middle-aged",B3407&gt;=61,"Senior")</f>
        <v>Young-Adult</v>
      </c>
      <c r="S3407" cm="1">
        <f t="array" ref="S3407">_xlfn.IFS(Q3407 ="Fortnightly",14,Q3407="Weekly",7,Q3407="Monthly",30,Q3407="Quarterly",90,Q3407="Bi-Weekly",14,Q3407="Annually",365,Q3407="Every 3 Months",90,TRUE,"NOT FOUND")</f>
        <v>14</v>
      </c>
    </row>
    <row r="3408" spans="1:19" x14ac:dyDescent="0.35">
      <c r="A3408">
        <v>3407</v>
      </c>
      <c r="B3408">
        <v>57</v>
      </c>
      <c r="C3408" t="s">
        <v>141</v>
      </c>
      <c r="D3408" t="s">
        <v>18</v>
      </c>
      <c r="E3408" t="s">
        <v>9</v>
      </c>
      <c r="F3408">
        <v>79</v>
      </c>
      <c r="G3408" t="s">
        <v>133</v>
      </c>
      <c r="H3408" t="s">
        <v>32</v>
      </c>
      <c r="I3408" t="s">
        <v>96</v>
      </c>
      <c r="J3408" t="s">
        <v>25</v>
      </c>
      <c r="K3408">
        <v>4</v>
      </c>
      <c r="L3408" t="s">
        <v>140</v>
      </c>
      <c r="M3408" t="s">
        <v>62</v>
      </c>
      <c r="N3408" t="s">
        <v>140</v>
      </c>
      <c r="O3408">
        <v>24</v>
      </c>
      <c r="P3408" t="s">
        <v>16</v>
      </c>
      <c r="Q3408" t="s">
        <v>46</v>
      </c>
      <c r="R3408" t="str" cm="1">
        <f t="array" ref="R3408">_xlfn.IFS(B3408&lt;31,"Young-Adult",B3408&lt;41,"Adult",B3408&lt;61,"Middle-aged",B3408&gt;=61,"Senior")</f>
        <v>Middle-aged</v>
      </c>
      <c r="S3408" cm="1">
        <f t="array" ref="S3408">_xlfn.IFS(Q3408 ="Fortnightly",14,Q3408="Weekly",7,Q3408="Monthly",30,Q3408="Quarterly",90,Q3408="Bi-Weekly",14,Q3408="Annually",365,Q3408="Every 3 Months",90,TRUE,"NOT FOUND")</f>
        <v>90</v>
      </c>
    </row>
    <row r="3409" spans="1:19" x14ac:dyDescent="0.35">
      <c r="A3409">
        <v>3408</v>
      </c>
      <c r="B3409">
        <v>46</v>
      </c>
      <c r="C3409" t="s">
        <v>141</v>
      </c>
      <c r="D3409" t="s">
        <v>69</v>
      </c>
      <c r="E3409" t="s">
        <v>9</v>
      </c>
      <c r="F3409">
        <v>46</v>
      </c>
      <c r="G3409" t="s">
        <v>78</v>
      </c>
      <c r="H3409" t="s">
        <v>24</v>
      </c>
      <c r="I3409" t="s">
        <v>61</v>
      </c>
      <c r="J3409" t="s">
        <v>25</v>
      </c>
      <c r="K3409">
        <v>2.6</v>
      </c>
      <c r="L3409" t="s">
        <v>140</v>
      </c>
      <c r="M3409" t="s">
        <v>62</v>
      </c>
      <c r="N3409" t="s">
        <v>140</v>
      </c>
      <c r="O3409">
        <v>20</v>
      </c>
      <c r="P3409" t="s">
        <v>21</v>
      </c>
      <c r="Q3409" t="s">
        <v>46</v>
      </c>
      <c r="R3409" t="str" cm="1">
        <f t="array" ref="R3409">_xlfn.IFS(B3409&lt;31,"Young-Adult",B3409&lt;41,"Adult",B3409&lt;61,"Middle-aged",B3409&gt;=61,"Senior")</f>
        <v>Middle-aged</v>
      </c>
      <c r="S3409" cm="1">
        <f t="array" ref="S3409">_xlfn.IFS(Q3409 ="Fortnightly",14,Q3409="Weekly",7,Q3409="Monthly",30,Q3409="Quarterly",90,Q3409="Bi-Weekly",14,Q3409="Annually",365,Q3409="Every 3 Months",90,TRUE,"NOT FOUND")</f>
        <v>90</v>
      </c>
    </row>
    <row r="3410" spans="1:19" x14ac:dyDescent="0.35">
      <c r="A3410">
        <v>3409</v>
      </c>
      <c r="B3410">
        <v>48</v>
      </c>
      <c r="C3410" t="s">
        <v>141</v>
      </c>
      <c r="D3410" t="s">
        <v>113</v>
      </c>
      <c r="E3410" t="s">
        <v>9</v>
      </c>
      <c r="F3410">
        <v>72</v>
      </c>
      <c r="G3410" t="s">
        <v>44</v>
      </c>
      <c r="H3410" t="s">
        <v>11</v>
      </c>
      <c r="I3410" t="s">
        <v>61</v>
      </c>
      <c r="J3410" t="s">
        <v>41</v>
      </c>
      <c r="K3410">
        <v>4.4000000000000004</v>
      </c>
      <c r="L3410" t="s">
        <v>140</v>
      </c>
      <c r="M3410" t="s">
        <v>42</v>
      </c>
      <c r="N3410" t="s">
        <v>140</v>
      </c>
      <c r="O3410">
        <v>11</v>
      </c>
      <c r="P3410" t="s">
        <v>63</v>
      </c>
      <c r="Q3410" t="s">
        <v>37</v>
      </c>
      <c r="R3410" t="str" cm="1">
        <f t="array" ref="R3410">_xlfn.IFS(B3410&lt;31,"Young-Adult",B3410&lt;41,"Adult",B3410&lt;61,"Middle-aged",B3410&gt;=61,"Senior")</f>
        <v>Middle-aged</v>
      </c>
      <c r="S3410" cm="1">
        <f t="array" ref="S3410">_xlfn.IFS(Q3410 ="Fortnightly",14,Q3410="Weekly",7,Q3410="Monthly",30,Q3410="Quarterly",90,Q3410="Bi-Weekly",14,Q3410="Annually",365,Q3410="Every 3 Months",90,TRUE,"NOT FOUND")</f>
        <v>365</v>
      </c>
    </row>
    <row r="3411" spans="1:19" x14ac:dyDescent="0.35">
      <c r="A3411">
        <v>3410</v>
      </c>
      <c r="B3411">
        <v>24</v>
      </c>
      <c r="C3411" t="s">
        <v>141</v>
      </c>
      <c r="D3411" t="s">
        <v>43</v>
      </c>
      <c r="E3411" t="s">
        <v>9</v>
      </c>
      <c r="F3411">
        <v>93</v>
      </c>
      <c r="G3411" t="s">
        <v>136</v>
      </c>
      <c r="H3411" t="s">
        <v>32</v>
      </c>
      <c r="I3411" t="s">
        <v>73</v>
      </c>
      <c r="J3411" t="s">
        <v>41</v>
      </c>
      <c r="K3411">
        <v>3.2</v>
      </c>
      <c r="L3411" t="s">
        <v>140</v>
      </c>
      <c r="M3411" t="s">
        <v>33</v>
      </c>
      <c r="N3411" t="s">
        <v>140</v>
      </c>
      <c r="O3411">
        <v>3</v>
      </c>
      <c r="P3411" t="s">
        <v>27</v>
      </c>
      <c r="Q3411" t="s">
        <v>85</v>
      </c>
      <c r="R3411" t="str" cm="1">
        <f t="array" ref="R3411">_xlfn.IFS(B3411&lt;31,"Young-Adult",B3411&lt;41,"Adult",B3411&lt;61,"Middle-aged",B3411&gt;=61,"Senior")</f>
        <v>Young-Adult</v>
      </c>
      <c r="S3411" cm="1">
        <f t="array" ref="S3411">_xlfn.IFS(Q3411 ="Fortnightly",14,Q3411="Weekly",7,Q3411="Monthly",30,Q3411="Quarterly",90,Q3411="Bi-Weekly",14,Q3411="Annually",365,Q3411="Every 3 Months",90,TRUE,"NOT FOUND")</f>
        <v>90</v>
      </c>
    </row>
    <row r="3412" spans="1:19" x14ac:dyDescent="0.35">
      <c r="A3412">
        <v>3411</v>
      </c>
      <c r="B3412">
        <v>50</v>
      </c>
      <c r="C3412" t="s">
        <v>141</v>
      </c>
      <c r="D3412" t="s">
        <v>29</v>
      </c>
      <c r="E3412" t="s">
        <v>30</v>
      </c>
      <c r="F3412">
        <v>76</v>
      </c>
      <c r="G3412" t="s">
        <v>111</v>
      </c>
      <c r="H3412" t="s">
        <v>11</v>
      </c>
      <c r="I3412" t="s">
        <v>73</v>
      </c>
      <c r="J3412" t="s">
        <v>41</v>
      </c>
      <c r="K3412">
        <v>4.3</v>
      </c>
      <c r="L3412" t="s">
        <v>140</v>
      </c>
      <c r="M3412" t="s">
        <v>26</v>
      </c>
      <c r="N3412" t="s">
        <v>140</v>
      </c>
      <c r="O3412">
        <v>38</v>
      </c>
      <c r="P3412" t="s">
        <v>63</v>
      </c>
      <c r="Q3412" t="s">
        <v>64</v>
      </c>
      <c r="R3412" t="str" cm="1">
        <f t="array" ref="R3412">_xlfn.IFS(B3412&lt;31,"Young-Adult",B3412&lt;41,"Adult",B3412&lt;61,"Middle-aged",B3412&gt;=61,"Senior")</f>
        <v>Middle-aged</v>
      </c>
      <c r="S3412" cm="1">
        <f t="array" ref="S3412">_xlfn.IFS(Q3412 ="Fortnightly",14,Q3412="Weekly",7,Q3412="Monthly",30,Q3412="Quarterly",90,Q3412="Bi-Weekly",14,Q3412="Annually",365,Q3412="Every 3 Months",90,TRUE,"NOT FOUND")</f>
        <v>14</v>
      </c>
    </row>
    <row r="3413" spans="1:19" x14ac:dyDescent="0.35">
      <c r="A3413">
        <v>3412</v>
      </c>
      <c r="B3413">
        <v>29</v>
      </c>
      <c r="C3413" t="s">
        <v>141</v>
      </c>
      <c r="D3413" t="s">
        <v>59</v>
      </c>
      <c r="E3413" t="s">
        <v>30</v>
      </c>
      <c r="F3413">
        <v>56</v>
      </c>
      <c r="G3413" t="s">
        <v>72</v>
      </c>
      <c r="H3413" t="s">
        <v>11</v>
      </c>
      <c r="I3413" t="s">
        <v>12</v>
      </c>
      <c r="J3413" t="s">
        <v>13</v>
      </c>
      <c r="K3413">
        <v>4.9000000000000004</v>
      </c>
      <c r="L3413" t="s">
        <v>140</v>
      </c>
      <c r="M3413" t="s">
        <v>58</v>
      </c>
      <c r="N3413" t="s">
        <v>140</v>
      </c>
      <c r="O3413">
        <v>45</v>
      </c>
      <c r="P3413" t="s">
        <v>21</v>
      </c>
      <c r="Q3413" t="s">
        <v>28</v>
      </c>
      <c r="R3413" t="str" cm="1">
        <f t="array" ref="R3413">_xlfn.IFS(B3413&lt;31,"Young-Adult",B3413&lt;41,"Adult",B3413&lt;61,"Middle-aged",B3413&gt;=61,"Senior")</f>
        <v>Young-Adult</v>
      </c>
      <c r="S3413" cm="1">
        <f t="array" ref="S3413">_xlfn.IFS(Q3413 ="Fortnightly",14,Q3413="Weekly",7,Q3413="Monthly",30,Q3413="Quarterly",90,Q3413="Bi-Weekly",14,Q3413="Annually",365,Q3413="Every 3 Months",90,TRUE,"NOT FOUND")</f>
        <v>7</v>
      </c>
    </row>
    <row r="3414" spans="1:19" x14ac:dyDescent="0.35">
      <c r="A3414">
        <v>3413</v>
      </c>
      <c r="B3414">
        <v>61</v>
      </c>
      <c r="C3414" t="s">
        <v>141</v>
      </c>
      <c r="D3414" t="s">
        <v>29</v>
      </c>
      <c r="E3414" t="s">
        <v>30</v>
      </c>
      <c r="F3414">
        <v>83</v>
      </c>
      <c r="G3414" t="s">
        <v>104</v>
      </c>
      <c r="H3414" t="s">
        <v>32</v>
      </c>
      <c r="I3414" t="s">
        <v>124</v>
      </c>
      <c r="J3414" t="s">
        <v>45</v>
      </c>
      <c r="K3414">
        <v>3.8</v>
      </c>
      <c r="L3414" t="s">
        <v>140</v>
      </c>
      <c r="M3414" t="s">
        <v>62</v>
      </c>
      <c r="N3414" t="s">
        <v>140</v>
      </c>
      <c r="O3414">
        <v>31</v>
      </c>
      <c r="P3414" t="s">
        <v>16</v>
      </c>
      <c r="Q3414" t="s">
        <v>46</v>
      </c>
      <c r="R3414" t="str" cm="1">
        <f t="array" ref="R3414">_xlfn.IFS(B3414&lt;31,"Young-Adult",B3414&lt;41,"Adult",B3414&lt;61,"Middle-aged",B3414&gt;=61,"Senior")</f>
        <v>Senior</v>
      </c>
      <c r="S3414" cm="1">
        <f t="array" ref="S3414">_xlfn.IFS(Q3414 ="Fortnightly",14,Q3414="Weekly",7,Q3414="Monthly",30,Q3414="Quarterly",90,Q3414="Bi-Weekly",14,Q3414="Annually",365,Q3414="Every 3 Months",90,TRUE,"NOT FOUND")</f>
        <v>90</v>
      </c>
    </row>
    <row r="3415" spans="1:19" x14ac:dyDescent="0.35">
      <c r="A3415">
        <v>3414</v>
      </c>
      <c r="B3415">
        <v>34</v>
      </c>
      <c r="C3415" t="s">
        <v>141</v>
      </c>
      <c r="D3415" t="s">
        <v>131</v>
      </c>
      <c r="E3415" t="s">
        <v>55</v>
      </c>
      <c r="F3415">
        <v>90</v>
      </c>
      <c r="G3415" t="s">
        <v>67</v>
      </c>
      <c r="H3415" t="s">
        <v>80</v>
      </c>
      <c r="I3415" t="s">
        <v>82</v>
      </c>
      <c r="J3415" t="s">
        <v>13</v>
      </c>
      <c r="K3415">
        <v>2.5</v>
      </c>
      <c r="L3415" t="s">
        <v>140</v>
      </c>
      <c r="M3415" t="s">
        <v>15</v>
      </c>
      <c r="N3415" t="s">
        <v>140</v>
      </c>
      <c r="O3415">
        <v>16</v>
      </c>
      <c r="P3415" t="s">
        <v>34</v>
      </c>
      <c r="Q3415" t="s">
        <v>64</v>
      </c>
      <c r="R3415" t="str" cm="1">
        <f t="array" ref="R3415">_xlfn.IFS(B3415&lt;31,"Young-Adult",B3415&lt;41,"Adult",B3415&lt;61,"Middle-aged",B3415&gt;=61,"Senior")</f>
        <v>Adult</v>
      </c>
      <c r="S3415" cm="1">
        <f t="array" ref="S3415">_xlfn.IFS(Q3415 ="Fortnightly",14,Q3415="Weekly",7,Q3415="Monthly",30,Q3415="Quarterly",90,Q3415="Bi-Weekly",14,Q3415="Annually",365,Q3415="Every 3 Months",90,TRUE,"NOT FOUND")</f>
        <v>14</v>
      </c>
    </row>
    <row r="3416" spans="1:19" x14ac:dyDescent="0.35">
      <c r="A3416">
        <v>3415</v>
      </c>
      <c r="B3416">
        <v>27</v>
      </c>
      <c r="C3416" t="s">
        <v>141</v>
      </c>
      <c r="D3416" t="s">
        <v>125</v>
      </c>
      <c r="E3416" t="s">
        <v>30</v>
      </c>
      <c r="F3416">
        <v>94</v>
      </c>
      <c r="G3416" t="s">
        <v>127</v>
      </c>
      <c r="H3416" t="s">
        <v>32</v>
      </c>
      <c r="I3416" t="s">
        <v>20</v>
      </c>
      <c r="J3416" t="s">
        <v>25</v>
      </c>
      <c r="K3416">
        <v>4.9000000000000004</v>
      </c>
      <c r="L3416" t="s">
        <v>140</v>
      </c>
      <c r="M3416" t="s">
        <v>33</v>
      </c>
      <c r="N3416" t="s">
        <v>140</v>
      </c>
      <c r="O3416">
        <v>3</v>
      </c>
      <c r="P3416" t="s">
        <v>63</v>
      </c>
      <c r="Q3416" t="s">
        <v>46</v>
      </c>
      <c r="R3416" t="str" cm="1">
        <f t="array" ref="R3416">_xlfn.IFS(B3416&lt;31,"Young-Adult",B3416&lt;41,"Adult",B3416&lt;61,"Middle-aged",B3416&gt;=61,"Senior")</f>
        <v>Young-Adult</v>
      </c>
      <c r="S3416" cm="1">
        <f t="array" ref="S3416">_xlfn.IFS(Q3416 ="Fortnightly",14,Q3416="Weekly",7,Q3416="Monthly",30,Q3416="Quarterly",90,Q3416="Bi-Weekly",14,Q3416="Annually",365,Q3416="Every 3 Months",90,TRUE,"NOT FOUND")</f>
        <v>90</v>
      </c>
    </row>
    <row r="3417" spans="1:19" x14ac:dyDescent="0.35">
      <c r="A3417">
        <v>3416</v>
      </c>
      <c r="B3417">
        <v>38</v>
      </c>
      <c r="C3417" t="s">
        <v>141</v>
      </c>
      <c r="D3417" t="s">
        <v>8</v>
      </c>
      <c r="E3417" t="s">
        <v>9</v>
      </c>
      <c r="F3417">
        <v>68</v>
      </c>
      <c r="G3417" t="s">
        <v>72</v>
      </c>
      <c r="H3417" t="s">
        <v>32</v>
      </c>
      <c r="I3417" t="s">
        <v>68</v>
      </c>
      <c r="J3417" t="s">
        <v>45</v>
      </c>
      <c r="K3417">
        <v>3</v>
      </c>
      <c r="L3417" t="s">
        <v>140</v>
      </c>
      <c r="M3417" t="s">
        <v>58</v>
      </c>
      <c r="N3417" t="s">
        <v>140</v>
      </c>
      <c r="O3417">
        <v>15</v>
      </c>
      <c r="P3417" t="s">
        <v>63</v>
      </c>
      <c r="Q3417" t="s">
        <v>37</v>
      </c>
      <c r="R3417" t="str" cm="1">
        <f t="array" ref="R3417">_xlfn.IFS(B3417&lt;31,"Young-Adult",B3417&lt;41,"Adult",B3417&lt;61,"Middle-aged",B3417&gt;=61,"Senior")</f>
        <v>Adult</v>
      </c>
      <c r="S3417" cm="1">
        <f t="array" ref="S3417">_xlfn.IFS(Q3417 ="Fortnightly",14,Q3417="Weekly",7,Q3417="Monthly",30,Q3417="Quarterly",90,Q3417="Bi-Weekly",14,Q3417="Annually",365,Q3417="Every 3 Months",90,TRUE,"NOT FOUND")</f>
        <v>365</v>
      </c>
    </row>
    <row r="3418" spans="1:19" x14ac:dyDescent="0.35">
      <c r="A3418">
        <v>3417</v>
      </c>
      <c r="B3418">
        <v>25</v>
      </c>
      <c r="C3418" t="s">
        <v>141</v>
      </c>
      <c r="D3418" t="s">
        <v>29</v>
      </c>
      <c r="E3418" t="s">
        <v>30</v>
      </c>
      <c r="F3418">
        <v>53</v>
      </c>
      <c r="G3418" t="s">
        <v>78</v>
      </c>
      <c r="H3418" t="s">
        <v>32</v>
      </c>
      <c r="I3418" t="s">
        <v>61</v>
      </c>
      <c r="J3418" t="s">
        <v>25</v>
      </c>
      <c r="K3418">
        <v>3.2</v>
      </c>
      <c r="L3418" t="s">
        <v>140</v>
      </c>
      <c r="M3418" t="s">
        <v>62</v>
      </c>
      <c r="N3418" t="s">
        <v>140</v>
      </c>
      <c r="O3418">
        <v>11</v>
      </c>
      <c r="P3418" t="s">
        <v>63</v>
      </c>
      <c r="Q3418" t="s">
        <v>85</v>
      </c>
      <c r="R3418" t="str" cm="1">
        <f t="array" ref="R3418">_xlfn.IFS(B3418&lt;31,"Young-Adult",B3418&lt;41,"Adult",B3418&lt;61,"Middle-aged",B3418&gt;=61,"Senior")</f>
        <v>Young-Adult</v>
      </c>
      <c r="S3418" cm="1">
        <f t="array" ref="S3418">_xlfn.IFS(Q3418 ="Fortnightly",14,Q3418="Weekly",7,Q3418="Monthly",30,Q3418="Quarterly",90,Q3418="Bi-Weekly",14,Q3418="Annually",365,Q3418="Every 3 Months",90,TRUE,"NOT FOUND")</f>
        <v>90</v>
      </c>
    </row>
    <row r="3419" spans="1:19" x14ac:dyDescent="0.35">
      <c r="A3419">
        <v>3418</v>
      </c>
      <c r="B3419">
        <v>54</v>
      </c>
      <c r="C3419" t="s">
        <v>141</v>
      </c>
      <c r="D3419" t="s">
        <v>50</v>
      </c>
      <c r="E3419" t="s">
        <v>51</v>
      </c>
      <c r="F3419">
        <v>35</v>
      </c>
      <c r="G3419" t="s">
        <v>23</v>
      </c>
      <c r="H3419" t="s">
        <v>32</v>
      </c>
      <c r="I3419" t="s">
        <v>132</v>
      </c>
      <c r="J3419" t="s">
        <v>41</v>
      </c>
      <c r="K3419">
        <v>2.9</v>
      </c>
      <c r="L3419" t="s">
        <v>140</v>
      </c>
      <c r="M3419" t="s">
        <v>58</v>
      </c>
      <c r="N3419" t="s">
        <v>140</v>
      </c>
      <c r="O3419">
        <v>22</v>
      </c>
      <c r="P3419" t="s">
        <v>74</v>
      </c>
      <c r="Q3419" t="s">
        <v>17</v>
      </c>
      <c r="R3419" t="str" cm="1">
        <f t="array" ref="R3419">_xlfn.IFS(B3419&lt;31,"Young-Adult",B3419&lt;41,"Adult",B3419&lt;61,"Middle-aged",B3419&gt;=61,"Senior")</f>
        <v>Middle-aged</v>
      </c>
      <c r="S3419" cm="1">
        <f t="array" ref="S3419">_xlfn.IFS(Q3419 ="Fortnightly",14,Q3419="Weekly",7,Q3419="Monthly",30,Q3419="Quarterly",90,Q3419="Bi-Weekly",14,Q3419="Annually",365,Q3419="Every 3 Months",90,TRUE,"NOT FOUND")</f>
        <v>14</v>
      </c>
    </row>
    <row r="3420" spans="1:19" x14ac:dyDescent="0.35">
      <c r="A3420">
        <v>3419</v>
      </c>
      <c r="B3420">
        <v>53</v>
      </c>
      <c r="C3420" t="s">
        <v>141</v>
      </c>
      <c r="D3420" t="s">
        <v>90</v>
      </c>
      <c r="E3420" t="s">
        <v>51</v>
      </c>
      <c r="F3420">
        <v>30</v>
      </c>
      <c r="G3420" t="s">
        <v>119</v>
      </c>
      <c r="H3420" t="s">
        <v>32</v>
      </c>
      <c r="I3420" t="s">
        <v>106</v>
      </c>
      <c r="J3420" t="s">
        <v>41</v>
      </c>
      <c r="K3420">
        <v>2.8</v>
      </c>
      <c r="L3420" t="s">
        <v>140</v>
      </c>
      <c r="M3420" t="s">
        <v>26</v>
      </c>
      <c r="N3420" t="s">
        <v>140</v>
      </c>
      <c r="O3420">
        <v>35</v>
      </c>
      <c r="P3420" t="s">
        <v>74</v>
      </c>
      <c r="Q3420" t="s">
        <v>37</v>
      </c>
      <c r="R3420" t="str" cm="1">
        <f t="array" ref="R3420">_xlfn.IFS(B3420&lt;31,"Young-Adult",B3420&lt;41,"Adult",B3420&lt;61,"Middle-aged",B3420&gt;=61,"Senior")</f>
        <v>Middle-aged</v>
      </c>
      <c r="S3420" cm="1">
        <f t="array" ref="S3420">_xlfn.IFS(Q3420 ="Fortnightly",14,Q3420="Weekly",7,Q3420="Monthly",30,Q3420="Quarterly",90,Q3420="Bi-Weekly",14,Q3420="Annually",365,Q3420="Every 3 Months",90,TRUE,"NOT FOUND")</f>
        <v>365</v>
      </c>
    </row>
    <row r="3421" spans="1:19" x14ac:dyDescent="0.35">
      <c r="A3421">
        <v>3420</v>
      </c>
      <c r="B3421">
        <v>23</v>
      </c>
      <c r="C3421" t="s">
        <v>141</v>
      </c>
      <c r="D3421" t="s">
        <v>94</v>
      </c>
      <c r="E3421" t="s">
        <v>55</v>
      </c>
      <c r="F3421">
        <v>26</v>
      </c>
      <c r="G3421" t="s">
        <v>52</v>
      </c>
      <c r="H3421" t="s">
        <v>11</v>
      </c>
      <c r="I3421" t="s">
        <v>114</v>
      </c>
      <c r="J3421" t="s">
        <v>13</v>
      </c>
      <c r="K3421">
        <v>3.1</v>
      </c>
      <c r="L3421" t="s">
        <v>140</v>
      </c>
      <c r="M3421" t="s">
        <v>62</v>
      </c>
      <c r="N3421" t="s">
        <v>140</v>
      </c>
      <c r="O3421">
        <v>5</v>
      </c>
      <c r="P3421" t="s">
        <v>16</v>
      </c>
      <c r="Q3421" t="s">
        <v>64</v>
      </c>
      <c r="R3421" t="str" cm="1">
        <f t="array" ref="R3421">_xlfn.IFS(B3421&lt;31,"Young-Adult",B3421&lt;41,"Adult",B3421&lt;61,"Middle-aged",B3421&gt;=61,"Senior")</f>
        <v>Young-Adult</v>
      </c>
      <c r="S3421" cm="1">
        <f t="array" ref="S3421">_xlfn.IFS(Q3421 ="Fortnightly",14,Q3421="Weekly",7,Q3421="Monthly",30,Q3421="Quarterly",90,Q3421="Bi-Weekly",14,Q3421="Annually",365,Q3421="Every 3 Months",90,TRUE,"NOT FOUND")</f>
        <v>14</v>
      </c>
    </row>
    <row r="3422" spans="1:19" x14ac:dyDescent="0.35">
      <c r="A3422">
        <v>3421</v>
      </c>
      <c r="B3422">
        <v>19</v>
      </c>
      <c r="C3422" t="s">
        <v>141</v>
      </c>
      <c r="D3422" t="s">
        <v>112</v>
      </c>
      <c r="E3422" t="s">
        <v>55</v>
      </c>
      <c r="F3422">
        <v>60</v>
      </c>
      <c r="G3422" t="s">
        <v>10</v>
      </c>
      <c r="H3422" t="s">
        <v>32</v>
      </c>
      <c r="I3422" t="s">
        <v>61</v>
      </c>
      <c r="J3422" t="s">
        <v>13</v>
      </c>
      <c r="K3422">
        <v>3.4</v>
      </c>
      <c r="L3422" t="s">
        <v>140</v>
      </c>
      <c r="M3422" t="s">
        <v>15</v>
      </c>
      <c r="N3422" t="s">
        <v>140</v>
      </c>
      <c r="O3422">
        <v>35</v>
      </c>
      <c r="P3422" t="s">
        <v>34</v>
      </c>
      <c r="Q3422" t="s">
        <v>64</v>
      </c>
      <c r="R3422" t="str" cm="1">
        <f t="array" ref="R3422">_xlfn.IFS(B3422&lt;31,"Young-Adult",B3422&lt;41,"Adult",B3422&lt;61,"Middle-aged",B3422&gt;=61,"Senior")</f>
        <v>Young-Adult</v>
      </c>
      <c r="S3422" cm="1">
        <f t="array" ref="S3422">_xlfn.IFS(Q3422 ="Fortnightly",14,Q3422="Weekly",7,Q3422="Monthly",30,Q3422="Quarterly",90,Q3422="Bi-Weekly",14,Q3422="Annually",365,Q3422="Every 3 Months",90,TRUE,"NOT FOUND")</f>
        <v>14</v>
      </c>
    </row>
    <row r="3423" spans="1:19" x14ac:dyDescent="0.35">
      <c r="A3423">
        <v>3422</v>
      </c>
      <c r="B3423">
        <v>57</v>
      </c>
      <c r="C3423" t="s">
        <v>141</v>
      </c>
      <c r="D3423" t="s">
        <v>59</v>
      </c>
      <c r="E3423" t="s">
        <v>30</v>
      </c>
      <c r="F3423">
        <v>30</v>
      </c>
      <c r="G3423" t="s">
        <v>115</v>
      </c>
      <c r="H3423" t="s">
        <v>32</v>
      </c>
      <c r="I3423" t="s">
        <v>20</v>
      </c>
      <c r="J3423" t="s">
        <v>41</v>
      </c>
      <c r="K3423">
        <v>2.9</v>
      </c>
      <c r="L3423" t="s">
        <v>140</v>
      </c>
      <c r="M3423" t="s">
        <v>26</v>
      </c>
      <c r="N3423" t="s">
        <v>140</v>
      </c>
      <c r="O3423">
        <v>27</v>
      </c>
      <c r="P3423" t="s">
        <v>34</v>
      </c>
      <c r="Q3423" t="s">
        <v>28</v>
      </c>
      <c r="R3423" t="str" cm="1">
        <f t="array" ref="R3423">_xlfn.IFS(B3423&lt;31,"Young-Adult",B3423&lt;41,"Adult",B3423&lt;61,"Middle-aged",B3423&gt;=61,"Senior")</f>
        <v>Middle-aged</v>
      </c>
      <c r="S3423" cm="1">
        <f t="array" ref="S3423">_xlfn.IFS(Q3423 ="Fortnightly",14,Q3423="Weekly",7,Q3423="Monthly",30,Q3423="Quarterly",90,Q3423="Bi-Weekly",14,Q3423="Annually",365,Q3423="Every 3 Months",90,TRUE,"NOT FOUND")</f>
        <v>7</v>
      </c>
    </row>
    <row r="3424" spans="1:19" x14ac:dyDescent="0.35">
      <c r="A3424">
        <v>3423</v>
      </c>
      <c r="B3424">
        <v>19</v>
      </c>
      <c r="C3424" t="s">
        <v>141</v>
      </c>
      <c r="D3424" t="s">
        <v>50</v>
      </c>
      <c r="E3424" t="s">
        <v>51</v>
      </c>
      <c r="F3424">
        <v>91</v>
      </c>
      <c r="G3424" t="s">
        <v>72</v>
      </c>
      <c r="H3424" t="s">
        <v>11</v>
      </c>
      <c r="I3424" t="s">
        <v>106</v>
      </c>
      <c r="J3424" t="s">
        <v>13</v>
      </c>
      <c r="K3424">
        <v>3.2</v>
      </c>
      <c r="L3424" t="s">
        <v>140</v>
      </c>
      <c r="M3424" t="s">
        <v>33</v>
      </c>
      <c r="N3424" t="s">
        <v>140</v>
      </c>
      <c r="O3424">
        <v>9</v>
      </c>
      <c r="P3424" t="s">
        <v>16</v>
      </c>
      <c r="Q3424" t="s">
        <v>76</v>
      </c>
      <c r="R3424" t="str" cm="1">
        <f t="array" ref="R3424">_xlfn.IFS(B3424&lt;31,"Young-Adult",B3424&lt;41,"Adult",B3424&lt;61,"Middle-aged",B3424&gt;=61,"Senior")</f>
        <v>Young-Adult</v>
      </c>
      <c r="S3424" cm="1">
        <f t="array" ref="S3424">_xlfn.IFS(Q3424 ="Fortnightly",14,Q3424="Weekly",7,Q3424="Monthly",30,Q3424="Quarterly",90,Q3424="Bi-Weekly",14,Q3424="Annually",365,Q3424="Every 3 Months",90,TRUE,"NOT FOUND")</f>
        <v>30</v>
      </c>
    </row>
    <row r="3425" spans="1:19" x14ac:dyDescent="0.35">
      <c r="A3425">
        <v>3424</v>
      </c>
      <c r="B3425">
        <v>33</v>
      </c>
      <c r="C3425" t="s">
        <v>141</v>
      </c>
      <c r="D3425" t="s">
        <v>125</v>
      </c>
      <c r="E3425" t="s">
        <v>30</v>
      </c>
      <c r="F3425">
        <v>71</v>
      </c>
      <c r="G3425" t="s">
        <v>23</v>
      </c>
      <c r="H3425" t="s">
        <v>32</v>
      </c>
      <c r="I3425" t="s">
        <v>98</v>
      </c>
      <c r="J3425" t="s">
        <v>25</v>
      </c>
      <c r="K3425">
        <v>3.8</v>
      </c>
      <c r="L3425" t="s">
        <v>140</v>
      </c>
      <c r="M3425" t="s">
        <v>33</v>
      </c>
      <c r="N3425" t="s">
        <v>140</v>
      </c>
      <c r="O3425">
        <v>21</v>
      </c>
      <c r="P3425" t="s">
        <v>34</v>
      </c>
      <c r="Q3425" t="s">
        <v>64</v>
      </c>
      <c r="R3425" t="str" cm="1">
        <f t="array" ref="R3425">_xlfn.IFS(B3425&lt;31,"Young-Adult",B3425&lt;41,"Adult",B3425&lt;61,"Middle-aged",B3425&gt;=61,"Senior")</f>
        <v>Adult</v>
      </c>
      <c r="S3425" cm="1">
        <f t="array" ref="S3425">_xlfn.IFS(Q3425 ="Fortnightly",14,Q3425="Weekly",7,Q3425="Monthly",30,Q3425="Quarterly",90,Q3425="Bi-Weekly",14,Q3425="Annually",365,Q3425="Every 3 Months",90,TRUE,"NOT FOUND")</f>
        <v>14</v>
      </c>
    </row>
    <row r="3426" spans="1:19" x14ac:dyDescent="0.35">
      <c r="A3426">
        <v>3425</v>
      </c>
      <c r="B3426">
        <v>33</v>
      </c>
      <c r="C3426" t="s">
        <v>141</v>
      </c>
      <c r="D3426" t="s">
        <v>107</v>
      </c>
      <c r="E3426" t="s">
        <v>55</v>
      </c>
      <c r="F3426">
        <v>64</v>
      </c>
      <c r="G3426" t="s">
        <v>91</v>
      </c>
      <c r="H3426" t="s">
        <v>11</v>
      </c>
      <c r="I3426" t="s">
        <v>84</v>
      </c>
      <c r="J3426" t="s">
        <v>41</v>
      </c>
      <c r="K3426">
        <v>3.6</v>
      </c>
      <c r="L3426" t="s">
        <v>140</v>
      </c>
      <c r="M3426" t="s">
        <v>58</v>
      </c>
      <c r="N3426" t="s">
        <v>140</v>
      </c>
      <c r="O3426">
        <v>23</v>
      </c>
      <c r="P3426" t="s">
        <v>27</v>
      </c>
      <c r="Q3426" t="s">
        <v>76</v>
      </c>
      <c r="R3426" t="str" cm="1">
        <f t="array" ref="R3426">_xlfn.IFS(B3426&lt;31,"Young-Adult",B3426&lt;41,"Adult",B3426&lt;61,"Middle-aged",B3426&gt;=61,"Senior")</f>
        <v>Adult</v>
      </c>
      <c r="S3426" cm="1">
        <f t="array" ref="S3426">_xlfn.IFS(Q3426 ="Fortnightly",14,Q3426="Weekly",7,Q3426="Monthly",30,Q3426="Quarterly",90,Q3426="Bi-Weekly",14,Q3426="Annually",365,Q3426="Every 3 Months",90,TRUE,"NOT FOUND")</f>
        <v>30</v>
      </c>
    </row>
    <row r="3427" spans="1:19" x14ac:dyDescent="0.35">
      <c r="A3427">
        <v>3426</v>
      </c>
      <c r="B3427">
        <v>38</v>
      </c>
      <c r="C3427" t="s">
        <v>141</v>
      </c>
      <c r="D3427" t="s">
        <v>112</v>
      </c>
      <c r="E3427" t="s">
        <v>55</v>
      </c>
      <c r="F3427">
        <v>54</v>
      </c>
      <c r="G3427" t="s">
        <v>139</v>
      </c>
      <c r="H3427" t="s">
        <v>32</v>
      </c>
      <c r="I3427" t="s">
        <v>132</v>
      </c>
      <c r="J3427" t="s">
        <v>41</v>
      </c>
      <c r="K3427">
        <v>4.3</v>
      </c>
      <c r="L3427" t="s">
        <v>140</v>
      </c>
      <c r="M3427" t="s">
        <v>33</v>
      </c>
      <c r="N3427" t="s">
        <v>140</v>
      </c>
      <c r="O3427">
        <v>3</v>
      </c>
      <c r="P3427" t="s">
        <v>74</v>
      </c>
      <c r="Q3427" t="s">
        <v>64</v>
      </c>
      <c r="R3427" t="str" cm="1">
        <f t="array" ref="R3427">_xlfn.IFS(B3427&lt;31,"Young-Adult",B3427&lt;41,"Adult",B3427&lt;61,"Middle-aged",B3427&gt;=61,"Senior")</f>
        <v>Adult</v>
      </c>
      <c r="S3427" cm="1">
        <f t="array" ref="S3427">_xlfn.IFS(Q3427 ="Fortnightly",14,Q3427="Weekly",7,Q3427="Monthly",30,Q3427="Quarterly",90,Q3427="Bi-Weekly",14,Q3427="Annually",365,Q3427="Every 3 Months",90,TRUE,"NOT FOUND")</f>
        <v>14</v>
      </c>
    </row>
    <row r="3428" spans="1:19" x14ac:dyDescent="0.35">
      <c r="A3428">
        <v>3427</v>
      </c>
      <c r="B3428">
        <v>47</v>
      </c>
      <c r="C3428" t="s">
        <v>141</v>
      </c>
      <c r="D3428" t="s">
        <v>113</v>
      </c>
      <c r="E3428" t="s">
        <v>9</v>
      </c>
      <c r="F3428">
        <v>35</v>
      </c>
      <c r="G3428" t="s">
        <v>35</v>
      </c>
      <c r="H3428" t="s">
        <v>80</v>
      </c>
      <c r="I3428" t="s">
        <v>124</v>
      </c>
      <c r="J3428" t="s">
        <v>45</v>
      </c>
      <c r="K3428">
        <v>4.8</v>
      </c>
      <c r="L3428" t="s">
        <v>140</v>
      </c>
      <c r="M3428" t="s">
        <v>58</v>
      </c>
      <c r="N3428" t="s">
        <v>140</v>
      </c>
      <c r="O3428">
        <v>31</v>
      </c>
      <c r="P3428" t="s">
        <v>27</v>
      </c>
      <c r="Q3428" t="s">
        <v>37</v>
      </c>
      <c r="R3428" t="str" cm="1">
        <f t="array" ref="R3428">_xlfn.IFS(B3428&lt;31,"Young-Adult",B3428&lt;41,"Adult",B3428&lt;61,"Middle-aged",B3428&gt;=61,"Senior")</f>
        <v>Middle-aged</v>
      </c>
      <c r="S3428" cm="1">
        <f t="array" ref="S3428">_xlfn.IFS(Q3428 ="Fortnightly",14,Q3428="Weekly",7,Q3428="Monthly",30,Q3428="Quarterly",90,Q3428="Bi-Weekly",14,Q3428="Annually",365,Q3428="Every 3 Months",90,TRUE,"NOT FOUND")</f>
        <v>365</v>
      </c>
    </row>
    <row r="3429" spans="1:19" x14ac:dyDescent="0.35">
      <c r="A3429">
        <v>3428</v>
      </c>
      <c r="B3429">
        <v>39</v>
      </c>
      <c r="C3429" t="s">
        <v>141</v>
      </c>
      <c r="D3429" t="s">
        <v>101</v>
      </c>
      <c r="E3429" t="s">
        <v>9</v>
      </c>
      <c r="F3429">
        <v>38</v>
      </c>
      <c r="G3429" t="s">
        <v>139</v>
      </c>
      <c r="H3429" t="s">
        <v>80</v>
      </c>
      <c r="I3429" t="s">
        <v>36</v>
      </c>
      <c r="J3429" t="s">
        <v>13</v>
      </c>
      <c r="K3429">
        <v>2.5</v>
      </c>
      <c r="L3429" t="s">
        <v>140</v>
      </c>
      <c r="M3429" t="s">
        <v>62</v>
      </c>
      <c r="N3429" t="s">
        <v>140</v>
      </c>
      <c r="O3429">
        <v>44</v>
      </c>
      <c r="P3429" t="s">
        <v>21</v>
      </c>
      <c r="Q3429" t="s">
        <v>37</v>
      </c>
      <c r="R3429" t="str" cm="1">
        <f t="array" ref="R3429">_xlfn.IFS(B3429&lt;31,"Young-Adult",B3429&lt;41,"Adult",B3429&lt;61,"Middle-aged",B3429&gt;=61,"Senior")</f>
        <v>Adult</v>
      </c>
      <c r="S3429" cm="1">
        <f t="array" ref="S3429">_xlfn.IFS(Q3429 ="Fortnightly",14,Q3429="Weekly",7,Q3429="Monthly",30,Q3429="Quarterly",90,Q3429="Bi-Weekly",14,Q3429="Annually",365,Q3429="Every 3 Months",90,TRUE,"NOT FOUND")</f>
        <v>365</v>
      </c>
    </row>
    <row r="3430" spans="1:19" x14ac:dyDescent="0.35">
      <c r="A3430">
        <v>3429</v>
      </c>
      <c r="B3430">
        <v>32</v>
      </c>
      <c r="C3430" t="s">
        <v>141</v>
      </c>
      <c r="D3430" t="s">
        <v>94</v>
      </c>
      <c r="E3430" t="s">
        <v>55</v>
      </c>
      <c r="F3430">
        <v>69</v>
      </c>
      <c r="G3430" t="s">
        <v>137</v>
      </c>
      <c r="H3430" t="s">
        <v>32</v>
      </c>
      <c r="I3430" t="s">
        <v>12</v>
      </c>
      <c r="J3430" t="s">
        <v>45</v>
      </c>
      <c r="K3430">
        <v>2.5</v>
      </c>
      <c r="L3430" t="s">
        <v>140</v>
      </c>
      <c r="M3430" t="s">
        <v>33</v>
      </c>
      <c r="N3430" t="s">
        <v>140</v>
      </c>
      <c r="O3430">
        <v>20</v>
      </c>
      <c r="P3430" t="s">
        <v>16</v>
      </c>
      <c r="Q3430" t="s">
        <v>76</v>
      </c>
      <c r="R3430" t="str" cm="1">
        <f t="array" ref="R3430">_xlfn.IFS(B3430&lt;31,"Young-Adult",B3430&lt;41,"Adult",B3430&lt;61,"Middle-aged",B3430&gt;=61,"Senior")</f>
        <v>Adult</v>
      </c>
      <c r="S3430" cm="1">
        <f t="array" ref="S3430">_xlfn.IFS(Q3430 ="Fortnightly",14,Q3430="Weekly",7,Q3430="Monthly",30,Q3430="Quarterly",90,Q3430="Bi-Weekly",14,Q3430="Annually",365,Q3430="Every 3 Months",90,TRUE,"NOT FOUND")</f>
        <v>30</v>
      </c>
    </row>
    <row r="3431" spans="1:19" x14ac:dyDescent="0.35">
      <c r="A3431">
        <v>3430</v>
      </c>
      <c r="B3431">
        <v>27</v>
      </c>
      <c r="C3431" t="s">
        <v>141</v>
      </c>
      <c r="D3431" t="s">
        <v>75</v>
      </c>
      <c r="E3431" t="s">
        <v>9</v>
      </c>
      <c r="F3431">
        <v>96</v>
      </c>
      <c r="G3431" t="s">
        <v>108</v>
      </c>
      <c r="H3431" t="s">
        <v>24</v>
      </c>
      <c r="I3431" t="s">
        <v>61</v>
      </c>
      <c r="J3431" t="s">
        <v>13</v>
      </c>
      <c r="K3431">
        <v>4.5999999999999996</v>
      </c>
      <c r="L3431" t="s">
        <v>140</v>
      </c>
      <c r="M3431" t="s">
        <v>15</v>
      </c>
      <c r="N3431" t="s">
        <v>140</v>
      </c>
      <c r="O3431">
        <v>34</v>
      </c>
      <c r="P3431" t="s">
        <v>74</v>
      </c>
      <c r="Q3431" t="s">
        <v>28</v>
      </c>
      <c r="R3431" t="str" cm="1">
        <f t="array" ref="R3431">_xlfn.IFS(B3431&lt;31,"Young-Adult",B3431&lt;41,"Adult",B3431&lt;61,"Middle-aged",B3431&gt;=61,"Senior")</f>
        <v>Young-Adult</v>
      </c>
      <c r="S3431" cm="1">
        <f t="array" ref="S3431">_xlfn.IFS(Q3431 ="Fortnightly",14,Q3431="Weekly",7,Q3431="Monthly",30,Q3431="Quarterly",90,Q3431="Bi-Weekly",14,Q3431="Annually",365,Q3431="Every 3 Months",90,TRUE,"NOT FOUND")</f>
        <v>7</v>
      </c>
    </row>
    <row r="3432" spans="1:19" x14ac:dyDescent="0.35">
      <c r="A3432">
        <v>3431</v>
      </c>
      <c r="B3432">
        <v>67</v>
      </c>
      <c r="C3432" t="s">
        <v>141</v>
      </c>
      <c r="D3432" t="s">
        <v>113</v>
      </c>
      <c r="E3432" t="s">
        <v>9</v>
      </c>
      <c r="F3432">
        <v>73</v>
      </c>
      <c r="G3432" t="s">
        <v>44</v>
      </c>
      <c r="H3432" t="s">
        <v>32</v>
      </c>
      <c r="I3432" t="s">
        <v>81</v>
      </c>
      <c r="J3432" t="s">
        <v>13</v>
      </c>
      <c r="K3432">
        <v>4.2</v>
      </c>
      <c r="L3432" t="s">
        <v>140</v>
      </c>
      <c r="M3432" t="s">
        <v>33</v>
      </c>
      <c r="N3432" t="s">
        <v>140</v>
      </c>
      <c r="O3432">
        <v>17</v>
      </c>
      <c r="P3432" t="s">
        <v>63</v>
      </c>
      <c r="Q3432" t="s">
        <v>85</v>
      </c>
      <c r="R3432" t="str" cm="1">
        <f t="array" ref="R3432">_xlfn.IFS(B3432&lt;31,"Young-Adult",B3432&lt;41,"Adult",B3432&lt;61,"Middle-aged",B3432&gt;=61,"Senior")</f>
        <v>Senior</v>
      </c>
      <c r="S3432" cm="1">
        <f t="array" ref="S3432">_xlfn.IFS(Q3432 ="Fortnightly",14,Q3432="Weekly",7,Q3432="Monthly",30,Q3432="Quarterly",90,Q3432="Bi-Weekly",14,Q3432="Annually",365,Q3432="Every 3 Months",90,TRUE,"NOT FOUND")</f>
        <v>90</v>
      </c>
    </row>
    <row r="3433" spans="1:19" x14ac:dyDescent="0.35">
      <c r="A3433">
        <v>3432</v>
      </c>
      <c r="B3433">
        <v>46</v>
      </c>
      <c r="C3433" t="s">
        <v>141</v>
      </c>
      <c r="D3433" t="s">
        <v>121</v>
      </c>
      <c r="E3433" t="s">
        <v>55</v>
      </c>
      <c r="F3433">
        <v>49</v>
      </c>
      <c r="G3433" t="s">
        <v>118</v>
      </c>
      <c r="H3433" t="s">
        <v>24</v>
      </c>
      <c r="I3433" t="s">
        <v>84</v>
      </c>
      <c r="J3433" t="s">
        <v>41</v>
      </c>
      <c r="K3433">
        <v>4.2</v>
      </c>
      <c r="L3433" t="s">
        <v>140</v>
      </c>
      <c r="M3433" t="s">
        <v>15</v>
      </c>
      <c r="N3433" t="s">
        <v>140</v>
      </c>
      <c r="O3433">
        <v>20</v>
      </c>
      <c r="P3433" t="s">
        <v>16</v>
      </c>
      <c r="Q3433" t="s">
        <v>37</v>
      </c>
      <c r="R3433" t="str" cm="1">
        <f t="array" ref="R3433">_xlfn.IFS(B3433&lt;31,"Young-Adult",B3433&lt;41,"Adult",B3433&lt;61,"Middle-aged",B3433&gt;=61,"Senior")</f>
        <v>Middle-aged</v>
      </c>
      <c r="S3433" cm="1">
        <f t="array" ref="S3433">_xlfn.IFS(Q3433 ="Fortnightly",14,Q3433="Weekly",7,Q3433="Monthly",30,Q3433="Quarterly",90,Q3433="Bi-Weekly",14,Q3433="Annually",365,Q3433="Every 3 Months",90,TRUE,"NOT FOUND")</f>
        <v>365</v>
      </c>
    </row>
    <row r="3434" spans="1:19" x14ac:dyDescent="0.35">
      <c r="A3434">
        <v>3433</v>
      </c>
      <c r="B3434">
        <v>36</v>
      </c>
      <c r="C3434" t="s">
        <v>141</v>
      </c>
      <c r="D3434" t="s">
        <v>125</v>
      </c>
      <c r="E3434" t="s">
        <v>30</v>
      </c>
      <c r="F3434">
        <v>44</v>
      </c>
      <c r="G3434" t="s">
        <v>127</v>
      </c>
      <c r="H3434" t="s">
        <v>32</v>
      </c>
      <c r="I3434" t="s">
        <v>12</v>
      </c>
      <c r="J3434" t="s">
        <v>41</v>
      </c>
      <c r="K3434">
        <v>4.8</v>
      </c>
      <c r="L3434" t="s">
        <v>140</v>
      </c>
      <c r="M3434" t="s">
        <v>58</v>
      </c>
      <c r="N3434" t="s">
        <v>140</v>
      </c>
      <c r="O3434">
        <v>46</v>
      </c>
      <c r="P3434" t="s">
        <v>34</v>
      </c>
      <c r="Q3434" t="s">
        <v>85</v>
      </c>
      <c r="R3434" t="str" cm="1">
        <f t="array" ref="R3434">_xlfn.IFS(B3434&lt;31,"Young-Adult",B3434&lt;41,"Adult",B3434&lt;61,"Middle-aged",B3434&gt;=61,"Senior")</f>
        <v>Adult</v>
      </c>
      <c r="S3434" cm="1">
        <f t="array" ref="S3434">_xlfn.IFS(Q3434 ="Fortnightly",14,Q3434="Weekly",7,Q3434="Monthly",30,Q3434="Quarterly",90,Q3434="Bi-Weekly",14,Q3434="Annually",365,Q3434="Every 3 Months",90,TRUE,"NOT FOUND")</f>
        <v>90</v>
      </c>
    </row>
    <row r="3435" spans="1:19" x14ac:dyDescent="0.35">
      <c r="A3435">
        <v>3434</v>
      </c>
      <c r="B3435">
        <v>62</v>
      </c>
      <c r="C3435" t="s">
        <v>141</v>
      </c>
      <c r="D3435" t="s">
        <v>113</v>
      </c>
      <c r="E3435" t="s">
        <v>9</v>
      </c>
      <c r="F3435">
        <v>93</v>
      </c>
      <c r="G3435" t="s">
        <v>108</v>
      </c>
      <c r="H3435" t="s">
        <v>32</v>
      </c>
      <c r="I3435" t="s">
        <v>122</v>
      </c>
      <c r="J3435" t="s">
        <v>25</v>
      </c>
      <c r="K3435">
        <v>4.5</v>
      </c>
      <c r="L3435" t="s">
        <v>140</v>
      </c>
      <c r="M3435" t="s">
        <v>26</v>
      </c>
      <c r="N3435" t="s">
        <v>140</v>
      </c>
      <c r="O3435">
        <v>28</v>
      </c>
      <c r="P3435" t="s">
        <v>34</v>
      </c>
      <c r="Q3435" t="s">
        <v>37</v>
      </c>
      <c r="R3435" t="str" cm="1">
        <f t="array" ref="R3435">_xlfn.IFS(B3435&lt;31,"Young-Adult",B3435&lt;41,"Adult",B3435&lt;61,"Middle-aged",B3435&gt;=61,"Senior")</f>
        <v>Senior</v>
      </c>
      <c r="S3435" cm="1">
        <f t="array" ref="S3435">_xlfn.IFS(Q3435 ="Fortnightly",14,Q3435="Weekly",7,Q3435="Monthly",30,Q3435="Quarterly",90,Q3435="Bi-Weekly",14,Q3435="Annually",365,Q3435="Every 3 Months",90,TRUE,"NOT FOUND")</f>
        <v>365</v>
      </c>
    </row>
    <row r="3436" spans="1:19" x14ac:dyDescent="0.35">
      <c r="A3436">
        <v>3435</v>
      </c>
      <c r="B3436">
        <v>31</v>
      </c>
      <c r="C3436" t="s">
        <v>141</v>
      </c>
      <c r="D3436" t="s">
        <v>83</v>
      </c>
      <c r="E3436" t="s">
        <v>9</v>
      </c>
      <c r="F3436">
        <v>72</v>
      </c>
      <c r="G3436" t="s">
        <v>111</v>
      </c>
      <c r="H3436" t="s">
        <v>24</v>
      </c>
      <c r="I3436" t="s">
        <v>109</v>
      </c>
      <c r="J3436" t="s">
        <v>41</v>
      </c>
      <c r="K3436">
        <v>3.3</v>
      </c>
      <c r="L3436" t="s">
        <v>140</v>
      </c>
      <c r="M3436" t="s">
        <v>58</v>
      </c>
      <c r="N3436" t="s">
        <v>140</v>
      </c>
      <c r="O3436">
        <v>6</v>
      </c>
      <c r="P3436" t="s">
        <v>16</v>
      </c>
      <c r="Q3436" t="s">
        <v>17</v>
      </c>
      <c r="R3436" t="str" cm="1">
        <f t="array" ref="R3436">_xlfn.IFS(B3436&lt;31,"Young-Adult",B3436&lt;41,"Adult",B3436&lt;61,"Middle-aged",B3436&gt;=61,"Senior")</f>
        <v>Adult</v>
      </c>
      <c r="S3436" cm="1">
        <f t="array" ref="S3436">_xlfn.IFS(Q3436 ="Fortnightly",14,Q3436="Weekly",7,Q3436="Monthly",30,Q3436="Quarterly",90,Q3436="Bi-Weekly",14,Q3436="Annually",365,Q3436="Every 3 Months",90,TRUE,"NOT FOUND")</f>
        <v>14</v>
      </c>
    </row>
    <row r="3437" spans="1:19" x14ac:dyDescent="0.35">
      <c r="A3437">
        <v>3436</v>
      </c>
      <c r="B3437">
        <v>68</v>
      </c>
      <c r="C3437" t="s">
        <v>141</v>
      </c>
      <c r="D3437" t="s">
        <v>113</v>
      </c>
      <c r="E3437" t="s">
        <v>9</v>
      </c>
      <c r="F3437">
        <v>91</v>
      </c>
      <c r="G3437" t="s">
        <v>44</v>
      </c>
      <c r="H3437" t="s">
        <v>32</v>
      </c>
      <c r="I3437" t="s">
        <v>106</v>
      </c>
      <c r="J3437" t="s">
        <v>41</v>
      </c>
      <c r="K3437">
        <v>2.7</v>
      </c>
      <c r="L3437" t="s">
        <v>140</v>
      </c>
      <c r="M3437" t="s">
        <v>58</v>
      </c>
      <c r="N3437" t="s">
        <v>140</v>
      </c>
      <c r="O3437">
        <v>50</v>
      </c>
      <c r="P3437" t="s">
        <v>74</v>
      </c>
      <c r="Q3437" t="s">
        <v>64</v>
      </c>
      <c r="R3437" t="str" cm="1">
        <f t="array" ref="R3437">_xlfn.IFS(B3437&lt;31,"Young-Adult",B3437&lt;41,"Adult",B3437&lt;61,"Middle-aged",B3437&gt;=61,"Senior")</f>
        <v>Senior</v>
      </c>
      <c r="S3437" cm="1">
        <f t="array" ref="S3437">_xlfn.IFS(Q3437 ="Fortnightly",14,Q3437="Weekly",7,Q3437="Monthly",30,Q3437="Quarterly",90,Q3437="Bi-Weekly",14,Q3437="Annually",365,Q3437="Every 3 Months",90,TRUE,"NOT FOUND")</f>
        <v>14</v>
      </c>
    </row>
    <row r="3438" spans="1:19" x14ac:dyDescent="0.35">
      <c r="A3438">
        <v>3437</v>
      </c>
      <c r="B3438">
        <v>57</v>
      </c>
      <c r="C3438" t="s">
        <v>141</v>
      </c>
      <c r="D3438" t="s">
        <v>121</v>
      </c>
      <c r="E3438" t="s">
        <v>55</v>
      </c>
      <c r="F3438">
        <v>83</v>
      </c>
      <c r="G3438" t="s">
        <v>133</v>
      </c>
      <c r="H3438" t="s">
        <v>11</v>
      </c>
      <c r="I3438" t="s">
        <v>88</v>
      </c>
      <c r="J3438" t="s">
        <v>13</v>
      </c>
      <c r="K3438">
        <v>2.8</v>
      </c>
      <c r="L3438" t="s">
        <v>140</v>
      </c>
      <c r="M3438" t="s">
        <v>58</v>
      </c>
      <c r="N3438" t="s">
        <v>140</v>
      </c>
      <c r="O3438">
        <v>41</v>
      </c>
      <c r="P3438" t="s">
        <v>63</v>
      </c>
      <c r="Q3438" t="s">
        <v>76</v>
      </c>
      <c r="R3438" t="str" cm="1">
        <f t="array" ref="R3438">_xlfn.IFS(B3438&lt;31,"Young-Adult",B3438&lt;41,"Adult",B3438&lt;61,"Middle-aged",B3438&gt;=61,"Senior")</f>
        <v>Middle-aged</v>
      </c>
      <c r="S3438" cm="1">
        <f t="array" ref="S3438">_xlfn.IFS(Q3438 ="Fortnightly",14,Q3438="Weekly",7,Q3438="Monthly",30,Q3438="Quarterly",90,Q3438="Bi-Weekly",14,Q3438="Annually",365,Q3438="Every 3 Months",90,TRUE,"NOT FOUND")</f>
        <v>30</v>
      </c>
    </row>
    <row r="3439" spans="1:19" x14ac:dyDescent="0.35">
      <c r="A3439">
        <v>3438</v>
      </c>
      <c r="B3439">
        <v>22</v>
      </c>
      <c r="C3439" t="s">
        <v>141</v>
      </c>
      <c r="D3439" t="s">
        <v>90</v>
      </c>
      <c r="E3439" t="s">
        <v>51</v>
      </c>
      <c r="F3439">
        <v>62</v>
      </c>
      <c r="G3439" t="s">
        <v>89</v>
      </c>
      <c r="H3439" t="s">
        <v>24</v>
      </c>
      <c r="I3439" t="s">
        <v>84</v>
      </c>
      <c r="J3439" t="s">
        <v>13</v>
      </c>
      <c r="K3439">
        <v>3.5</v>
      </c>
      <c r="L3439" t="s">
        <v>140</v>
      </c>
      <c r="M3439" t="s">
        <v>58</v>
      </c>
      <c r="N3439" t="s">
        <v>140</v>
      </c>
      <c r="O3439">
        <v>50</v>
      </c>
      <c r="P3439" t="s">
        <v>34</v>
      </c>
      <c r="Q3439" t="s">
        <v>37</v>
      </c>
      <c r="R3439" t="str" cm="1">
        <f t="array" ref="R3439">_xlfn.IFS(B3439&lt;31,"Young-Adult",B3439&lt;41,"Adult",B3439&lt;61,"Middle-aged",B3439&gt;=61,"Senior")</f>
        <v>Young-Adult</v>
      </c>
      <c r="S3439" cm="1">
        <f t="array" ref="S3439">_xlfn.IFS(Q3439 ="Fortnightly",14,Q3439="Weekly",7,Q3439="Monthly",30,Q3439="Quarterly",90,Q3439="Bi-Weekly",14,Q3439="Annually",365,Q3439="Every 3 Months",90,TRUE,"NOT FOUND")</f>
        <v>365</v>
      </c>
    </row>
    <row r="3440" spans="1:19" x14ac:dyDescent="0.35">
      <c r="A3440">
        <v>3439</v>
      </c>
      <c r="B3440">
        <v>26</v>
      </c>
      <c r="C3440" t="s">
        <v>141</v>
      </c>
      <c r="D3440" t="s">
        <v>43</v>
      </c>
      <c r="E3440" t="s">
        <v>9</v>
      </c>
      <c r="F3440">
        <v>71</v>
      </c>
      <c r="G3440" t="s">
        <v>10</v>
      </c>
      <c r="H3440" t="s">
        <v>32</v>
      </c>
      <c r="I3440" t="s">
        <v>71</v>
      </c>
      <c r="J3440" t="s">
        <v>45</v>
      </c>
      <c r="K3440">
        <v>3</v>
      </c>
      <c r="L3440" t="s">
        <v>140</v>
      </c>
      <c r="M3440" t="s">
        <v>62</v>
      </c>
      <c r="N3440" t="s">
        <v>140</v>
      </c>
      <c r="O3440">
        <v>33</v>
      </c>
      <c r="P3440" t="s">
        <v>27</v>
      </c>
      <c r="Q3440" t="s">
        <v>76</v>
      </c>
      <c r="R3440" t="str" cm="1">
        <f t="array" ref="R3440">_xlfn.IFS(B3440&lt;31,"Young-Adult",B3440&lt;41,"Adult",B3440&lt;61,"Middle-aged",B3440&gt;=61,"Senior")</f>
        <v>Young-Adult</v>
      </c>
      <c r="S3440" cm="1">
        <f t="array" ref="S3440">_xlfn.IFS(Q3440 ="Fortnightly",14,Q3440="Weekly",7,Q3440="Monthly",30,Q3440="Quarterly",90,Q3440="Bi-Weekly",14,Q3440="Annually",365,Q3440="Every 3 Months",90,TRUE,"NOT FOUND")</f>
        <v>30</v>
      </c>
    </row>
    <row r="3441" spans="1:19" x14ac:dyDescent="0.35">
      <c r="A3441">
        <v>3440</v>
      </c>
      <c r="B3441">
        <v>43</v>
      </c>
      <c r="C3441" t="s">
        <v>141</v>
      </c>
      <c r="D3441" t="s">
        <v>131</v>
      </c>
      <c r="E3441" t="s">
        <v>55</v>
      </c>
      <c r="F3441">
        <v>93</v>
      </c>
      <c r="G3441" t="s">
        <v>123</v>
      </c>
      <c r="H3441" t="s">
        <v>32</v>
      </c>
      <c r="I3441" t="s">
        <v>12</v>
      </c>
      <c r="J3441" t="s">
        <v>41</v>
      </c>
      <c r="K3441">
        <v>4.5</v>
      </c>
      <c r="L3441" t="s">
        <v>140</v>
      </c>
      <c r="M3441" t="s">
        <v>15</v>
      </c>
      <c r="N3441" t="s">
        <v>140</v>
      </c>
      <c r="O3441">
        <v>25</v>
      </c>
      <c r="P3441" t="s">
        <v>16</v>
      </c>
      <c r="Q3441" t="s">
        <v>46</v>
      </c>
      <c r="R3441" t="str" cm="1">
        <f t="array" ref="R3441">_xlfn.IFS(B3441&lt;31,"Young-Adult",B3441&lt;41,"Adult",B3441&lt;61,"Middle-aged",B3441&gt;=61,"Senior")</f>
        <v>Middle-aged</v>
      </c>
      <c r="S3441" cm="1">
        <f t="array" ref="S3441">_xlfn.IFS(Q3441 ="Fortnightly",14,Q3441="Weekly",7,Q3441="Monthly",30,Q3441="Quarterly",90,Q3441="Bi-Weekly",14,Q3441="Annually",365,Q3441="Every 3 Months",90,TRUE,"NOT FOUND")</f>
        <v>90</v>
      </c>
    </row>
    <row r="3442" spans="1:19" x14ac:dyDescent="0.35">
      <c r="A3442">
        <v>3441</v>
      </c>
      <c r="B3442">
        <v>45</v>
      </c>
      <c r="C3442" t="s">
        <v>141</v>
      </c>
      <c r="D3442" t="s">
        <v>54</v>
      </c>
      <c r="E3442" t="s">
        <v>55</v>
      </c>
      <c r="F3442">
        <v>63</v>
      </c>
      <c r="G3442" t="s">
        <v>116</v>
      </c>
      <c r="H3442" t="s">
        <v>11</v>
      </c>
      <c r="I3442" t="s">
        <v>124</v>
      </c>
      <c r="J3442" t="s">
        <v>45</v>
      </c>
      <c r="K3442">
        <v>4.3</v>
      </c>
      <c r="L3442" t="s">
        <v>140</v>
      </c>
      <c r="M3442" t="s">
        <v>58</v>
      </c>
      <c r="N3442" t="s">
        <v>140</v>
      </c>
      <c r="O3442">
        <v>2</v>
      </c>
      <c r="P3442" t="s">
        <v>34</v>
      </c>
      <c r="Q3442" t="s">
        <v>28</v>
      </c>
      <c r="R3442" t="str" cm="1">
        <f t="array" ref="R3442">_xlfn.IFS(B3442&lt;31,"Young-Adult",B3442&lt;41,"Adult",B3442&lt;61,"Middle-aged",B3442&gt;=61,"Senior")</f>
        <v>Middle-aged</v>
      </c>
      <c r="S3442" cm="1">
        <f t="array" ref="S3442">_xlfn.IFS(Q3442 ="Fortnightly",14,Q3442="Weekly",7,Q3442="Monthly",30,Q3442="Quarterly",90,Q3442="Bi-Weekly",14,Q3442="Annually",365,Q3442="Every 3 Months",90,TRUE,"NOT FOUND")</f>
        <v>7</v>
      </c>
    </row>
    <row r="3443" spans="1:19" x14ac:dyDescent="0.35">
      <c r="A3443">
        <v>3442</v>
      </c>
      <c r="B3443">
        <v>64</v>
      </c>
      <c r="C3443" t="s">
        <v>141</v>
      </c>
      <c r="D3443" t="s">
        <v>18</v>
      </c>
      <c r="E3443" t="s">
        <v>9</v>
      </c>
      <c r="F3443">
        <v>96</v>
      </c>
      <c r="G3443" t="s">
        <v>110</v>
      </c>
      <c r="H3443" t="s">
        <v>80</v>
      </c>
      <c r="I3443" t="s">
        <v>49</v>
      </c>
      <c r="J3443" t="s">
        <v>45</v>
      </c>
      <c r="K3443">
        <v>4.0999999999999996</v>
      </c>
      <c r="L3443" t="s">
        <v>140</v>
      </c>
      <c r="M3443" t="s">
        <v>42</v>
      </c>
      <c r="N3443" t="s">
        <v>140</v>
      </c>
      <c r="O3443">
        <v>15</v>
      </c>
      <c r="P3443" t="s">
        <v>27</v>
      </c>
      <c r="Q3443" t="s">
        <v>37</v>
      </c>
      <c r="R3443" t="str" cm="1">
        <f t="array" ref="R3443">_xlfn.IFS(B3443&lt;31,"Young-Adult",B3443&lt;41,"Adult",B3443&lt;61,"Middle-aged",B3443&gt;=61,"Senior")</f>
        <v>Senior</v>
      </c>
      <c r="S3443" cm="1">
        <f t="array" ref="S3443">_xlfn.IFS(Q3443 ="Fortnightly",14,Q3443="Weekly",7,Q3443="Monthly",30,Q3443="Quarterly",90,Q3443="Bi-Weekly",14,Q3443="Annually",365,Q3443="Every 3 Months",90,TRUE,"NOT FOUND")</f>
        <v>365</v>
      </c>
    </row>
    <row r="3444" spans="1:19" x14ac:dyDescent="0.35">
      <c r="A3444">
        <v>3443</v>
      </c>
      <c r="B3444">
        <v>28</v>
      </c>
      <c r="C3444" t="s">
        <v>141</v>
      </c>
      <c r="D3444" t="s">
        <v>75</v>
      </c>
      <c r="E3444" t="s">
        <v>9</v>
      </c>
      <c r="F3444">
        <v>78</v>
      </c>
      <c r="G3444" t="s">
        <v>139</v>
      </c>
      <c r="H3444" t="s">
        <v>32</v>
      </c>
      <c r="I3444" t="s">
        <v>71</v>
      </c>
      <c r="J3444" t="s">
        <v>25</v>
      </c>
      <c r="K3444">
        <v>4.3</v>
      </c>
      <c r="L3444" t="s">
        <v>140</v>
      </c>
      <c r="M3444" t="s">
        <v>33</v>
      </c>
      <c r="N3444" t="s">
        <v>140</v>
      </c>
      <c r="O3444">
        <v>12</v>
      </c>
      <c r="P3444" t="s">
        <v>34</v>
      </c>
      <c r="Q3444" t="s">
        <v>28</v>
      </c>
      <c r="R3444" t="str" cm="1">
        <f t="array" ref="R3444">_xlfn.IFS(B3444&lt;31,"Young-Adult",B3444&lt;41,"Adult",B3444&lt;61,"Middle-aged",B3444&gt;=61,"Senior")</f>
        <v>Young-Adult</v>
      </c>
      <c r="S3444" cm="1">
        <f t="array" ref="S3444">_xlfn.IFS(Q3444 ="Fortnightly",14,Q3444="Weekly",7,Q3444="Monthly",30,Q3444="Quarterly",90,Q3444="Bi-Weekly",14,Q3444="Annually",365,Q3444="Every 3 Months",90,TRUE,"NOT FOUND")</f>
        <v>7</v>
      </c>
    </row>
    <row r="3445" spans="1:19" x14ac:dyDescent="0.35">
      <c r="A3445">
        <v>3444</v>
      </c>
      <c r="B3445">
        <v>47</v>
      </c>
      <c r="C3445" t="s">
        <v>141</v>
      </c>
      <c r="D3445" t="s">
        <v>69</v>
      </c>
      <c r="E3445" t="s">
        <v>9</v>
      </c>
      <c r="F3445">
        <v>24</v>
      </c>
      <c r="G3445" t="s">
        <v>110</v>
      </c>
      <c r="H3445" t="s">
        <v>11</v>
      </c>
      <c r="I3445" t="s">
        <v>53</v>
      </c>
      <c r="J3445" t="s">
        <v>41</v>
      </c>
      <c r="K3445">
        <v>5</v>
      </c>
      <c r="L3445" t="s">
        <v>140</v>
      </c>
      <c r="M3445" t="s">
        <v>26</v>
      </c>
      <c r="N3445" t="s">
        <v>140</v>
      </c>
      <c r="O3445">
        <v>28</v>
      </c>
      <c r="P3445" t="s">
        <v>21</v>
      </c>
      <c r="Q3445" t="s">
        <v>64</v>
      </c>
      <c r="R3445" t="str" cm="1">
        <f t="array" ref="R3445">_xlfn.IFS(B3445&lt;31,"Young-Adult",B3445&lt;41,"Adult",B3445&lt;61,"Middle-aged",B3445&gt;=61,"Senior")</f>
        <v>Middle-aged</v>
      </c>
      <c r="S3445" cm="1">
        <f t="array" ref="S3445">_xlfn.IFS(Q3445 ="Fortnightly",14,Q3445="Weekly",7,Q3445="Monthly",30,Q3445="Quarterly",90,Q3445="Bi-Weekly",14,Q3445="Annually",365,Q3445="Every 3 Months",90,TRUE,"NOT FOUND")</f>
        <v>14</v>
      </c>
    </row>
    <row r="3446" spans="1:19" x14ac:dyDescent="0.35">
      <c r="A3446">
        <v>3445</v>
      </c>
      <c r="B3446">
        <v>53</v>
      </c>
      <c r="C3446" t="s">
        <v>141</v>
      </c>
      <c r="D3446" t="s">
        <v>83</v>
      </c>
      <c r="E3446" t="s">
        <v>9</v>
      </c>
      <c r="F3446">
        <v>63</v>
      </c>
      <c r="G3446" t="s">
        <v>31</v>
      </c>
      <c r="H3446" t="s">
        <v>24</v>
      </c>
      <c r="I3446" t="s">
        <v>84</v>
      </c>
      <c r="J3446" t="s">
        <v>41</v>
      </c>
      <c r="K3446">
        <v>3.8</v>
      </c>
      <c r="L3446" t="s">
        <v>140</v>
      </c>
      <c r="M3446" t="s">
        <v>58</v>
      </c>
      <c r="N3446" t="s">
        <v>140</v>
      </c>
      <c r="O3446">
        <v>12</v>
      </c>
      <c r="P3446" t="s">
        <v>63</v>
      </c>
      <c r="Q3446" t="s">
        <v>64</v>
      </c>
      <c r="R3446" t="str" cm="1">
        <f t="array" ref="R3446">_xlfn.IFS(B3446&lt;31,"Young-Adult",B3446&lt;41,"Adult",B3446&lt;61,"Middle-aged",B3446&gt;=61,"Senior")</f>
        <v>Middle-aged</v>
      </c>
      <c r="S3446" cm="1">
        <f t="array" ref="S3446">_xlfn.IFS(Q3446 ="Fortnightly",14,Q3446="Weekly",7,Q3446="Monthly",30,Q3446="Quarterly",90,Q3446="Bi-Weekly",14,Q3446="Annually",365,Q3446="Every 3 Months",90,TRUE,"NOT FOUND")</f>
        <v>14</v>
      </c>
    </row>
    <row r="3447" spans="1:19" x14ac:dyDescent="0.35">
      <c r="A3447">
        <v>3446</v>
      </c>
      <c r="B3447">
        <v>42</v>
      </c>
      <c r="C3447" t="s">
        <v>141</v>
      </c>
      <c r="D3447" t="s">
        <v>112</v>
      </c>
      <c r="E3447" t="s">
        <v>55</v>
      </c>
      <c r="F3447">
        <v>58</v>
      </c>
      <c r="G3447" t="s">
        <v>91</v>
      </c>
      <c r="H3447" t="s">
        <v>32</v>
      </c>
      <c r="I3447" t="s">
        <v>124</v>
      </c>
      <c r="J3447" t="s">
        <v>45</v>
      </c>
      <c r="K3447">
        <v>4.9000000000000004</v>
      </c>
      <c r="L3447" t="s">
        <v>140</v>
      </c>
      <c r="M3447" t="s">
        <v>42</v>
      </c>
      <c r="N3447" t="s">
        <v>140</v>
      </c>
      <c r="O3447">
        <v>3</v>
      </c>
      <c r="P3447" t="s">
        <v>74</v>
      </c>
      <c r="Q3447" t="s">
        <v>37</v>
      </c>
      <c r="R3447" t="str" cm="1">
        <f t="array" ref="R3447">_xlfn.IFS(B3447&lt;31,"Young-Adult",B3447&lt;41,"Adult",B3447&lt;61,"Middle-aged",B3447&gt;=61,"Senior")</f>
        <v>Middle-aged</v>
      </c>
      <c r="S3447" cm="1">
        <f t="array" ref="S3447">_xlfn.IFS(Q3447 ="Fortnightly",14,Q3447="Weekly",7,Q3447="Monthly",30,Q3447="Quarterly",90,Q3447="Bi-Weekly",14,Q3447="Annually",365,Q3447="Every 3 Months",90,TRUE,"NOT FOUND")</f>
        <v>365</v>
      </c>
    </row>
    <row r="3448" spans="1:19" x14ac:dyDescent="0.35">
      <c r="A3448">
        <v>3447</v>
      </c>
      <c r="B3448">
        <v>51</v>
      </c>
      <c r="C3448" t="s">
        <v>141</v>
      </c>
      <c r="D3448" t="s">
        <v>125</v>
      </c>
      <c r="E3448" t="s">
        <v>30</v>
      </c>
      <c r="F3448">
        <v>55</v>
      </c>
      <c r="G3448" t="s">
        <v>48</v>
      </c>
      <c r="H3448" t="s">
        <v>24</v>
      </c>
      <c r="I3448" t="s">
        <v>61</v>
      </c>
      <c r="J3448" t="s">
        <v>25</v>
      </c>
      <c r="K3448">
        <v>5</v>
      </c>
      <c r="L3448" t="s">
        <v>140</v>
      </c>
      <c r="M3448" t="s">
        <v>58</v>
      </c>
      <c r="N3448" t="s">
        <v>140</v>
      </c>
      <c r="O3448">
        <v>20</v>
      </c>
      <c r="P3448" t="s">
        <v>21</v>
      </c>
      <c r="Q3448" t="s">
        <v>28</v>
      </c>
      <c r="R3448" t="str" cm="1">
        <f t="array" ref="R3448">_xlfn.IFS(B3448&lt;31,"Young-Adult",B3448&lt;41,"Adult",B3448&lt;61,"Middle-aged",B3448&gt;=61,"Senior")</f>
        <v>Middle-aged</v>
      </c>
      <c r="S3448" cm="1">
        <f t="array" ref="S3448">_xlfn.IFS(Q3448 ="Fortnightly",14,Q3448="Weekly",7,Q3448="Monthly",30,Q3448="Quarterly",90,Q3448="Bi-Weekly",14,Q3448="Annually",365,Q3448="Every 3 Months",90,TRUE,"NOT FOUND")</f>
        <v>7</v>
      </c>
    </row>
    <row r="3449" spans="1:19" x14ac:dyDescent="0.35">
      <c r="A3449">
        <v>3448</v>
      </c>
      <c r="B3449">
        <v>62</v>
      </c>
      <c r="C3449" t="s">
        <v>141</v>
      </c>
      <c r="D3449" t="s">
        <v>29</v>
      </c>
      <c r="E3449" t="s">
        <v>30</v>
      </c>
      <c r="F3449">
        <v>58</v>
      </c>
      <c r="G3449" t="s">
        <v>60</v>
      </c>
      <c r="H3449" t="s">
        <v>32</v>
      </c>
      <c r="I3449" t="s">
        <v>132</v>
      </c>
      <c r="J3449" t="s">
        <v>45</v>
      </c>
      <c r="K3449">
        <v>4.3</v>
      </c>
      <c r="L3449" t="s">
        <v>140</v>
      </c>
      <c r="M3449" t="s">
        <v>15</v>
      </c>
      <c r="N3449" t="s">
        <v>140</v>
      </c>
      <c r="O3449">
        <v>3</v>
      </c>
      <c r="P3449" t="s">
        <v>63</v>
      </c>
      <c r="Q3449" t="s">
        <v>64</v>
      </c>
      <c r="R3449" t="str" cm="1">
        <f t="array" ref="R3449">_xlfn.IFS(B3449&lt;31,"Young-Adult",B3449&lt;41,"Adult",B3449&lt;61,"Middle-aged",B3449&gt;=61,"Senior")</f>
        <v>Senior</v>
      </c>
      <c r="S3449" cm="1">
        <f t="array" ref="S3449">_xlfn.IFS(Q3449 ="Fortnightly",14,Q3449="Weekly",7,Q3449="Monthly",30,Q3449="Quarterly",90,Q3449="Bi-Weekly",14,Q3449="Annually",365,Q3449="Every 3 Months",90,TRUE,"NOT FOUND")</f>
        <v>14</v>
      </c>
    </row>
    <row r="3450" spans="1:19" x14ac:dyDescent="0.35">
      <c r="A3450">
        <v>3449</v>
      </c>
      <c r="B3450">
        <v>18</v>
      </c>
      <c r="C3450" t="s">
        <v>141</v>
      </c>
      <c r="D3450" t="s">
        <v>50</v>
      </c>
      <c r="E3450" t="s">
        <v>51</v>
      </c>
      <c r="F3450">
        <v>28</v>
      </c>
      <c r="G3450" t="s">
        <v>10</v>
      </c>
      <c r="H3450" t="s">
        <v>24</v>
      </c>
      <c r="I3450" t="s">
        <v>122</v>
      </c>
      <c r="J3450" t="s">
        <v>13</v>
      </c>
      <c r="K3450">
        <v>4.0999999999999996</v>
      </c>
      <c r="L3450" t="s">
        <v>140</v>
      </c>
      <c r="M3450" t="s">
        <v>15</v>
      </c>
      <c r="N3450" t="s">
        <v>140</v>
      </c>
      <c r="O3450">
        <v>32</v>
      </c>
      <c r="P3450" t="s">
        <v>63</v>
      </c>
      <c r="Q3450" t="s">
        <v>17</v>
      </c>
      <c r="R3450" t="str" cm="1">
        <f t="array" ref="R3450">_xlfn.IFS(B3450&lt;31,"Young-Adult",B3450&lt;41,"Adult",B3450&lt;61,"Middle-aged",B3450&gt;=61,"Senior")</f>
        <v>Young-Adult</v>
      </c>
      <c r="S3450" cm="1">
        <f t="array" ref="S3450">_xlfn.IFS(Q3450 ="Fortnightly",14,Q3450="Weekly",7,Q3450="Monthly",30,Q3450="Quarterly",90,Q3450="Bi-Weekly",14,Q3450="Annually",365,Q3450="Every 3 Months",90,TRUE,"NOT FOUND")</f>
        <v>14</v>
      </c>
    </row>
    <row r="3451" spans="1:19" x14ac:dyDescent="0.35">
      <c r="A3451">
        <v>3450</v>
      </c>
      <c r="B3451">
        <v>48</v>
      </c>
      <c r="C3451" t="s">
        <v>141</v>
      </c>
      <c r="D3451" t="s">
        <v>8</v>
      </c>
      <c r="E3451" t="s">
        <v>9</v>
      </c>
      <c r="F3451">
        <v>37</v>
      </c>
      <c r="G3451" t="s">
        <v>99</v>
      </c>
      <c r="H3451" t="s">
        <v>32</v>
      </c>
      <c r="I3451" t="s">
        <v>98</v>
      </c>
      <c r="J3451" t="s">
        <v>25</v>
      </c>
      <c r="K3451">
        <v>4.5</v>
      </c>
      <c r="L3451" t="s">
        <v>140</v>
      </c>
      <c r="M3451" t="s">
        <v>42</v>
      </c>
      <c r="N3451" t="s">
        <v>140</v>
      </c>
      <c r="O3451">
        <v>35</v>
      </c>
      <c r="P3451" t="s">
        <v>21</v>
      </c>
      <c r="Q3451" t="s">
        <v>76</v>
      </c>
      <c r="R3451" t="str" cm="1">
        <f t="array" ref="R3451">_xlfn.IFS(B3451&lt;31,"Young-Adult",B3451&lt;41,"Adult",B3451&lt;61,"Middle-aged",B3451&gt;=61,"Senior")</f>
        <v>Middle-aged</v>
      </c>
      <c r="S3451" cm="1">
        <f t="array" ref="S3451">_xlfn.IFS(Q3451 ="Fortnightly",14,Q3451="Weekly",7,Q3451="Monthly",30,Q3451="Quarterly",90,Q3451="Bi-Weekly",14,Q3451="Annually",365,Q3451="Every 3 Months",90,TRUE,"NOT FOUND")</f>
        <v>30</v>
      </c>
    </row>
    <row r="3452" spans="1:19" x14ac:dyDescent="0.35">
      <c r="A3452">
        <v>3451</v>
      </c>
      <c r="B3452">
        <v>20</v>
      </c>
      <c r="C3452" t="s">
        <v>141</v>
      </c>
      <c r="D3452" t="s">
        <v>47</v>
      </c>
      <c r="E3452" t="s">
        <v>9</v>
      </c>
      <c r="F3452">
        <v>78</v>
      </c>
      <c r="G3452" t="s">
        <v>117</v>
      </c>
      <c r="H3452" t="s">
        <v>32</v>
      </c>
      <c r="I3452" t="s">
        <v>57</v>
      </c>
      <c r="J3452" t="s">
        <v>25</v>
      </c>
      <c r="K3452">
        <v>3.6</v>
      </c>
      <c r="L3452" t="s">
        <v>140</v>
      </c>
      <c r="M3452" t="s">
        <v>62</v>
      </c>
      <c r="N3452" t="s">
        <v>140</v>
      </c>
      <c r="O3452">
        <v>31</v>
      </c>
      <c r="P3452" t="s">
        <v>34</v>
      </c>
      <c r="Q3452" t="s">
        <v>76</v>
      </c>
      <c r="R3452" t="str" cm="1">
        <f t="array" ref="R3452">_xlfn.IFS(B3452&lt;31,"Young-Adult",B3452&lt;41,"Adult",B3452&lt;61,"Middle-aged",B3452&gt;=61,"Senior")</f>
        <v>Young-Adult</v>
      </c>
      <c r="S3452" cm="1">
        <f t="array" ref="S3452">_xlfn.IFS(Q3452 ="Fortnightly",14,Q3452="Weekly",7,Q3452="Monthly",30,Q3452="Quarterly",90,Q3452="Bi-Weekly",14,Q3452="Annually",365,Q3452="Every 3 Months",90,TRUE,"NOT FOUND")</f>
        <v>30</v>
      </c>
    </row>
    <row r="3453" spans="1:19" x14ac:dyDescent="0.35">
      <c r="A3453">
        <v>3452</v>
      </c>
      <c r="B3453">
        <v>32</v>
      </c>
      <c r="C3453" t="s">
        <v>141</v>
      </c>
      <c r="D3453" t="s">
        <v>8</v>
      </c>
      <c r="E3453" t="s">
        <v>9</v>
      </c>
      <c r="F3453">
        <v>73</v>
      </c>
      <c r="G3453" t="s">
        <v>95</v>
      </c>
      <c r="H3453" t="s">
        <v>80</v>
      </c>
      <c r="I3453" t="s">
        <v>53</v>
      </c>
      <c r="J3453" t="s">
        <v>45</v>
      </c>
      <c r="K3453">
        <v>3</v>
      </c>
      <c r="L3453" t="s">
        <v>140</v>
      </c>
      <c r="M3453" t="s">
        <v>26</v>
      </c>
      <c r="N3453" t="s">
        <v>140</v>
      </c>
      <c r="O3453">
        <v>13</v>
      </c>
      <c r="P3453" t="s">
        <v>27</v>
      </c>
      <c r="Q3453" t="s">
        <v>37</v>
      </c>
      <c r="R3453" t="str" cm="1">
        <f t="array" ref="R3453">_xlfn.IFS(B3453&lt;31,"Young-Adult",B3453&lt;41,"Adult",B3453&lt;61,"Middle-aged",B3453&gt;=61,"Senior")</f>
        <v>Adult</v>
      </c>
      <c r="S3453" cm="1">
        <f t="array" ref="S3453">_xlfn.IFS(Q3453 ="Fortnightly",14,Q3453="Weekly",7,Q3453="Monthly",30,Q3453="Quarterly",90,Q3453="Bi-Weekly",14,Q3453="Annually",365,Q3453="Every 3 Months",90,TRUE,"NOT FOUND")</f>
        <v>365</v>
      </c>
    </row>
    <row r="3454" spans="1:19" x14ac:dyDescent="0.35">
      <c r="A3454">
        <v>3453</v>
      </c>
      <c r="B3454">
        <v>26</v>
      </c>
      <c r="C3454" t="s">
        <v>141</v>
      </c>
      <c r="D3454" t="s">
        <v>90</v>
      </c>
      <c r="E3454" t="s">
        <v>51</v>
      </c>
      <c r="F3454">
        <v>20</v>
      </c>
      <c r="G3454" t="s">
        <v>89</v>
      </c>
      <c r="H3454" t="s">
        <v>32</v>
      </c>
      <c r="I3454" t="s">
        <v>114</v>
      </c>
      <c r="J3454" t="s">
        <v>25</v>
      </c>
      <c r="K3454">
        <v>3.7</v>
      </c>
      <c r="L3454" t="s">
        <v>140</v>
      </c>
      <c r="M3454" t="s">
        <v>33</v>
      </c>
      <c r="N3454" t="s">
        <v>140</v>
      </c>
      <c r="O3454">
        <v>3</v>
      </c>
      <c r="P3454" t="s">
        <v>16</v>
      </c>
      <c r="Q3454" t="s">
        <v>17</v>
      </c>
      <c r="R3454" t="str" cm="1">
        <f t="array" ref="R3454">_xlfn.IFS(B3454&lt;31,"Young-Adult",B3454&lt;41,"Adult",B3454&lt;61,"Middle-aged",B3454&gt;=61,"Senior")</f>
        <v>Young-Adult</v>
      </c>
      <c r="S3454" cm="1">
        <f t="array" ref="S3454">_xlfn.IFS(Q3454 ="Fortnightly",14,Q3454="Weekly",7,Q3454="Monthly",30,Q3454="Quarterly",90,Q3454="Bi-Weekly",14,Q3454="Annually",365,Q3454="Every 3 Months",90,TRUE,"NOT FOUND")</f>
        <v>14</v>
      </c>
    </row>
    <row r="3455" spans="1:19" x14ac:dyDescent="0.35">
      <c r="A3455">
        <v>3454</v>
      </c>
      <c r="B3455">
        <v>31</v>
      </c>
      <c r="C3455" t="s">
        <v>141</v>
      </c>
      <c r="D3455" t="s">
        <v>43</v>
      </c>
      <c r="E3455" t="s">
        <v>9</v>
      </c>
      <c r="F3455">
        <v>60</v>
      </c>
      <c r="G3455" t="s">
        <v>78</v>
      </c>
      <c r="H3455" t="s">
        <v>11</v>
      </c>
      <c r="I3455" t="s">
        <v>57</v>
      </c>
      <c r="J3455" t="s">
        <v>13</v>
      </c>
      <c r="K3455">
        <v>4.3</v>
      </c>
      <c r="L3455" t="s">
        <v>140</v>
      </c>
      <c r="M3455" t="s">
        <v>42</v>
      </c>
      <c r="N3455" t="s">
        <v>140</v>
      </c>
      <c r="O3455">
        <v>48</v>
      </c>
      <c r="P3455" t="s">
        <v>16</v>
      </c>
      <c r="Q3455" t="s">
        <v>64</v>
      </c>
      <c r="R3455" t="str" cm="1">
        <f t="array" ref="R3455">_xlfn.IFS(B3455&lt;31,"Young-Adult",B3455&lt;41,"Adult",B3455&lt;61,"Middle-aged",B3455&gt;=61,"Senior")</f>
        <v>Adult</v>
      </c>
      <c r="S3455" cm="1">
        <f t="array" ref="S3455">_xlfn.IFS(Q3455 ="Fortnightly",14,Q3455="Weekly",7,Q3455="Monthly",30,Q3455="Quarterly",90,Q3455="Bi-Weekly",14,Q3455="Annually",365,Q3455="Every 3 Months",90,TRUE,"NOT FOUND")</f>
        <v>14</v>
      </c>
    </row>
    <row r="3456" spans="1:19" x14ac:dyDescent="0.35">
      <c r="A3456">
        <v>3455</v>
      </c>
      <c r="B3456">
        <v>55</v>
      </c>
      <c r="C3456" t="s">
        <v>141</v>
      </c>
      <c r="D3456" t="s">
        <v>54</v>
      </c>
      <c r="E3456" t="s">
        <v>55</v>
      </c>
      <c r="F3456">
        <v>71</v>
      </c>
      <c r="G3456" t="s">
        <v>48</v>
      </c>
      <c r="H3456" t="s">
        <v>24</v>
      </c>
      <c r="I3456" t="s">
        <v>81</v>
      </c>
      <c r="J3456" t="s">
        <v>45</v>
      </c>
      <c r="K3456">
        <v>4.5999999999999996</v>
      </c>
      <c r="L3456" t="s">
        <v>140</v>
      </c>
      <c r="M3456" t="s">
        <v>62</v>
      </c>
      <c r="N3456" t="s">
        <v>140</v>
      </c>
      <c r="O3456">
        <v>15</v>
      </c>
      <c r="P3456" t="s">
        <v>34</v>
      </c>
      <c r="Q3456" t="s">
        <v>64</v>
      </c>
      <c r="R3456" t="str" cm="1">
        <f t="array" ref="R3456">_xlfn.IFS(B3456&lt;31,"Young-Adult",B3456&lt;41,"Adult",B3456&lt;61,"Middle-aged",B3456&gt;=61,"Senior")</f>
        <v>Middle-aged</v>
      </c>
      <c r="S3456" cm="1">
        <f t="array" ref="S3456">_xlfn.IFS(Q3456 ="Fortnightly",14,Q3456="Weekly",7,Q3456="Monthly",30,Q3456="Quarterly",90,Q3456="Bi-Weekly",14,Q3456="Annually",365,Q3456="Every 3 Months",90,TRUE,"NOT FOUND")</f>
        <v>14</v>
      </c>
    </row>
    <row r="3457" spans="1:19" x14ac:dyDescent="0.35">
      <c r="A3457">
        <v>3456</v>
      </c>
      <c r="B3457">
        <v>49</v>
      </c>
      <c r="C3457" t="s">
        <v>141</v>
      </c>
      <c r="D3457" t="s">
        <v>101</v>
      </c>
      <c r="E3457" t="s">
        <v>9</v>
      </c>
      <c r="F3457">
        <v>89</v>
      </c>
      <c r="G3457" t="s">
        <v>111</v>
      </c>
      <c r="H3457" t="s">
        <v>32</v>
      </c>
      <c r="I3457" t="s">
        <v>109</v>
      </c>
      <c r="J3457" t="s">
        <v>45</v>
      </c>
      <c r="K3457">
        <v>4.7</v>
      </c>
      <c r="L3457" t="s">
        <v>140</v>
      </c>
      <c r="M3457" t="s">
        <v>42</v>
      </c>
      <c r="N3457" t="s">
        <v>140</v>
      </c>
      <c r="O3457">
        <v>13</v>
      </c>
      <c r="P3457" t="s">
        <v>16</v>
      </c>
      <c r="Q3457" t="s">
        <v>37</v>
      </c>
      <c r="R3457" t="str" cm="1">
        <f t="array" ref="R3457">_xlfn.IFS(B3457&lt;31,"Young-Adult",B3457&lt;41,"Adult",B3457&lt;61,"Middle-aged",B3457&gt;=61,"Senior")</f>
        <v>Middle-aged</v>
      </c>
      <c r="S3457" cm="1">
        <f t="array" ref="S3457">_xlfn.IFS(Q3457 ="Fortnightly",14,Q3457="Weekly",7,Q3457="Monthly",30,Q3457="Quarterly",90,Q3457="Bi-Weekly",14,Q3457="Annually",365,Q3457="Every 3 Months",90,TRUE,"NOT FOUND")</f>
        <v>365</v>
      </c>
    </row>
    <row r="3458" spans="1:19" x14ac:dyDescent="0.35">
      <c r="A3458">
        <v>3457</v>
      </c>
      <c r="B3458">
        <v>42</v>
      </c>
      <c r="C3458" t="s">
        <v>141</v>
      </c>
      <c r="D3458" t="s">
        <v>92</v>
      </c>
      <c r="E3458" t="s">
        <v>9</v>
      </c>
      <c r="F3458">
        <v>53</v>
      </c>
      <c r="G3458" t="s">
        <v>93</v>
      </c>
      <c r="H3458" t="s">
        <v>32</v>
      </c>
      <c r="I3458" t="s">
        <v>96</v>
      </c>
      <c r="J3458" t="s">
        <v>45</v>
      </c>
      <c r="K3458">
        <v>4.5999999999999996</v>
      </c>
      <c r="L3458" t="s">
        <v>140</v>
      </c>
      <c r="M3458" t="s">
        <v>15</v>
      </c>
      <c r="N3458" t="s">
        <v>140</v>
      </c>
      <c r="O3458">
        <v>21</v>
      </c>
      <c r="P3458" t="s">
        <v>16</v>
      </c>
      <c r="Q3458" t="s">
        <v>76</v>
      </c>
      <c r="R3458" t="str" cm="1">
        <f t="array" ref="R3458">_xlfn.IFS(B3458&lt;31,"Young-Adult",B3458&lt;41,"Adult",B3458&lt;61,"Middle-aged",B3458&gt;=61,"Senior")</f>
        <v>Middle-aged</v>
      </c>
      <c r="S3458" cm="1">
        <f t="array" ref="S3458">_xlfn.IFS(Q3458 ="Fortnightly",14,Q3458="Weekly",7,Q3458="Monthly",30,Q3458="Quarterly",90,Q3458="Bi-Weekly",14,Q3458="Annually",365,Q3458="Every 3 Months",90,TRUE,"NOT FOUND")</f>
        <v>30</v>
      </c>
    </row>
    <row r="3459" spans="1:19" x14ac:dyDescent="0.35">
      <c r="A3459">
        <v>3458</v>
      </c>
      <c r="B3459">
        <v>64</v>
      </c>
      <c r="C3459" t="s">
        <v>141</v>
      </c>
      <c r="D3459" t="s">
        <v>94</v>
      </c>
      <c r="E3459" t="s">
        <v>55</v>
      </c>
      <c r="F3459">
        <v>87</v>
      </c>
      <c r="G3459" t="s">
        <v>116</v>
      </c>
      <c r="H3459" t="s">
        <v>32</v>
      </c>
      <c r="I3459" t="s">
        <v>12</v>
      </c>
      <c r="J3459" t="s">
        <v>41</v>
      </c>
      <c r="K3459">
        <v>3</v>
      </c>
      <c r="L3459" t="s">
        <v>140</v>
      </c>
      <c r="M3459" t="s">
        <v>15</v>
      </c>
      <c r="N3459" t="s">
        <v>140</v>
      </c>
      <c r="O3459">
        <v>29</v>
      </c>
      <c r="P3459" t="s">
        <v>21</v>
      </c>
      <c r="Q3459" t="s">
        <v>17</v>
      </c>
      <c r="R3459" t="str" cm="1">
        <f t="array" ref="R3459">_xlfn.IFS(B3459&lt;31,"Young-Adult",B3459&lt;41,"Adult",B3459&lt;61,"Middle-aged",B3459&gt;=61,"Senior")</f>
        <v>Senior</v>
      </c>
      <c r="S3459" cm="1">
        <f t="array" ref="S3459">_xlfn.IFS(Q3459 ="Fortnightly",14,Q3459="Weekly",7,Q3459="Monthly",30,Q3459="Quarterly",90,Q3459="Bi-Weekly",14,Q3459="Annually",365,Q3459="Every 3 Months",90,TRUE,"NOT FOUND")</f>
        <v>14</v>
      </c>
    </row>
    <row r="3460" spans="1:19" x14ac:dyDescent="0.35">
      <c r="A3460">
        <v>3459</v>
      </c>
      <c r="B3460">
        <v>68</v>
      </c>
      <c r="C3460" t="s">
        <v>141</v>
      </c>
      <c r="D3460" t="s">
        <v>94</v>
      </c>
      <c r="E3460" t="s">
        <v>55</v>
      </c>
      <c r="F3460">
        <v>37</v>
      </c>
      <c r="G3460" t="s">
        <v>52</v>
      </c>
      <c r="H3460" t="s">
        <v>11</v>
      </c>
      <c r="I3460" t="s">
        <v>71</v>
      </c>
      <c r="J3460" t="s">
        <v>25</v>
      </c>
      <c r="K3460">
        <v>3.4</v>
      </c>
      <c r="L3460" t="s">
        <v>140</v>
      </c>
      <c r="M3460" t="s">
        <v>42</v>
      </c>
      <c r="N3460" t="s">
        <v>140</v>
      </c>
      <c r="O3460">
        <v>24</v>
      </c>
      <c r="P3460" t="s">
        <v>16</v>
      </c>
      <c r="Q3460" t="s">
        <v>46</v>
      </c>
      <c r="R3460" t="str" cm="1">
        <f t="array" ref="R3460">_xlfn.IFS(B3460&lt;31,"Young-Adult",B3460&lt;41,"Adult",B3460&lt;61,"Middle-aged",B3460&gt;=61,"Senior")</f>
        <v>Senior</v>
      </c>
      <c r="S3460" cm="1">
        <f t="array" ref="S3460">_xlfn.IFS(Q3460 ="Fortnightly",14,Q3460="Weekly",7,Q3460="Monthly",30,Q3460="Quarterly",90,Q3460="Bi-Weekly",14,Q3460="Annually",365,Q3460="Every 3 Months",90,TRUE,"NOT FOUND")</f>
        <v>90</v>
      </c>
    </row>
    <row r="3461" spans="1:19" x14ac:dyDescent="0.35">
      <c r="A3461">
        <v>3460</v>
      </c>
      <c r="B3461">
        <v>68</v>
      </c>
      <c r="C3461" t="s">
        <v>141</v>
      </c>
      <c r="D3461" t="s">
        <v>92</v>
      </c>
      <c r="E3461" t="s">
        <v>9</v>
      </c>
      <c r="F3461">
        <v>37</v>
      </c>
      <c r="G3461" t="s">
        <v>111</v>
      </c>
      <c r="H3461" t="s">
        <v>11</v>
      </c>
      <c r="I3461" t="s">
        <v>84</v>
      </c>
      <c r="J3461" t="s">
        <v>45</v>
      </c>
      <c r="K3461">
        <v>3.8</v>
      </c>
      <c r="L3461" t="s">
        <v>140</v>
      </c>
      <c r="M3461" t="s">
        <v>15</v>
      </c>
      <c r="N3461" t="s">
        <v>140</v>
      </c>
      <c r="O3461">
        <v>21</v>
      </c>
      <c r="P3461" t="s">
        <v>34</v>
      </c>
      <c r="Q3461" t="s">
        <v>37</v>
      </c>
      <c r="R3461" t="str" cm="1">
        <f t="array" ref="R3461">_xlfn.IFS(B3461&lt;31,"Young-Adult",B3461&lt;41,"Adult",B3461&lt;61,"Middle-aged",B3461&gt;=61,"Senior")</f>
        <v>Senior</v>
      </c>
      <c r="S3461" cm="1">
        <f t="array" ref="S3461">_xlfn.IFS(Q3461 ="Fortnightly",14,Q3461="Weekly",7,Q3461="Monthly",30,Q3461="Quarterly",90,Q3461="Bi-Weekly",14,Q3461="Annually",365,Q3461="Every 3 Months",90,TRUE,"NOT FOUND")</f>
        <v>365</v>
      </c>
    </row>
    <row r="3462" spans="1:19" x14ac:dyDescent="0.35">
      <c r="A3462">
        <v>3461</v>
      </c>
      <c r="B3462">
        <v>41</v>
      </c>
      <c r="C3462" t="s">
        <v>141</v>
      </c>
      <c r="D3462" t="s">
        <v>107</v>
      </c>
      <c r="E3462" t="s">
        <v>55</v>
      </c>
      <c r="F3462">
        <v>78</v>
      </c>
      <c r="G3462" t="s">
        <v>104</v>
      </c>
      <c r="H3462" t="s">
        <v>32</v>
      </c>
      <c r="I3462" t="s">
        <v>68</v>
      </c>
      <c r="J3462" t="s">
        <v>25</v>
      </c>
      <c r="K3462">
        <v>3.1</v>
      </c>
      <c r="L3462" t="s">
        <v>140</v>
      </c>
      <c r="M3462" t="s">
        <v>15</v>
      </c>
      <c r="N3462" t="s">
        <v>140</v>
      </c>
      <c r="O3462">
        <v>5</v>
      </c>
      <c r="P3462" t="s">
        <v>63</v>
      </c>
      <c r="Q3462" t="s">
        <v>64</v>
      </c>
      <c r="R3462" t="str" cm="1">
        <f t="array" ref="R3462">_xlfn.IFS(B3462&lt;31,"Young-Adult",B3462&lt;41,"Adult",B3462&lt;61,"Middle-aged",B3462&gt;=61,"Senior")</f>
        <v>Middle-aged</v>
      </c>
      <c r="S3462" cm="1">
        <f t="array" ref="S3462">_xlfn.IFS(Q3462 ="Fortnightly",14,Q3462="Weekly",7,Q3462="Monthly",30,Q3462="Quarterly",90,Q3462="Bi-Weekly",14,Q3462="Annually",365,Q3462="Every 3 Months",90,TRUE,"NOT FOUND")</f>
        <v>14</v>
      </c>
    </row>
    <row r="3463" spans="1:19" x14ac:dyDescent="0.35">
      <c r="A3463">
        <v>3462</v>
      </c>
      <c r="B3463">
        <v>51</v>
      </c>
      <c r="C3463" t="s">
        <v>141</v>
      </c>
      <c r="D3463" t="s">
        <v>59</v>
      </c>
      <c r="E3463" t="s">
        <v>30</v>
      </c>
      <c r="F3463">
        <v>23</v>
      </c>
      <c r="G3463" t="s">
        <v>39</v>
      </c>
      <c r="H3463" t="s">
        <v>24</v>
      </c>
      <c r="I3463" t="s">
        <v>20</v>
      </c>
      <c r="J3463" t="s">
        <v>25</v>
      </c>
      <c r="K3463">
        <v>4.4000000000000004</v>
      </c>
      <c r="L3463" t="s">
        <v>140</v>
      </c>
      <c r="M3463" t="s">
        <v>42</v>
      </c>
      <c r="N3463" t="s">
        <v>140</v>
      </c>
      <c r="O3463">
        <v>47</v>
      </c>
      <c r="P3463" t="s">
        <v>21</v>
      </c>
      <c r="Q3463" t="s">
        <v>46</v>
      </c>
      <c r="R3463" t="str" cm="1">
        <f t="array" ref="R3463">_xlfn.IFS(B3463&lt;31,"Young-Adult",B3463&lt;41,"Adult",B3463&lt;61,"Middle-aged",B3463&gt;=61,"Senior")</f>
        <v>Middle-aged</v>
      </c>
      <c r="S3463" cm="1">
        <f t="array" ref="S3463">_xlfn.IFS(Q3463 ="Fortnightly",14,Q3463="Weekly",7,Q3463="Monthly",30,Q3463="Quarterly",90,Q3463="Bi-Weekly",14,Q3463="Annually",365,Q3463="Every 3 Months",90,TRUE,"NOT FOUND")</f>
        <v>90</v>
      </c>
    </row>
    <row r="3464" spans="1:19" x14ac:dyDescent="0.35">
      <c r="A3464">
        <v>3463</v>
      </c>
      <c r="B3464">
        <v>44</v>
      </c>
      <c r="C3464" t="s">
        <v>141</v>
      </c>
      <c r="D3464" t="s">
        <v>22</v>
      </c>
      <c r="E3464" t="s">
        <v>9</v>
      </c>
      <c r="F3464">
        <v>73</v>
      </c>
      <c r="G3464" t="s">
        <v>139</v>
      </c>
      <c r="H3464" t="s">
        <v>11</v>
      </c>
      <c r="I3464" t="s">
        <v>66</v>
      </c>
      <c r="J3464" t="s">
        <v>25</v>
      </c>
      <c r="K3464">
        <v>4.5</v>
      </c>
      <c r="L3464" t="s">
        <v>140</v>
      </c>
      <c r="M3464" t="s">
        <v>42</v>
      </c>
      <c r="N3464" t="s">
        <v>140</v>
      </c>
      <c r="O3464">
        <v>34</v>
      </c>
      <c r="P3464" t="s">
        <v>27</v>
      </c>
      <c r="Q3464" t="s">
        <v>85</v>
      </c>
      <c r="R3464" t="str" cm="1">
        <f t="array" ref="R3464">_xlfn.IFS(B3464&lt;31,"Young-Adult",B3464&lt;41,"Adult",B3464&lt;61,"Middle-aged",B3464&gt;=61,"Senior")</f>
        <v>Middle-aged</v>
      </c>
      <c r="S3464" cm="1">
        <f t="array" ref="S3464">_xlfn.IFS(Q3464 ="Fortnightly",14,Q3464="Weekly",7,Q3464="Monthly",30,Q3464="Quarterly",90,Q3464="Bi-Weekly",14,Q3464="Annually",365,Q3464="Every 3 Months",90,TRUE,"NOT FOUND")</f>
        <v>90</v>
      </c>
    </row>
    <row r="3465" spans="1:19" x14ac:dyDescent="0.35">
      <c r="A3465">
        <v>3464</v>
      </c>
      <c r="B3465">
        <v>27</v>
      </c>
      <c r="C3465" t="s">
        <v>141</v>
      </c>
      <c r="D3465" t="s">
        <v>94</v>
      </c>
      <c r="E3465" t="s">
        <v>55</v>
      </c>
      <c r="F3465">
        <v>27</v>
      </c>
      <c r="G3465" t="s">
        <v>19</v>
      </c>
      <c r="H3465" t="s">
        <v>32</v>
      </c>
      <c r="I3465" t="s">
        <v>122</v>
      </c>
      <c r="J3465" t="s">
        <v>45</v>
      </c>
      <c r="K3465">
        <v>2.8</v>
      </c>
      <c r="L3465" t="s">
        <v>140</v>
      </c>
      <c r="M3465" t="s">
        <v>58</v>
      </c>
      <c r="N3465" t="s">
        <v>140</v>
      </c>
      <c r="O3465">
        <v>45</v>
      </c>
      <c r="P3465" t="s">
        <v>34</v>
      </c>
      <c r="Q3465" t="s">
        <v>17</v>
      </c>
      <c r="R3465" t="str" cm="1">
        <f t="array" ref="R3465">_xlfn.IFS(B3465&lt;31,"Young-Adult",B3465&lt;41,"Adult",B3465&lt;61,"Middle-aged",B3465&gt;=61,"Senior")</f>
        <v>Young-Adult</v>
      </c>
      <c r="S3465" cm="1">
        <f t="array" ref="S3465">_xlfn.IFS(Q3465 ="Fortnightly",14,Q3465="Weekly",7,Q3465="Monthly",30,Q3465="Quarterly",90,Q3465="Bi-Weekly",14,Q3465="Annually",365,Q3465="Every 3 Months",90,TRUE,"NOT FOUND")</f>
        <v>14</v>
      </c>
    </row>
    <row r="3466" spans="1:19" x14ac:dyDescent="0.35">
      <c r="A3466">
        <v>3465</v>
      </c>
      <c r="B3466">
        <v>36</v>
      </c>
      <c r="C3466" t="s">
        <v>141</v>
      </c>
      <c r="D3466" t="s">
        <v>50</v>
      </c>
      <c r="E3466" t="s">
        <v>51</v>
      </c>
      <c r="F3466">
        <v>59</v>
      </c>
      <c r="G3466" t="s">
        <v>128</v>
      </c>
      <c r="H3466" t="s">
        <v>24</v>
      </c>
      <c r="I3466" t="s">
        <v>88</v>
      </c>
      <c r="J3466" t="s">
        <v>13</v>
      </c>
      <c r="K3466">
        <v>2.7</v>
      </c>
      <c r="L3466" t="s">
        <v>140</v>
      </c>
      <c r="M3466" t="s">
        <v>33</v>
      </c>
      <c r="N3466" t="s">
        <v>140</v>
      </c>
      <c r="O3466">
        <v>12</v>
      </c>
      <c r="P3466" t="s">
        <v>34</v>
      </c>
      <c r="Q3466" t="s">
        <v>37</v>
      </c>
      <c r="R3466" t="str" cm="1">
        <f t="array" ref="R3466">_xlfn.IFS(B3466&lt;31,"Young-Adult",B3466&lt;41,"Adult",B3466&lt;61,"Middle-aged",B3466&gt;=61,"Senior")</f>
        <v>Adult</v>
      </c>
      <c r="S3466" cm="1">
        <f t="array" ref="S3466">_xlfn.IFS(Q3466 ="Fortnightly",14,Q3466="Weekly",7,Q3466="Monthly",30,Q3466="Quarterly",90,Q3466="Bi-Weekly",14,Q3466="Annually",365,Q3466="Every 3 Months",90,TRUE,"NOT FOUND")</f>
        <v>365</v>
      </c>
    </row>
    <row r="3467" spans="1:19" x14ac:dyDescent="0.35">
      <c r="A3467">
        <v>3466</v>
      </c>
      <c r="B3467">
        <v>19</v>
      </c>
      <c r="C3467" t="s">
        <v>141</v>
      </c>
      <c r="D3467" t="s">
        <v>120</v>
      </c>
      <c r="E3467" t="s">
        <v>55</v>
      </c>
      <c r="F3467">
        <v>53</v>
      </c>
      <c r="G3467" t="s">
        <v>134</v>
      </c>
      <c r="H3467" t="s">
        <v>32</v>
      </c>
      <c r="I3467" t="s">
        <v>68</v>
      </c>
      <c r="J3467" t="s">
        <v>25</v>
      </c>
      <c r="K3467">
        <v>3.4</v>
      </c>
      <c r="L3467" t="s">
        <v>140</v>
      </c>
      <c r="M3467" t="s">
        <v>42</v>
      </c>
      <c r="N3467" t="s">
        <v>140</v>
      </c>
      <c r="O3467">
        <v>31</v>
      </c>
      <c r="P3467" t="s">
        <v>74</v>
      </c>
      <c r="Q3467" t="s">
        <v>28</v>
      </c>
      <c r="R3467" t="str" cm="1">
        <f t="array" ref="R3467">_xlfn.IFS(B3467&lt;31,"Young-Adult",B3467&lt;41,"Adult",B3467&lt;61,"Middle-aged",B3467&gt;=61,"Senior")</f>
        <v>Young-Adult</v>
      </c>
      <c r="S3467" cm="1">
        <f t="array" ref="S3467">_xlfn.IFS(Q3467 ="Fortnightly",14,Q3467="Weekly",7,Q3467="Monthly",30,Q3467="Quarterly",90,Q3467="Bi-Weekly",14,Q3467="Annually",365,Q3467="Every 3 Months",90,TRUE,"NOT FOUND")</f>
        <v>7</v>
      </c>
    </row>
    <row r="3468" spans="1:19" x14ac:dyDescent="0.35">
      <c r="A3468">
        <v>3467</v>
      </c>
      <c r="B3468">
        <v>49</v>
      </c>
      <c r="C3468" t="s">
        <v>141</v>
      </c>
      <c r="D3468" t="s">
        <v>113</v>
      </c>
      <c r="E3468" t="s">
        <v>9</v>
      </c>
      <c r="F3468">
        <v>42</v>
      </c>
      <c r="G3468" t="s">
        <v>116</v>
      </c>
      <c r="H3468" t="s">
        <v>24</v>
      </c>
      <c r="I3468" t="s">
        <v>61</v>
      </c>
      <c r="J3468" t="s">
        <v>41</v>
      </c>
      <c r="K3468">
        <v>4.5999999999999996</v>
      </c>
      <c r="L3468" t="s">
        <v>140</v>
      </c>
      <c r="M3468" t="s">
        <v>42</v>
      </c>
      <c r="N3468" t="s">
        <v>140</v>
      </c>
      <c r="O3468">
        <v>43</v>
      </c>
      <c r="P3468" t="s">
        <v>63</v>
      </c>
      <c r="Q3468" t="s">
        <v>37</v>
      </c>
      <c r="R3468" t="str" cm="1">
        <f t="array" ref="R3468">_xlfn.IFS(B3468&lt;31,"Young-Adult",B3468&lt;41,"Adult",B3468&lt;61,"Middle-aged",B3468&gt;=61,"Senior")</f>
        <v>Middle-aged</v>
      </c>
      <c r="S3468" cm="1">
        <f t="array" ref="S3468">_xlfn.IFS(Q3468 ="Fortnightly",14,Q3468="Weekly",7,Q3468="Monthly",30,Q3468="Quarterly",90,Q3468="Bi-Weekly",14,Q3468="Annually",365,Q3468="Every 3 Months",90,TRUE,"NOT FOUND")</f>
        <v>365</v>
      </c>
    </row>
    <row r="3469" spans="1:19" x14ac:dyDescent="0.35">
      <c r="A3469">
        <v>3468</v>
      </c>
      <c r="B3469">
        <v>18</v>
      </c>
      <c r="C3469" t="s">
        <v>141</v>
      </c>
      <c r="D3469" t="s">
        <v>107</v>
      </c>
      <c r="E3469" t="s">
        <v>55</v>
      </c>
      <c r="F3469">
        <v>45</v>
      </c>
      <c r="G3469" t="s">
        <v>93</v>
      </c>
      <c r="H3469" t="s">
        <v>32</v>
      </c>
      <c r="I3469" t="s">
        <v>49</v>
      </c>
      <c r="J3469" t="s">
        <v>45</v>
      </c>
      <c r="K3469">
        <v>5</v>
      </c>
      <c r="L3469" t="s">
        <v>140</v>
      </c>
      <c r="M3469" t="s">
        <v>33</v>
      </c>
      <c r="N3469" t="s">
        <v>140</v>
      </c>
      <c r="O3469">
        <v>5</v>
      </c>
      <c r="P3469" t="s">
        <v>27</v>
      </c>
      <c r="Q3469" t="s">
        <v>37</v>
      </c>
      <c r="R3469" t="str" cm="1">
        <f t="array" ref="R3469">_xlfn.IFS(B3469&lt;31,"Young-Adult",B3469&lt;41,"Adult",B3469&lt;61,"Middle-aged",B3469&gt;=61,"Senior")</f>
        <v>Young-Adult</v>
      </c>
      <c r="S3469" cm="1">
        <f t="array" ref="S3469">_xlfn.IFS(Q3469 ="Fortnightly",14,Q3469="Weekly",7,Q3469="Monthly",30,Q3469="Quarterly",90,Q3469="Bi-Weekly",14,Q3469="Annually",365,Q3469="Every 3 Months",90,TRUE,"NOT FOUND")</f>
        <v>365</v>
      </c>
    </row>
    <row r="3470" spans="1:19" x14ac:dyDescent="0.35">
      <c r="A3470">
        <v>3469</v>
      </c>
      <c r="B3470">
        <v>36</v>
      </c>
      <c r="C3470" t="s">
        <v>141</v>
      </c>
      <c r="D3470" t="s">
        <v>77</v>
      </c>
      <c r="E3470" t="s">
        <v>55</v>
      </c>
      <c r="F3470">
        <v>89</v>
      </c>
      <c r="G3470" t="s">
        <v>111</v>
      </c>
      <c r="H3470" t="s">
        <v>24</v>
      </c>
      <c r="I3470" t="s">
        <v>114</v>
      </c>
      <c r="J3470" t="s">
        <v>13</v>
      </c>
      <c r="K3470">
        <v>3.5</v>
      </c>
      <c r="L3470" t="s">
        <v>140</v>
      </c>
      <c r="M3470" t="s">
        <v>42</v>
      </c>
      <c r="N3470" t="s">
        <v>140</v>
      </c>
      <c r="O3470">
        <v>36</v>
      </c>
      <c r="P3470" t="s">
        <v>74</v>
      </c>
      <c r="Q3470" t="s">
        <v>46</v>
      </c>
      <c r="R3470" t="str" cm="1">
        <f t="array" ref="R3470">_xlfn.IFS(B3470&lt;31,"Young-Adult",B3470&lt;41,"Adult",B3470&lt;61,"Middle-aged",B3470&gt;=61,"Senior")</f>
        <v>Adult</v>
      </c>
      <c r="S3470" cm="1">
        <f t="array" ref="S3470">_xlfn.IFS(Q3470 ="Fortnightly",14,Q3470="Weekly",7,Q3470="Monthly",30,Q3470="Quarterly",90,Q3470="Bi-Weekly",14,Q3470="Annually",365,Q3470="Every 3 Months",90,TRUE,"NOT FOUND")</f>
        <v>90</v>
      </c>
    </row>
    <row r="3471" spans="1:19" x14ac:dyDescent="0.35">
      <c r="A3471">
        <v>3470</v>
      </c>
      <c r="B3471">
        <v>36</v>
      </c>
      <c r="C3471" t="s">
        <v>141</v>
      </c>
      <c r="D3471" t="s">
        <v>113</v>
      </c>
      <c r="E3471" t="s">
        <v>9</v>
      </c>
      <c r="F3471">
        <v>85</v>
      </c>
      <c r="G3471" t="s">
        <v>102</v>
      </c>
      <c r="H3471" t="s">
        <v>11</v>
      </c>
      <c r="I3471" t="s">
        <v>124</v>
      </c>
      <c r="J3471" t="s">
        <v>45</v>
      </c>
      <c r="K3471">
        <v>3.3</v>
      </c>
      <c r="L3471" t="s">
        <v>140</v>
      </c>
      <c r="M3471" t="s">
        <v>62</v>
      </c>
      <c r="N3471" t="s">
        <v>140</v>
      </c>
      <c r="O3471">
        <v>12</v>
      </c>
      <c r="P3471" t="s">
        <v>21</v>
      </c>
      <c r="Q3471" t="s">
        <v>37</v>
      </c>
      <c r="R3471" t="str" cm="1">
        <f t="array" ref="R3471">_xlfn.IFS(B3471&lt;31,"Young-Adult",B3471&lt;41,"Adult",B3471&lt;61,"Middle-aged",B3471&gt;=61,"Senior")</f>
        <v>Adult</v>
      </c>
      <c r="S3471" cm="1">
        <f t="array" ref="S3471">_xlfn.IFS(Q3471 ="Fortnightly",14,Q3471="Weekly",7,Q3471="Monthly",30,Q3471="Quarterly",90,Q3471="Bi-Weekly",14,Q3471="Annually",365,Q3471="Every 3 Months",90,TRUE,"NOT FOUND")</f>
        <v>365</v>
      </c>
    </row>
    <row r="3472" spans="1:19" x14ac:dyDescent="0.35">
      <c r="A3472">
        <v>3471</v>
      </c>
      <c r="B3472">
        <v>19</v>
      </c>
      <c r="C3472" t="s">
        <v>141</v>
      </c>
      <c r="D3472" t="s">
        <v>50</v>
      </c>
      <c r="E3472" t="s">
        <v>51</v>
      </c>
      <c r="F3472">
        <v>69</v>
      </c>
      <c r="G3472" t="s">
        <v>52</v>
      </c>
      <c r="H3472" t="s">
        <v>24</v>
      </c>
      <c r="I3472" t="s">
        <v>66</v>
      </c>
      <c r="J3472" t="s">
        <v>41</v>
      </c>
      <c r="K3472">
        <v>4.5</v>
      </c>
      <c r="L3472" t="s">
        <v>140</v>
      </c>
      <c r="M3472" t="s">
        <v>26</v>
      </c>
      <c r="N3472" t="s">
        <v>140</v>
      </c>
      <c r="O3472">
        <v>31</v>
      </c>
      <c r="P3472" t="s">
        <v>21</v>
      </c>
      <c r="Q3472" t="s">
        <v>64</v>
      </c>
      <c r="R3472" t="str" cm="1">
        <f t="array" ref="R3472">_xlfn.IFS(B3472&lt;31,"Young-Adult",B3472&lt;41,"Adult",B3472&lt;61,"Middle-aged",B3472&gt;=61,"Senior")</f>
        <v>Young-Adult</v>
      </c>
      <c r="S3472" cm="1">
        <f t="array" ref="S3472">_xlfn.IFS(Q3472 ="Fortnightly",14,Q3472="Weekly",7,Q3472="Monthly",30,Q3472="Quarterly",90,Q3472="Bi-Weekly",14,Q3472="Annually",365,Q3472="Every 3 Months",90,TRUE,"NOT FOUND")</f>
        <v>14</v>
      </c>
    </row>
    <row r="3473" spans="1:19" x14ac:dyDescent="0.35">
      <c r="A3473">
        <v>3472</v>
      </c>
      <c r="B3473">
        <v>43</v>
      </c>
      <c r="C3473" t="s">
        <v>141</v>
      </c>
      <c r="D3473" t="s">
        <v>29</v>
      </c>
      <c r="E3473" t="s">
        <v>30</v>
      </c>
      <c r="F3473">
        <v>66</v>
      </c>
      <c r="G3473" t="s">
        <v>86</v>
      </c>
      <c r="H3473" t="s">
        <v>24</v>
      </c>
      <c r="I3473" t="s">
        <v>132</v>
      </c>
      <c r="J3473" t="s">
        <v>25</v>
      </c>
      <c r="K3473">
        <v>3.1</v>
      </c>
      <c r="L3473" t="s">
        <v>140</v>
      </c>
      <c r="M3473" t="s">
        <v>62</v>
      </c>
      <c r="N3473" t="s">
        <v>140</v>
      </c>
      <c r="O3473">
        <v>31</v>
      </c>
      <c r="P3473" t="s">
        <v>21</v>
      </c>
      <c r="Q3473" t="s">
        <v>64</v>
      </c>
      <c r="R3473" t="str" cm="1">
        <f t="array" ref="R3473">_xlfn.IFS(B3473&lt;31,"Young-Adult",B3473&lt;41,"Adult",B3473&lt;61,"Middle-aged",B3473&gt;=61,"Senior")</f>
        <v>Middle-aged</v>
      </c>
      <c r="S3473" cm="1">
        <f t="array" ref="S3473">_xlfn.IFS(Q3473 ="Fortnightly",14,Q3473="Weekly",7,Q3473="Monthly",30,Q3473="Quarterly",90,Q3473="Bi-Weekly",14,Q3473="Annually",365,Q3473="Every 3 Months",90,TRUE,"NOT FOUND")</f>
        <v>14</v>
      </c>
    </row>
    <row r="3474" spans="1:19" x14ac:dyDescent="0.35">
      <c r="A3474">
        <v>3473</v>
      </c>
      <c r="B3474">
        <v>31</v>
      </c>
      <c r="C3474" t="s">
        <v>141</v>
      </c>
      <c r="D3474" t="s">
        <v>8</v>
      </c>
      <c r="E3474" t="s">
        <v>9</v>
      </c>
      <c r="F3474">
        <v>42</v>
      </c>
      <c r="G3474" t="s">
        <v>130</v>
      </c>
      <c r="H3474" t="s">
        <v>24</v>
      </c>
      <c r="I3474" t="s">
        <v>40</v>
      </c>
      <c r="J3474" t="s">
        <v>41</v>
      </c>
      <c r="K3474">
        <v>4</v>
      </c>
      <c r="L3474" t="s">
        <v>140</v>
      </c>
      <c r="M3474" t="s">
        <v>26</v>
      </c>
      <c r="N3474" t="s">
        <v>140</v>
      </c>
      <c r="O3474">
        <v>15</v>
      </c>
      <c r="P3474" t="s">
        <v>74</v>
      </c>
      <c r="Q3474" t="s">
        <v>28</v>
      </c>
      <c r="R3474" t="str" cm="1">
        <f t="array" ref="R3474">_xlfn.IFS(B3474&lt;31,"Young-Adult",B3474&lt;41,"Adult",B3474&lt;61,"Middle-aged",B3474&gt;=61,"Senior")</f>
        <v>Adult</v>
      </c>
      <c r="S3474" cm="1">
        <f t="array" ref="S3474">_xlfn.IFS(Q3474 ="Fortnightly",14,Q3474="Weekly",7,Q3474="Monthly",30,Q3474="Quarterly",90,Q3474="Bi-Weekly",14,Q3474="Annually",365,Q3474="Every 3 Months",90,TRUE,"NOT FOUND")</f>
        <v>7</v>
      </c>
    </row>
    <row r="3475" spans="1:19" x14ac:dyDescent="0.35">
      <c r="A3475">
        <v>3474</v>
      </c>
      <c r="B3475">
        <v>63</v>
      </c>
      <c r="C3475" t="s">
        <v>141</v>
      </c>
      <c r="D3475" t="s">
        <v>69</v>
      </c>
      <c r="E3475" t="s">
        <v>9</v>
      </c>
      <c r="F3475">
        <v>40</v>
      </c>
      <c r="G3475" t="s">
        <v>99</v>
      </c>
      <c r="H3475" t="s">
        <v>32</v>
      </c>
      <c r="I3475" t="s">
        <v>97</v>
      </c>
      <c r="J3475" t="s">
        <v>25</v>
      </c>
      <c r="K3475">
        <v>2.5</v>
      </c>
      <c r="L3475" t="s">
        <v>140</v>
      </c>
      <c r="M3475" t="s">
        <v>15</v>
      </c>
      <c r="N3475" t="s">
        <v>140</v>
      </c>
      <c r="O3475">
        <v>11</v>
      </c>
      <c r="P3475" t="s">
        <v>21</v>
      </c>
      <c r="Q3475" t="s">
        <v>28</v>
      </c>
      <c r="R3475" t="str" cm="1">
        <f t="array" ref="R3475">_xlfn.IFS(B3475&lt;31,"Young-Adult",B3475&lt;41,"Adult",B3475&lt;61,"Middle-aged",B3475&gt;=61,"Senior")</f>
        <v>Senior</v>
      </c>
      <c r="S3475" cm="1">
        <f t="array" ref="S3475">_xlfn.IFS(Q3475 ="Fortnightly",14,Q3475="Weekly",7,Q3475="Monthly",30,Q3475="Quarterly",90,Q3475="Bi-Weekly",14,Q3475="Annually",365,Q3475="Every 3 Months",90,TRUE,"NOT FOUND")</f>
        <v>7</v>
      </c>
    </row>
    <row r="3476" spans="1:19" x14ac:dyDescent="0.35">
      <c r="A3476">
        <v>3475</v>
      </c>
      <c r="B3476">
        <v>41</v>
      </c>
      <c r="C3476" t="s">
        <v>141</v>
      </c>
      <c r="D3476" t="s">
        <v>83</v>
      </c>
      <c r="E3476" t="s">
        <v>9</v>
      </c>
      <c r="F3476">
        <v>82</v>
      </c>
      <c r="G3476" t="s">
        <v>19</v>
      </c>
      <c r="H3476" t="s">
        <v>32</v>
      </c>
      <c r="I3476" t="s">
        <v>97</v>
      </c>
      <c r="J3476" t="s">
        <v>13</v>
      </c>
      <c r="K3476">
        <v>4.4000000000000004</v>
      </c>
      <c r="L3476" t="s">
        <v>140</v>
      </c>
      <c r="M3476" t="s">
        <v>62</v>
      </c>
      <c r="N3476" t="s">
        <v>140</v>
      </c>
      <c r="O3476">
        <v>18</v>
      </c>
      <c r="P3476" t="s">
        <v>16</v>
      </c>
      <c r="Q3476" t="s">
        <v>76</v>
      </c>
      <c r="R3476" t="str" cm="1">
        <f t="array" ref="R3476">_xlfn.IFS(B3476&lt;31,"Young-Adult",B3476&lt;41,"Adult",B3476&lt;61,"Middle-aged",B3476&gt;=61,"Senior")</f>
        <v>Middle-aged</v>
      </c>
      <c r="S3476" cm="1">
        <f t="array" ref="S3476">_xlfn.IFS(Q3476 ="Fortnightly",14,Q3476="Weekly",7,Q3476="Monthly",30,Q3476="Quarterly",90,Q3476="Bi-Weekly",14,Q3476="Annually",365,Q3476="Every 3 Months",90,TRUE,"NOT FOUND")</f>
        <v>30</v>
      </c>
    </row>
    <row r="3477" spans="1:19" x14ac:dyDescent="0.35">
      <c r="A3477">
        <v>3476</v>
      </c>
      <c r="B3477">
        <v>48</v>
      </c>
      <c r="C3477" t="s">
        <v>141</v>
      </c>
      <c r="D3477" t="s">
        <v>38</v>
      </c>
      <c r="E3477" t="s">
        <v>30</v>
      </c>
      <c r="F3477">
        <v>88</v>
      </c>
      <c r="G3477" t="s">
        <v>119</v>
      </c>
      <c r="H3477" t="s">
        <v>32</v>
      </c>
      <c r="I3477" t="s">
        <v>109</v>
      </c>
      <c r="J3477" t="s">
        <v>25</v>
      </c>
      <c r="K3477">
        <v>4.4000000000000004</v>
      </c>
      <c r="L3477" t="s">
        <v>140</v>
      </c>
      <c r="M3477" t="s">
        <v>15</v>
      </c>
      <c r="N3477" t="s">
        <v>140</v>
      </c>
      <c r="O3477">
        <v>9</v>
      </c>
      <c r="P3477" t="s">
        <v>21</v>
      </c>
      <c r="Q3477" t="s">
        <v>46</v>
      </c>
      <c r="R3477" t="str" cm="1">
        <f t="array" ref="R3477">_xlfn.IFS(B3477&lt;31,"Young-Adult",B3477&lt;41,"Adult",B3477&lt;61,"Middle-aged",B3477&gt;=61,"Senior")</f>
        <v>Middle-aged</v>
      </c>
      <c r="S3477" cm="1">
        <f t="array" ref="S3477">_xlfn.IFS(Q3477 ="Fortnightly",14,Q3477="Weekly",7,Q3477="Monthly",30,Q3477="Quarterly",90,Q3477="Bi-Weekly",14,Q3477="Annually",365,Q3477="Every 3 Months",90,TRUE,"NOT FOUND")</f>
        <v>90</v>
      </c>
    </row>
    <row r="3478" spans="1:19" x14ac:dyDescent="0.35">
      <c r="A3478">
        <v>3477</v>
      </c>
      <c r="B3478">
        <v>68</v>
      </c>
      <c r="C3478" t="s">
        <v>141</v>
      </c>
      <c r="D3478" t="s">
        <v>125</v>
      </c>
      <c r="E3478" t="s">
        <v>30</v>
      </c>
      <c r="F3478">
        <v>99</v>
      </c>
      <c r="G3478" t="s">
        <v>119</v>
      </c>
      <c r="H3478" t="s">
        <v>80</v>
      </c>
      <c r="I3478" t="s">
        <v>109</v>
      </c>
      <c r="J3478" t="s">
        <v>41</v>
      </c>
      <c r="K3478">
        <v>3.2</v>
      </c>
      <c r="L3478" t="s">
        <v>140</v>
      </c>
      <c r="M3478" t="s">
        <v>26</v>
      </c>
      <c r="N3478" t="s">
        <v>140</v>
      </c>
      <c r="O3478">
        <v>11</v>
      </c>
      <c r="P3478" t="s">
        <v>21</v>
      </c>
      <c r="Q3478" t="s">
        <v>28</v>
      </c>
      <c r="R3478" t="str" cm="1">
        <f t="array" ref="R3478">_xlfn.IFS(B3478&lt;31,"Young-Adult",B3478&lt;41,"Adult",B3478&lt;61,"Middle-aged",B3478&gt;=61,"Senior")</f>
        <v>Senior</v>
      </c>
      <c r="S3478" cm="1">
        <f t="array" ref="S3478">_xlfn.IFS(Q3478 ="Fortnightly",14,Q3478="Weekly",7,Q3478="Monthly",30,Q3478="Quarterly",90,Q3478="Bi-Weekly",14,Q3478="Annually",365,Q3478="Every 3 Months",90,TRUE,"NOT FOUND")</f>
        <v>7</v>
      </c>
    </row>
    <row r="3479" spans="1:19" x14ac:dyDescent="0.35">
      <c r="A3479">
        <v>3478</v>
      </c>
      <c r="B3479">
        <v>53</v>
      </c>
      <c r="C3479" t="s">
        <v>141</v>
      </c>
      <c r="D3479" t="s">
        <v>54</v>
      </c>
      <c r="E3479" t="s">
        <v>55</v>
      </c>
      <c r="F3479">
        <v>85</v>
      </c>
      <c r="G3479" t="s">
        <v>10</v>
      </c>
      <c r="H3479" t="s">
        <v>24</v>
      </c>
      <c r="I3479" t="s">
        <v>73</v>
      </c>
      <c r="J3479" t="s">
        <v>25</v>
      </c>
      <c r="K3479">
        <v>3.8</v>
      </c>
      <c r="L3479" t="s">
        <v>140</v>
      </c>
      <c r="M3479" t="s">
        <v>62</v>
      </c>
      <c r="N3479" t="s">
        <v>140</v>
      </c>
      <c r="O3479">
        <v>38</v>
      </c>
      <c r="P3479" t="s">
        <v>74</v>
      </c>
      <c r="Q3479" t="s">
        <v>64</v>
      </c>
      <c r="R3479" t="str" cm="1">
        <f t="array" ref="R3479">_xlfn.IFS(B3479&lt;31,"Young-Adult",B3479&lt;41,"Adult",B3479&lt;61,"Middle-aged",B3479&gt;=61,"Senior")</f>
        <v>Middle-aged</v>
      </c>
      <c r="S3479" cm="1">
        <f t="array" ref="S3479">_xlfn.IFS(Q3479 ="Fortnightly",14,Q3479="Weekly",7,Q3479="Monthly",30,Q3479="Quarterly",90,Q3479="Bi-Weekly",14,Q3479="Annually",365,Q3479="Every 3 Months",90,TRUE,"NOT FOUND")</f>
        <v>14</v>
      </c>
    </row>
    <row r="3480" spans="1:19" x14ac:dyDescent="0.35">
      <c r="A3480">
        <v>3479</v>
      </c>
      <c r="B3480">
        <v>36</v>
      </c>
      <c r="C3480" t="s">
        <v>141</v>
      </c>
      <c r="D3480" t="s">
        <v>54</v>
      </c>
      <c r="E3480" t="s">
        <v>55</v>
      </c>
      <c r="F3480">
        <v>57</v>
      </c>
      <c r="G3480" t="s">
        <v>105</v>
      </c>
      <c r="H3480" t="s">
        <v>32</v>
      </c>
      <c r="I3480" t="s">
        <v>124</v>
      </c>
      <c r="J3480" t="s">
        <v>45</v>
      </c>
      <c r="K3480">
        <v>4.5999999999999996</v>
      </c>
      <c r="L3480" t="s">
        <v>140</v>
      </c>
      <c r="M3480" t="s">
        <v>62</v>
      </c>
      <c r="N3480" t="s">
        <v>140</v>
      </c>
      <c r="O3480">
        <v>42</v>
      </c>
      <c r="P3480" t="s">
        <v>34</v>
      </c>
      <c r="Q3480" t="s">
        <v>46</v>
      </c>
      <c r="R3480" t="str" cm="1">
        <f t="array" ref="R3480">_xlfn.IFS(B3480&lt;31,"Young-Adult",B3480&lt;41,"Adult",B3480&lt;61,"Middle-aged",B3480&gt;=61,"Senior")</f>
        <v>Adult</v>
      </c>
      <c r="S3480" cm="1">
        <f t="array" ref="S3480">_xlfn.IFS(Q3480 ="Fortnightly",14,Q3480="Weekly",7,Q3480="Monthly",30,Q3480="Quarterly",90,Q3480="Bi-Weekly",14,Q3480="Annually",365,Q3480="Every 3 Months",90,TRUE,"NOT FOUND")</f>
        <v>90</v>
      </c>
    </row>
    <row r="3481" spans="1:19" x14ac:dyDescent="0.35">
      <c r="A3481">
        <v>3480</v>
      </c>
      <c r="B3481">
        <v>46</v>
      </c>
      <c r="C3481" t="s">
        <v>141</v>
      </c>
      <c r="D3481" t="s">
        <v>18</v>
      </c>
      <c r="E3481" t="s">
        <v>9</v>
      </c>
      <c r="F3481">
        <v>56</v>
      </c>
      <c r="G3481" t="s">
        <v>72</v>
      </c>
      <c r="H3481" t="s">
        <v>24</v>
      </c>
      <c r="I3481" t="s">
        <v>109</v>
      </c>
      <c r="J3481" t="s">
        <v>41</v>
      </c>
      <c r="K3481">
        <v>4.9000000000000004</v>
      </c>
      <c r="L3481" t="s">
        <v>140</v>
      </c>
      <c r="M3481" t="s">
        <v>42</v>
      </c>
      <c r="N3481" t="s">
        <v>140</v>
      </c>
      <c r="O3481">
        <v>41</v>
      </c>
      <c r="P3481" t="s">
        <v>21</v>
      </c>
      <c r="Q3481" t="s">
        <v>76</v>
      </c>
      <c r="R3481" t="str" cm="1">
        <f t="array" ref="R3481">_xlfn.IFS(B3481&lt;31,"Young-Adult",B3481&lt;41,"Adult",B3481&lt;61,"Middle-aged",B3481&gt;=61,"Senior")</f>
        <v>Middle-aged</v>
      </c>
      <c r="S3481" cm="1">
        <f t="array" ref="S3481">_xlfn.IFS(Q3481 ="Fortnightly",14,Q3481="Weekly",7,Q3481="Monthly",30,Q3481="Quarterly",90,Q3481="Bi-Weekly",14,Q3481="Annually",365,Q3481="Every 3 Months",90,TRUE,"NOT FOUND")</f>
        <v>30</v>
      </c>
    </row>
    <row r="3482" spans="1:19" x14ac:dyDescent="0.35">
      <c r="A3482">
        <v>3481</v>
      </c>
      <c r="B3482">
        <v>21</v>
      </c>
      <c r="C3482" t="s">
        <v>141</v>
      </c>
      <c r="D3482" t="s">
        <v>29</v>
      </c>
      <c r="E3482" t="s">
        <v>30</v>
      </c>
      <c r="F3482">
        <v>79</v>
      </c>
      <c r="G3482" t="s">
        <v>70</v>
      </c>
      <c r="H3482" t="s">
        <v>11</v>
      </c>
      <c r="I3482" t="s">
        <v>88</v>
      </c>
      <c r="J3482" t="s">
        <v>13</v>
      </c>
      <c r="K3482">
        <v>3.5</v>
      </c>
      <c r="L3482" t="s">
        <v>140</v>
      </c>
      <c r="M3482" t="s">
        <v>26</v>
      </c>
      <c r="N3482" t="s">
        <v>140</v>
      </c>
      <c r="O3482">
        <v>45</v>
      </c>
      <c r="P3482" t="s">
        <v>34</v>
      </c>
      <c r="Q3482" t="s">
        <v>76</v>
      </c>
      <c r="R3482" t="str" cm="1">
        <f t="array" ref="R3482">_xlfn.IFS(B3482&lt;31,"Young-Adult",B3482&lt;41,"Adult",B3482&lt;61,"Middle-aged",B3482&gt;=61,"Senior")</f>
        <v>Young-Adult</v>
      </c>
      <c r="S3482" cm="1">
        <f t="array" ref="S3482">_xlfn.IFS(Q3482 ="Fortnightly",14,Q3482="Weekly",7,Q3482="Monthly",30,Q3482="Quarterly",90,Q3482="Bi-Weekly",14,Q3482="Annually",365,Q3482="Every 3 Months",90,TRUE,"NOT FOUND")</f>
        <v>30</v>
      </c>
    </row>
    <row r="3483" spans="1:19" x14ac:dyDescent="0.35">
      <c r="A3483">
        <v>3482</v>
      </c>
      <c r="B3483">
        <v>52</v>
      </c>
      <c r="C3483" t="s">
        <v>141</v>
      </c>
      <c r="D3483" t="s">
        <v>113</v>
      </c>
      <c r="E3483" t="s">
        <v>9</v>
      </c>
      <c r="F3483">
        <v>67</v>
      </c>
      <c r="G3483" t="s">
        <v>111</v>
      </c>
      <c r="H3483" t="s">
        <v>24</v>
      </c>
      <c r="I3483" t="s">
        <v>20</v>
      </c>
      <c r="J3483" t="s">
        <v>41</v>
      </c>
      <c r="K3483">
        <v>3.4</v>
      </c>
      <c r="L3483" t="s">
        <v>140</v>
      </c>
      <c r="M3483" t="s">
        <v>62</v>
      </c>
      <c r="N3483" t="s">
        <v>140</v>
      </c>
      <c r="O3483">
        <v>41</v>
      </c>
      <c r="P3483" t="s">
        <v>74</v>
      </c>
      <c r="Q3483" t="s">
        <v>64</v>
      </c>
      <c r="R3483" t="str" cm="1">
        <f t="array" ref="R3483">_xlfn.IFS(B3483&lt;31,"Young-Adult",B3483&lt;41,"Adult",B3483&lt;61,"Middle-aged",B3483&gt;=61,"Senior")</f>
        <v>Middle-aged</v>
      </c>
      <c r="S3483" cm="1">
        <f t="array" ref="S3483">_xlfn.IFS(Q3483 ="Fortnightly",14,Q3483="Weekly",7,Q3483="Monthly",30,Q3483="Quarterly",90,Q3483="Bi-Weekly",14,Q3483="Annually",365,Q3483="Every 3 Months",90,TRUE,"NOT FOUND")</f>
        <v>14</v>
      </c>
    </row>
    <row r="3484" spans="1:19" x14ac:dyDescent="0.35">
      <c r="A3484">
        <v>3483</v>
      </c>
      <c r="B3484">
        <v>66</v>
      </c>
      <c r="C3484" t="s">
        <v>141</v>
      </c>
      <c r="D3484" t="s">
        <v>131</v>
      </c>
      <c r="E3484" t="s">
        <v>55</v>
      </c>
      <c r="F3484">
        <v>61</v>
      </c>
      <c r="G3484" t="s">
        <v>65</v>
      </c>
      <c r="H3484" t="s">
        <v>32</v>
      </c>
      <c r="I3484" t="s">
        <v>68</v>
      </c>
      <c r="J3484" t="s">
        <v>13</v>
      </c>
      <c r="K3484">
        <v>3.9</v>
      </c>
      <c r="L3484" t="s">
        <v>140</v>
      </c>
      <c r="M3484" t="s">
        <v>33</v>
      </c>
      <c r="N3484" t="s">
        <v>140</v>
      </c>
      <c r="O3484">
        <v>35</v>
      </c>
      <c r="P3484" t="s">
        <v>74</v>
      </c>
      <c r="Q3484" t="s">
        <v>28</v>
      </c>
      <c r="R3484" t="str" cm="1">
        <f t="array" ref="R3484">_xlfn.IFS(B3484&lt;31,"Young-Adult",B3484&lt;41,"Adult",B3484&lt;61,"Middle-aged",B3484&gt;=61,"Senior")</f>
        <v>Senior</v>
      </c>
      <c r="S3484" cm="1">
        <f t="array" ref="S3484">_xlfn.IFS(Q3484 ="Fortnightly",14,Q3484="Weekly",7,Q3484="Monthly",30,Q3484="Quarterly",90,Q3484="Bi-Weekly",14,Q3484="Annually",365,Q3484="Every 3 Months",90,TRUE,"NOT FOUND")</f>
        <v>7</v>
      </c>
    </row>
    <row r="3485" spans="1:19" x14ac:dyDescent="0.35">
      <c r="A3485">
        <v>3484</v>
      </c>
      <c r="B3485">
        <v>19</v>
      </c>
      <c r="C3485" t="s">
        <v>141</v>
      </c>
      <c r="D3485" t="s">
        <v>92</v>
      </c>
      <c r="E3485" t="s">
        <v>9</v>
      </c>
      <c r="F3485">
        <v>37</v>
      </c>
      <c r="G3485" t="s">
        <v>93</v>
      </c>
      <c r="H3485" t="s">
        <v>11</v>
      </c>
      <c r="I3485" t="s">
        <v>40</v>
      </c>
      <c r="J3485" t="s">
        <v>13</v>
      </c>
      <c r="K3485">
        <v>3.9</v>
      </c>
      <c r="L3485" t="s">
        <v>140</v>
      </c>
      <c r="M3485" t="s">
        <v>15</v>
      </c>
      <c r="N3485" t="s">
        <v>140</v>
      </c>
      <c r="O3485">
        <v>21</v>
      </c>
      <c r="P3485" t="s">
        <v>27</v>
      </c>
      <c r="Q3485" t="s">
        <v>85</v>
      </c>
      <c r="R3485" t="str" cm="1">
        <f t="array" ref="R3485">_xlfn.IFS(B3485&lt;31,"Young-Adult",B3485&lt;41,"Adult",B3485&lt;61,"Middle-aged",B3485&gt;=61,"Senior")</f>
        <v>Young-Adult</v>
      </c>
      <c r="S3485" cm="1">
        <f t="array" ref="S3485">_xlfn.IFS(Q3485 ="Fortnightly",14,Q3485="Weekly",7,Q3485="Monthly",30,Q3485="Quarterly",90,Q3485="Bi-Weekly",14,Q3485="Annually",365,Q3485="Every 3 Months",90,TRUE,"NOT FOUND")</f>
        <v>90</v>
      </c>
    </row>
    <row r="3486" spans="1:19" x14ac:dyDescent="0.35">
      <c r="A3486">
        <v>3485</v>
      </c>
      <c r="B3486">
        <v>44</v>
      </c>
      <c r="C3486" t="s">
        <v>141</v>
      </c>
      <c r="D3486" t="s">
        <v>69</v>
      </c>
      <c r="E3486" t="s">
        <v>9</v>
      </c>
      <c r="F3486">
        <v>75</v>
      </c>
      <c r="G3486" t="s">
        <v>103</v>
      </c>
      <c r="H3486" t="s">
        <v>11</v>
      </c>
      <c r="I3486" t="s">
        <v>12</v>
      </c>
      <c r="J3486" t="s">
        <v>45</v>
      </c>
      <c r="K3486">
        <v>4.2</v>
      </c>
      <c r="L3486" t="s">
        <v>140</v>
      </c>
      <c r="M3486" t="s">
        <v>26</v>
      </c>
      <c r="N3486" t="s">
        <v>140</v>
      </c>
      <c r="O3486">
        <v>13</v>
      </c>
      <c r="P3486" t="s">
        <v>27</v>
      </c>
      <c r="Q3486" t="s">
        <v>64</v>
      </c>
      <c r="R3486" t="str" cm="1">
        <f t="array" ref="R3486">_xlfn.IFS(B3486&lt;31,"Young-Adult",B3486&lt;41,"Adult",B3486&lt;61,"Middle-aged",B3486&gt;=61,"Senior")</f>
        <v>Middle-aged</v>
      </c>
      <c r="S3486" cm="1">
        <f t="array" ref="S3486">_xlfn.IFS(Q3486 ="Fortnightly",14,Q3486="Weekly",7,Q3486="Monthly",30,Q3486="Quarterly",90,Q3486="Bi-Weekly",14,Q3486="Annually",365,Q3486="Every 3 Months",90,TRUE,"NOT FOUND")</f>
        <v>14</v>
      </c>
    </row>
    <row r="3487" spans="1:19" x14ac:dyDescent="0.35">
      <c r="A3487">
        <v>3486</v>
      </c>
      <c r="B3487">
        <v>50</v>
      </c>
      <c r="C3487" t="s">
        <v>141</v>
      </c>
      <c r="D3487" t="s">
        <v>43</v>
      </c>
      <c r="E3487" t="s">
        <v>9</v>
      </c>
      <c r="F3487">
        <v>21</v>
      </c>
      <c r="G3487" t="s">
        <v>23</v>
      </c>
      <c r="H3487" t="s">
        <v>80</v>
      </c>
      <c r="I3487" t="s">
        <v>98</v>
      </c>
      <c r="J3487" t="s">
        <v>13</v>
      </c>
      <c r="K3487">
        <v>3.4</v>
      </c>
      <c r="L3487" t="s">
        <v>140</v>
      </c>
      <c r="M3487" t="s">
        <v>42</v>
      </c>
      <c r="N3487" t="s">
        <v>140</v>
      </c>
      <c r="O3487">
        <v>23</v>
      </c>
      <c r="P3487" t="s">
        <v>74</v>
      </c>
      <c r="Q3487" t="s">
        <v>17</v>
      </c>
      <c r="R3487" t="str" cm="1">
        <f t="array" ref="R3487">_xlfn.IFS(B3487&lt;31,"Young-Adult",B3487&lt;41,"Adult",B3487&lt;61,"Middle-aged",B3487&gt;=61,"Senior")</f>
        <v>Middle-aged</v>
      </c>
      <c r="S3487" cm="1">
        <f t="array" ref="S3487">_xlfn.IFS(Q3487 ="Fortnightly",14,Q3487="Weekly",7,Q3487="Monthly",30,Q3487="Quarterly",90,Q3487="Bi-Weekly",14,Q3487="Annually",365,Q3487="Every 3 Months",90,TRUE,"NOT FOUND")</f>
        <v>14</v>
      </c>
    </row>
    <row r="3488" spans="1:19" x14ac:dyDescent="0.35">
      <c r="A3488">
        <v>3487</v>
      </c>
      <c r="B3488">
        <v>51</v>
      </c>
      <c r="C3488" t="s">
        <v>141</v>
      </c>
      <c r="D3488" t="s">
        <v>47</v>
      </c>
      <c r="E3488" t="s">
        <v>9</v>
      </c>
      <c r="F3488">
        <v>89</v>
      </c>
      <c r="G3488" t="s">
        <v>86</v>
      </c>
      <c r="H3488" t="s">
        <v>11</v>
      </c>
      <c r="I3488" t="s">
        <v>49</v>
      </c>
      <c r="J3488" t="s">
        <v>13</v>
      </c>
      <c r="K3488">
        <v>4.9000000000000004</v>
      </c>
      <c r="L3488" t="s">
        <v>140</v>
      </c>
      <c r="M3488" t="s">
        <v>42</v>
      </c>
      <c r="N3488" t="s">
        <v>140</v>
      </c>
      <c r="O3488">
        <v>6</v>
      </c>
      <c r="P3488" t="s">
        <v>34</v>
      </c>
      <c r="Q3488" t="s">
        <v>28</v>
      </c>
      <c r="R3488" t="str" cm="1">
        <f t="array" ref="R3488">_xlfn.IFS(B3488&lt;31,"Young-Adult",B3488&lt;41,"Adult",B3488&lt;61,"Middle-aged",B3488&gt;=61,"Senior")</f>
        <v>Middle-aged</v>
      </c>
      <c r="S3488" cm="1">
        <f t="array" ref="S3488">_xlfn.IFS(Q3488 ="Fortnightly",14,Q3488="Weekly",7,Q3488="Monthly",30,Q3488="Quarterly",90,Q3488="Bi-Weekly",14,Q3488="Annually",365,Q3488="Every 3 Months",90,TRUE,"NOT FOUND")</f>
        <v>7</v>
      </c>
    </row>
    <row r="3489" spans="1:19" x14ac:dyDescent="0.35">
      <c r="A3489">
        <v>3488</v>
      </c>
      <c r="B3489">
        <v>25</v>
      </c>
      <c r="C3489" t="s">
        <v>141</v>
      </c>
      <c r="D3489" t="s">
        <v>29</v>
      </c>
      <c r="E3489" t="s">
        <v>30</v>
      </c>
      <c r="F3489">
        <v>24</v>
      </c>
      <c r="G3489" t="s">
        <v>52</v>
      </c>
      <c r="H3489" t="s">
        <v>11</v>
      </c>
      <c r="I3489" t="s">
        <v>106</v>
      </c>
      <c r="J3489" t="s">
        <v>45</v>
      </c>
      <c r="K3489">
        <v>2.9</v>
      </c>
      <c r="L3489" t="s">
        <v>140</v>
      </c>
      <c r="M3489" t="s">
        <v>62</v>
      </c>
      <c r="N3489" t="s">
        <v>140</v>
      </c>
      <c r="O3489">
        <v>39</v>
      </c>
      <c r="P3489" t="s">
        <v>63</v>
      </c>
      <c r="Q3489" t="s">
        <v>37</v>
      </c>
      <c r="R3489" t="str" cm="1">
        <f t="array" ref="R3489">_xlfn.IFS(B3489&lt;31,"Young-Adult",B3489&lt;41,"Adult",B3489&lt;61,"Middle-aged",B3489&gt;=61,"Senior")</f>
        <v>Young-Adult</v>
      </c>
      <c r="S3489" cm="1">
        <f t="array" ref="S3489">_xlfn.IFS(Q3489 ="Fortnightly",14,Q3489="Weekly",7,Q3489="Monthly",30,Q3489="Quarterly",90,Q3489="Bi-Weekly",14,Q3489="Annually",365,Q3489="Every 3 Months",90,TRUE,"NOT FOUND")</f>
        <v>365</v>
      </c>
    </row>
    <row r="3490" spans="1:19" x14ac:dyDescent="0.35">
      <c r="A3490">
        <v>3489</v>
      </c>
      <c r="B3490">
        <v>62</v>
      </c>
      <c r="C3490" t="s">
        <v>141</v>
      </c>
      <c r="D3490" t="s">
        <v>18</v>
      </c>
      <c r="E3490" t="s">
        <v>9</v>
      </c>
      <c r="F3490">
        <v>27</v>
      </c>
      <c r="G3490" t="s">
        <v>67</v>
      </c>
      <c r="H3490" t="s">
        <v>80</v>
      </c>
      <c r="I3490" t="s">
        <v>73</v>
      </c>
      <c r="J3490" t="s">
        <v>25</v>
      </c>
      <c r="K3490">
        <v>4.9000000000000004</v>
      </c>
      <c r="L3490" t="s">
        <v>140</v>
      </c>
      <c r="M3490" t="s">
        <v>62</v>
      </c>
      <c r="N3490" t="s">
        <v>140</v>
      </c>
      <c r="O3490">
        <v>7</v>
      </c>
      <c r="P3490" t="s">
        <v>21</v>
      </c>
      <c r="Q3490" t="s">
        <v>46</v>
      </c>
      <c r="R3490" t="str" cm="1">
        <f t="array" ref="R3490">_xlfn.IFS(B3490&lt;31,"Young-Adult",B3490&lt;41,"Adult",B3490&lt;61,"Middle-aged",B3490&gt;=61,"Senior")</f>
        <v>Senior</v>
      </c>
      <c r="S3490" cm="1">
        <f t="array" ref="S3490">_xlfn.IFS(Q3490 ="Fortnightly",14,Q3490="Weekly",7,Q3490="Monthly",30,Q3490="Quarterly",90,Q3490="Bi-Weekly",14,Q3490="Annually",365,Q3490="Every 3 Months",90,TRUE,"NOT FOUND")</f>
        <v>90</v>
      </c>
    </row>
    <row r="3491" spans="1:19" x14ac:dyDescent="0.35">
      <c r="A3491">
        <v>3490</v>
      </c>
      <c r="B3491">
        <v>48</v>
      </c>
      <c r="C3491" t="s">
        <v>141</v>
      </c>
      <c r="D3491" t="s">
        <v>69</v>
      </c>
      <c r="E3491" t="s">
        <v>9</v>
      </c>
      <c r="F3491">
        <v>26</v>
      </c>
      <c r="G3491" t="s">
        <v>123</v>
      </c>
      <c r="H3491" t="s">
        <v>11</v>
      </c>
      <c r="I3491" t="s">
        <v>82</v>
      </c>
      <c r="J3491" t="s">
        <v>41</v>
      </c>
      <c r="K3491">
        <v>4.5999999999999996</v>
      </c>
      <c r="L3491" t="s">
        <v>140</v>
      </c>
      <c r="M3491" t="s">
        <v>58</v>
      </c>
      <c r="N3491" t="s">
        <v>140</v>
      </c>
      <c r="O3491">
        <v>32</v>
      </c>
      <c r="P3491" t="s">
        <v>34</v>
      </c>
      <c r="Q3491" t="s">
        <v>85</v>
      </c>
      <c r="R3491" t="str" cm="1">
        <f t="array" ref="R3491">_xlfn.IFS(B3491&lt;31,"Young-Adult",B3491&lt;41,"Adult",B3491&lt;61,"Middle-aged",B3491&gt;=61,"Senior")</f>
        <v>Middle-aged</v>
      </c>
      <c r="S3491" cm="1">
        <f t="array" ref="S3491">_xlfn.IFS(Q3491 ="Fortnightly",14,Q3491="Weekly",7,Q3491="Monthly",30,Q3491="Quarterly",90,Q3491="Bi-Weekly",14,Q3491="Annually",365,Q3491="Every 3 Months",90,TRUE,"NOT FOUND")</f>
        <v>90</v>
      </c>
    </row>
    <row r="3492" spans="1:19" x14ac:dyDescent="0.35">
      <c r="A3492">
        <v>3491</v>
      </c>
      <c r="B3492">
        <v>62</v>
      </c>
      <c r="C3492" t="s">
        <v>141</v>
      </c>
      <c r="D3492" t="s">
        <v>125</v>
      </c>
      <c r="E3492" t="s">
        <v>30</v>
      </c>
      <c r="F3492">
        <v>82</v>
      </c>
      <c r="G3492" t="s">
        <v>35</v>
      </c>
      <c r="H3492" t="s">
        <v>32</v>
      </c>
      <c r="I3492" t="s">
        <v>71</v>
      </c>
      <c r="J3492" t="s">
        <v>25</v>
      </c>
      <c r="K3492">
        <v>3.6</v>
      </c>
      <c r="L3492" t="s">
        <v>140</v>
      </c>
      <c r="M3492" t="s">
        <v>62</v>
      </c>
      <c r="N3492" t="s">
        <v>140</v>
      </c>
      <c r="O3492">
        <v>43</v>
      </c>
      <c r="P3492" t="s">
        <v>27</v>
      </c>
      <c r="Q3492" t="s">
        <v>46</v>
      </c>
      <c r="R3492" t="str" cm="1">
        <f t="array" ref="R3492">_xlfn.IFS(B3492&lt;31,"Young-Adult",B3492&lt;41,"Adult",B3492&lt;61,"Middle-aged",B3492&gt;=61,"Senior")</f>
        <v>Senior</v>
      </c>
      <c r="S3492" cm="1">
        <f t="array" ref="S3492">_xlfn.IFS(Q3492 ="Fortnightly",14,Q3492="Weekly",7,Q3492="Monthly",30,Q3492="Quarterly",90,Q3492="Bi-Weekly",14,Q3492="Annually",365,Q3492="Every 3 Months",90,TRUE,"NOT FOUND")</f>
        <v>90</v>
      </c>
    </row>
    <row r="3493" spans="1:19" x14ac:dyDescent="0.35">
      <c r="A3493">
        <v>3492</v>
      </c>
      <c r="B3493">
        <v>22</v>
      </c>
      <c r="C3493" t="s">
        <v>141</v>
      </c>
      <c r="D3493" t="s">
        <v>83</v>
      </c>
      <c r="E3493" t="s">
        <v>9</v>
      </c>
      <c r="F3493">
        <v>28</v>
      </c>
      <c r="G3493" t="s">
        <v>19</v>
      </c>
      <c r="H3493" t="s">
        <v>32</v>
      </c>
      <c r="I3493" t="s">
        <v>109</v>
      </c>
      <c r="J3493" t="s">
        <v>13</v>
      </c>
      <c r="K3493">
        <v>4.3</v>
      </c>
      <c r="L3493" t="s">
        <v>140</v>
      </c>
      <c r="M3493" t="s">
        <v>15</v>
      </c>
      <c r="N3493" t="s">
        <v>140</v>
      </c>
      <c r="O3493">
        <v>15</v>
      </c>
      <c r="P3493" t="s">
        <v>21</v>
      </c>
      <c r="Q3493" t="s">
        <v>76</v>
      </c>
      <c r="R3493" t="str" cm="1">
        <f t="array" ref="R3493">_xlfn.IFS(B3493&lt;31,"Young-Adult",B3493&lt;41,"Adult",B3493&lt;61,"Middle-aged",B3493&gt;=61,"Senior")</f>
        <v>Young-Adult</v>
      </c>
      <c r="S3493" cm="1">
        <f t="array" ref="S3493">_xlfn.IFS(Q3493 ="Fortnightly",14,Q3493="Weekly",7,Q3493="Monthly",30,Q3493="Quarterly",90,Q3493="Bi-Weekly",14,Q3493="Annually",365,Q3493="Every 3 Months",90,TRUE,"NOT FOUND")</f>
        <v>30</v>
      </c>
    </row>
    <row r="3494" spans="1:19" x14ac:dyDescent="0.35">
      <c r="A3494">
        <v>3493</v>
      </c>
      <c r="B3494">
        <v>48</v>
      </c>
      <c r="C3494" t="s">
        <v>141</v>
      </c>
      <c r="D3494" t="s">
        <v>131</v>
      </c>
      <c r="E3494" t="s">
        <v>55</v>
      </c>
      <c r="F3494">
        <v>65</v>
      </c>
      <c r="G3494" t="s">
        <v>135</v>
      </c>
      <c r="H3494" t="s">
        <v>32</v>
      </c>
      <c r="I3494" t="s">
        <v>36</v>
      </c>
      <c r="J3494" t="s">
        <v>45</v>
      </c>
      <c r="K3494">
        <v>4.5999999999999996</v>
      </c>
      <c r="L3494" t="s">
        <v>140</v>
      </c>
      <c r="M3494" t="s">
        <v>42</v>
      </c>
      <c r="N3494" t="s">
        <v>140</v>
      </c>
      <c r="O3494">
        <v>48</v>
      </c>
      <c r="P3494" t="s">
        <v>63</v>
      </c>
      <c r="Q3494" t="s">
        <v>37</v>
      </c>
      <c r="R3494" t="str" cm="1">
        <f t="array" ref="R3494">_xlfn.IFS(B3494&lt;31,"Young-Adult",B3494&lt;41,"Adult",B3494&lt;61,"Middle-aged",B3494&gt;=61,"Senior")</f>
        <v>Middle-aged</v>
      </c>
      <c r="S3494" cm="1">
        <f t="array" ref="S3494">_xlfn.IFS(Q3494 ="Fortnightly",14,Q3494="Weekly",7,Q3494="Monthly",30,Q3494="Quarterly",90,Q3494="Bi-Weekly",14,Q3494="Annually",365,Q3494="Every 3 Months",90,TRUE,"NOT FOUND")</f>
        <v>365</v>
      </c>
    </row>
    <row r="3495" spans="1:19" x14ac:dyDescent="0.35">
      <c r="A3495">
        <v>3494</v>
      </c>
      <c r="B3495">
        <v>48</v>
      </c>
      <c r="C3495" t="s">
        <v>141</v>
      </c>
      <c r="D3495" t="s">
        <v>83</v>
      </c>
      <c r="E3495" t="s">
        <v>9</v>
      </c>
      <c r="F3495">
        <v>82</v>
      </c>
      <c r="G3495" t="s">
        <v>118</v>
      </c>
      <c r="H3495" t="s">
        <v>80</v>
      </c>
      <c r="I3495" t="s">
        <v>82</v>
      </c>
      <c r="J3495" t="s">
        <v>13</v>
      </c>
      <c r="K3495">
        <v>4.7</v>
      </c>
      <c r="L3495" t="s">
        <v>140</v>
      </c>
      <c r="M3495" t="s">
        <v>62</v>
      </c>
      <c r="N3495" t="s">
        <v>140</v>
      </c>
      <c r="O3495">
        <v>35</v>
      </c>
      <c r="P3495" t="s">
        <v>27</v>
      </c>
      <c r="Q3495" t="s">
        <v>28</v>
      </c>
      <c r="R3495" t="str" cm="1">
        <f t="array" ref="R3495">_xlfn.IFS(B3495&lt;31,"Young-Adult",B3495&lt;41,"Adult",B3495&lt;61,"Middle-aged",B3495&gt;=61,"Senior")</f>
        <v>Middle-aged</v>
      </c>
      <c r="S3495" cm="1">
        <f t="array" ref="S3495">_xlfn.IFS(Q3495 ="Fortnightly",14,Q3495="Weekly",7,Q3495="Monthly",30,Q3495="Quarterly",90,Q3495="Bi-Weekly",14,Q3495="Annually",365,Q3495="Every 3 Months",90,TRUE,"NOT FOUND")</f>
        <v>7</v>
      </c>
    </row>
    <row r="3496" spans="1:19" x14ac:dyDescent="0.35">
      <c r="A3496">
        <v>3495</v>
      </c>
      <c r="B3496">
        <v>62</v>
      </c>
      <c r="C3496" t="s">
        <v>141</v>
      </c>
      <c r="D3496" t="s">
        <v>107</v>
      </c>
      <c r="E3496" t="s">
        <v>55</v>
      </c>
      <c r="F3496">
        <v>38</v>
      </c>
      <c r="G3496" t="s">
        <v>137</v>
      </c>
      <c r="H3496" t="s">
        <v>32</v>
      </c>
      <c r="I3496" t="s">
        <v>53</v>
      </c>
      <c r="J3496" t="s">
        <v>13</v>
      </c>
      <c r="K3496">
        <v>3.5</v>
      </c>
      <c r="L3496" t="s">
        <v>140</v>
      </c>
      <c r="M3496" t="s">
        <v>26</v>
      </c>
      <c r="N3496" t="s">
        <v>140</v>
      </c>
      <c r="O3496">
        <v>41</v>
      </c>
      <c r="P3496" t="s">
        <v>34</v>
      </c>
      <c r="Q3496" t="s">
        <v>46</v>
      </c>
      <c r="R3496" t="str" cm="1">
        <f t="array" ref="R3496">_xlfn.IFS(B3496&lt;31,"Young-Adult",B3496&lt;41,"Adult",B3496&lt;61,"Middle-aged",B3496&gt;=61,"Senior")</f>
        <v>Senior</v>
      </c>
      <c r="S3496" cm="1">
        <f t="array" ref="S3496">_xlfn.IFS(Q3496 ="Fortnightly",14,Q3496="Weekly",7,Q3496="Monthly",30,Q3496="Quarterly",90,Q3496="Bi-Weekly",14,Q3496="Annually",365,Q3496="Every 3 Months",90,TRUE,"NOT FOUND")</f>
        <v>90</v>
      </c>
    </row>
    <row r="3497" spans="1:19" x14ac:dyDescent="0.35">
      <c r="A3497">
        <v>3496</v>
      </c>
      <c r="B3497">
        <v>24</v>
      </c>
      <c r="C3497" t="s">
        <v>141</v>
      </c>
      <c r="D3497" t="s">
        <v>47</v>
      </c>
      <c r="E3497" t="s">
        <v>9</v>
      </c>
      <c r="F3497">
        <v>33</v>
      </c>
      <c r="G3497" t="s">
        <v>130</v>
      </c>
      <c r="H3497" t="s">
        <v>80</v>
      </c>
      <c r="I3497" t="s">
        <v>12</v>
      </c>
      <c r="J3497" t="s">
        <v>25</v>
      </c>
      <c r="K3497">
        <v>2.8</v>
      </c>
      <c r="L3497" t="s">
        <v>140</v>
      </c>
      <c r="M3497" t="s">
        <v>26</v>
      </c>
      <c r="N3497" t="s">
        <v>140</v>
      </c>
      <c r="O3497">
        <v>14</v>
      </c>
      <c r="P3497" t="s">
        <v>21</v>
      </c>
      <c r="Q3497" t="s">
        <v>28</v>
      </c>
      <c r="R3497" t="str" cm="1">
        <f t="array" ref="R3497">_xlfn.IFS(B3497&lt;31,"Young-Adult",B3497&lt;41,"Adult",B3497&lt;61,"Middle-aged",B3497&gt;=61,"Senior")</f>
        <v>Young-Adult</v>
      </c>
      <c r="S3497" cm="1">
        <f t="array" ref="S3497">_xlfn.IFS(Q3497 ="Fortnightly",14,Q3497="Weekly",7,Q3497="Monthly",30,Q3497="Quarterly",90,Q3497="Bi-Weekly",14,Q3497="Annually",365,Q3497="Every 3 Months",90,TRUE,"NOT FOUND")</f>
        <v>7</v>
      </c>
    </row>
    <row r="3498" spans="1:19" x14ac:dyDescent="0.35">
      <c r="A3498">
        <v>3497</v>
      </c>
      <c r="B3498">
        <v>39</v>
      </c>
      <c r="C3498" t="s">
        <v>141</v>
      </c>
      <c r="D3498" t="s">
        <v>59</v>
      </c>
      <c r="E3498" t="s">
        <v>30</v>
      </c>
      <c r="F3498">
        <v>38</v>
      </c>
      <c r="G3498" t="s">
        <v>123</v>
      </c>
      <c r="H3498" t="s">
        <v>32</v>
      </c>
      <c r="I3498" t="s">
        <v>57</v>
      </c>
      <c r="J3498" t="s">
        <v>41</v>
      </c>
      <c r="K3498">
        <v>4</v>
      </c>
      <c r="L3498" t="s">
        <v>140</v>
      </c>
      <c r="M3498" t="s">
        <v>26</v>
      </c>
      <c r="N3498" t="s">
        <v>140</v>
      </c>
      <c r="O3498">
        <v>22</v>
      </c>
      <c r="P3498" t="s">
        <v>34</v>
      </c>
      <c r="Q3498" t="s">
        <v>76</v>
      </c>
      <c r="R3498" t="str" cm="1">
        <f t="array" ref="R3498">_xlfn.IFS(B3498&lt;31,"Young-Adult",B3498&lt;41,"Adult",B3498&lt;61,"Middle-aged",B3498&gt;=61,"Senior")</f>
        <v>Adult</v>
      </c>
      <c r="S3498" cm="1">
        <f t="array" ref="S3498">_xlfn.IFS(Q3498 ="Fortnightly",14,Q3498="Weekly",7,Q3498="Monthly",30,Q3498="Quarterly",90,Q3498="Bi-Weekly",14,Q3498="Annually",365,Q3498="Every 3 Months",90,TRUE,"NOT FOUND")</f>
        <v>30</v>
      </c>
    </row>
    <row r="3499" spans="1:19" x14ac:dyDescent="0.35">
      <c r="A3499">
        <v>3498</v>
      </c>
      <c r="B3499">
        <v>35</v>
      </c>
      <c r="C3499" t="s">
        <v>141</v>
      </c>
      <c r="D3499" t="s">
        <v>54</v>
      </c>
      <c r="E3499" t="s">
        <v>55</v>
      </c>
      <c r="F3499">
        <v>48</v>
      </c>
      <c r="G3499" t="s">
        <v>100</v>
      </c>
      <c r="H3499" t="s">
        <v>32</v>
      </c>
      <c r="I3499" t="s">
        <v>96</v>
      </c>
      <c r="J3499" t="s">
        <v>25</v>
      </c>
      <c r="K3499">
        <v>4.3</v>
      </c>
      <c r="L3499" t="s">
        <v>140</v>
      </c>
      <c r="M3499" t="s">
        <v>62</v>
      </c>
      <c r="N3499" t="s">
        <v>140</v>
      </c>
      <c r="O3499">
        <v>16</v>
      </c>
      <c r="P3499" t="s">
        <v>16</v>
      </c>
      <c r="Q3499" t="s">
        <v>85</v>
      </c>
      <c r="R3499" t="str" cm="1">
        <f t="array" ref="R3499">_xlfn.IFS(B3499&lt;31,"Young-Adult",B3499&lt;41,"Adult",B3499&lt;61,"Middle-aged",B3499&gt;=61,"Senior")</f>
        <v>Adult</v>
      </c>
      <c r="S3499" cm="1">
        <f t="array" ref="S3499">_xlfn.IFS(Q3499 ="Fortnightly",14,Q3499="Weekly",7,Q3499="Monthly",30,Q3499="Quarterly",90,Q3499="Bi-Weekly",14,Q3499="Annually",365,Q3499="Every 3 Months",90,TRUE,"NOT FOUND")</f>
        <v>90</v>
      </c>
    </row>
    <row r="3500" spans="1:19" x14ac:dyDescent="0.35">
      <c r="A3500">
        <v>3499</v>
      </c>
      <c r="B3500">
        <v>47</v>
      </c>
      <c r="C3500" t="s">
        <v>141</v>
      </c>
      <c r="D3500" t="s">
        <v>29</v>
      </c>
      <c r="E3500" t="s">
        <v>30</v>
      </c>
      <c r="F3500">
        <v>35</v>
      </c>
      <c r="G3500" t="s">
        <v>10</v>
      </c>
      <c r="H3500" t="s">
        <v>32</v>
      </c>
      <c r="I3500" t="s">
        <v>81</v>
      </c>
      <c r="J3500" t="s">
        <v>41</v>
      </c>
      <c r="K3500">
        <v>3.8</v>
      </c>
      <c r="L3500" t="s">
        <v>140</v>
      </c>
      <c r="M3500" t="s">
        <v>42</v>
      </c>
      <c r="N3500" t="s">
        <v>140</v>
      </c>
      <c r="O3500">
        <v>2</v>
      </c>
      <c r="P3500" t="s">
        <v>63</v>
      </c>
      <c r="Q3500" t="s">
        <v>64</v>
      </c>
      <c r="R3500" t="str" cm="1">
        <f t="array" ref="R3500">_xlfn.IFS(B3500&lt;31,"Young-Adult",B3500&lt;41,"Adult",B3500&lt;61,"Middle-aged",B3500&gt;=61,"Senior")</f>
        <v>Middle-aged</v>
      </c>
      <c r="S3500" cm="1">
        <f t="array" ref="S3500">_xlfn.IFS(Q3500 ="Fortnightly",14,Q3500="Weekly",7,Q3500="Monthly",30,Q3500="Quarterly",90,Q3500="Bi-Weekly",14,Q3500="Annually",365,Q3500="Every 3 Months",90,TRUE,"NOT FOUND")</f>
        <v>14</v>
      </c>
    </row>
    <row r="3501" spans="1:19" x14ac:dyDescent="0.35">
      <c r="A3501">
        <v>3500</v>
      </c>
      <c r="B3501">
        <v>22</v>
      </c>
      <c r="C3501" t="s">
        <v>141</v>
      </c>
      <c r="D3501" t="s">
        <v>113</v>
      </c>
      <c r="E3501" t="s">
        <v>9</v>
      </c>
      <c r="F3501">
        <v>29</v>
      </c>
      <c r="G3501" t="s">
        <v>115</v>
      </c>
      <c r="H3501" t="s">
        <v>11</v>
      </c>
      <c r="I3501" t="s">
        <v>114</v>
      </c>
      <c r="J3501" t="s">
        <v>45</v>
      </c>
      <c r="K3501">
        <v>3</v>
      </c>
      <c r="L3501" t="s">
        <v>140</v>
      </c>
      <c r="M3501" t="s">
        <v>33</v>
      </c>
      <c r="N3501" t="s">
        <v>140</v>
      </c>
      <c r="O3501">
        <v>13</v>
      </c>
      <c r="P3501" t="s">
        <v>34</v>
      </c>
      <c r="Q3501" t="s">
        <v>85</v>
      </c>
      <c r="R3501" t="str" cm="1">
        <f t="array" ref="R3501">_xlfn.IFS(B3501&lt;31,"Young-Adult",B3501&lt;41,"Adult",B3501&lt;61,"Middle-aged",B3501&gt;=61,"Senior")</f>
        <v>Young-Adult</v>
      </c>
      <c r="S3501" cm="1">
        <f t="array" ref="S3501">_xlfn.IFS(Q3501 ="Fortnightly",14,Q3501="Weekly",7,Q3501="Monthly",30,Q3501="Quarterly",90,Q3501="Bi-Weekly",14,Q3501="Annually",365,Q3501="Every 3 Months",90,TRUE,"NOT FOUND")</f>
        <v>90</v>
      </c>
    </row>
    <row r="3502" spans="1:19" x14ac:dyDescent="0.35">
      <c r="A3502">
        <v>3501</v>
      </c>
      <c r="B3502">
        <v>38</v>
      </c>
      <c r="C3502" t="s">
        <v>141</v>
      </c>
      <c r="D3502" t="s">
        <v>43</v>
      </c>
      <c r="E3502" t="s">
        <v>9</v>
      </c>
      <c r="F3502">
        <v>48</v>
      </c>
      <c r="G3502" t="s">
        <v>35</v>
      </c>
      <c r="H3502" t="s">
        <v>24</v>
      </c>
      <c r="I3502" t="s">
        <v>53</v>
      </c>
      <c r="J3502" t="s">
        <v>45</v>
      </c>
      <c r="K3502">
        <v>4.5999999999999996</v>
      </c>
      <c r="L3502" t="s">
        <v>140</v>
      </c>
      <c r="M3502" t="s">
        <v>33</v>
      </c>
      <c r="N3502" t="s">
        <v>140</v>
      </c>
      <c r="O3502">
        <v>38</v>
      </c>
      <c r="P3502" t="s">
        <v>74</v>
      </c>
      <c r="Q3502" t="s">
        <v>17</v>
      </c>
      <c r="R3502" t="str" cm="1">
        <f t="array" ref="R3502">_xlfn.IFS(B3502&lt;31,"Young-Adult",B3502&lt;41,"Adult",B3502&lt;61,"Middle-aged",B3502&gt;=61,"Senior")</f>
        <v>Adult</v>
      </c>
      <c r="S3502" cm="1">
        <f t="array" ref="S3502">_xlfn.IFS(Q3502 ="Fortnightly",14,Q3502="Weekly",7,Q3502="Monthly",30,Q3502="Quarterly",90,Q3502="Bi-Weekly",14,Q3502="Annually",365,Q3502="Every 3 Months",90,TRUE,"NOT FOUND")</f>
        <v>14</v>
      </c>
    </row>
    <row r="3503" spans="1:19" x14ac:dyDescent="0.35">
      <c r="A3503">
        <v>3502</v>
      </c>
      <c r="B3503">
        <v>53</v>
      </c>
      <c r="C3503" t="s">
        <v>141</v>
      </c>
      <c r="D3503" t="s">
        <v>59</v>
      </c>
      <c r="E3503" t="s">
        <v>30</v>
      </c>
      <c r="F3503">
        <v>87</v>
      </c>
      <c r="G3503" t="s">
        <v>133</v>
      </c>
      <c r="H3503" t="s">
        <v>32</v>
      </c>
      <c r="I3503" t="s">
        <v>53</v>
      </c>
      <c r="J3503" t="s">
        <v>45</v>
      </c>
      <c r="K3503">
        <v>4.8</v>
      </c>
      <c r="L3503" t="s">
        <v>140</v>
      </c>
      <c r="M3503" t="s">
        <v>42</v>
      </c>
      <c r="N3503" t="s">
        <v>140</v>
      </c>
      <c r="O3503">
        <v>43</v>
      </c>
      <c r="P3503" t="s">
        <v>63</v>
      </c>
      <c r="Q3503" t="s">
        <v>28</v>
      </c>
      <c r="R3503" t="str" cm="1">
        <f t="array" ref="R3503">_xlfn.IFS(B3503&lt;31,"Young-Adult",B3503&lt;41,"Adult",B3503&lt;61,"Middle-aged",B3503&gt;=61,"Senior")</f>
        <v>Middle-aged</v>
      </c>
      <c r="S3503" cm="1">
        <f t="array" ref="S3503">_xlfn.IFS(Q3503 ="Fortnightly",14,Q3503="Weekly",7,Q3503="Monthly",30,Q3503="Quarterly",90,Q3503="Bi-Weekly",14,Q3503="Annually",365,Q3503="Every 3 Months",90,TRUE,"NOT FOUND")</f>
        <v>7</v>
      </c>
    </row>
    <row r="3504" spans="1:19" x14ac:dyDescent="0.35">
      <c r="A3504">
        <v>3503</v>
      </c>
      <c r="B3504">
        <v>31</v>
      </c>
      <c r="C3504" t="s">
        <v>141</v>
      </c>
      <c r="D3504" t="s">
        <v>120</v>
      </c>
      <c r="E3504" t="s">
        <v>55</v>
      </c>
      <c r="F3504">
        <v>62</v>
      </c>
      <c r="G3504" t="s">
        <v>23</v>
      </c>
      <c r="H3504" t="s">
        <v>32</v>
      </c>
      <c r="I3504" t="s">
        <v>84</v>
      </c>
      <c r="J3504" t="s">
        <v>45</v>
      </c>
      <c r="K3504">
        <v>4.7</v>
      </c>
      <c r="L3504" t="s">
        <v>140</v>
      </c>
      <c r="M3504" t="s">
        <v>33</v>
      </c>
      <c r="N3504" t="s">
        <v>140</v>
      </c>
      <c r="O3504">
        <v>26</v>
      </c>
      <c r="P3504" t="s">
        <v>63</v>
      </c>
      <c r="Q3504" t="s">
        <v>46</v>
      </c>
      <c r="R3504" t="str" cm="1">
        <f t="array" ref="R3504">_xlfn.IFS(B3504&lt;31,"Young-Adult",B3504&lt;41,"Adult",B3504&lt;61,"Middle-aged",B3504&gt;=61,"Senior")</f>
        <v>Adult</v>
      </c>
      <c r="S3504" cm="1">
        <f t="array" ref="S3504">_xlfn.IFS(Q3504 ="Fortnightly",14,Q3504="Weekly",7,Q3504="Monthly",30,Q3504="Quarterly",90,Q3504="Bi-Weekly",14,Q3504="Annually",365,Q3504="Every 3 Months",90,TRUE,"NOT FOUND")</f>
        <v>90</v>
      </c>
    </row>
    <row r="3505" spans="1:19" x14ac:dyDescent="0.35">
      <c r="A3505">
        <v>3504</v>
      </c>
      <c r="B3505">
        <v>31</v>
      </c>
      <c r="C3505" t="s">
        <v>141</v>
      </c>
      <c r="D3505" t="s">
        <v>43</v>
      </c>
      <c r="E3505" t="s">
        <v>9</v>
      </c>
      <c r="F3505">
        <v>96</v>
      </c>
      <c r="G3505" t="s">
        <v>133</v>
      </c>
      <c r="H3505" t="s">
        <v>32</v>
      </c>
      <c r="I3505" t="s">
        <v>57</v>
      </c>
      <c r="J3505" t="s">
        <v>25</v>
      </c>
      <c r="K3505">
        <v>3.9</v>
      </c>
      <c r="L3505" t="s">
        <v>140</v>
      </c>
      <c r="M3505" t="s">
        <v>26</v>
      </c>
      <c r="N3505" t="s">
        <v>140</v>
      </c>
      <c r="O3505">
        <v>39</v>
      </c>
      <c r="P3505" t="s">
        <v>21</v>
      </c>
      <c r="Q3505" t="s">
        <v>28</v>
      </c>
      <c r="R3505" t="str" cm="1">
        <f t="array" ref="R3505">_xlfn.IFS(B3505&lt;31,"Young-Adult",B3505&lt;41,"Adult",B3505&lt;61,"Middle-aged",B3505&gt;=61,"Senior")</f>
        <v>Adult</v>
      </c>
      <c r="S3505" cm="1">
        <f t="array" ref="S3505">_xlfn.IFS(Q3505 ="Fortnightly",14,Q3505="Weekly",7,Q3505="Monthly",30,Q3505="Quarterly",90,Q3505="Bi-Weekly",14,Q3505="Annually",365,Q3505="Every 3 Months",90,TRUE,"NOT FOUND")</f>
        <v>7</v>
      </c>
    </row>
    <row r="3506" spans="1:19" x14ac:dyDescent="0.35">
      <c r="A3506">
        <v>3505</v>
      </c>
      <c r="B3506">
        <v>65</v>
      </c>
      <c r="C3506" t="s">
        <v>141</v>
      </c>
      <c r="D3506" t="s">
        <v>54</v>
      </c>
      <c r="E3506" t="s">
        <v>55</v>
      </c>
      <c r="F3506">
        <v>41</v>
      </c>
      <c r="G3506" t="s">
        <v>65</v>
      </c>
      <c r="H3506" t="s">
        <v>24</v>
      </c>
      <c r="I3506" t="s">
        <v>71</v>
      </c>
      <c r="J3506" t="s">
        <v>45</v>
      </c>
      <c r="K3506">
        <v>4</v>
      </c>
      <c r="L3506" t="s">
        <v>140</v>
      </c>
      <c r="M3506" t="s">
        <v>33</v>
      </c>
      <c r="N3506" t="s">
        <v>140</v>
      </c>
      <c r="O3506">
        <v>50</v>
      </c>
      <c r="P3506" t="s">
        <v>16</v>
      </c>
      <c r="Q3506" t="s">
        <v>76</v>
      </c>
      <c r="R3506" t="str" cm="1">
        <f t="array" ref="R3506">_xlfn.IFS(B3506&lt;31,"Young-Adult",B3506&lt;41,"Adult",B3506&lt;61,"Middle-aged",B3506&gt;=61,"Senior")</f>
        <v>Senior</v>
      </c>
      <c r="S3506" cm="1">
        <f t="array" ref="S3506">_xlfn.IFS(Q3506 ="Fortnightly",14,Q3506="Weekly",7,Q3506="Monthly",30,Q3506="Quarterly",90,Q3506="Bi-Weekly",14,Q3506="Annually",365,Q3506="Every 3 Months",90,TRUE,"NOT FOUND")</f>
        <v>30</v>
      </c>
    </row>
    <row r="3507" spans="1:19" x14ac:dyDescent="0.35">
      <c r="A3507">
        <v>3506</v>
      </c>
      <c r="B3507">
        <v>48</v>
      </c>
      <c r="C3507" t="s">
        <v>141</v>
      </c>
      <c r="D3507" t="s">
        <v>94</v>
      </c>
      <c r="E3507" t="s">
        <v>55</v>
      </c>
      <c r="F3507">
        <v>42</v>
      </c>
      <c r="G3507" t="s">
        <v>104</v>
      </c>
      <c r="H3507" t="s">
        <v>11</v>
      </c>
      <c r="I3507" t="s">
        <v>96</v>
      </c>
      <c r="J3507" t="s">
        <v>13</v>
      </c>
      <c r="K3507">
        <v>3.7</v>
      </c>
      <c r="L3507" t="s">
        <v>140</v>
      </c>
      <c r="M3507" t="s">
        <v>58</v>
      </c>
      <c r="N3507" t="s">
        <v>140</v>
      </c>
      <c r="O3507">
        <v>40</v>
      </c>
      <c r="P3507" t="s">
        <v>63</v>
      </c>
      <c r="Q3507" t="s">
        <v>85</v>
      </c>
      <c r="R3507" t="str" cm="1">
        <f t="array" ref="R3507">_xlfn.IFS(B3507&lt;31,"Young-Adult",B3507&lt;41,"Adult",B3507&lt;61,"Middle-aged",B3507&gt;=61,"Senior")</f>
        <v>Middle-aged</v>
      </c>
      <c r="S3507" cm="1">
        <f t="array" ref="S3507">_xlfn.IFS(Q3507 ="Fortnightly",14,Q3507="Weekly",7,Q3507="Monthly",30,Q3507="Quarterly",90,Q3507="Bi-Weekly",14,Q3507="Annually",365,Q3507="Every 3 Months",90,TRUE,"NOT FOUND")</f>
        <v>90</v>
      </c>
    </row>
    <row r="3508" spans="1:19" x14ac:dyDescent="0.35">
      <c r="A3508">
        <v>3507</v>
      </c>
      <c r="B3508">
        <v>18</v>
      </c>
      <c r="C3508" t="s">
        <v>141</v>
      </c>
      <c r="D3508" t="s">
        <v>43</v>
      </c>
      <c r="E3508" t="s">
        <v>9</v>
      </c>
      <c r="F3508">
        <v>57</v>
      </c>
      <c r="G3508" t="s">
        <v>103</v>
      </c>
      <c r="H3508" t="s">
        <v>11</v>
      </c>
      <c r="I3508" t="s">
        <v>66</v>
      </c>
      <c r="J3508" t="s">
        <v>13</v>
      </c>
      <c r="K3508">
        <v>3.7</v>
      </c>
      <c r="L3508" t="s">
        <v>140</v>
      </c>
      <c r="M3508" t="s">
        <v>58</v>
      </c>
      <c r="N3508" t="s">
        <v>140</v>
      </c>
      <c r="O3508">
        <v>12</v>
      </c>
      <c r="P3508" t="s">
        <v>21</v>
      </c>
      <c r="Q3508" t="s">
        <v>17</v>
      </c>
      <c r="R3508" t="str" cm="1">
        <f t="array" ref="R3508">_xlfn.IFS(B3508&lt;31,"Young-Adult",B3508&lt;41,"Adult",B3508&lt;61,"Middle-aged",B3508&gt;=61,"Senior")</f>
        <v>Young-Adult</v>
      </c>
      <c r="S3508" cm="1">
        <f t="array" ref="S3508">_xlfn.IFS(Q3508 ="Fortnightly",14,Q3508="Weekly",7,Q3508="Monthly",30,Q3508="Quarterly",90,Q3508="Bi-Weekly",14,Q3508="Annually",365,Q3508="Every 3 Months",90,TRUE,"NOT FOUND")</f>
        <v>14</v>
      </c>
    </row>
    <row r="3509" spans="1:19" x14ac:dyDescent="0.35">
      <c r="A3509">
        <v>3508</v>
      </c>
      <c r="B3509">
        <v>46</v>
      </c>
      <c r="C3509" t="s">
        <v>141</v>
      </c>
      <c r="D3509" t="s">
        <v>54</v>
      </c>
      <c r="E3509" t="s">
        <v>55</v>
      </c>
      <c r="F3509">
        <v>65</v>
      </c>
      <c r="G3509" t="s">
        <v>100</v>
      </c>
      <c r="H3509" t="s">
        <v>24</v>
      </c>
      <c r="I3509" t="s">
        <v>61</v>
      </c>
      <c r="J3509" t="s">
        <v>25</v>
      </c>
      <c r="K3509">
        <v>4.2</v>
      </c>
      <c r="L3509" t="s">
        <v>140</v>
      </c>
      <c r="M3509" t="s">
        <v>62</v>
      </c>
      <c r="N3509" t="s">
        <v>140</v>
      </c>
      <c r="O3509">
        <v>33</v>
      </c>
      <c r="P3509" t="s">
        <v>27</v>
      </c>
      <c r="Q3509" t="s">
        <v>85</v>
      </c>
      <c r="R3509" t="str" cm="1">
        <f t="array" ref="R3509">_xlfn.IFS(B3509&lt;31,"Young-Adult",B3509&lt;41,"Adult",B3509&lt;61,"Middle-aged",B3509&gt;=61,"Senior")</f>
        <v>Middle-aged</v>
      </c>
      <c r="S3509" cm="1">
        <f t="array" ref="S3509">_xlfn.IFS(Q3509 ="Fortnightly",14,Q3509="Weekly",7,Q3509="Monthly",30,Q3509="Quarterly",90,Q3509="Bi-Weekly",14,Q3509="Annually",365,Q3509="Every 3 Months",90,TRUE,"NOT FOUND")</f>
        <v>90</v>
      </c>
    </row>
    <row r="3510" spans="1:19" x14ac:dyDescent="0.35">
      <c r="A3510">
        <v>3509</v>
      </c>
      <c r="B3510">
        <v>52</v>
      </c>
      <c r="C3510" t="s">
        <v>141</v>
      </c>
      <c r="D3510" t="s">
        <v>83</v>
      </c>
      <c r="E3510" t="s">
        <v>9</v>
      </c>
      <c r="F3510">
        <v>54</v>
      </c>
      <c r="G3510" t="s">
        <v>126</v>
      </c>
      <c r="H3510" t="s">
        <v>32</v>
      </c>
      <c r="I3510" t="s">
        <v>12</v>
      </c>
      <c r="J3510" t="s">
        <v>45</v>
      </c>
      <c r="K3510">
        <v>4.7</v>
      </c>
      <c r="L3510" t="s">
        <v>140</v>
      </c>
      <c r="M3510" t="s">
        <v>42</v>
      </c>
      <c r="N3510" t="s">
        <v>140</v>
      </c>
      <c r="O3510">
        <v>49</v>
      </c>
      <c r="P3510" t="s">
        <v>63</v>
      </c>
      <c r="Q3510" t="s">
        <v>28</v>
      </c>
      <c r="R3510" t="str" cm="1">
        <f t="array" ref="R3510">_xlfn.IFS(B3510&lt;31,"Young-Adult",B3510&lt;41,"Adult",B3510&lt;61,"Middle-aged",B3510&gt;=61,"Senior")</f>
        <v>Middle-aged</v>
      </c>
      <c r="S3510" cm="1">
        <f t="array" ref="S3510">_xlfn.IFS(Q3510 ="Fortnightly",14,Q3510="Weekly",7,Q3510="Monthly",30,Q3510="Quarterly",90,Q3510="Bi-Weekly",14,Q3510="Annually",365,Q3510="Every 3 Months",90,TRUE,"NOT FOUND")</f>
        <v>7</v>
      </c>
    </row>
    <row r="3511" spans="1:19" x14ac:dyDescent="0.35">
      <c r="A3511">
        <v>3510</v>
      </c>
      <c r="B3511">
        <v>50</v>
      </c>
      <c r="C3511" t="s">
        <v>141</v>
      </c>
      <c r="D3511" t="s">
        <v>101</v>
      </c>
      <c r="E3511" t="s">
        <v>9</v>
      </c>
      <c r="F3511">
        <v>22</v>
      </c>
      <c r="G3511" t="s">
        <v>111</v>
      </c>
      <c r="H3511" t="s">
        <v>11</v>
      </c>
      <c r="I3511" t="s">
        <v>98</v>
      </c>
      <c r="J3511" t="s">
        <v>13</v>
      </c>
      <c r="K3511">
        <v>4.3</v>
      </c>
      <c r="L3511" t="s">
        <v>140</v>
      </c>
      <c r="M3511" t="s">
        <v>33</v>
      </c>
      <c r="N3511" t="s">
        <v>140</v>
      </c>
      <c r="O3511">
        <v>43</v>
      </c>
      <c r="P3511" t="s">
        <v>16</v>
      </c>
      <c r="Q3511" t="s">
        <v>64</v>
      </c>
      <c r="R3511" t="str" cm="1">
        <f t="array" ref="R3511">_xlfn.IFS(B3511&lt;31,"Young-Adult",B3511&lt;41,"Adult",B3511&lt;61,"Middle-aged",B3511&gt;=61,"Senior")</f>
        <v>Middle-aged</v>
      </c>
      <c r="S3511" cm="1">
        <f t="array" ref="S3511">_xlfn.IFS(Q3511 ="Fortnightly",14,Q3511="Weekly",7,Q3511="Monthly",30,Q3511="Quarterly",90,Q3511="Bi-Weekly",14,Q3511="Annually",365,Q3511="Every 3 Months",90,TRUE,"NOT FOUND")</f>
        <v>14</v>
      </c>
    </row>
    <row r="3512" spans="1:19" x14ac:dyDescent="0.35">
      <c r="A3512">
        <v>3511</v>
      </c>
      <c r="B3512">
        <v>49</v>
      </c>
      <c r="C3512" t="s">
        <v>141</v>
      </c>
      <c r="D3512" t="s">
        <v>38</v>
      </c>
      <c r="E3512" t="s">
        <v>30</v>
      </c>
      <c r="F3512">
        <v>96</v>
      </c>
      <c r="G3512" t="s">
        <v>126</v>
      </c>
      <c r="H3512" t="s">
        <v>24</v>
      </c>
      <c r="I3512" t="s">
        <v>109</v>
      </c>
      <c r="J3512" t="s">
        <v>45</v>
      </c>
      <c r="K3512">
        <v>4.9000000000000004</v>
      </c>
      <c r="L3512" t="s">
        <v>140</v>
      </c>
      <c r="M3512" t="s">
        <v>58</v>
      </c>
      <c r="N3512" t="s">
        <v>140</v>
      </c>
      <c r="O3512">
        <v>14</v>
      </c>
      <c r="P3512" t="s">
        <v>16</v>
      </c>
      <c r="Q3512" t="s">
        <v>76</v>
      </c>
      <c r="R3512" t="str" cm="1">
        <f t="array" ref="R3512">_xlfn.IFS(B3512&lt;31,"Young-Adult",B3512&lt;41,"Adult",B3512&lt;61,"Middle-aged",B3512&gt;=61,"Senior")</f>
        <v>Middle-aged</v>
      </c>
      <c r="S3512" cm="1">
        <f t="array" ref="S3512">_xlfn.IFS(Q3512 ="Fortnightly",14,Q3512="Weekly",7,Q3512="Monthly",30,Q3512="Quarterly",90,Q3512="Bi-Weekly",14,Q3512="Annually",365,Q3512="Every 3 Months",90,TRUE,"NOT FOUND")</f>
        <v>30</v>
      </c>
    </row>
    <row r="3513" spans="1:19" x14ac:dyDescent="0.35">
      <c r="A3513">
        <v>3512</v>
      </c>
      <c r="B3513">
        <v>69</v>
      </c>
      <c r="C3513" t="s">
        <v>141</v>
      </c>
      <c r="D3513" t="s">
        <v>94</v>
      </c>
      <c r="E3513" t="s">
        <v>55</v>
      </c>
      <c r="F3513">
        <v>81</v>
      </c>
      <c r="G3513" t="s">
        <v>79</v>
      </c>
      <c r="H3513" t="s">
        <v>32</v>
      </c>
      <c r="I3513" t="s">
        <v>132</v>
      </c>
      <c r="J3513" t="s">
        <v>41</v>
      </c>
      <c r="K3513">
        <v>3.9</v>
      </c>
      <c r="L3513" t="s">
        <v>140</v>
      </c>
      <c r="M3513" t="s">
        <v>58</v>
      </c>
      <c r="N3513" t="s">
        <v>140</v>
      </c>
      <c r="O3513">
        <v>21</v>
      </c>
      <c r="P3513" t="s">
        <v>27</v>
      </c>
      <c r="Q3513" t="s">
        <v>85</v>
      </c>
      <c r="R3513" t="str" cm="1">
        <f t="array" ref="R3513">_xlfn.IFS(B3513&lt;31,"Young-Adult",B3513&lt;41,"Adult",B3513&lt;61,"Middle-aged",B3513&gt;=61,"Senior")</f>
        <v>Senior</v>
      </c>
      <c r="S3513" cm="1">
        <f t="array" ref="S3513">_xlfn.IFS(Q3513 ="Fortnightly",14,Q3513="Weekly",7,Q3513="Monthly",30,Q3513="Quarterly",90,Q3513="Bi-Weekly",14,Q3513="Annually",365,Q3513="Every 3 Months",90,TRUE,"NOT FOUND")</f>
        <v>90</v>
      </c>
    </row>
    <row r="3514" spans="1:19" x14ac:dyDescent="0.35">
      <c r="A3514">
        <v>3513</v>
      </c>
      <c r="B3514">
        <v>36</v>
      </c>
      <c r="C3514" t="s">
        <v>141</v>
      </c>
      <c r="D3514" t="s">
        <v>43</v>
      </c>
      <c r="E3514" t="s">
        <v>9</v>
      </c>
      <c r="F3514">
        <v>46</v>
      </c>
      <c r="G3514" t="s">
        <v>10</v>
      </c>
      <c r="H3514" t="s">
        <v>32</v>
      </c>
      <c r="I3514" t="s">
        <v>40</v>
      </c>
      <c r="J3514" t="s">
        <v>45</v>
      </c>
      <c r="K3514">
        <v>3.4</v>
      </c>
      <c r="L3514" t="s">
        <v>140</v>
      </c>
      <c r="M3514" t="s">
        <v>26</v>
      </c>
      <c r="N3514" t="s">
        <v>140</v>
      </c>
      <c r="O3514">
        <v>31</v>
      </c>
      <c r="P3514" t="s">
        <v>74</v>
      </c>
      <c r="Q3514" t="s">
        <v>46</v>
      </c>
      <c r="R3514" t="str" cm="1">
        <f t="array" ref="R3514">_xlfn.IFS(B3514&lt;31,"Young-Adult",B3514&lt;41,"Adult",B3514&lt;61,"Middle-aged",B3514&gt;=61,"Senior")</f>
        <v>Adult</v>
      </c>
      <c r="S3514" cm="1">
        <f t="array" ref="S3514">_xlfn.IFS(Q3514 ="Fortnightly",14,Q3514="Weekly",7,Q3514="Monthly",30,Q3514="Quarterly",90,Q3514="Bi-Weekly",14,Q3514="Annually",365,Q3514="Every 3 Months",90,TRUE,"NOT FOUND")</f>
        <v>90</v>
      </c>
    </row>
    <row r="3515" spans="1:19" x14ac:dyDescent="0.35">
      <c r="A3515">
        <v>3514</v>
      </c>
      <c r="B3515">
        <v>30</v>
      </c>
      <c r="C3515" t="s">
        <v>141</v>
      </c>
      <c r="D3515" t="s">
        <v>8</v>
      </c>
      <c r="E3515" t="s">
        <v>9</v>
      </c>
      <c r="F3515">
        <v>74</v>
      </c>
      <c r="G3515" t="s">
        <v>108</v>
      </c>
      <c r="H3515" t="s">
        <v>80</v>
      </c>
      <c r="I3515" t="s">
        <v>49</v>
      </c>
      <c r="J3515" t="s">
        <v>25</v>
      </c>
      <c r="K3515">
        <v>4.2</v>
      </c>
      <c r="L3515" t="s">
        <v>140</v>
      </c>
      <c r="M3515" t="s">
        <v>62</v>
      </c>
      <c r="N3515" t="s">
        <v>140</v>
      </c>
      <c r="O3515">
        <v>29</v>
      </c>
      <c r="P3515" t="s">
        <v>27</v>
      </c>
      <c r="Q3515" t="s">
        <v>17</v>
      </c>
      <c r="R3515" t="str" cm="1">
        <f t="array" ref="R3515">_xlfn.IFS(B3515&lt;31,"Young-Adult",B3515&lt;41,"Adult",B3515&lt;61,"Middle-aged",B3515&gt;=61,"Senior")</f>
        <v>Young-Adult</v>
      </c>
      <c r="S3515" cm="1">
        <f t="array" ref="S3515">_xlfn.IFS(Q3515 ="Fortnightly",14,Q3515="Weekly",7,Q3515="Monthly",30,Q3515="Quarterly",90,Q3515="Bi-Weekly",14,Q3515="Annually",365,Q3515="Every 3 Months",90,TRUE,"NOT FOUND")</f>
        <v>14</v>
      </c>
    </row>
    <row r="3516" spans="1:19" x14ac:dyDescent="0.35">
      <c r="A3516">
        <v>3515</v>
      </c>
      <c r="B3516">
        <v>25</v>
      </c>
      <c r="C3516" t="s">
        <v>141</v>
      </c>
      <c r="D3516" t="s">
        <v>38</v>
      </c>
      <c r="E3516" t="s">
        <v>30</v>
      </c>
      <c r="F3516">
        <v>50</v>
      </c>
      <c r="G3516" t="s">
        <v>130</v>
      </c>
      <c r="H3516" t="s">
        <v>80</v>
      </c>
      <c r="I3516" t="s">
        <v>12</v>
      </c>
      <c r="J3516" t="s">
        <v>13</v>
      </c>
      <c r="K3516">
        <v>4.7</v>
      </c>
      <c r="L3516" t="s">
        <v>140</v>
      </c>
      <c r="M3516" t="s">
        <v>15</v>
      </c>
      <c r="N3516" t="s">
        <v>140</v>
      </c>
      <c r="O3516">
        <v>32</v>
      </c>
      <c r="P3516" t="s">
        <v>21</v>
      </c>
      <c r="Q3516" t="s">
        <v>76</v>
      </c>
      <c r="R3516" t="str" cm="1">
        <f t="array" ref="R3516">_xlfn.IFS(B3516&lt;31,"Young-Adult",B3516&lt;41,"Adult",B3516&lt;61,"Middle-aged",B3516&gt;=61,"Senior")</f>
        <v>Young-Adult</v>
      </c>
      <c r="S3516" cm="1">
        <f t="array" ref="S3516">_xlfn.IFS(Q3516 ="Fortnightly",14,Q3516="Weekly",7,Q3516="Monthly",30,Q3516="Quarterly",90,Q3516="Bi-Weekly",14,Q3516="Annually",365,Q3516="Every 3 Months",90,TRUE,"NOT FOUND")</f>
        <v>30</v>
      </c>
    </row>
    <row r="3517" spans="1:19" x14ac:dyDescent="0.35">
      <c r="A3517">
        <v>3516</v>
      </c>
      <c r="B3517">
        <v>19</v>
      </c>
      <c r="C3517" t="s">
        <v>141</v>
      </c>
      <c r="D3517" t="s">
        <v>69</v>
      </c>
      <c r="E3517" t="s">
        <v>9</v>
      </c>
      <c r="F3517">
        <v>80</v>
      </c>
      <c r="G3517" t="s">
        <v>135</v>
      </c>
      <c r="H3517" t="s">
        <v>80</v>
      </c>
      <c r="I3517" t="s">
        <v>49</v>
      </c>
      <c r="J3517" t="s">
        <v>13</v>
      </c>
      <c r="K3517">
        <v>4</v>
      </c>
      <c r="L3517" t="s">
        <v>140</v>
      </c>
      <c r="M3517" t="s">
        <v>33</v>
      </c>
      <c r="N3517" t="s">
        <v>140</v>
      </c>
      <c r="O3517">
        <v>16</v>
      </c>
      <c r="P3517" t="s">
        <v>74</v>
      </c>
      <c r="Q3517" t="s">
        <v>64</v>
      </c>
      <c r="R3517" t="str" cm="1">
        <f t="array" ref="R3517">_xlfn.IFS(B3517&lt;31,"Young-Adult",B3517&lt;41,"Adult",B3517&lt;61,"Middle-aged",B3517&gt;=61,"Senior")</f>
        <v>Young-Adult</v>
      </c>
      <c r="S3517" cm="1">
        <f t="array" ref="S3517">_xlfn.IFS(Q3517 ="Fortnightly",14,Q3517="Weekly",7,Q3517="Monthly",30,Q3517="Quarterly",90,Q3517="Bi-Weekly",14,Q3517="Annually",365,Q3517="Every 3 Months",90,TRUE,"NOT FOUND")</f>
        <v>14</v>
      </c>
    </row>
    <row r="3518" spans="1:19" x14ac:dyDescent="0.35">
      <c r="A3518">
        <v>3517</v>
      </c>
      <c r="B3518">
        <v>34</v>
      </c>
      <c r="C3518" t="s">
        <v>141</v>
      </c>
      <c r="D3518" t="s">
        <v>125</v>
      </c>
      <c r="E3518" t="s">
        <v>30</v>
      </c>
      <c r="F3518">
        <v>56</v>
      </c>
      <c r="G3518" t="s">
        <v>119</v>
      </c>
      <c r="H3518" t="s">
        <v>24</v>
      </c>
      <c r="I3518" t="s">
        <v>40</v>
      </c>
      <c r="J3518" t="s">
        <v>41</v>
      </c>
      <c r="K3518">
        <v>4</v>
      </c>
      <c r="L3518" t="s">
        <v>140</v>
      </c>
      <c r="M3518" t="s">
        <v>26</v>
      </c>
      <c r="N3518" t="s">
        <v>140</v>
      </c>
      <c r="O3518">
        <v>38</v>
      </c>
      <c r="P3518" t="s">
        <v>34</v>
      </c>
      <c r="Q3518" t="s">
        <v>64</v>
      </c>
      <c r="R3518" t="str" cm="1">
        <f t="array" ref="R3518">_xlfn.IFS(B3518&lt;31,"Young-Adult",B3518&lt;41,"Adult",B3518&lt;61,"Middle-aged",B3518&gt;=61,"Senior")</f>
        <v>Adult</v>
      </c>
      <c r="S3518" cm="1">
        <f t="array" ref="S3518">_xlfn.IFS(Q3518 ="Fortnightly",14,Q3518="Weekly",7,Q3518="Monthly",30,Q3518="Quarterly",90,Q3518="Bi-Weekly",14,Q3518="Annually",365,Q3518="Every 3 Months",90,TRUE,"NOT FOUND")</f>
        <v>14</v>
      </c>
    </row>
    <row r="3519" spans="1:19" x14ac:dyDescent="0.35">
      <c r="A3519">
        <v>3518</v>
      </c>
      <c r="B3519">
        <v>29</v>
      </c>
      <c r="C3519" t="s">
        <v>141</v>
      </c>
      <c r="D3519" t="s">
        <v>75</v>
      </c>
      <c r="E3519" t="s">
        <v>9</v>
      </c>
      <c r="F3519">
        <v>69</v>
      </c>
      <c r="G3519" t="s">
        <v>110</v>
      </c>
      <c r="H3519" t="s">
        <v>32</v>
      </c>
      <c r="I3519" t="s">
        <v>109</v>
      </c>
      <c r="J3519" t="s">
        <v>13</v>
      </c>
      <c r="K3519">
        <v>3.1</v>
      </c>
      <c r="L3519" t="s">
        <v>140</v>
      </c>
      <c r="M3519" t="s">
        <v>33</v>
      </c>
      <c r="N3519" t="s">
        <v>140</v>
      </c>
      <c r="O3519">
        <v>34</v>
      </c>
      <c r="P3519" t="s">
        <v>74</v>
      </c>
      <c r="Q3519" t="s">
        <v>85</v>
      </c>
      <c r="R3519" t="str" cm="1">
        <f t="array" ref="R3519">_xlfn.IFS(B3519&lt;31,"Young-Adult",B3519&lt;41,"Adult",B3519&lt;61,"Middle-aged",B3519&gt;=61,"Senior")</f>
        <v>Young-Adult</v>
      </c>
      <c r="S3519" cm="1">
        <f t="array" ref="S3519">_xlfn.IFS(Q3519 ="Fortnightly",14,Q3519="Weekly",7,Q3519="Monthly",30,Q3519="Quarterly",90,Q3519="Bi-Weekly",14,Q3519="Annually",365,Q3519="Every 3 Months",90,TRUE,"NOT FOUND")</f>
        <v>90</v>
      </c>
    </row>
    <row r="3520" spans="1:19" x14ac:dyDescent="0.35">
      <c r="A3520">
        <v>3519</v>
      </c>
      <c r="B3520">
        <v>50</v>
      </c>
      <c r="C3520" t="s">
        <v>141</v>
      </c>
      <c r="D3520" t="s">
        <v>43</v>
      </c>
      <c r="E3520" t="s">
        <v>9</v>
      </c>
      <c r="F3520">
        <v>97</v>
      </c>
      <c r="G3520" t="s">
        <v>100</v>
      </c>
      <c r="H3520" t="s">
        <v>32</v>
      </c>
      <c r="I3520" t="s">
        <v>82</v>
      </c>
      <c r="J3520" t="s">
        <v>25</v>
      </c>
      <c r="K3520">
        <v>4.2</v>
      </c>
      <c r="L3520" t="s">
        <v>140</v>
      </c>
      <c r="M3520" t="s">
        <v>42</v>
      </c>
      <c r="N3520" t="s">
        <v>140</v>
      </c>
      <c r="O3520">
        <v>30</v>
      </c>
      <c r="P3520" t="s">
        <v>34</v>
      </c>
      <c r="Q3520" t="s">
        <v>46</v>
      </c>
      <c r="R3520" t="str" cm="1">
        <f t="array" ref="R3520">_xlfn.IFS(B3520&lt;31,"Young-Adult",B3520&lt;41,"Adult",B3520&lt;61,"Middle-aged",B3520&gt;=61,"Senior")</f>
        <v>Middle-aged</v>
      </c>
      <c r="S3520" cm="1">
        <f t="array" ref="S3520">_xlfn.IFS(Q3520 ="Fortnightly",14,Q3520="Weekly",7,Q3520="Monthly",30,Q3520="Quarterly",90,Q3520="Bi-Weekly",14,Q3520="Annually",365,Q3520="Every 3 Months",90,TRUE,"NOT FOUND")</f>
        <v>90</v>
      </c>
    </row>
    <row r="3521" spans="1:19" x14ac:dyDescent="0.35">
      <c r="A3521">
        <v>3520</v>
      </c>
      <c r="B3521">
        <v>31</v>
      </c>
      <c r="C3521" t="s">
        <v>141</v>
      </c>
      <c r="D3521" t="s">
        <v>47</v>
      </c>
      <c r="E3521" t="s">
        <v>9</v>
      </c>
      <c r="F3521">
        <v>66</v>
      </c>
      <c r="G3521" t="s">
        <v>138</v>
      </c>
      <c r="H3521" t="s">
        <v>32</v>
      </c>
      <c r="I3521" t="s">
        <v>40</v>
      </c>
      <c r="J3521" t="s">
        <v>13</v>
      </c>
      <c r="K3521">
        <v>3.7</v>
      </c>
      <c r="L3521" t="s">
        <v>140</v>
      </c>
      <c r="M3521" t="s">
        <v>33</v>
      </c>
      <c r="N3521" t="s">
        <v>140</v>
      </c>
      <c r="O3521">
        <v>14</v>
      </c>
      <c r="P3521" t="s">
        <v>63</v>
      </c>
      <c r="Q3521" t="s">
        <v>17</v>
      </c>
      <c r="R3521" t="str" cm="1">
        <f t="array" ref="R3521">_xlfn.IFS(B3521&lt;31,"Young-Adult",B3521&lt;41,"Adult",B3521&lt;61,"Middle-aged",B3521&gt;=61,"Senior")</f>
        <v>Adult</v>
      </c>
      <c r="S3521" cm="1">
        <f t="array" ref="S3521">_xlfn.IFS(Q3521 ="Fortnightly",14,Q3521="Weekly",7,Q3521="Monthly",30,Q3521="Quarterly",90,Q3521="Bi-Weekly",14,Q3521="Annually",365,Q3521="Every 3 Months",90,TRUE,"NOT FOUND")</f>
        <v>14</v>
      </c>
    </row>
    <row r="3522" spans="1:19" x14ac:dyDescent="0.35">
      <c r="A3522">
        <v>3521</v>
      </c>
      <c r="B3522">
        <v>41</v>
      </c>
      <c r="C3522" t="s">
        <v>141</v>
      </c>
      <c r="D3522" t="s">
        <v>112</v>
      </c>
      <c r="E3522" t="s">
        <v>55</v>
      </c>
      <c r="F3522">
        <v>70</v>
      </c>
      <c r="G3522" t="s">
        <v>130</v>
      </c>
      <c r="H3522" t="s">
        <v>24</v>
      </c>
      <c r="I3522" t="s">
        <v>98</v>
      </c>
      <c r="J3522" t="s">
        <v>25</v>
      </c>
      <c r="K3522">
        <v>3.1</v>
      </c>
      <c r="L3522" t="s">
        <v>140</v>
      </c>
      <c r="M3522" t="s">
        <v>15</v>
      </c>
      <c r="N3522" t="s">
        <v>140</v>
      </c>
      <c r="O3522">
        <v>33</v>
      </c>
      <c r="P3522" t="s">
        <v>63</v>
      </c>
      <c r="Q3522" t="s">
        <v>76</v>
      </c>
      <c r="R3522" t="str" cm="1">
        <f t="array" ref="R3522">_xlfn.IFS(B3522&lt;31,"Young-Adult",B3522&lt;41,"Adult",B3522&lt;61,"Middle-aged",B3522&gt;=61,"Senior")</f>
        <v>Middle-aged</v>
      </c>
      <c r="S3522" cm="1">
        <f t="array" ref="S3522">_xlfn.IFS(Q3522 ="Fortnightly",14,Q3522="Weekly",7,Q3522="Monthly",30,Q3522="Quarterly",90,Q3522="Bi-Weekly",14,Q3522="Annually",365,Q3522="Every 3 Months",90,TRUE,"NOT FOUND")</f>
        <v>30</v>
      </c>
    </row>
    <row r="3523" spans="1:19" x14ac:dyDescent="0.35">
      <c r="A3523">
        <v>3522</v>
      </c>
      <c r="B3523">
        <v>52</v>
      </c>
      <c r="C3523" t="s">
        <v>141</v>
      </c>
      <c r="D3523" t="s">
        <v>59</v>
      </c>
      <c r="E3523" t="s">
        <v>30</v>
      </c>
      <c r="F3523">
        <v>50</v>
      </c>
      <c r="G3523" t="s">
        <v>116</v>
      </c>
      <c r="H3523" t="s">
        <v>32</v>
      </c>
      <c r="I3523" t="s">
        <v>57</v>
      </c>
      <c r="J3523" t="s">
        <v>13</v>
      </c>
      <c r="K3523">
        <v>3.7</v>
      </c>
      <c r="L3523" t="s">
        <v>140</v>
      </c>
      <c r="M3523" t="s">
        <v>62</v>
      </c>
      <c r="N3523" t="s">
        <v>140</v>
      </c>
      <c r="O3523">
        <v>35</v>
      </c>
      <c r="P3523" t="s">
        <v>16</v>
      </c>
      <c r="Q3523" t="s">
        <v>28</v>
      </c>
      <c r="R3523" t="str" cm="1">
        <f t="array" ref="R3523">_xlfn.IFS(B3523&lt;31,"Young-Adult",B3523&lt;41,"Adult",B3523&lt;61,"Middle-aged",B3523&gt;=61,"Senior")</f>
        <v>Middle-aged</v>
      </c>
      <c r="S3523" cm="1">
        <f t="array" ref="S3523">_xlfn.IFS(Q3523 ="Fortnightly",14,Q3523="Weekly",7,Q3523="Monthly",30,Q3523="Quarterly",90,Q3523="Bi-Weekly",14,Q3523="Annually",365,Q3523="Every 3 Months",90,TRUE,"NOT FOUND")</f>
        <v>7</v>
      </c>
    </row>
    <row r="3524" spans="1:19" x14ac:dyDescent="0.35">
      <c r="A3524">
        <v>3523</v>
      </c>
      <c r="B3524">
        <v>27</v>
      </c>
      <c r="C3524" t="s">
        <v>141</v>
      </c>
      <c r="D3524" t="s">
        <v>83</v>
      </c>
      <c r="E3524" t="s">
        <v>9</v>
      </c>
      <c r="F3524">
        <v>85</v>
      </c>
      <c r="G3524" t="s">
        <v>115</v>
      </c>
      <c r="H3524" t="s">
        <v>32</v>
      </c>
      <c r="I3524" t="s">
        <v>122</v>
      </c>
      <c r="J3524" t="s">
        <v>25</v>
      </c>
      <c r="K3524">
        <v>3.2</v>
      </c>
      <c r="L3524" t="s">
        <v>140</v>
      </c>
      <c r="M3524" t="s">
        <v>62</v>
      </c>
      <c r="N3524" t="s">
        <v>140</v>
      </c>
      <c r="O3524">
        <v>13</v>
      </c>
      <c r="P3524" t="s">
        <v>21</v>
      </c>
      <c r="Q3524" t="s">
        <v>46</v>
      </c>
      <c r="R3524" t="str" cm="1">
        <f t="array" ref="R3524">_xlfn.IFS(B3524&lt;31,"Young-Adult",B3524&lt;41,"Adult",B3524&lt;61,"Middle-aged",B3524&gt;=61,"Senior")</f>
        <v>Young-Adult</v>
      </c>
      <c r="S3524" cm="1">
        <f t="array" ref="S3524">_xlfn.IFS(Q3524 ="Fortnightly",14,Q3524="Weekly",7,Q3524="Monthly",30,Q3524="Quarterly",90,Q3524="Bi-Weekly",14,Q3524="Annually",365,Q3524="Every 3 Months",90,TRUE,"NOT FOUND")</f>
        <v>90</v>
      </c>
    </row>
    <row r="3525" spans="1:19" x14ac:dyDescent="0.35">
      <c r="A3525">
        <v>3524</v>
      </c>
      <c r="B3525">
        <v>49</v>
      </c>
      <c r="C3525" t="s">
        <v>141</v>
      </c>
      <c r="D3525" t="s">
        <v>120</v>
      </c>
      <c r="E3525" t="s">
        <v>55</v>
      </c>
      <c r="F3525">
        <v>59</v>
      </c>
      <c r="G3525" t="s">
        <v>95</v>
      </c>
      <c r="H3525" t="s">
        <v>32</v>
      </c>
      <c r="I3525" t="s">
        <v>97</v>
      </c>
      <c r="J3525" t="s">
        <v>41</v>
      </c>
      <c r="K3525">
        <v>2.8</v>
      </c>
      <c r="L3525" t="s">
        <v>140</v>
      </c>
      <c r="M3525" t="s">
        <v>42</v>
      </c>
      <c r="N3525" t="s">
        <v>140</v>
      </c>
      <c r="O3525">
        <v>30</v>
      </c>
      <c r="P3525" t="s">
        <v>21</v>
      </c>
      <c r="Q3525" t="s">
        <v>17</v>
      </c>
      <c r="R3525" t="str" cm="1">
        <f t="array" ref="R3525">_xlfn.IFS(B3525&lt;31,"Young-Adult",B3525&lt;41,"Adult",B3525&lt;61,"Middle-aged",B3525&gt;=61,"Senior")</f>
        <v>Middle-aged</v>
      </c>
      <c r="S3525" cm="1">
        <f t="array" ref="S3525">_xlfn.IFS(Q3525 ="Fortnightly",14,Q3525="Weekly",7,Q3525="Monthly",30,Q3525="Quarterly",90,Q3525="Bi-Weekly",14,Q3525="Annually",365,Q3525="Every 3 Months",90,TRUE,"NOT FOUND")</f>
        <v>14</v>
      </c>
    </row>
    <row r="3526" spans="1:19" x14ac:dyDescent="0.35">
      <c r="A3526">
        <v>3525</v>
      </c>
      <c r="B3526">
        <v>69</v>
      </c>
      <c r="C3526" t="s">
        <v>141</v>
      </c>
      <c r="D3526" t="s">
        <v>83</v>
      </c>
      <c r="E3526" t="s">
        <v>9</v>
      </c>
      <c r="F3526">
        <v>74</v>
      </c>
      <c r="G3526" t="s">
        <v>139</v>
      </c>
      <c r="H3526" t="s">
        <v>11</v>
      </c>
      <c r="I3526" t="s">
        <v>53</v>
      </c>
      <c r="J3526" t="s">
        <v>41</v>
      </c>
      <c r="K3526">
        <v>2.9</v>
      </c>
      <c r="L3526" t="s">
        <v>140</v>
      </c>
      <c r="M3526" t="s">
        <v>26</v>
      </c>
      <c r="N3526" t="s">
        <v>140</v>
      </c>
      <c r="O3526">
        <v>30</v>
      </c>
      <c r="P3526" t="s">
        <v>27</v>
      </c>
      <c r="Q3526" t="s">
        <v>76</v>
      </c>
      <c r="R3526" t="str" cm="1">
        <f t="array" ref="R3526">_xlfn.IFS(B3526&lt;31,"Young-Adult",B3526&lt;41,"Adult",B3526&lt;61,"Middle-aged",B3526&gt;=61,"Senior")</f>
        <v>Senior</v>
      </c>
      <c r="S3526" cm="1">
        <f t="array" ref="S3526">_xlfn.IFS(Q3526 ="Fortnightly",14,Q3526="Weekly",7,Q3526="Monthly",30,Q3526="Quarterly",90,Q3526="Bi-Weekly",14,Q3526="Annually",365,Q3526="Every 3 Months",90,TRUE,"NOT FOUND")</f>
        <v>30</v>
      </c>
    </row>
    <row r="3527" spans="1:19" x14ac:dyDescent="0.35">
      <c r="A3527">
        <v>3526</v>
      </c>
      <c r="B3527">
        <v>45</v>
      </c>
      <c r="C3527" t="s">
        <v>141</v>
      </c>
      <c r="D3527" t="s">
        <v>77</v>
      </c>
      <c r="E3527" t="s">
        <v>55</v>
      </c>
      <c r="F3527">
        <v>38</v>
      </c>
      <c r="G3527" t="s">
        <v>39</v>
      </c>
      <c r="H3527" t="s">
        <v>11</v>
      </c>
      <c r="I3527" t="s">
        <v>66</v>
      </c>
      <c r="J3527" t="s">
        <v>13</v>
      </c>
      <c r="K3527">
        <v>3.5</v>
      </c>
      <c r="L3527" t="s">
        <v>140</v>
      </c>
      <c r="M3527" t="s">
        <v>42</v>
      </c>
      <c r="N3527" t="s">
        <v>140</v>
      </c>
      <c r="O3527">
        <v>47</v>
      </c>
      <c r="P3527" t="s">
        <v>63</v>
      </c>
      <c r="Q3527" t="s">
        <v>37</v>
      </c>
      <c r="R3527" t="str" cm="1">
        <f t="array" ref="R3527">_xlfn.IFS(B3527&lt;31,"Young-Adult",B3527&lt;41,"Adult",B3527&lt;61,"Middle-aged",B3527&gt;=61,"Senior")</f>
        <v>Middle-aged</v>
      </c>
      <c r="S3527" cm="1">
        <f t="array" ref="S3527">_xlfn.IFS(Q3527 ="Fortnightly",14,Q3527="Weekly",7,Q3527="Monthly",30,Q3527="Quarterly",90,Q3527="Bi-Weekly",14,Q3527="Annually",365,Q3527="Every 3 Months",90,TRUE,"NOT FOUND")</f>
        <v>365</v>
      </c>
    </row>
    <row r="3528" spans="1:19" x14ac:dyDescent="0.35">
      <c r="A3528">
        <v>3527</v>
      </c>
      <c r="B3528">
        <v>20</v>
      </c>
      <c r="C3528" t="s">
        <v>141</v>
      </c>
      <c r="D3528" t="s">
        <v>18</v>
      </c>
      <c r="E3528" t="s">
        <v>9</v>
      </c>
      <c r="F3528">
        <v>99</v>
      </c>
      <c r="G3528" t="s">
        <v>23</v>
      </c>
      <c r="H3528" t="s">
        <v>32</v>
      </c>
      <c r="I3528" t="s">
        <v>66</v>
      </c>
      <c r="J3528" t="s">
        <v>25</v>
      </c>
      <c r="K3528">
        <v>3.8</v>
      </c>
      <c r="L3528" t="s">
        <v>140</v>
      </c>
      <c r="M3528" t="s">
        <v>15</v>
      </c>
      <c r="N3528" t="s">
        <v>140</v>
      </c>
      <c r="O3528">
        <v>1</v>
      </c>
      <c r="P3528" t="s">
        <v>34</v>
      </c>
      <c r="Q3528" t="s">
        <v>85</v>
      </c>
      <c r="R3528" t="str" cm="1">
        <f t="array" ref="R3528">_xlfn.IFS(B3528&lt;31,"Young-Adult",B3528&lt;41,"Adult",B3528&lt;61,"Middle-aged",B3528&gt;=61,"Senior")</f>
        <v>Young-Adult</v>
      </c>
      <c r="S3528" cm="1">
        <f t="array" ref="S3528">_xlfn.IFS(Q3528 ="Fortnightly",14,Q3528="Weekly",7,Q3528="Monthly",30,Q3528="Quarterly",90,Q3528="Bi-Weekly",14,Q3528="Annually",365,Q3528="Every 3 Months",90,TRUE,"NOT FOUND")</f>
        <v>90</v>
      </c>
    </row>
    <row r="3529" spans="1:19" x14ac:dyDescent="0.35">
      <c r="A3529">
        <v>3528</v>
      </c>
      <c r="B3529">
        <v>25</v>
      </c>
      <c r="C3529" t="s">
        <v>141</v>
      </c>
      <c r="D3529" t="s">
        <v>8</v>
      </c>
      <c r="E3529" t="s">
        <v>9</v>
      </c>
      <c r="F3529">
        <v>97</v>
      </c>
      <c r="G3529" t="s">
        <v>137</v>
      </c>
      <c r="H3529" t="s">
        <v>24</v>
      </c>
      <c r="I3529" t="s">
        <v>49</v>
      </c>
      <c r="J3529" t="s">
        <v>25</v>
      </c>
      <c r="K3529">
        <v>4.7</v>
      </c>
      <c r="L3529" t="s">
        <v>140</v>
      </c>
      <c r="M3529" t="s">
        <v>26</v>
      </c>
      <c r="N3529" t="s">
        <v>140</v>
      </c>
      <c r="O3529">
        <v>1</v>
      </c>
      <c r="P3529" t="s">
        <v>21</v>
      </c>
      <c r="Q3529" t="s">
        <v>28</v>
      </c>
      <c r="R3529" t="str" cm="1">
        <f t="array" ref="R3529">_xlfn.IFS(B3529&lt;31,"Young-Adult",B3529&lt;41,"Adult",B3529&lt;61,"Middle-aged",B3529&gt;=61,"Senior")</f>
        <v>Young-Adult</v>
      </c>
      <c r="S3529" cm="1">
        <f t="array" ref="S3529">_xlfn.IFS(Q3529 ="Fortnightly",14,Q3529="Weekly",7,Q3529="Monthly",30,Q3529="Quarterly",90,Q3529="Bi-Weekly",14,Q3529="Annually",365,Q3529="Every 3 Months",90,TRUE,"NOT FOUND")</f>
        <v>7</v>
      </c>
    </row>
    <row r="3530" spans="1:19" x14ac:dyDescent="0.35">
      <c r="A3530">
        <v>3529</v>
      </c>
      <c r="B3530">
        <v>38</v>
      </c>
      <c r="C3530" t="s">
        <v>141</v>
      </c>
      <c r="D3530" t="s">
        <v>107</v>
      </c>
      <c r="E3530" t="s">
        <v>55</v>
      </c>
      <c r="F3530">
        <v>67</v>
      </c>
      <c r="G3530" t="s">
        <v>19</v>
      </c>
      <c r="H3530" t="s">
        <v>11</v>
      </c>
      <c r="I3530" t="s">
        <v>12</v>
      </c>
      <c r="J3530" t="s">
        <v>41</v>
      </c>
      <c r="K3530">
        <v>4.5</v>
      </c>
      <c r="L3530" t="s">
        <v>140</v>
      </c>
      <c r="M3530" t="s">
        <v>26</v>
      </c>
      <c r="N3530" t="s">
        <v>140</v>
      </c>
      <c r="O3530">
        <v>33</v>
      </c>
      <c r="P3530" t="s">
        <v>34</v>
      </c>
      <c r="Q3530" t="s">
        <v>37</v>
      </c>
      <c r="R3530" t="str" cm="1">
        <f t="array" ref="R3530">_xlfn.IFS(B3530&lt;31,"Young-Adult",B3530&lt;41,"Adult",B3530&lt;61,"Middle-aged",B3530&gt;=61,"Senior")</f>
        <v>Adult</v>
      </c>
      <c r="S3530" cm="1">
        <f t="array" ref="S3530">_xlfn.IFS(Q3530 ="Fortnightly",14,Q3530="Weekly",7,Q3530="Monthly",30,Q3530="Quarterly",90,Q3530="Bi-Weekly",14,Q3530="Annually",365,Q3530="Every 3 Months",90,TRUE,"NOT FOUND")</f>
        <v>365</v>
      </c>
    </row>
    <row r="3531" spans="1:19" x14ac:dyDescent="0.35">
      <c r="A3531">
        <v>3530</v>
      </c>
      <c r="B3531">
        <v>55</v>
      </c>
      <c r="C3531" t="s">
        <v>141</v>
      </c>
      <c r="D3531" t="s">
        <v>101</v>
      </c>
      <c r="E3531" t="s">
        <v>9</v>
      </c>
      <c r="F3531">
        <v>20</v>
      </c>
      <c r="G3531" t="s">
        <v>44</v>
      </c>
      <c r="H3531" t="s">
        <v>24</v>
      </c>
      <c r="I3531" t="s">
        <v>20</v>
      </c>
      <c r="J3531" t="s">
        <v>13</v>
      </c>
      <c r="K3531">
        <v>3.9</v>
      </c>
      <c r="L3531" t="s">
        <v>140</v>
      </c>
      <c r="M3531" t="s">
        <v>33</v>
      </c>
      <c r="N3531" t="s">
        <v>140</v>
      </c>
      <c r="O3531">
        <v>43</v>
      </c>
      <c r="P3531" t="s">
        <v>63</v>
      </c>
      <c r="Q3531" t="s">
        <v>28</v>
      </c>
      <c r="R3531" t="str" cm="1">
        <f t="array" ref="R3531">_xlfn.IFS(B3531&lt;31,"Young-Adult",B3531&lt;41,"Adult",B3531&lt;61,"Middle-aged",B3531&gt;=61,"Senior")</f>
        <v>Middle-aged</v>
      </c>
      <c r="S3531" cm="1">
        <f t="array" ref="S3531">_xlfn.IFS(Q3531 ="Fortnightly",14,Q3531="Weekly",7,Q3531="Monthly",30,Q3531="Quarterly",90,Q3531="Bi-Weekly",14,Q3531="Annually",365,Q3531="Every 3 Months",90,TRUE,"NOT FOUND")</f>
        <v>7</v>
      </c>
    </row>
    <row r="3532" spans="1:19" x14ac:dyDescent="0.35">
      <c r="A3532">
        <v>3531</v>
      </c>
      <c r="B3532">
        <v>62</v>
      </c>
      <c r="C3532" t="s">
        <v>141</v>
      </c>
      <c r="D3532" t="s">
        <v>77</v>
      </c>
      <c r="E3532" t="s">
        <v>55</v>
      </c>
      <c r="F3532">
        <v>45</v>
      </c>
      <c r="G3532" t="s">
        <v>89</v>
      </c>
      <c r="H3532" t="s">
        <v>11</v>
      </c>
      <c r="I3532" t="s">
        <v>82</v>
      </c>
      <c r="J3532" t="s">
        <v>25</v>
      </c>
      <c r="K3532">
        <v>3.4</v>
      </c>
      <c r="L3532" t="s">
        <v>140</v>
      </c>
      <c r="M3532" t="s">
        <v>15</v>
      </c>
      <c r="N3532" t="s">
        <v>140</v>
      </c>
      <c r="O3532">
        <v>37</v>
      </c>
      <c r="P3532" t="s">
        <v>34</v>
      </c>
      <c r="Q3532" t="s">
        <v>28</v>
      </c>
      <c r="R3532" t="str" cm="1">
        <f t="array" ref="R3532">_xlfn.IFS(B3532&lt;31,"Young-Adult",B3532&lt;41,"Adult",B3532&lt;61,"Middle-aged",B3532&gt;=61,"Senior")</f>
        <v>Senior</v>
      </c>
      <c r="S3532" cm="1">
        <f t="array" ref="S3532">_xlfn.IFS(Q3532 ="Fortnightly",14,Q3532="Weekly",7,Q3532="Monthly",30,Q3532="Quarterly",90,Q3532="Bi-Weekly",14,Q3532="Annually",365,Q3532="Every 3 Months",90,TRUE,"NOT FOUND")</f>
        <v>7</v>
      </c>
    </row>
    <row r="3533" spans="1:19" x14ac:dyDescent="0.35">
      <c r="A3533">
        <v>3532</v>
      </c>
      <c r="B3533">
        <v>54</v>
      </c>
      <c r="C3533" t="s">
        <v>141</v>
      </c>
      <c r="D3533" t="s">
        <v>59</v>
      </c>
      <c r="E3533" t="s">
        <v>30</v>
      </c>
      <c r="F3533">
        <v>52</v>
      </c>
      <c r="G3533" t="s">
        <v>102</v>
      </c>
      <c r="H3533" t="s">
        <v>80</v>
      </c>
      <c r="I3533" t="s">
        <v>71</v>
      </c>
      <c r="J3533" t="s">
        <v>13</v>
      </c>
      <c r="K3533">
        <v>4.5999999999999996</v>
      </c>
      <c r="L3533" t="s">
        <v>140</v>
      </c>
      <c r="M3533" t="s">
        <v>58</v>
      </c>
      <c r="N3533" t="s">
        <v>140</v>
      </c>
      <c r="O3533">
        <v>23</v>
      </c>
      <c r="P3533" t="s">
        <v>21</v>
      </c>
      <c r="Q3533" t="s">
        <v>46</v>
      </c>
      <c r="R3533" t="str" cm="1">
        <f t="array" ref="R3533">_xlfn.IFS(B3533&lt;31,"Young-Adult",B3533&lt;41,"Adult",B3533&lt;61,"Middle-aged",B3533&gt;=61,"Senior")</f>
        <v>Middle-aged</v>
      </c>
      <c r="S3533" cm="1">
        <f t="array" ref="S3533">_xlfn.IFS(Q3533 ="Fortnightly",14,Q3533="Weekly",7,Q3533="Monthly",30,Q3533="Quarterly",90,Q3533="Bi-Weekly",14,Q3533="Annually",365,Q3533="Every 3 Months",90,TRUE,"NOT FOUND")</f>
        <v>90</v>
      </c>
    </row>
    <row r="3534" spans="1:19" x14ac:dyDescent="0.35">
      <c r="A3534">
        <v>3533</v>
      </c>
      <c r="B3534">
        <v>61</v>
      </c>
      <c r="C3534" t="s">
        <v>141</v>
      </c>
      <c r="D3534" t="s">
        <v>83</v>
      </c>
      <c r="E3534" t="s">
        <v>9</v>
      </c>
      <c r="F3534">
        <v>68</v>
      </c>
      <c r="G3534" t="s">
        <v>127</v>
      </c>
      <c r="H3534" t="s">
        <v>11</v>
      </c>
      <c r="I3534" t="s">
        <v>114</v>
      </c>
      <c r="J3534" t="s">
        <v>45</v>
      </c>
      <c r="K3534">
        <v>4.5999999999999996</v>
      </c>
      <c r="L3534" t="s">
        <v>140</v>
      </c>
      <c r="M3534" t="s">
        <v>42</v>
      </c>
      <c r="N3534" t="s">
        <v>140</v>
      </c>
      <c r="O3534">
        <v>12</v>
      </c>
      <c r="P3534" t="s">
        <v>27</v>
      </c>
      <c r="Q3534" t="s">
        <v>37</v>
      </c>
      <c r="R3534" t="str" cm="1">
        <f t="array" ref="R3534">_xlfn.IFS(B3534&lt;31,"Young-Adult",B3534&lt;41,"Adult",B3534&lt;61,"Middle-aged",B3534&gt;=61,"Senior")</f>
        <v>Senior</v>
      </c>
      <c r="S3534" cm="1">
        <f t="array" ref="S3534">_xlfn.IFS(Q3534 ="Fortnightly",14,Q3534="Weekly",7,Q3534="Monthly",30,Q3534="Quarterly",90,Q3534="Bi-Weekly",14,Q3534="Annually",365,Q3534="Every 3 Months",90,TRUE,"NOT FOUND")</f>
        <v>365</v>
      </c>
    </row>
    <row r="3535" spans="1:19" x14ac:dyDescent="0.35">
      <c r="A3535">
        <v>3534</v>
      </c>
      <c r="B3535">
        <v>50</v>
      </c>
      <c r="C3535" t="s">
        <v>141</v>
      </c>
      <c r="D3535" t="s">
        <v>38</v>
      </c>
      <c r="E3535" t="s">
        <v>30</v>
      </c>
      <c r="F3535">
        <v>98</v>
      </c>
      <c r="G3535" t="s">
        <v>93</v>
      </c>
      <c r="H3535" t="s">
        <v>11</v>
      </c>
      <c r="I3535" t="s">
        <v>122</v>
      </c>
      <c r="J3535" t="s">
        <v>45</v>
      </c>
      <c r="K3535">
        <v>4.7</v>
      </c>
      <c r="L3535" t="s">
        <v>140</v>
      </c>
      <c r="M3535" t="s">
        <v>42</v>
      </c>
      <c r="N3535" t="s">
        <v>140</v>
      </c>
      <c r="O3535">
        <v>30</v>
      </c>
      <c r="P3535" t="s">
        <v>16</v>
      </c>
      <c r="Q3535" t="s">
        <v>17</v>
      </c>
      <c r="R3535" t="str" cm="1">
        <f t="array" ref="R3535">_xlfn.IFS(B3535&lt;31,"Young-Adult",B3535&lt;41,"Adult",B3535&lt;61,"Middle-aged",B3535&gt;=61,"Senior")</f>
        <v>Middle-aged</v>
      </c>
      <c r="S3535" cm="1">
        <f t="array" ref="S3535">_xlfn.IFS(Q3535 ="Fortnightly",14,Q3535="Weekly",7,Q3535="Monthly",30,Q3535="Quarterly",90,Q3535="Bi-Weekly",14,Q3535="Annually",365,Q3535="Every 3 Months",90,TRUE,"NOT FOUND")</f>
        <v>14</v>
      </c>
    </row>
    <row r="3536" spans="1:19" x14ac:dyDescent="0.35">
      <c r="A3536">
        <v>3535</v>
      </c>
      <c r="B3536">
        <v>65</v>
      </c>
      <c r="C3536" t="s">
        <v>141</v>
      </c>
      <c r="D3536" t="s">
        <v>59</v>
      </c>
      <c r="E3536" t="s">
        <v>30</v>
      </c>
      <c r="F3536">
        <v>83</v>
      </c>
      <c r="G3536" t="s">
        <v>67</v>
      </c>
      <c r="H3536" t="s">
        <v>32</v>
      </c>
      <c r="I3536" t="s">
        <v>12</v>
      </c>
      <c r="J3536" t="s">
        <v>45</v>
      </c>
      <c r="K3536">
        <v>3.2</v>
      </c>
      <c r="L3536" t="s">
        <v>140</v>
      </c>
      <c r="M3536" t="s">
        <v>15</v>
      </c>
      <c r="N3536" t="s">
        <v>140</v>
      </c>
      <c r="O3536">
        <v>7</v>
      </c>
      <c r="P3536" t="s">
        <v>21</v>
      </c>
      <c r="Q3536" t="s">
        <v>28</v>
      </c>
      <c r="R3536" t="str" cm="1">
        <f t="array" ref="R3536">_xlfn.IFS(B3536&lt;31,"Young-Adult",B3536&lt;41,"Adult",B3536&lt;61,"Middle-aged",B3536&gt;=61,"Senior")</f>
        <v>Senior</v>
      </c>
      <c r="S3536" cm="1">
        <f t="array" ref="S3536">_xlfn.IFS(Q3536 ="Fortnightly",14,Q3536="Weekly",7,Q3536="Monthly",30,Q3536="Quarterly",90,Q3536="Bi-Weekly",14,Q3536="Annually",365,Q3536="Every 3 Months",90,TRUE,"NOT FOUND")</f>
        <v>7</v>
      </c>
    </row>
    <row r="3537" spans="1:19" x14ac:dyDescent="0.35">
      <c r="A3537">
        <v>3536</v>
      </c>
      <c r="B3537">
        <v>68</v>
      </c>
      <c r="C3537" t="s">
        <v>141</v>
      </c>
      <c r="D3537" t="s">
        <v>47</v>
      </c>
      <c r="E3537" t="s">
        <v>9</v>
      </c>
      <c r="F3537">
        <v>51</v>
      </c>
      <c r="G3537" t="s">
        <v>79</v>
      </c>
      <c r="H3537" t="s">
        <v>32</v>
      </c>
      <c r="I3537" t="s">
        <v>96</v>
      </c>
      <c r="J3537" t="s">
        <v>41</v>
      </c>
      <c r="K3537">
        <v>5</v>
      </c>
      <c r="L3537" t="s">
        <v>140</v>
      </c>
      <c r="M3537" t="s">
        <v>15</v>
      </c>
      <c r="N3537" t="s">
        <v>140</v>
      </c>
      <c r="O3537">
        <v>20</v>
      </c>
      <c r="P3537" t="s">
        <v>74</v>
      </c>
      <c r="Q3537" t="s">
        <v>76</v>
      </c>
      <c r="R3537" t="str" cm="1">
        <f t="array" ref="R3537">_xlfn.IFS(B3537&lt;31,"Young-Adult",B3537&lt;41,"Adult",B3537&lt;61,"Middle-aged",B3537&gt;=61,"Senior")</f>
        <v>Senior</v>
      </c>
      <c r="S3537" cm="1">
        <f t="array" ref="S3537">_xlfn.IFS(Q3537 ="Fortnightly",14,Q3537="Weekly",7,Q3537="Monthly",30,Q3537="Quarterly",90,Q3537="Bi-Weekly",14,Q3537="Annually",365,Q3537="Every 3 Months",90,TRUE,"NOT FOUND")</f>
        <v>30</v>
      </c>
    </row>
    <row r="3538" spans="1:19" x14ac:dyDescent="0.35">
      <c r="A3538">
        <v>3537</v>
      </c>
      <c r="B3538">
        <v>55</v>
      </c>
      <c r="C3538" t="s">
        <v>141</v>
      </c>
      <c r="D3538" t="s">
        <v>54</v>
      </c>
      <c r="E3538" t="s">
        <v>55</v>
      </c>
      <c r="F3538">
        <v>21</v>
      </c>
      <c r="G3538" t="s">
        <v>136</v>
      </c>
      <c r="H3538" t="s">
        <v>11</v>
      </c>
      <c r="I3538" t="s">
        <v>88</v>
      </c>
      <c r="J3538" t="s">
        <v>25</v>
      </c>
      <c r="K3538">
        <v>4.5</v>
      </c>
      <c r="L3538" t="s">
        <v>140</v>
      </c>
      <c r="M3538" t="s">
        <v>15</v>
      </c>
      <c r="N3538" t="s">
        <v>140</v>
      </c>
      <c r="O3538">
        <v>10</v>
      </c>
      <c r="P3538" t="s">
        <v>16</v>
      </c>
      <c r="Q3538" t="s">
        <v>76</v>
      </c>
      <c r="R3538" t="str" cm="1">
        <f t="array" ref="R3538">_xlfn.IFS(B3538&lt;31,"Young-Adult",B3538&lt;41,"Adult",B3538&lt;61,"Middle-aged",B3538&gt;=61,"Senior")</f>
        <v>Middle-aged</v>
      </c>
      <c r="S3538" cm="1">
        <f t="array" ref="S3538">_xlfn.IFS(Q3538 ="Fortnightly",14,Q3538="Weekly",7,Q3538="Monthly",30,Q3538="Quarterly",90,Q3538="Bi-Weekly",14,Q3538="Annually",365,Q3538="Every 3 Months",90,TRUE,"NOT FOUND")</f>
        <v>30</v>
      </c>
    </row>
    <row r="3539" spans="1:19" x14ac:dyDescent="0.35">
      <c r="A3539">
        <v>3538</v>
      </c>
      <c r="B3539">
        <v>57</v>
      </c>
      <c r="C3539" t="s">
        <v>141</v>
      </c>
      <c r="D3539" t="s">
        <v>54</v>
      </c>
      <c r="E3539" t="s">
        <v>55</v>
      </c>
      <c r="F3539">
        <v>92</v>
      </c>
      <c r="G3539" t="s">
        <v>130</v>
      </c>
      <c r="H3539" t="s">
        <v>32</v>
      </c>
      <c r="I3539" t="s">
        <v>12</v>
      </c>
      <c r="J3539" t="s">
        <v>25</v>
      </c>
      <c r="K3539">
        <v>3.5</v>
      </c>
      <c r="L3539" t="s">
        <v>140</v>
      </c>
      <c r="M3539" t="s">
        <v>42</v>
      </c>
      <c r="N3539" t="s">
        <v>140</v>
      </c>
      <c r="O3539">
        <v>40</v>
      </c>
      <c r="P3539" t="s">
        <v>27</v>
      </c>
      <c r="Q3539" t="s">
        <v>85</v>
      </c>
      <c r="R3539" t="str" cm="1">
        <f t="array" ref="R3539">_xlfn.IFS(B3539&lt;31,"Young-Adult",B3539&lt;41,"Adult",B3539&lt;61,"Middle-aged",B3539&gt;=61,"Senior")</f>
        <v>Middle-aged</v>
      </c>
      <c r="S3539" cm="1">
        <f t="array" ref="S3539">_xlfn.IFS(Q3539 ="Fortnightly",14,Q3539="Weekly",7,Q3539="Monthly",30,Q3539="Quarterly",90,Q3539="Bi-Weekly",14,Q3539="Annually",365,Q3539="Every 3 Months",90,TRUE,"NOT FOUND")</f>
        <v>90</v>
      </c>
    </row>
    <row r="3540" spans="1:19" x14ac:dyDescent="0.35">
      <c r="A3540">
        <v>3539</v>
      </c>
      <c r="B3540">
        <v>56</v>
      </c>
      <c r="C3540" t="s">
        <v>141</v>
      </c>
      <c r="D3540" t="s">
        <v>59</v>
      </c>
      <c r="E3540" t="s">
        <v>30</v>
      </c>
      <c r="F3540">
        <v>63</v>
      </c>
      <c r="G3540" t="s">
        <v>134</v>
      </c>
      <c r="H3540" t="s">
        <v>24</v>
      </c>
      <c r="I3540" t="s">
        <v>40</v>
      </c>
      <c r="J3540" t="s">
        <v>25</v>
      </c>
      <c r="K3540">
        <v>4.5</v>
      </c>
      <c r="L3540" t="s">
        <v>140</v>
      </c>
      <c r="M3540" t="s">
        <v>62</v>
      </c>
      <c r="N3540" t="s">
        <v>140</v>
      </c>
      <c r="O3540">
        <v>21</v>
      </c>
      <c r="P3540" t="s">
        <v>16</v>
      </c>
      <c r="Q3540" t="s">
        <v>76</v>
      </c>
      <c r="R3540" t="str" cm="1">
        <f t="array" ref="R3540">_xlfn.IFS(B3540&lt;31,"Young-Adult",B3540&lt;41,"Adult",B3540&lt;61,"Middle-aged",B3540&gt;=61,"Senior")</f>
        <v>Middle-aged</v>
      </c>
      <c r="S3540" cm="1">
        <f t="array" ref="S3540">_xlfn.IFS(Q3540 ="Fortnightly",14,Q3540="Weekly",7,Q3540="Monthly",30,Q3540="Quarterly",90,Q3540="Bi-Weekly",14,Q3540="Annually",365,Q3540="Every 3 Months",90,TRUE,"NOT FOUND")</f>
        <v>30</v>
      </c>
    </row>
    <row r="3541" spans="1:19" x14ac:dyDescent="0.35">
      <c r="A3541">
        <v>3540</v>
      </c>
      <c r="B3541">
        <v>29</v>
      </c>
      <c r="C3541" t="s">
        <v>141</v>
      </c>
      <c r="D3541" t="s">
        <v>94</v>
      </c>
      <c r="E3541" t="s">
        <v>55</v>
      </c>
      <c r="F3541">
        <v>56</v>
      </c>
      <c r="G3541" t="s">
        <v>72</v>
      </c>
      <c r="H3541" t="s">
        <v>24</v>
      </c>
      <c r="I3541" t="s">
        <v>84</v>
      </c>
      <c r="J3541" t="s">
        <v>25</v>
      </c>
      <c r="K3541">
        <v>3.2</v>
      </c>
      <c r="L3541" t="s">
        <v>140</v>
      </c>
      <c r="M3541" t="s">
        <v>15</v>
      </c>
      <c r="N3541" t="s">
        <v>140</v>
      </c>
      <c r="O3541">
        <v>17</v>
      </c>
      <c r="P3541" t="s">
        <v>27</v>
      </c>
      <c r="Q3541" t="s">
        <v>64</v>
      </c>
      <c r="R3541" t="str" cm="1">
        <f t="array" ref="R3541">_xlfn.IFS(B3541&lt;31,"Young-Adult",B3541&lt;41,"Adult",B3541&lt;61,"Middle-aged",B3541&gt;=61,"Senior")</f>
        <v>Young-Adult</v>
      </c>
      <c r="S3541" cm="1">
        <f t="array" ref="S3541">_xlfn.IFS(Q3541 ="Fortnightly",14,Q3541="Weekly",7,Q3541="Monthly",30,Q3541="Quarterly",90,Q3541="Bi-Weekly",14,Q3541="Annually",365,Q3541="Every 3 Months",90,TRUE,"NOT FOUND")</f>
        <v>14</v>
      </c>
    </row>
    <row r="3542" spans="1:19" x14ac:dyDescent="0.35">
      <c r="A3542">
        <v>3541</v>
      </c>
      <c r="B3542">
        <v>24</v>
      </c>
      <c r="C3542" t="s">
        <v>141</v>
      </c>
      <c r="D3542" t="s">
        <v>47</v>
      </c>
      <c r="E3542" t="s">
        <v>9</v>
      </c>
      <c r="F3542">
        <v>95</v>
      </c>
      <c r="G3542" t="s">
        <v>95</v>
      </c>
      <c r="H3542" t="s">
        <v>32</v>
      </c>
      <c r="I3542" t="s">
        <v>124</v>
      </c>
      <c r="J3542" t="s">
        <v>25</v>
      </c>
      <c r="K3542">
        <v>4.5999999999999996</v>
      </c>
      <c r="L3542" t="s">
        <v>140</v>
      </c>
      <c r="M3542" t="s">
        <v>26</v>
      </c>
      <c r="N3542" t="s">
        <v>140</v>
      </c>
      <c r="O3542">
        <v>5</v>
      </c>
      <c r="P3542" t="s">
        <v>63</v>
      </c>
      <c r="Q3542" t="s">
        <v>28</v>
      </c>
      <c r="R3542" t="str" cm="1">
        <f t="array" ref="R3542">_xlfn.IFS(B3542&lt;31,"Young-Adult",B3542&lt;41,"Adult",B3542&lt;61,"Middle-aged",B3542&gt;=61,"Senior")</f>
        <v>Young-Adult</v>
      </c>
      <c r="S3542" cm="1">
        <f t="array" ref="S3542">_xlfn.IFS(Q3542 ="Fortnightly",14,Q3542="Weekly",7,Q3542="Monthly",30,Q3542="Quarterly",90,Q3542="Bi-Weekly",14,Q3542="Annually",365,Q3542="Every 3 Months",90,TRUE,"NOT FOUND")</f>
        <v>7</v>
      </c>
    </row>
    <row r="3543" spans="1:19" x14ac:dyDescent="0.35">
      <c r="A3543">
        <v>3542</v>
      </c>
      <c r="B3543">
        <v>59</v>
      </c>
      <c r="C3543" t="s">
        <v>141</v>
      </c>
      <c r="D3543" t="s">
        <v>8</v>
      </c>
      <c r="E3543" t="s">
        <v>9</v>
      </c>
      <c r="F3543">
        <v>66</v>
      </c>
      <c r="G3543" t="s">
        <v>129</v>
      </c>
      <c r="H3543" t="s">
        <v>32</v>
      </c>
      <c r="I3543" t="s">
        <v>66</v>
      </c>
      <c r="J3543" t="s">
        <v>13</v>
      </c>
      <c r="K3543">
        <v>4</v>
      </c>
      <c r="L3543" t="s">
        <v>140</v>
      </c>
      <c r="M3543" t="s">
        <v>33</v>
      </c>
      <c r="N3543" t="s">
        <v>140</v>
      </c>
      <c r="O3543">
        <v>22</v>
      </c>
      <c r="P3543" t="s">
        <v>34</v>
      </c>
      <c r="Q3543" t="s">
        <v>37</v>
      </c>
      <c r="R3543" t="str" cm="1">
        <f t="array" ref="R3543">_xlfn.IFS(B3543&lt;31,"Young-Adult",B3543&lt;41,"Adult",B3543&lt;61,"Middle-aged",B3543&gt;=61,"Senior")</f>
        <v>Middle-aged</v>
      </c>
      <c r="S3543" cm="1">
        <f t="array" ref="S3543">_xlfn.IFS(Q3543 ="Fortnightly",14,Q3543="Weekly",7,Q3543="Monthly",30,Q3543="Quarterly",90,Q3543="Bi-Weekly",14,Q3543="Annually",365,Q3543="Every 3 Months",90,TRUE,"NOT FOUND")</f>
        <v>365</v>
      </c>
    </row>
    <row r="3544" spans="1:19" x14ac:dyDescent="0.35">
      <c r="A3544">
        <v>3543</v>
      </c>
      <c r="B3544">
        <v>62</v>
      </c>
      <c r="C3544" t="s">
        <v>141</v>
      </c>
      <c r="D3544" t="s">
        <v>50</v>
      </c>
      <c r="E3544" t="s">
        <v>51</v>
      </c>
      <c r="F3544">
        <v>28</v>
      </c>
      <c r="G3544" t="s">
        <v>123</v>
      </c>
      <c r="H3544" t="s">
        <v>24</v>
      </c>
      <c r="I3544" t="s">
        <v>66</v>
      </c>
      <c r="J3544" t="s">
        <v>25</v>
      </c>
      <c r="K3544">
        <v>4.2</v>
      </c>
      <c r="L3544" t="s">
        <v>140</v>
      </c>
      <c r="M3544" t="s">
        <v>15</v>
      </c>
      <c r="N3544" t="s">
        <v>140</v>
      </c>
      <c r="O3544">
        <v>5</v>
      </c>
      <c r="P3544" t="s">
        <v>16</v>
      </c>
      <c r="Q3544" t="s">
        <v>28</v>
      </c>
      <c r="R3544" t="str" cm="1">
        <f t="array" ref="R3544">_xlfn.IFS(B3544&lt;31,"Young-Adult",B3544&lt;41,"Adult",B3544&lt;61,"Middle-aged",B3544&gt;=61,"Senior")</f>
        <v>Senior</v>
      </c>
      <c r="S3544" cm="1">
        <f t="array" ref="S3544">_xlfn.IFS(Q3544 ="Fortnightly",14,Q3544="Weekly",7,Q3544="Monthly",30,Q3544="Quarterly",90,Q3544="Bi-Weekly",14,Q3544="Annually",365,Q3544="Every 3 Months",90,TRUE,"NOT FOUND")</f>
        <v>7</v>
      </c>
    </row>
    <row r="3545" spans="1:19" x14ac:dyDescent="0.35">
      <c r="A3545">
        <v>3544</v>
      </c>
      <c r="B3545">
        <v>58</v>
      </c>
      <c r="C3545" t="s">
        <v>141</v>
      </c>
      <c r="D3545" t="s">
        <v>112</v>
      </c>
      <c r="E3545" t="s">
        <v>55</v>
      </c>
      <c r="F3545">
        <v>83</v>
      </c>
      <c r="G3545" t="s">
        <v>100</v>
      </c>
      <c r="H3545" t="s">
        <v>32</v>
      </c>
      <c r="I3545" t="s">
        <v>132</v>
      </c>
      <c r="J3545" t="s">
        <v>13</v>
      </c>
      <c r="K3545">
        <v>4.0999999999999996</v>
      </c>
      <c r="L3545" t="s">
        <v>140</v>
      </c>
      <c r="M3545" t="s">
        <v>42</v>
      </c>
      <c r="N3545" t="s">
        <v>140</v>
      </c>
      <c r="O3545">
        <v>18</v>
      </c>
      <c r="P3545" t="s">
        <v>34</v>
      </c>
      <c r="Q3545" t="s">
        <v>85</v>
      </c>
      <c r="R3545" t="str" cm="1">
        <f t="array" ref="R3545">_xlfn.IFS(B3545&lt;31,"Young-Adult",B3545&lt;41,"Adult",B3545&lt;61,"Middle-aged",B3545&gt;=61,"Senior")</f>
        <v>Middle-aged</v>
      </c>
      <c r="S3545" cm="1">
        <f t="array" ref="S3545">_xlfn.IFS(Q3545 ="Fortnightly",14,Q3545="Weekly",7,Q3545="Monthly",30,Q3545="Quarterly",90,Q3545="Bi-Weekly",14,Q3545="Annually",365,Q3545="Every 3 Months",90,TRUE,"NOT FOUND")</f>
        <v>90</v>
      </c>
    </row>
    <row r="3546" spans="1:19" x14ac:dyDescent="0.35">
      <c r="A3546">
        <v>3545</v>
      </c>
      <c r="B3546">
        <v>64</v>
      </c>
      <c r="C3546" t="s">
        <v>141</v>
      </c>
      <c r="D3546" t="s">
        <v>113</v>
      </c>
      <c r="E3546" t="s">
        <v>9</v>
      </c>
      <c r="F3546">
        <v>55</v>
      </c>
      <c r="G3546" t="s">
        <v>138</v>
      </c>
      <c r="H3546" t="s">
        <v>80</v>
      </c>
      <c r="I3546" t="s">
        <v>49</v>
      </c>
      <c r="J3546" t="s">
        <v>45</v>
      </c>
      <c r="K3546">
        <v>3.6</v>
      </c>
      <c r="L3546" t="s">
        <v>140</v>
      </c>
      <c r="M3546" t="s">
        <v>58</v>
      </c>
      <c r="N3546" t="s">
        <v>140</v>
      </c>
      <c r="O3546">
        <v>42</v>
      </c>
      <c r="P3546" t="s">
        <v>21</v>
      </c>
      <c r="Q3546" t="s">
        <v>85</v>
      </c>
      <c r="R3546" t="str" cm="1">
        <f t="array" ref="R3546">_xlfn.IFS(B3546&lt;31,"Young-Adult",B3546&lt;41,"Adult",B3546&lt;61,"Middle-aged",B3546&gt;=61,"Senior")</f>
        <v>Senior</v>
      </c>
      <c r="S3546" cm="1">
        <f t="array" ref="S3546">_xlfn.IFS(Q3546 ="Fortnightly",14,Q3546="Weekly",7,Q3546="Monthly",30,Q3546="Quarterly",90,Q3546="Bi-Weekly",14,Q3546="Annually",365,Q3546="Every 3 Months",90,TRUE,"NOT FOUND")</f>
        <v>90</v>
      </c>
    </row>
    <row r="3547" spans="1:19" x14ac:dyDescent="0.35">
      <c r="A3547">
        <v>3546</v>
      </c>
      <c r="B3547">
        <v>48</v>
      </c>
      <c r="C3547" t="s">
        <v>141</v>
      </c>
      <c r="D3547" t="s">
        <v>29</v>
      </c>
      <c r="E3547" t="s">
        <v>30</v>
      </c>
      <c r="F3547">
        <v>28</v>
      </c>
      <c r="G3547" t="s">
        <v>127</v>
      </c>
      <c r="H3547" t="s">
        <v>32</v>
      </c>
      <c r="I3547" t="s">
        <v>122</v>
      </c>
      <c r="J3547" t="s">
        <v>25</v>
      </c>
      <c r="K3547">
        <v>3.7</v>
      </c>
      <c r="L3547" t="s">
        <v>140</v>
      </c>
      <c r="M3547" t="s">
        <v>58</v>
      </c>
      <c r="N3547" t="s">
        <v>140</v>
      </c>
      <c r="O3547">
        <v>22</v>
      </c>
      <c r="P3547" t="s">
        <v>74</v>
      </c>
      <c r="Q3547" t="s">
        <v>37</v>
      </c>
      <c r="R3547" t="str" cm="1">
        <f t="array" ref="R3547">_xlfn.IFS(B3547&lt;31,"Young-Adult",B3547&lt;41,"Adult",B3547&lt;61,"Middle-aged",B3547&gt;=61,"Senior")</f>
        <v>Middle-aged</v>
      </c>
      <c r="S3547" cm="1">
        <f t="array" ref="S3547">_xlfn.IFS(Q3547 ="Fortnightly",14,Q3547="Weekly",7,Q3547="Monthly",30,Q3547="Quarterly",90,Q3547="Bi-Weekly",14,Q3547="Annually",365,Q3547="Every 3 Months",90,TRUE,"NOT FOUND")</f>
        <v>365</v>
      </c>
    </row>
    <row r="3548" spans="1:19" x14ac:dyDescent="0.35">
      <c r="A3548">
        <v>3547</v>
      </c>
      <c r="B3548">
        <v>60</v>
      </c>
      <c r="C3548" t="s">
        <v>141</v>
      </c>
      <c r="D3548" t="s">
        <v>107</v>
      </c>
      <c r="E3548" t="s">
        <v>55</v>
      </c>
      <c r="F3548">
        <v>79</v>
      </c>
      <c r="G3548" t="s">
        <v>99</v>
      </c>
      <c r="H3548" t="s">
        <v>32</v>
      </c>
      <c r="I3548" t="s">
        <v>71</v>
      </c>
      <c r="J3548" t="s">
        <v>41</v>
      </c>
      <c r="K3548">
        <v>3.6</v>
      </c>
      <c r="L3548" t="s">
        <v>140</v>
      </c>
      <c r="M3548" t="s">
        <v>26</v>
      </c>
      <c r="N3548" t="s">
        <v>140</v>
      </c>
      <c r="O3548">
        <v>37</v>
      </c>
      <c r="P3548" t="s">
        <v>63</v>
      </c>
      <c r="Q3548" t="s">
        <v>64</v>
      </c>
      <c r="R3548" t="str" cm="1">
        <f t="array" ref="R3548">_xlfn.IFS(B3548&lt;31,"Young-Adult",B3548&lt;41,"Adult",B3548&lt;61,"Middle-aged",B3548&gt;=61,"Senior")</f>
        <v>Middle-aged</v>
      </c>
      <c r="S3548" cm="1">
        <f t="array" ref="S3548">_xlfn.IFS(Q3548 ="Fortnightly",14,Q3548="Weekly",7,Q3548="Monthly",30,Q3548="Quarterly",90,Q3548="Bi-Weekly",14,Q3548="Annually",365,Q3548="Every 3 Months",90,TRUE,"NOT FOUND")</f>
        <v>14</v>
      </c>
    </row>
    <row r="3549" spans="1:19" x14ac:dyDescent="0.35">
      <c r="A3549">
        <v>3548</v>
      </c>
      <c r="B3549">
        <v>52</v>
      </c>
      <c r="C3549" t="s">
        <v>141</v>
      </c>
      <c r="D3549" t="s">
        <v>107</v>
      </c>
      <c r="E3549" t="s">
        <v>55</v>
      </c>
      <c r="F3549">
        <v>31</v>
      </c>
      <c r="G3549" t="s">
        <v>126</v>
      </c>
      <c r="H3549" t="s">
        <v>11</v>
      </c>
      <c r="I3549" t="s">
        <v>124</v>
      </c>
      <c r="J3549" t="s">
        <v>41</v>
      </c>
      <c r="K3549">
        <v>3.8</v>
      </c>
      <c r="L3549" t="s">
        <v>140</v>
      </c>
      <c r="M3549" t="s">
        <v>42</v>
      </c>
      <c r="N3549" t="s">
        <v>140</v>
      </c>
      <c r="O3549">
        <v>23</v>
      </c>
      <c r="P3549" t="s">
        <v>27</v>
      </c>
      <c r="Q3549" t="s">
        <v>37</v>
      </c>
      <c r="R3549" t="str" cm="1">
        <f t="array" ref="R3549">_xlfn.IFS(B3549&lt;31,"Young-Adult",B3549&lt;41,"Adult",B3549&lt;61,"Middle-aged",B3549&gt;=61,"Senior")</f>
        <v>Middle-aged</v>
      </c>
      <c r="S3549" cm="1">
        <f t="array" ref="S3549">_xlfn.IFS(Q3549 ="Fortnightly",14,Q3549="Weekly",7,Q3549="Monthly",30,Q3549="Quarterly",90,Q3549="Bi-Weekly",14,Q3549="Annually",365,Q3549="Every 3 Months",90,TRUE,"NOT FOUND")</f>
        <v>365</v>
      </c>
    </row>
    <row r="3550" spans="1:19" x14ac:dyDescent="0.35">
      <c r="A3550">
        <v>3549</v>
      </c>
      <c r="B3550">
        <v>63</v>
      </c>
      <c r="C3550" t="s">
        <v>141</v>
      </c>
      <c r="D3550" t="s">
        <v>8</v>
      </c>
      <c r="E3550" t="s">
        <v>9</v>
      </c>
      <c r="F3550">
        <v>37</v>
      </c>
      <c r="G3550" t="s">
        <v>128</v>
      </c>
      <c r="H3550" t="s">
        <v>32</v>
      </c>
      <c r="I3550" t="s">
        <v>96</v>
      </c>
      <c r="J3550" t="s">
        <v>45</v>
      </c>
      <c r="K3550">
        <v>3</v>
      </c>
      <c r="L3550" t="s">
        <v>140</v>
      </c>
      <c r="M3550" t="s">
        <v>42</v>
      </c>
      <c r="N3550" t="s">
        <v>140</v>
      </c>
      <c r="O3550">
        <v>47</v>
      </c>
      <c r="P3550" t="s">
        <v>74</v>
      </c>
      <c r="Q3550" t="s">
        <v>17</v>
      </c>
      <c r="R3550" t="str" cm="1">
        <f t="array" ref="R3550">_xlfn.IFS(B3550&lt;31,"Young-Adult",B3550&lt;41,"Adult",B3550&lt;61,"Middle-aged",B3550&gt;=61,"Senior")</f>
        <v>Senior</v>
      </c>
      <c r="S3550" cm="1">
        <f t="array" ref="S3550">_xlfn.IFS(Q3550 ="Fortnightly",14,Q3550="Weekly",7,Q3550="Monthly",30,Q3550="Quarterly",90,Q3550="Bi-Weekly",14,Q3550="Annually",365,Q3550="Every 3 Months",90,TRUE,"NOT FOUND")</f>
        <v>14</v>
      </c>
    </row>
    <row r="3551" spans="1:19" x14ac:dyDescent="0.35">
      <c r="A3551">
        <v>3550</v>
      </c>
      <c r="B3551">
        <v>44</v>
      </c>
      <c r="C3551" t="s">
        <v>141</v>
      </c>
      <c r="D3551" t="s">
        <v>101</v>
      </c>
      <c r="E3551" t="s">
        <v>9</v>
      </c>
      <c r="F3551">
        <v>34</v>
      </c>
      <c r="G3551" t="s">
        <v>35</v>
      </c>
      <c r="H3551" t="s">
        <v>32</v>
      </c>
      <c r="I3551" t="s">
        <v>97</v>
      </c>
      <c r="J3551" t="s">
        <v>41</v>
      </c>
      <c r="K3551">
        <v>3.4</v>
      </c>
      <c r="L3551" t="s">
        <v>140</v>
      </c>
      <c r="M3551" t="s">
        <v>58</v>
      </c>
      <c r="N3551" t="s">
        <v>140</v>
      </c>
      <c r="O3551">
        <v>11</v>
      </c>
      <c r="P3551" t="s">
        <v>63</v>
      </c>
      <c r="Q3551" t="s">
        <v>17</v>
      </c>
      <c r="R3551" t="str" cm="1">
        <f t="array" ref="R3551">_xlfn.IFS(B3551&lt;31,"Young-Adult",B3551&lt;41,"Adult",B3551&lt;61,"Middle-aged",B3551&gt;=61,"Senior")</f>
        <v>Middle-aged</v>
      </c>
      <c r="S3551" cm="1">
        <f t="array" ref="S3551">_xlfn.IFS(Q3551 ="Fortnightly",14,Q3551="Weekly",7,Q3551="Monthly",30,Q3551="Quarterly",90,Q3551="Bi-Weekly",14,Q3551="Annually",365,Q3551="Every 3 Months",90,TRUE,"NOT FOUND")</f>
        <v>14</v>
      </c>
    </row>
    <row r="3552" spans="1:19" x14ac:dyDescent="0.35">
      <c r="A3552">
        <v>3551</v>
      </c>
      <c r="B3552">
        <v>63</v>
      </c>
      <c r="C3552" t="s">
        <v>141</v>
      </c>
      <c r="D3552" t="s">
        <v>59</v>
      </c>
      <c r="E3552" t="s">
        <v>30</v>
      </c>
      <c r="F3552">
        <v>74</v>
      </c>
      <c r="G3552" t="s">
        <v>52</v>
      </c>
      <c r="H3552" t="s">
        <v>24</v>
      </c>
      <c r="I3552" t="s">
        <v>109</v>
      </c>
      <c r="J3552" t="s">
        <v>13</v>
      </c>
      <c r="K3552">
        <v>4.8</v>
      </c>
      <c r="L3552" t="s">
        <v>140</v>
      </c>
      <c r="M3552" t="s">
        <v>42</v>
      </c>
      <c r="N3552" t="s">
        <v>140</v>
      </c>
      <c r="O3552">
        <v>32</v>
      </c>
      <c r="P3552" t="s">
        <v>21</v>
      </c>
      <c r="Q3552" t="s">
        <v>28</v>
      </c>
      <c r="R3552" t="str" cm="1">
        <f t="array" ref="R3552">_xlfn.IFS(B3552&lt;31,"Young-Adult",B3552&lt;41,"Adult",B3552&lt;61,"Middle-aged",B3552&gt;=61,"Senior")</f>
        <v>Senior</v>
      </c>
      <c r="S3552" cm="1">
        <f t="array" ref="S3552">_xlfn.IFS(Q3552 ="Fortnightly",14,Q3552="Weekly",7,Q3552="Monthly",30,Q3552="Quarterly",90,Q3552="Bi-Weekly",14,Q3552="Annually",365,Q3552="Every 3 Months",90,TRUE,"NOT FOUND")</f>
        <v>7</v>
      </c>
    </row>
    <row r="3553" spans="1:19" x14ac:dyDescent="0.35">
      <c r="A3553">
        <v>3552</v>
      </c>
      <c r="B3553">
        <v>66</v>
      </c>
      <c r="C3553" t="s">
        <v>141</v>
      </c>
      <c r="D3553" t="s">
        <v>131</v>
      </c>
      <c r="E3553" t="s">
        <v>55</v>
      </c>
      <c r="F3553">
        <v>31</v>
      </c>
      <c r="G3553" t="s">
        <v>44</v>
      </c>
      <c r="H3553" t="s">
        <v>11</v>
      </c>
      <c r="I3553" t="s">
        <v>82</v>
      </c>
      <c r="J3553" t="s">
        <v>25</v>
      </c>
      <c r="K3553">
        <v>2.6</v>
      </c>
      <c r="L3553" t="s">
        <v>140</v>
      </c>
      <c r="M3553" t="s">
        <v>62</v>
      </c>
      <c r="N3553" t="s">
        <v>140</v>
      </c>
      <c r="O3553">
        <v>20</v>
      </c>
      <c r="P3553" t="s">
        <v>16</v>
      </c>
      <c r="Q3553" t="s">
        <v>28</v>
      </c>
      <c r="R3553" t="str" cm="1">
        <f t="array" ref="R3553">_xlfn.IFS(B3553&lt;31,"Young-Adult",B3553&lt;41,"Adult",B3553&lt;61,"Middle-aged",B3553&gt;=61,"Senior")</f>
        <v>Senior</v>
      </c>
      <c r="S3553" cm="1">
        <f t="array" ref="S3553">_xlfn.IFS(Q3553 ="Fortnightly",14,Q3553="Weekly",7,Q3553="Monthly",30,Q3553="Quarterly",90,Q3553="Bi-Weekly",14,Q3553="Annually",365,Q3553="Every 3 Months",90,TRUE,"NOT FOUND")</f>
        <v>7</v>
      </c>
    </row>
    <row r="3554" spans="1:19" x14ac:dyDescent="0.35">
      <c r="A3554">
        <v>3553</v>
      </c>
      <c r="B3554">
        <v>22</v>
      </c>
      <c r="C3554" t="s">
        <v>141</v>
      </c>
      <c r="D3554" t="s">
        <v>77</v>
      </c>
      <c r="E3554" t="s">
        <v>55</v>
      </c>
      <c r="F3554">
        <v>66</v>
      </c>
      <c r="G3554" t="s">
        <v>10</v>
      </c>
      <c r="H3554" t="s">
        <v>32</v>
      </c>
      <c r="I3554" t="s">
        <v>132</v>
      </c>
      <c r="J3554" t="s">
        <v>13</v>
      </c>
      <c r="K3554">
        <v>2.9</v>
      </c>
      <c r="L3554" t="s">
        <v>140</v>
      </c>
      <c r="M3554" t="s">
        <v>33</v>
      </c>
      <c r="N3554" t="s">
        <v>140</v>
      </c>
      <c r="O3554">
        <v>3</v>
      </c>
      <c r="P3554" t="s">
        <v>34</v>
      </c>
      <c r="Q3554" t="s">
        <v>46</v>
      </c>
      <c r="R3554" t="str" cm="1">
        <f t="array" ref="R3554">_xlfn.IFS(B3554&lt;31,"Young-Adult",B3554&lt;41,"Adult",B3554&lt;61,"Middle-aged",B3554&gt;=61,"Senior")</f>
        <v>Young-Adult</v>
      </c>
      <c r="S3554" cm="1">
        <f t="array" ref="S3554">_xlfn.IFS(Q3554 ="Fortnightly",14,Q3554="Weekly",7,Q3554="Monthly",30,Q3554="Quarterly",90,Q3554="Bi-Weekly",14,Q3554="Annually",365,Q3554="Every 3 Months",90,TRUE,"NOT FOUND")</f>
        <v>90</v>
      </c>
    </row>
    <row r="3555" spans="1:19" x14ac:dyDescent="0.35">
      <c r="A3555">
        <v>3554</v>
      </c>
      <c r="B3555">
        <v>62</v>
      </c>
      <c r="C3555" t="s">
        <v>141</v>
      </c>
      <c r="D3555" t="s">
        <v>59</v>
      </c>
      <c r="E3555" t="s">
        <v>30</v>
      </c>
      <c r="F3555">
        <v>99</v>
      </c>
      <c r="G3555" t="s">
        <v>136</v>
      </c>
      <c r="H3555" t="s">
        <v>32</v>
      </c>
      <c r="I3555" t="s">
        <v>49</v>
      </c>
      <c r="J3555" t="s">
        <v>25</v>
      </c>
      <c r="K3555">
        <v>4.9000000000000004</v>
      </c>
      <c r="L3555" t="s">
        <v>140</v>
      </c>
      <c r="M3555" t="s">
        <v>26</v>
      </c>
      <c r="N3555" t="s">
        <v>140</v>
      </c>
      <c r="O3555">
        <v>32</v>
      </c>
      <c r="P3555" t="s">
        <v>63</v>
      </c>
      <c r="Q3555" t="s">
        <v>28</v>
      </c>
      <c r="R3555" t="str" cm="1">
        <f t="array" ref="R3555">_xlfn.IFS(B3555&lt;31,"Young-Adult",B3555&lt;41,"Adult",B3555&lt;61,"Middle-aged",B3555&gt;=61,"Senior")</f>
        <v>Senior</v>
      </c>
      <c r="S3555" cm="1">
        <f t="array" ref="S3555">_xlfn.IFS(Q3555 ="Fortnightly",14,Q3555="Weekly",7,Q3555="Monthly",30,Q3555="Quarterly",90,Q3555="Bi-Weekly",14,Q3555="Annually",365,Q3555="Every 3 Months",90,TRUE,"NOT FOUND")</f>
        <v>7</v>
      </c>
    </row>
    <row r="3556" spans="1:19" x14ac:dyDescent="0.35">
      <c r="A3556">
        <v>3555</v>
      </c>
      <c r="B3556">
        <v>39</v>
      </c>
      <c r="C3556" t="s">
        <v>141</v>
      </c>
      <c r="D3556" t="s">
        <v>69</v>
      </c>
      <c r="E3556" t="s">
        <v>9</v>
      </c>
      <c r="F3556">
        <v>55</v>
      </c>
      <c r="G3556" t="s">
        <v>48</v>
      </c>
      <c r="H3556" t="s">
        <v>32</v>
      </c>
      <c r="I3556" t="s">
        <v>114</v>
      </c>
      <c r="J3556" t="s">
        <v>25</v>
      </c>
      <c r="K3556">
        <v>5</v>
      </c>
      <c r="L3556" t="s">
        <v>140</v>
      </c>
      <c r="M3556" t="s">
        <v>26</v>
      </c>
      <c r="N3556" t="s">
        <v>140</v>
      </c>
      <c r="O3556">
        <v>5</v>
      </c>
      <c r="P3556" t="s">
        <v>27</v>
      </c>
      <c r="Q3556" t="s">
        <v>17</v>
      </c>
      <c r="R3556" t="str" cm="1">
        <f t="array" ref="R3556">_xlfn.IFS(B3556&lt;31,"Young-Adult",B3556&lt;41,"Adult",B3556&lt;61,"Middle-aged",B3556&gt;=61,"Senior")</f>
        <v>Adult</v>
      </c>
      <c r="S3556" cm="1">
        <f t="array" ref="S3556">_xlfn.IFS(Q3556 ="Fortnightly",14,Q3556="Weekly",7,Q3556="Monthly",30,Q3556="Quarterly",90,Q3556="Bi-Weekly",14,Q3556="Annually",365,Q3556="Every 3 Months",90,TRUE,"NOT FOUND")</f>
        <v>14</v>
      </c>
    </row>
    <row r="3557" spans="1:19" x14ac:dyDescent="0.35">
      <c r="A3557">
        <v>3556</v>
      </c>
      <c r="B3557">
        <v>25</v>
      </c>
      <c r="C3557" t="s">
        <v>141</v>
      </c>
      <c r="D3557" t="s">
        <v>8</v>
      </c>
      <c r="E3557" t="s">
        <v>9</v>
      </c>
      <c r="F3557">
        <v>23</v>
      </c>
      <c r="G3557" t="s">
        <v>67</v>
      </c>
      <c r="H3557" t="s">
        <v>11</v>
      </c>
      <c r="I3557" t="s">
        <v>53</v>
      </c>
      <c r="J3557" t="s">
        <v>25</v>
      </c>
      <c r="K3557">
        <v>4.5999999999999996</v>
      </c>
      <c r="L3557" t="s">
        <v>140</v>
      </c>
      <c r="M3557" t="s">
        <v>33</v>
      </c>
      <c r="N3557" t="s">
        <v>140</v>
      </c>
      <c r="O3557">
        <v>45</v>
      </c>
      <c r="P3557" t="s">
        <v>21</v>
      </c>
      <c r="Q3557" t="s">
        <v>46</v>
      </c>
      <c r="R3557" t="str" cm="1">
        <f t="array" ref="R3557">_xlfn.IFS(B3557&lt;31,"Young-Adult",B3557&lt;41,"Adult",B3557&lt;61,"Middle-aged",B3557&gt;=61,"Senior")</f>
        <v>Young-Adult</v>
      </c>
      <c r="S3557" cm="1">
        <f t="array" ref="S3557">_xlfn.IFS(Q3557 ="Fortnightly",14,Q3557="Weekly",7,Q3557="Monthly",30,Q3557="Quarterly",90,Q3557="Bi-Weekly",14,Q3557="Annually",365,Q3557="Every 3 Months",90,TRUE,"NOT FOUND")</f>
        <v>90</v>
      </c>
    </row>
    <row r="3558" spans="1:19" x14ac:dyDescent="0.35">
      <c r="A3558">
        <v>3557</v>
      </c>
      <c r="B3558">
        <v>70</v>
      </c>
      <c r="C3558" t="s">
        <v>141</v>
      </c>
      <c r="D3558" t="s">
        <v>18</v>
      </c>
      <c r="E3558" t="s">
        <v>9</v>
      </c>
      <c r="F3558">
        <v>88</v>
      </c>
      <c r="G3558" t="s">
        <v>105</v>
      </c>
      <c r="H3558" t="s">
        <v>32</v>
      </c>
      <c r="I3558" t="s">
        <v>98</v>
      </c>
      <c r="J3558" t="s">
        <v>45</v>
      </c>
      <c r="K3558">
        <v>4.2</v>
      </c>
      <c r="L3558" t="s">
        <v>140</v>
      </c>
      <c r="M3558" t="s">
        <v>15</v>
      </c>
      <c r="N3558" t="s">
        <v>140</v>
      </c>
      <c r="O3558">
        <v>43</v>
      </c>
      <c r="P3558" t="s">
        <v>21</v>
      </c>
      <c r="Q3558" t="s">
        <v>64</v>
      </c>
      <c r="R3558" t="str" cm="1">
        <f t="array" ref="R3558">_xlfn.IFS(B3558&lt;31,"Young-Adult",B3558&lt;41,"Adult",B3558&lt;61,"Middle-aged",B3558&gt;=61,"Senior")</f>
        <v>Senior</v>
      </c>
      <c r="S3558" cm="1">
        <f t="array" ref="S3558">_xlfn.IFS(Q3558 ="Fortnightly",14,Q3558="Weekly",7,Q3558="Monthly",30,Q3558="Quarterly",90,Q3558="Bi-Weekly",14,Q3558="Annually",365,Q3558="Every 3 Months",90,TRUE,"NOT FOUND")</f>
        <v>14</v>
      </c>
    </row>
    <row r="3559" spans="1:19" x14ac:dyDescent="0.35">
      <c r="A3559">
        <v>3558</v>
      </c>
      <c r="B3559">
        <v>52</v>
      </c>
      <c r="C3559" t="s">
        <v>141</v>
      </c>
      <c r="D3559" t="s">
        <v>90</v>
      </c>
      <c r="E3559" t="s">
        <v>51</v>
      </c>
      <c r="F3559">
        <v>26</v>
      </c>
      <c r="G3559" t="s">
        <v>95</v>
      </c>
      <c r="H3559" t="s">
        <v>32</v>
      </c>
      <c r="I3559" t="s">
        <v>88</v>
      </c>
      <c r="J3559" t="s">
        <v>41</v>
      </c>
      <c r="K3559">
        <v>4.9000000000000004</v>
      </c>
      <c r="L3559" t="s">
        <v>140</v>
      </c>
      <c r="M3559" t="s">
        <v>33</v>
      </c>
      <c r="N3559" t="s">
        <v>140</v>
      </c>
      <c r="O3559">
        <v>1</v>
      </c>
      <c r="P3559" t="s">
        <v>34</v>
      </c>
      <c r="Q3559" t="s">
        <v>85</v>
      </c>
      <c r="R3559" t="str" cm="1">
        <f t="array" ref="R3559">_xlfn.IFS(B3559&lt;31,"Young-Adult",B3559&lt;41,"Adult",B3559&lt;61,"Middle-aged",B3559&gt;=61,"Senior")</f>
        <v>Middle-aged</v>
      </c>
      <c r="S3559" cm="1">
        <f t="array" ref="S3559">_xlfn.IFS(Q3559 ="Fortnightly",14,Q3559="Weekly",7,Q3559="Monthly",30,Q3559="Quarterly",90,Q3559="Bi-Weekly",14,Q3559="Annually",365,Q3559="Every 3 Months",90,TRUE,"NOT FOUND")</f>
        <v>90</v>
      </c>
    </row>
    <row r="3560" spans="1:19" x14ac:dyDescent="0.35">
      <c r="A3560">
        <v>3559</v>
      </c>
      <c r="B3560">
        <v>68</v>
      </c>
      <c r="C3560" t="s">
        <v>141</v>
      </c>
      <c r="D3560" t="s">
        <v>120</v>
      </c>
      <c r="E3560" t="s">
        <v>55</v>
      </c>
      <c r="F3560">
        <v>94</v>
      </c>
      <c r="G3560" t="s">
        <v>108</v>
      </c>
      <c r="H3560" t="s">
        <v>11</v>
      </c>
      <c r="I3560" t="s">
        <v>124</v>
      </c>
      <c r="J3560" t="s">
        <v>41</v>
      </c>
      <c r="K3560">
        <v>4.8</v>
      </c>
      <c r="L3560" t="s">
        <v>140</v>
      </c>
      <c r="M3560" t="s">
        <v>42</v>
      </c>
      <c r="N3560" t="s">
        <v>140</v>
      </c>
      <c r="O3560">
        <v>9</v>
      </c>
      <c r="P3560" t="s">
        <v>16</v>
      </c>
      <c r="Q3560" t="s">
        <v>46</v>
      </c>
      <c r="R3560" t="str" cm="1">
        <f t="array" ref="R3560">_xlfn.IFS(B3560&lt;31,"Young-Adult",B3560&lt;41,"Adult",B3560&lt;61,"Middle-aged",B3560&gt;=61,"Senior")</f>
        <v>Senior</v>
      </c>
      <c r="S3560" cm="1">
        <f t="array" ref="S3560">_xlfn.IFS(Q3560 ="Fortnightly",14,Q3560="Weekly",7,Q3560="Monthly",30,Q3560="Quarterly",90,Q3560="Bi-Weekly",14,Q3560="Annually",365,Q3560="Every 3 Months",90,TRUE,"NOT FOUND")</f>
        <v>90</v>
      </c>
    </row>
    <row r="3561" spans="1:19" x14ac:dyDescent="0.35">
      <c r="A3561">
        <v>3560</v>
      </c>
      <c r="B3561">
        <v>18</v>
      </c>
      <c r="C3561" t="s">
        <v>141</v>
      </c>
      <c r="D3561" t="s">
        <v>47</v>
      </c>
      <c r="E3561" t="s">
        <v>9</v>
      </c>
      <c r="F3561">
        <v>25</v>
      </c>
      <c r="G3561" t="s">
        <v>128</v>
      </c>
      <c r="H3561" t="s">
        <v>32</v>
      </c>
      <c r="I3561" t="s">
        <v>106</v>
      </c>
      <c r="J3561" t="s">
        <v>45</v>
      </c>
      <c r="K3561">
        <v>3</v>
      </c>
      <c r="L3561" t="s">
        <v>140</v>
      </c>
      <c r="M3561" t="s">
        <v>33</v>
      </c>
      <c r="N3561" t="s">
        <v>140</v>
      </c>
      <c r="O3561">
        <v>13</v>
      </c>
      <c r="P3561" t="s">
        <v>16</v>
      </c>
      <c r="Q3561" t="s">
        <v>85</v>
      </c>
      <c r="R3561" t="str" cm="1">
        <f t="array" ref="R3561">_xlfn.IFS(B3561&lt;31,"Young-Adult",B3561&lt;41,"Adult",B3561&lt;61,"Middle-aged",B3561&gt;=61,"Senior")</f>
        <v>Young-Adult</v>
      </c>
      <c r="S3561" cm="1">
        <f t="array" ref="S3561">_xlfn.IFS(Q3561 ="Fortnightly",14,Q3561="Weekly",7,Q3561="Monthly",30,Q3561="Quarterly",90,Q3561="Bi-Weekly",14,Q3561="Annually",365,Q3561="Every 3 Months",90,TRUE,"NOT FOUND")</f>
        <v>90</v>
      </c>
    </row>
    <row r="3562" spans="1:19" x14ac:dyDescent="0.35">
      <c r="A3562">
        <v>3561</v>
      </c>
      <c r="B3562">
        <v>18</v>
      </c>
      <c r="C3562" t="s">
        <v>141</v>
      </c>
      <c r="D3562" t="s">
        <v>113</v>
      </c>
      <c r="E3562" t="s">
        <v>9</v>
      </c>
      <c r="F3562">
        <v>96</v>
      </c>
      <c r="G3562" t="s">
        <v>99</v>
      </c>
      <c r="H3562" t="s">
        <v>80</v>
      </c>
      <c r="I3562" t="s">
        <v>71</v>
      </c>
      <c r="J3562" t="s">
        <v>45</v>
      </c>
      <c r="K3562">
        <v>3.5</v>
      </c>
      <c r="L3562" t="s">
        <v>140</v>
      </c>
      <c r="M3562" t="s">
        <v>15</v>
      </c>
      <c r="N3562" t="s">
        <v>140</v>
      </c>
      <c r="O3562">
        <v>5</v>
      </c>
      <c r="P3562" t="s">
        <v>27</v>
      </c>
      <c r="Q3562" t="s">
        <v>37</v>
      </c>
      <c r="R3562" t="str" cm="1">
        <f t="array" ref="R3562">_xlfn.IFS(B3562&lt;31,"Young-Adult",B3562&lt;41,"Adult",B3562&lt;61,"Middle-aged",B3562&gt;=61,"Senior")</f>
        <v>Young-Adult</v>
      </c>
      <c r="S3562" cm="1">
        <f t="array" ref="S3562">_xlfn.IFS(Q3562 ="Fortnightly",14,Q3562="Weekly",7,Q3562="Monthly",30,Q3562="Quarterly",90,Q3562="Bi-Weekly",14,Q3562="Annually",365,Q3562="Every 3 Months",90,TRUE,"NOT FOUND")</f>
        <v>365</v>
      </c>
    </row>
    <row r="3563" spans="1:19" x14ac:dyDescent="0.35">
      <c r="A3563">
        <v>3562</v>
      </c>
      <c r="B3563">
        <v>63</v>
      </c>
      <c r="C3563" t="s">
        <v>141</v>
      </c>
      <c r="D3563" t="s">
        <v>38</v>
      </c>
      <c r="E3563" t="s">
        <v>30</v>
      </c>
      <c r="F3563">
        <v>29</v>
      </c>
      <c r="G3563" t="s">
        <v>86</v>
      </c>
      <c r="H3563" t="s">
        <v>11</v>
      </c>
      <c r="I3563" t="s">
        <v>82</v>
      </c>
      <c r="J3563" t="s">
        <v>25</v>
      </c>
      <c r="K3563">
        <v>3.4</v>
      </c>
      <c r="L3563" t="s">
        <v>140</v>
      </c>
      <c r="M3563" t="s">
        <v>42</v>
      </c>
      <c r="N3563" t="s">
        <v>140</v>
      </c>
      <c r="O3563">
        <v>39</v>
      </c>
      <c r="P3563" t="s">
        <v>27</v>
      </c>
      <c r="Q3563" t="s">
        <v>17</v>
      </c>
      <c r="R3563" t="str" cm="1">
        <f t="array" ref="R3563">_xlfn.IFS(B3563&lt;31,"Young-Adult",B3563&lt;41,"Adult",B3563&lt;61,"Middle-aged",B3563&gt;=61,"Senior")</f>
        <v>Senior</v>
      </c>
      <c r="S3563" cm="1">
        <f t="array" ref="S3563">_xlfn.IFS(Q3563 ="Fortnightly",14,Q3563="Weekly",7,Q3563="Monthly",30,Q3563="Quarterly",90,Q3563="Bi-Weekly",14,Q3563="Annually",365,Q3563="Every 3 Months",90,TRUE,"NOT FOUND")</f>
        <v>14</v>
      </c>
    </row>
    <row r="3564" spans="1:19" x14ac:dyDescent="0.35">
      <c r="A3564">
        <v>3563</v>
      </c>
      <c r="B3564">
        <v>47</v>
      </c>
      <c r="C3564" t="s">
        <v>141</v>
      </c>
      <c r="D3564" t="s">
        <v>38</v>
      </c>
      <c r="E3564" t="s">
        <v>30</v>
      </c>
      <c r="F3564">
        <v>36</v>
      </c>
      <c r="G3564" t="s">
        <v>116</v>
      </c>
      <c r="H3564" t="s">
        <v>32</v>
      </c>
      <c r="I3564" t="s">
        <v>97</v>
      </c>
      <c r="J3564" t="s">
        <v>13</v>
      </c>
      <c r="K3564">
        <v>3.4</v>
      </c>
      <c r="L3564" t="s">
        <v>140</v>
      </c>
      <c r="M3564" t="s">
        <v>26</v>
      </c>
      <c r="N3564" t="s">
        <v>140</v>
      </c>
      <c r="O3564">
        <v>7</v>
      </c>
      <c r="P3564" t="s">
        <v>63</v>
      </c>
      <c r="Q3564" t="s">
        <v>28</v>
      </c>
      <c r="R3564" t="str" cm="1">
        <f t="array" ref="R3564">_xlfn.IFS(B3564&lt;31,"Young-Adult",B3564&lt;41,"Adult",B3564&lt;61,"Middle-aged",B3564&gt;=61,"Senior")</f>
        <v>Middle-aged</v>
      </c>
      <c r="S3564" cm="1">
        <f t="array" ref="S3564">_xlfn.IFS(Q3564 ="Fortnightly",14,Q3564="Weekly",7,Q3564="Monthly",30,Q3564="Quarterly",90,Q3564="Bi-Weekly",14,Q3564="Annually",365,Q3564="Every 3 Months",90,TRUE,"NOT FOUND")</f>
        <v>7</v>
      </c>
    </row>
    <row r="3565" spans="1:19" x14ac:dyDescent="0.35">
      <c r="A3565">
        <v>3564</v>
      </c>
      <c r="B3565">
        <v>43</v>
      </c>
      <c r="C3565" t="s">
        <v>141</v>
      </c>
      <c r="D3565" t="s">
        <v>8</v>
      </c>
      <c r="E3565" t="s">
        <v>9</v>
      </c>
      <c r="F3565">
        <v>90</v>
      </c>
      <c r="G3565" t="s">
        <v>19</v>
      </c>
      <c r="H3565" t="s">
        <v>32</v>
      </c>
      <c r="I3565" t="s">
        <v>84</v>
      </c>
      <c r="J3565" t="s">
        <v>41</v>
      </c>
      <c r="K3565">
        <v>4.9000000000000004</v>
      </c>
      <c r="L3565" t="s">
        <v>140</v>
      </c>
      <c r="M3565" t="s">
        <v>42</v>
      </c>
      <c r="N3565" t="s">
        <v>140</v>
      </c>
      <c r="O3565">
        <v>8</v>
      </c>
      <c r="P3565" t="s">
        <v>27</v>
      </c>
      <c r="Q3565" t="s">
        <v>85</v>
      </c>
      <c r="R3565" t="str" cm="1">
        <f t="array" ref="R3565">_xlfn.IFS(B3565&lt;31,"Young-Adult",B3565&lt;41,"Adult",B3565&lt;61,"Middle-aged",B3565&gt;=61,"Senior")</f>
        <v>Middle-aged</v>
      </c>
      <c r="S3565" cm="1">
        <f t="array" ref="S3565">_xlfn.IFS(Q3565 ="Fortnightly",14,Q3565="Weekly",7,Q3565="Monthly",30,Q3565="Quarterly",90,Q3565="Bi-Weekly",14,Q3565="Annually",365,Q3565="Every 3 Months",90,TRUE,"NOT FOUND")</f>
        <v>90</v>
      </c>
    </row>
    <row r="3566" spans="1:19" x14ac:dyDescent="0.35">
      <c r="A3566">
        <v>3565</v>
      </c>
      <c r="B3566">
        <v>60</v>
      </c>
      <c r="C3566" t="s">
        <v>141</v>
      </c>
      <c r="D3566" t="s">
        <v>131</v>
      </c>
      <c r="E3566" t="s">
        <v>55</v>
      </c>
      <c r="F3566">
        <v>38</v>
      </c>
      <c r="G3566" t="s">
        <v>103</v>
      </c>
      <c r="H3566" t="s">
        <v>24</v>
      </c>
      <c r="I3566" t="s">
        <v>98</v>
      </c>
      <c r="J3566" t="s">
        <v>41</v>
      </c>
      <c r="K3566">
        <v>4.4000000000000004</v>
      </c>
      <c r="L3566" t="s">
        <v>140</v>
      </c>
      <c r="M3566" t="s">
        <v>26</v>
      </c>
      <c r="N3566" t="s">
        <v>140</v>
      </c>
      <c r="O3566">
        <v>40</v>
      </c>
      <c r="P3566" t="s">
        <v>16</v>
      </c>
      <c r="Q3566" t="s">
        <v>37</v>
      </c>
      <c r="R3566" t="str" cm="1">
        <f t="array" ref="R3566">_xlfn.IFS(B3566&lt;31,"Young-Adult",B3566&lt;41,"Adult",B3566&lt;61,"Middle-aged",B3566&gt;=61,"Senior")</f>
        <v>Middle-aged</v>
      </c>
      <c r="S3566" cm="1">
        <f t="array" ref="S3566">_xlfn.IFS(Q3566 ="Fortnightly",14,Q3566="Weekly",7,Q3566="Monthly",30,Q3566="Quarterly",90,Q3566="Bi-Weekly",14,Q3566="Annually",365,Q3566="Every 3 Months",90,TRUE,"NOT FOUND")</f>
        <v>365</v>
      </c>
    </row>
    <row r="3567" spans="1:19" x14ac:dyDescent="0.35">
      <c r="A3567">
        <v>3566</v>
      </c>
      <c r="B3567">
        <v>49</v>
      </c>
      <c r="C3567" t="s">
        <v>141</v>
      </c>
      <c r="D3567" t="s">
        <v>54</v>
      </c>
      <c r="E3567" t="s">
        <v>55</v>
      </c>
      <c r="F3567">
        <v>52</v>
      </c>
      <c r="G3567" t="s">
        <v>126</v>
      </c>
      <c r="H3567" t="s">
        <v>24</v>
      </c>
      <c r="I3567" t="s">
        <v>12</v>
      </c>
      <c r="J3567" t="s">
        <v>25</v>
      </c>
      <c r="K3567">
        <v>4.2</v>
      </c>
      <c r="L3567" t="s">
        <v>140</v>
      </c>
      <c r="M3567" t="s">
        <v>62</v>
      </c>
      <c r="N3567" t="s">
        <v>140</v>
      </c>
      <c r="O3567">
        <v>35</v>
      </c>
      <c r="P3567" t="s">
        <v>34</v>
      </c>
      <c r="Q3567" t="s">
        <v>76</v>
      </c>
      <c r="R3567" t="str" cm="1">
        <f t="array" ref="R3567">_xlfn.IFS(B3567&lt;31,"Young-Adult",B3567&lt;41,"Adult",B3567&lt;61,"Middle-aged",B3567&gt;=61,"Senior")</f>
        <v>Middle-aged</v>
      </c>
      <c r="S3567" cm="1">
        <f t="array" ref="S3567">_xlfn.IFS(Q3567 ="Fortnightly",14,Q3567="Weekly",7,Q3567="Monthly",30,Q3567="Quarterly",90,Q3567="Bi-Weekly",14,Q3567="Annually",365,Q3567="Every 3 Months",90,TRUE,"NOT FOUND")</f>
        <v>30</v>
      </c>
    </row>
    <row r="3568" spans="1:19" x14ac:dyDescent="0.35">
      <c r="A3568">
        <v>3567</v>
      </c>
      <c r="B3568">
        <v>28</v>
      </c>
      <c r="C3568" t="s">
        <v>141</v>
      </c>
      <c r="D3568" t="s">
        <v>22</v>
      </c>
      <c r="E3568" t="s">
        <v>9</v>
      </c>
      <c r="F3568">
        <v>88</v>
      </c>
      <c r="G3568" t="s">
        <v>108</v>
      </c>
      <c r="H3568" t="s">
        <v>24</v>
      </c>
      <c r="I3568" t="s">
        <v>109</v>
      </c>
      <c r="J3568" t="s">
        <v>25</v>
      </c>
      <c r="K3568">
        <v>3.1</v>
      </c>
      <c r="L3568" t="s">
        <v>140</v>
      </c>
      <c r="M3568" t="s">
        <v>33</v>
      </c>
      <c r="N3568" t="s">
        <v>140</v>
      </c>
      <c r="O3568">
        <v>14</v>
      </c>
      <c r="P3568" t="s">
        <v>16</v>
      </c>
      <c r="Q3568" t="s">
        <v>76</v>
      </c>
      <c r="R3568" t="str" cm="1">
        <f t="array" ref="R3568">_xlfn.IFS(B3568&lt;31,"Young-Adult",B3568&lt;41,"Adult",B3568&lt;61,"Middle-aged",B3568&gt;=61,"Senior")</f>
        <v>Young-Adult</v>
      </c>
      <c r="S3568" cm="1">
        <f t="array" ref="S3568">_xlfn.IFS(Q3568 ="Fortnightly",14,Q3568="Weekly",7,Q3568="Monthly",30,Q3568="Quarterly",90,Q3568="Bi-Weekly",14,Q3568="Annually",365,Q3568="Every 3 Months",90,TRUE,"NOT FOUND")</f>
        <v>30</v>
      </c>
    </row>
    <row r="3569" spans="1:19" x14ac:dyDescent="0.35">
      <c r="A3569">
        <v>3568</v>
      </c>
      <c r="B3569">
        <v>32</v>
      </c>
      <c r="C3569" t="s">
        <v>141</v>
      </c>
      <c r="D3569" t="s">
        <v>107</v>
      </c>
      <c r="E3569" t="s">
        <v>55</v>
      </c>
      <c r="F3569">
        <v>56</v>
      </c>
      <c r="G3569" t="s">
        <v>118</v>
      </c>
      <c r="H3569" t="s">
        <v>24</v>
      </c>
      <c r="I3569" t="s">
        <v>53</v>
      </c>
      <c r="J3569" t="s">
        <v>41</v>
      </c>
      <c r="K3569">
        <v>4</v>
      </c>
      <c r="L3569" t="s">
        <v>140</v>
      </c>
      <c r="M3569" t="s">
        <v>33</v>
      </c>
      <c r="N3569" t="s">
        <v>140</v>
      </c>
      <c r="O3569">
        <v>26</v>
      </c>
      <c r="P3569" t="s">
        <v>27</v>
      </c>
      <c r="Q3569" t="s">
        <v>76</v>
      </c>
      <c r="R3569" t="str" cm="1">
        <f t="array" ref="R3569">_xlfn.IFS(B3569&lt;31,"Young-Adult",B3569&lt;41,"Adult",B3569&lt;61,"Middle-aged",B3569&gt;=61,"Senior")</f>
        <v>Adult</v>
      </c>
      <c r="S3569" cm="1">
        <f t="array" ref="S3569">_xlfn.IFS(Q3569 ="Fortnightly",14,Q3569="Weekly",7,Q3569="Monthly",30,Q3569="Quarterly",90,Q3569="Bi-Weekly",14,Q3569="Annually",365,Q3569="Every 3 Months",90,TRUE,"NOT FOUND")</f>
        <v>30</v>
      </c>
    </row>
    <row r="3570" spans="1:19" x14ac:dyDescent="0.35">
      <c r="A3570">
        <v>3569</v>
      </c>
      <c r="B3570">
        <v>29</v>
      </c>
      <c r="C3570" t="s">
        <v>141</v>
      </c>
      <c r="D3570" t="s">
        <v>29</v>
      </c>
      <c r="E3570" t="s">
        <v>30</v>
      </c>
      <c r="F3570">
        <v>71</v>
      </c>
      <c r="G3570" t="s">
        <v>60</v>
      </c>
      <c r="H3570" t="s">
        <v>32</v>
      </c>
      <c r="I3570" t="s">
        <v>61</v>
      </c>
      <c r="J3570" t="s">
        <v>25</v>
      </c>
      <c r="K3570">
        <v>4.8</v>
      </c>
      <c r="L3570" t="s">
        <v>140</v>
      </c>
      <c r="M3570" t="s">
        <v>33</v>
      </c>
      <c r="N3570" t="s">
        <v>140</v>
      </c>
      <c r="O3570">
        <v>14</v>
      </c>
      <c r="P3570" t="s">
        <v>34</v>
      </c>
      <c r="Q3570" t="s">
        <v>46</v>
      </c>
      <c r="R3570" t="str" cm="1">
        <f t="array" ref="R3570">_xlfn.IFS(B3570&lt;31,"Young-Adult",B3570&lt;41,"Adult",B3570&lt;61,"Middle-aged",B3570&gt;=61,"Senior")</f>
        <v>Young-Adult</v>
      </c>
      <c r="S3570" cm="1">
        <f t="array" ref="S3570">_xlfn.IFS(Q3570 ="Fortnightly",14,Q3570="Weekly",7,Q3570="Monthly",30,Q3570="Quarterly",90,Q3570="Bi-Weekly",14,Q3570="Annually",365,Q3570="Every 3 Months",90,TRUE,"NOT FOUND")</f>
        <v>90</v>
      </c>
    </row>
    <row r="3571" spans="1:19" x14ac:dyDescent="0.35">
      <c r="A3571">
        <v>3570</v>
      </c>
      <c r="B3571">
        <v>35</v>
      </c>
      <c r="C3571" t="s">
        <v>141</v>
      </c>
      <c r="D3571" t="s">
        <v>29</v>
      </c>
      <c r="E3571" t="s">
        <v>30</v>
      </c>
      <c r="F3571">
        <v>94</v>
      </c>
      <c r="G3571" t="s">
        <v>108</v>
      </c>
      <c r="H3571" t="s">
        <v>32</v>
      </c>
      <c r="I3571" t="s">
        <v>66</v>
      </c>
      <c r="J3571" t="s">
        <v>45</v>
      </c>
      <c r="K3571">
        <v>3.3</v>
      </c>
      <c r="L3571" t="s">
        <v>140</v>
      </c>
      <c r="M3571" t="s">
        <v>15</v>
      </c>
      <c r="N3571" t="s">
        <v>140</v>
      </c>
      <c r="O3571">
        <v>9</v>
      </c>
      <c r="P3571" t="s">
        <v>63</v>
      </c>
      <c r="Q3571" t="s">
        <v>17</v>
      </c>
      <c r="R3571" t="str" cm="1">
        <f t="array" ref="R3571">_xlfn.IFS(B3571&lt;31,"Young-Adult",B3571&lt;41,"Adult",B3571&lt;61,"Middle-aged",B3571&gt;=61,"Senior")</f>
        <v>Adult</v>
      </c>
      <c r="S3571" cm="1">
        <f t="array" ref="S3571">_xlfn.IFS(Q3571 ="Fortnightly",14,Q3571="Weekly",7,Q3571="Monthly",30,Q3571="Quarterly",90,Q3571="Bi-Weekly",14,Q3571="Annually",365,Q3571="Every 3 Months",90,TRUE,"NOT FOUND")</f>
        <v>14</v>
      </c>
    </row>
    <row r="3572" spans="1:19" x14ac:dyDescent="0.35">
      <c r="A3572">
        <v>3571</v>
      </c>
      <c r="B3572">
        <v>23</v>
      </c>
      <c r="C3572" t="s">
        <v>141</v>
      </c>
      <c r="D3572" t="s">
        <v>69</v>
      </c>
      <c r="E3572" t="s">
        <v>9</v>
      </c>
      <c r="F3572">
        <v>97</v>
      </c>
      <c r="G3572" t="s">
        <v>48</v>
      </c>
      <c r="H3572" t="s">
        <v>80</v>
      </c>
      <c r="I3572" t="s">
        <v>73</v>
      </c>
      <c r="J3572" t="s">
        <v>13</v>
      </c>
      <c r="K3572">
        <v>4.7</v>
      </c>
      <c r="L3572" t="s">
        <v>140</v>
      </c>
      <c r="M3572" t="s">
        <v>42</v>
      </c>
      <c r="N3572" t="s">
        <v>140</v>
      </c>
      <c r="O3572">
        <v>32</v>
      </c>
      <c r="P3572" t="s">
        <v>74</v>
      </c>
      <c r="Q3572" t="s">
        <v>37</v>
      </c>
      <c r="R3572" t="str" cm="1">
        <f t="array" ref="R3572">_xlfn.IFS(B3572&lt;31,"Young-Adult",B3572&lt;41,"Adult",B3572&lt;61,"Middle-aged",B3572&gt;=61,"Senior")</f>
        <v>Young-Adult</v>
      </c>
      <c r="S3572" cm="1">
        <f t="array" ref="S3572">_xlfn.IFS(Q3572 ="Fortnightly",14,Q3572="Weekly",7,Q3572="Monthly",30,Q3572="Quarterly",90,Q3572="Bi-Weekly",14,Q3572="Annually",365,Q3572="Every 3 Months",90,TRUE,"NOT FOUND")</f>
        <v>365</v>
      </c>
    </row>
    <row r="3573" spans="1:19" x14ac:dyDescent="0.35">
      <c r="A3573">
        <v>3572</v>
      </c>
      <c r="B3573">
        <v>70</v>
      </c>
      <c r="C3573" t="s">
        <v>141</v>
      </c>
      <c r="D3573" t="s">
        <v>75</v>
      </c>
      <c r="E3573" t="s">
        <v>9</v>
      </c>
      <c r="F3573">
        <v>27</v>
      </c>
      <c r="G3573" t="s">
        <v>102</v>
      </c>
      <c r="H3573" t="s">
        <v>32</v>
      </c>
      <c r="I3573" t="s">
        <v>40</v>
      </c>
      <c r="J3573" t="s">
        <v>41</v>
      </c>
      <c r="K3573">
        <v>3.2</v>
      </c>
      <c r="L3573" t="s">
        <v>140</v>
      </c>
      <c r="M3573" t="s">
        <v>42</v>
      </c>
      <c r="N3573" t="s">
        <v>140</v>
      </c>
      <c r="O3573">
        <v>15</v>
      </c>
      <c r="P3573" t="s">
        <v>63</v>
      </c>
      <c r="Q3573" t="s">
        <v>85</v>
      </c>
      <c r="R3573" t="str" cm="1">
        <f t="array" ref="R3573">_xlfn.IFS(B3573&lt;31,"Young-Adult",B3573&lt;41,"Adult",B3573&lt;61,"Middle-aged",B3573&gt;=61,"Senior")</f>
        <v>Senior</v>
      </c>
      <c r="S3573" cm="1">
        <f t="array" ref="S3573">_xlfn.IFS(Q3573 ="Fortnightly",14,Q3573="Weekly",7,Q3573="Monthly",30,Q3573="Quarterly",90,Q3573="Bi-Weekly",14,Q3573="Annually",365,Q3573="Every 3 Months",90,TRUE,"NOT FOUND")</f>
        <v>90</v>
      </c>
    </row>
    <row r="3574" spans="1:19" x14ac:dyDescent="0.35">
      <c r="A3574">
        <v>3573</v>
      </c>
      <c r="B3574">
        <v>23</v>
      </c>
      <c r="C3574" t="s">
        <v>141</v>
      </c>
      <c r="D3574" t="s">
        <v>47</v>
      </c>
      <c r="E3574" t="s">
        <v>9</v>
      </c>
      <c r="F3574">
        <v>28</v>
      </c>
      <c r="G3574" t="s">
        <v>31</v>
      </c>
      <c r="H3574" t="s">
        <v>32</v>
      </c>
      <c r="I3574" t="s">
        <v>82</v>
      </c>
      <c r="J3574" t="s">
        <v>25</v>
      </c>
      <c r="K3574">
        <v>5</v>
      </c>
      <c r="L3574" t="s">
        <v>140</v>
      </c>
      <c r="M3574" t="s">
        <v>42</v>
      </c>
      <c r="N3574" t="s">
        <v>140</v>
      </c>
      <c r="O3574">
        <v>25</v>
      </c>
      <c r="P3574" t="s">
        <v>27</v>
      </c>
      <c r="Q3574" t="s">
        <v>76</v>
      </c>
      <c r="R3574" t="str" cm="1">
        <f t="array" ref="R3574">_xlfn.IFS(B3574&lt;31,"Young-Adult",B3574&lt;41,"Adult",B3574&lt;61,"Middle-aged",B3574&gt;=61,"Senior")</f>
        <v>Young-Adult</v>
      </c>
      <c r="S3574" cm="1">
        <f t="array" ref="S3574">_xlfn.IFS(Q3574 ="Fortnightly",14,Q3574="Weekly",7,Q3574="Monthly",30,Q3574="Quarterly",90,Q3574="Bi-Weekly",14,Q3574="Annually",365,Q3574="Every 3 Months",90,TRUE,"NOT FOUND")</f>
        <v>30</v>
      </c>
    </row>
    <row r="3575" spans="1:19" x14ac:dyDescent="0.35">
      <c r="A3575">
        <v>3574</v>
      </c>
      <c r="B3575">
        <v>43</v>
      </c>
      <c r="C3575" t="s">
        <v>141</v>
      </c>
      <c r="D3575" t="s">
        <v>22</v>
      </c>
      <c r="E3575" t="s">
        <v>9</v>
      </c>
      <c r="F3575">
        <v>67</v>
      </c>
      <c r="G3575" t="s">
        <v>127</v>
      </c>
      <c r="H3575" t="s">
        <v>11</v>
      </c>
      <c r="I3575" t="s">
        <v>20</v>
      </c>
      <c r="J3575" t="s">
        <v>45</v>
      </c>
      <c r="K3575">
        <v>4.9000000000000004</v>
      </c>
      <c r="L3575" t="s">
        <v>140</v>
      </c>
      <c r="M3575" t="s">
        <v>26</v>
      </c>
      <c r="N3575" t="s">
        <v>140</v>
      </c>
      <c r="O3575">
        <v>27</v>
      </c>
      <c r="P3575" t="s">
        <v>34</v>
      </c>
      <c r="Q3575" t="s">
        <v>76</v>
      </c>
      <c r="R3575" t="str" cm="1">
        <f t="array" ref="R3575">_xlfn.IFS(B3575&lt;31,"Young-Adult",B3575&lt;41,"Adult",B3575&lt;61,"Middle-aged",B3575&gt;=61,"Senior")</f>
        <v>Middle-aged</v>
      </c>
      <c r="S3575" cm="1">
        <f t="array" ref="S3575">_xlfn.IFS(Q3575 ="Fortnightly",14,Q3575="Weekly",7,Q3575="Monthly",30,Q3575="Quarterly",90,Q3575="Bi-Weekly",14,Q3575="Annually",365,Q3575="Every 3 Months",90,TRUE,"NOT FOUND")</f>
        <v>30</v>
      </c>
    </row>
    <row r="3576" spans="1:19" x14ac:dyDescent="0.35">
      <c r="A3576">
        <v>3575</v>
      </c>
      <c r="B3576">
        <v>29</v>
      </c>
      <c r="C3576" t="s">
        <v>141</v>
      </c>
      <c r="D3576" t="s">
        <v>113</v>
      </c>
      <c r="E3576" t="s">
        <v>9</v>
      </c>
      <c r="F3576">
        <v>70</v>
      </c>
      <c r="G3576" t="s">
        <v>72</v>
      </c>
      <c r="H3576" t="s">
        <v>32</v>
      </c>
      <c r="I3576" t="s">
        <v>97</v>
      </c>
      <c r="J3576" t="s">
        <v>45</v>
      </c>
      <c r="K3576">
        <v>4.9000000000000004</v>
      </c>
      <c r="L3576" t="s">
        <v>140</v>
      </c>
      <c r="M3576" t="s">
        <v>15</v>
      </c>
      <c r="N3576" t="s">
        <v>140</v>
      </c>
      <c r="O3576">
        <v>39</v>
      </c>
      <c r="P3576" t="s">
        <v>63</v>
      </c>
      <c r="Q3576" t="s">
        <v>46</v>
      </c>
      <c r="R3576" t="str" cm="1">
        <f t="array" ref="R3576">_xlfn.IFS(B3576&lt;31,"Young-Adult",B3576&lt;41,"Adult",B3576&lt;61,"Middle-aged",B3576&gt;=61,"Senior")</f>
        <v>Young-Adult</v>
      </c>
      <c r="S3576" cm="1">
        <f t="array" ref="S3576">_xlfn.IFS(Q3576 ="Fortnightly",14,Q3576="Weekly",7,Q3576="Monthly",30,Q3576="Quarterly",90,Q3576="Bi-Weekly",14,Q3576="Annually",365,Q3576="Every 3 Months",90,TRUE,"NOT FOUND")</f>
        <v>90</v>
      </c>
    </row>
    <row r="3577" spans="1:19" x14ac:dyDescent="0.35">
      <c r="A3577">
        <v>3576</v>
      </c>
      <c r="B3577">
        <v>61</v>
      </c>
      <c r="C3577" t="s">
        <v>141</v>
      </c>
      <c r="D3577" t="s">
        <v>50</v>
      </c>
      <c r="E3577" t="s">
        <v>51</v>
      </c>
      <c r="F3577">
        <v>95</v>
      </c>
      <c r="G3577" t="s">
        <v>10</v>
      </c>
      <c r="H3577" t="s">
        <v>32</v>
      </c>
      <c r="I3577" t="s">
        <v>71</v>
      </c>
      <c r="J3577" t="s">
        <v>45</v>
      </c>
      <c r="K3577">
        <v>3.7</v>
      </c>
      <c r="L3577" t="s">
        <v>140</v>
      </c>
      <c r="M3577" t="s">
        <v>15</v>
      </c>
      <c r="N3577" t="s">
        <v>140</v>
      </c>
      <c r="O3577">
        <v>49</v>
      </c>
      <c r="P3577" t="s">
        <v>16</v>
      </c>
      <c r="Q3577" t="s">
        <v>64</v>
      </c>
      <c r="R3577" t="str" cm="1">
        <f t="array" ref="R3577">_xlfn.IFS(B3577&lt;31,"Young-Adult",B3577&lt;41,"Adult",B3577&lt;61,"Middle-aged",B3577&gt;=61,"Senior")</f>
        <v>Senior</v>
      </c>
      <c r="S3577" cm="1">
        <f t="array" ref="S3577">_xlfn.IFS(Q3577 ="Fortnightly",14,Q3577="Weekly",7,Q3577="Monthly",30,Q3577="Quarterly",90,Q3577="Bi-Weekly",14,Q3577="Annually",365,Q3577="Every 3 Months",90,TRUE,"NOT FOUND")</f>
        <v>14</v>
      </c>
    </row>
    <row r="3578" spans="1:19" x14ac:dyDescent="0.35">
      <c r="A3578">
        <v>3577</v>
      </c>
      <c r="B3578">
        <v>29</v>
      </c>
      <c r="C3578" t="s">
        <v>141</v>
      </c>
      <c r="D3578" t="s">
        <v>125</v>
      </c>
      <c r="E3578" t="s">
        <v>30</v>
      </c>
      <c r="F3578">
        <v>24</v>
      </c>
      <c r="G3578" t="s">
        <v>19</v>
      </c>
      <c r="H3578" t="s">
        <v>11</v>
      </c>
      <c r="I3578" t="s">
        <v>122</v>
      </c>
      <c r="J3578" t="s">
        <v>25</v>
      </c>
      <c r="K3578">
        <v>3</v>
      </c>
      <c r="L3578" t="s">
        <v>140</v>
      </c>
      <c r="M3578" t="s">
        <v>15</v>
      </c>
      <c r="N3578" t="s">
        <v>140</v>
      </c>
      <c r="O3578">
        <v>12</v>
      </c>
      <c r="P3578" t="s">
        <v>16</v>
      </c>
      <c r="Q3578" t="s">
        <v>64</v>
      </c>
      <c r="R3578" t="str" cm="1">
        <f t="array" ref="R3578">_xlfn.IFS(B3578&lt;31,"Young-Adult",B3578&lt;41,"Adult",B3578&lt;61,"Middle-aged",B3578&gt;=61,"Senior")</f>
        <v>Young-Adult</v>
      </c>
      <c r="S3578" cm="1">
        <f t="array" ref="S3578">_xlfn.IFS(Q3578 ="Fortnightly",14,Q3578="Weekly",7,Q3578="Monthly",30,Q3578="Quarterly",90,Q3578="Bi-Weekly",14,Q3578="Annually",365,Q3578="Every 3 Months",90,TRUE,"NOT FOUND")</f>
        <v>14</v>
      </c>
    </row>
    <row r="3579" spans="1:19" x14ac:dyDescent="0.35">
      <c r="A3579">
        <v>3578</v>
      </c>
      <c r="B3579">
        <v>66</v>
      </c>
      <c r="C3579" t="s">
        <v>141</v>
      </c>
      <c r="D3579" t="s">
        <v>121</v>
      </c>
      <c r="E3579" t="s">
        <v>55</v>
      </c>
      <c r="F3579">
        <v>35</v>
      </c>
      <c r="G3579" t="s">
        <v>56</v>
      </c>
      <c r="H3579" t="s">
        <v>24</v>
      </c>
      <c r="I3579" t="s">
        <v>122</v>
      </c>
      <c r="J3579" t="s">
        <v>13</v>
      </c>
      <c r="K3579">
        <v>2.6</v>
      </c>
      <c r="L3579" t="s">
        <v>140</v>
      </c>
      <c r="M3579" t="s">
        <v>42</v>
      </c>
      <c r="N3579" t="s">
        <v>140</v>
      </c>
      <c r="O3579">
        <v>13</v>
      </c>
      <c r="P3579" t="s">
        <v>63</v>
      </c>
      <c r="Q3579" t="s">
        <v>28</v>
      </c>
      <c r="R3579" t="str" cm="1">
        <f t="array" ref="R3579">_xlfn.IFS(B3579&lt;31,"Young-Adult",B3579&lt;41,"Adult",B3579&lt;61,"Middle-aged",B3579&gt;=61,"Senior")</f>
        <v>Senior</v>
      </c>
      <c r="S3579" cm="1">
        <f t="array" ref="S3579">_xlfn.IFS(Q3579 ="Fortnightly",14,Q3579="Weekly",7,Q3579="Monthly",30,Q3579="Quarterly",90,Q3579="Bi-Weekly",14,Q3579="Annually",365,Q3579="Every 3 Months",90,TRUE,"NOT FOUND")</f>
        <v>7</v>
      </c>
    </row>
    <row r="3580" spans="1:19" x14ac:dyDescent="0.35">
      <c r="A3580">
        <v>3579</v>
      </c>
      <c r="B3580">
        <v>46</v>
      </c>
      <c r="C3580" t="s">
        <v>141</v>
      </c>
      <c r="D3580" t="s">
        <v>59</v>
      </c>
      <c r="E3580" t="s">
        <v>30</v>
      </c>
      <c r="F3580">
        <v>22</v>
      </c>
      <c r="G3580" t="s">
        <v>130</v>
      </c>
      <c r="H3580" t="s">
        <v>11</v>
      </c>
      <c r="I3580" t="s">
        <v>66</v>
      </c>
      <c r="J3580" t="s">
        <v>13</v>
      </c>
      <c r="K3580">
        <v>2.6</v>
      </c>
      <c r="L3580" t="s">
        <v>140</v>
      </c>
      <c r="M3580" t="s">
        <v>42</v>
      </c>
      <c r="N3580" t="s">
        <v>140</v>
      </c>
      <c r="O3580">
        <v>22</v>
      </c>
      <c r="P3580" t="s">
        <v>63</v>
      </c>
      <c r="Q3580" t="s">
        <v>46</v>
      </c>
      <c r="R3580" t="str" cm="1">
        <f t="array" ref="R3580">_xlfn.IFS(B3580&lt;31,"Young-Adult",B3580&lt;41,"Adult",B3580&lt;61,"Middle-aged",B3580&gt;=61,"Senior")</f>
        <v>Middle-aged</v>
      </c>
      <c r="S3580" cm="1">
        <f t="array" ref="S3580">_xlfn.IFS(Q3580 ="Fortnightly",14,Q3580="Weekly",7,Q3580="Monthly",30,Q3580="Quarterly",90,Q3580="Bi-Weekly",14,Q3580="Annually",365,Q3580="Every 3 Months",90,TRUE,"NOT FOUND")</f>
        <v>90</v>
      </c>
    </row>
    <row r="3581" spans="1:19" x14ac:dyDescent="0.35">
      <c r="A3581">
        <v>3580</v>
      </c>
      <c r="B3581">
        <v>34</v>
      </c>
      <c r="C3581" t="s">
        <v>141</v>
      </c>
      <c r="D3581" t="s">
        <v>107</v>
      </c>
      <c r="E3581" t="s">
        <v>55</v>
      </c>
      <c r="F3581">
        <v>66</v>
      </c>
      <c r="G3581" t="s">
        <v>105</v>
      </c>
      <c r="H3581" t="s">
        <v>11</v>
      </c>
      <c r="I3581" t="s">
        <v>66</v>
      </c>
      <c r="J3581" t="s">
        <v>45</v>
      </c>
      <c r="K3581">
        <v>4.8</v>
      </c>
      <c r="L3581" t="s">
        <v>140</v>
      </c>
      <c r="M3581" t="s">
        <v>42</v>
      </c>
      <c r="N3581" t="s">
        <v>140</v>
      </c>
      <c r="O3581">
        <v>19</v>
      </c>
      <c r="P3581" t="s">
        <v>27</v>
      </c>
      <c r="Q3581" t="s">
        <v>85</v>
      </c>
      <c r="R3581" t="str" cm="1">
        <f t="array" ref="R3581">_xlfn.IFS(B3581&lt;31,"Young-Adult",B3581&lt;41,"Adult",B3581&lt;61,"Middle-aged",B3581&gt;=61,"Senior")</f>
        <v>Adult</v>
      </c>
      <c r="S3581" cm="1">
        <f t="array" ref="S3581">_xlfn.IFS(Q3581 ="Fortnightly",14,Q3581="Weekly",7,Q3581="Monthly",30,Q3581="Quarterly",90,Q3581="Bi-Weekly",14,Q3581="Annually",365,Q3581="Every 3 Months",90,TRUE,"NOT FOUND")</f>
        <v>90</v>
      </c>
    </row>
    <row r="3582" spans="1:19" x14ac:dyDescent="0.35">
      <c r="A3582">
        <v>3581</v>
      </c>
      <c r="B3582">
        <v>51</v>
      </c>
      <c r="C3582" t="s">
        <v>141</v>
      </c>
      <c r="D3582" t="s">
        <v>8</v>
      </c>
      <c r="E3582" t="s">
        <v>9</v>
      </c>
      <c r="F3582">
        <v>83</v>
      </c>
      <c r="G3582" t="s">
        <v>70</v>
      </c>
      <c r="H3582" t="s">
        <v>32</v>
      </c>
      <c r="I3582" t="s">
        <v>124</v>
      </c>
      <c r="J3582" t="s">
        <v>41</v>
      </c>
      <c r="K3582">
        <v>3.2</v>
      </c>
      <c r="L3582" t="s">
        <v>140</v>
      </c>
      <c r="M3582" t="s">
        <v>58</v>
      </c>
      <c r="N3582" t="s">
        <v>140</v>
      </c>
      <c r="O3582">
        <v>3</v>
      </c>
      <c r="P3582" t="s">
        <v>21</v>
      </c>
      <c r="Q3582" t="s">
        <v>64</v>
      </c>
      <c r="R3582" t="str" cm="1">
        <f t="array" ref="R3582">_xlfn.IFS(B3582&lt;31,"Young-Adult",B3582&lt;41,"Adult",B3582&lt;61,"Middle-aged",B3582&gt;=61,"Senior")</f>
        <v>Middle-aged</v>
      </c>
      <c r="S3582" cm="1">
        <f t="array" ref="S3582">_xlfn.IFS(Q3582 ="Fortnightly",14,Q3582="Weekly",7,Q3582="Monthly",30,Q3582="Quarterly",90,Q3582="Bi-Weekly",14,Q3582="Annually",365,Q3582="Every 3 Months",90,TRUE,"NOT FOUND")</f>
        <v>14</v>
      </c>
    </row>
    <row r="3583" spans="1:19" x14ac:dyDescent="0.35">
      <c r="A3583">
        <v>3582</v>
      </c>
      <c r="B3583">
        <v>26</v>
      </c>
      <c r="C3583" t="s">
        <v>141</v>
      </c>
      <c r="D3583" t="s">
        <v>69</v>
      </c>
      <c r="E3583" t="s">
        <v>9</v>
      </c>
      <c r="F3583">
        <v>95</v>
      </c>
      <c r="G3583" t="s">
        <v>130</v>
      </c>
      <c r="H3583" t="s">
        <v>32</v>
      </c>
      <c r="I3583" t="s">
        <v>109</v>
      </c>
      <c r="J3583" t="s">
        <v>45</v>
      </c>
      <c r="K3583">
        <v>4.9000000000000004</v>
      </c>
      <c r="L3583" t="s">
        <v>140</v>
      </c>
      <c r="M3583" t="s">
        <v>33</v>
      </c>
      <c r="N3583" t="s">
        <v>140</v>
      </c>
      <c r="O3583">
        <v>50</v>
      </c>
      <c r="P3583" t="s">
        <v>27</v>
      </c>
      <c r="Q3583" t="s">
        <v>28</v>
      </c>
      <c r="R3583" t="str" cm="1">
        <f t="array" ref="R3583">_xlfn.IFS(B3583&lt;31,"Young-Adult",B3583&lt;41,"Adult",B3583&lt;61,"Middle-aged",B3583&gt;=61,"Senior")</f>
        <v>Young-Adult</v>
      </c>
      <c r="S3583" cm="1">
        <f t="array" ref="S3583">_xlfn.IFS(Q3583 ="Fortnightly",14,Q3583="Weekly",7,Q3583="Monthly",30,Q3583="Quarterly",90,Q3583="Bi-Weekly",14,Q3583="Annually",365,Q3583="Every 3 Months",90,TRUE,"NOT FOUND")</f>
        <v>7</v>
      </c>
    </row>
    <row r="3584" spans="1:19" x14ac:dyDescent="0.35">
      <c r="A3584">
        <v>3583</v>
      </c>
      <c r="B3584">
        <v>23</v>
      </c>
      <c r="C3584" t="s">
        <v>141</v>
      </c>
      <c r="D3584" t="s">
        <v>47</v>
      </c>
      <c r="E3584" t="s">
        <v>9</v>
      </c>
      <c r="F3584">
        <v>41</v>
      </c>
      <c r="G3584" t="s">
        <v>87</v>
      </c>
      <c r="H3584" t="s">
        <v>24</v>
      </c>
      <c r="I3584" t="s">
        <v>106</v>
      </c>
      <c r="J3584" t="s">
        <v>41</v>
      </c>
      <c r="K3584">
        <v>3.4</v>
      </c>
      <c r="L3584" t="s">
        <v>140</v>
      </c>
      <c r="M3584" t="s">
        <v>58</v>
      </c>
      <c r="N3584" t="s">
        <v>140</v>
      </c>
      <c r="O3584">
        <v>15</v>
      </c>
      <c r="P3584" t="s">
        <v>34</v>
      </c>
      <c r="Q3584" t="s">
        <v>37</v>
      </c>
      <c r="R3584" t="str" cm="1">
        <f t="array" ref="R3584">_xlfn.IFS(B3584&lt;31,"Young-Adult",B3584&lt;41,"Adult",B3584&lt;61,"Middle-aged",B3584&gt;=61,"Senior")</f>
        <v>Young-Adult</v>
      </c>
      <c r="S3584" cm="1">
        <f t="array" ref="S3584">_xlfn.IFS(Q3584 ="Fortnightly",14,Q3584="Weekly",7,Q3584="Monthly",30,Q3584="Quarterly",90,Q3584="Bi-Weekly",14,Q3584="Annually",365,Q3584="Every 3 Months",90,TRUE,"NOT FOUND")</f>
        <v>365</v>
      </c>
    </row>
    <row r="3585" spans="1:19" x14ac:dyDescent="0.35">
      <c r="A3585">
        <v>3584</v>
      </c>
      <c r="B3585">
        <v>52</v>
      </c>
      <c r="C3585" t="s">
        <v>141</v>
      </c>
      <c r="D3585" t="s">
        <v>8</v>
      </c>
      <c r="E3585" t="s">
        <v>9</v>
      </c>
      <c r="F3585">
        <v>77</v>
      </c>
      <c r="G3585" t="s">
        <v>105</v>
      </c>
      <c r="H3585" t="s">
        <v>11</v>
      </c>
      <c r="I3585" t="s">
        <v>98</v>
      </c>
      <c r="J3585" t="s">
        <v>41</v>
      </c>
      <c r="K3585">
        <v>2.7</v>
      </c>
      <c r="L3585" t="s">
        <v>140</v>
      </c>
      <c r="M3585" t="s">
        <v>62</v>
      </c>
      <c r="N3585" t="s">
        <v>140</v>
      </c>
      <c r="O3585">
        <v>44</v>
      </c>
      <c r="P3585" t="s">
        <v>27</v>
      </c>
      <c r="Q3585" t="s">
        <v>85</v>
      </c>
      <c r="R3585" t="str" cm="1">
        <f t="array" ref="R3585">_xlfn.IFS(B3585&lt;31,"Young-Adult",B3585&lt;41,"Adult",B3585&lt;61,"Middle-aged",B3585&gt;=61,"Senior")</f>
        <v>Middle-aged</v>
      </c>
      <c r="S3585" cm="1">
        <f t="array" ref="S3585">_xlfn.IFS(Q3585 ="Fortnightly",14,Q3585="Weekly",7,Q3585="Monthly",30,Q3585="Quarterly",90,Q3585="Bi-Weekly",14,Q3585="Annually",365,Q3585="Every 3 Months",90,TRUE,"NOT FOUND")</f>
        <v>90</v>
      </c>
    </row>
    <row r="3586" spans="1:19" x14ac:dyDescent="0.35">
      <c r="A3586">
        <v>3585</v>
      </c>
      <c r="B3586">
        <v>39</v>
      </c>
      <c r="C3586" t="s">
        <v>141</v>
      </c>
      <c r="D3586" t="s">
        <v>38</v>
      </c>
      <c r="E3586" t="s">
        <v>30</v>
      </c>
      <c r="F3586">
        <v>52</v>
      </c>
      <c r="G3586" t="s">
        <v>91</v>
      </c>
      <c r="H3586" t="s">
        <v>11</v>
      </c>
      <c r="I3586" t="s">
        <v>114</v>
      </c>
      <c r="J3586" t="s">
        <v>45</v>
      </c>
      <c r="K3586">
        <v>4.8</v>
      </c>
      <c r="L3586" t="s">
        <v>140</v>
      </c>
      <c r="M3586" t="s">
        <v>15</v>
      </c>
      <c r="N3586" t="s">
        <v>140</v>
      </c>
      <c r="O3586">
        <v>48</v>
      </c>
      <c r="P3586" t="s">
        <v>74</v>
      </c>
      <c r="Q3586" t="s">
        <v>76</v>
      </c>
      <c r="R3586" t="str" cm="1">
        <f t="array" ref="R3586">_xlfn.IFS(B3586&lt;31,"Young-Adult",B3586&lt;41,"Adult",B3586&lt;61,"Middle-aged",B3586&gt;=61,"Senior")</f>
        <v>Adult</v>
      </c>
      <c r="S3586" cm="1">
        <f t="array" ref="S3586">_xlfn.IFS(Q3586 ="Fortnightly",14,Q3586="Weekly",7,Q3586="Monthly",30,Q3586="Quarterly",90,Q3586="Bi-Weekly",14,Q3586="Annually",365,Q3586="Every 3 Months",90,TRUE,"NOT FOUND")</f>
        <v>30</v>
      </c>
    </row>
    <row r="3587" spans="1:19" x14ac:dyDescent="0.35">
      <c r="A3587">
        <v>3586</v>
      </c>
      <c r="B3587">
        <v>39</v>
      </c>
      <c r="C3587" t="s">
        <v>141</v>
      </c>
      <c r="D3587" t="s">
        <v>131</v>
      </c>
      <c r="E3587" t="s">
        <v>55</v>
      </c>
      <c r="F3587">
        <v>41</v>
      </c>
      <c r="G3587" t="s">
        <v>72</v>
      </c>
      <c r="H3587" t="s">
        <v>80</v>
      </c>
      <c r="I3587" t="s">
        <v>12</v>
      </c>
      <c r="J3587" t="s">
        <v>13</v>
      </c>
      <c r="K3587">
        <v>4.0999999999999996</v>
      </c>
      <c r="L3587" t="s">
        <v>140</v>
      </c>
      <c r="M3587" t="s">
        <v>42</v>
      </c>
      <c r="N3587" t="s">
        <v>140</v>
      </c>
      <c r="O3587">
        <v>4</v>
      </c>
      <c r="P3587" t="s">
        <v>16</v>
      </c>
      <c r="Q3587" t="s">
        <v>64</v>
      </c>
      <c r="R3587" t="str" cm="1">
        <f t="array" ref="R3587">_xlfn.IFS(B3587&lt;31,"Young-Adult",B3587&lt;41,"Adult",B3587&lt;61,"Middle-aged",B3587&gt;=61,"Senior")</f>
        <v>Adult</v>
      </c>
      <c r="S3587" cm="1">
        <f t="array" ref="S3587">_xlfn.IFS(Q3587 ="Fortnightly",14,Q3587="Weekly",7,Q3587="Monthly",30,Q3587="Quarterly",90,Q3587="Bi-Weekly",14,Q3587="Annually",365,Q3587="Every 3 Months",90,TRUE,"NOT FOUND")</f>
        <v>14</v>
      </c>
    </row>
    <row r="3588" spans="1:19" x14ac:dyDescent="0.35">
      <c r="A3588">
        <v>3587</v>
      </c>
      <c r="B3588">
        <v>33</v>
      </c>
      <c r="C3588" t="s">
        <v>141</v>
      </c>
      <c r="D3588" t="s">
        <v>92</v>
      </c>
      <c r="E3588" t="s">
        <v>9</v>
      </c>
      <c r="F3588">
        <v>28</v>
      </c>
      <c r="G3588" t="s">
        <v>123</v>
      </c>
      <c r="H3588" t="s">
        <v>32</v>
      </c>
      <c r="I3588" t="s">
        <v>122</v>
      </c>
      <c r="J3588" t="s">
        <v>13</v>
      </c>
      <c r="K3588">
        <v>4.5999999999999996</v>
      </c>
      <c r="L3588" t="s">
        <v>140</v>
      </c>
      <c r="M3588" t="s">
        <v>62</v>
      </c>
      <c r="N3588" t="s">
        <v>140</v>
      </c>
      <c r="O3588">
        <v>12</v>
      </c>
      <c r="P3588" t="s">
        <v>34</v>
      </c>
      <c r="Q3588" t="s">
        <v>64</v>
      </c>
      <c r="R3588" t="str" cm="1">
        <f t="array" ref="R3588">_xlfn.IFS(B3588&lt;31,"Young-Adult",B3588&lt;41,"Adult",B3588&lt;61,"Middle-aged",B3588&gt;=61,"Senior")</f>
        <v>Adult</v>
      </c>
      <c r="S3588" cm="1">
        <f t="array" ref="S3588">_xlfn.IFS(Q3588 ="Fortnightly",14,Q3588="Weekly",7,Q3588="Monthly",30,Q3588="Quarterly",90,Q3588="Bi-Weekly",14,Q3588="Annually",365,Q3588="Every 3 Months",90,TRUE,"NOT FOUND")</f>
        <v>14</v>
      </c>
    </row>
    <row r="3589" spans="1:19" x14ac:dyDescent="0.35">
      <c r="A3589">
        <v>3588</v>
      </c>
      <c r="B3589">
        <v>33</v>
      </c>
      <c r="C3589" t="s">
        <v>141</v>
      </c>
      <c r="D3589" t="s">
        <v>18</v>
      </c>
      <c r="E3589" t="s">
        <v>9</v>
      </c>
      <c r="F3589">
        <v>90</v>
      </c>
      <c r="G3589" t="s">
        <v>129</v>
      </c>
      <c r="H3589" t="s">
        <v>24</v>
      </c>
      <c r="I3589" t="s">
        <v>71</v>
      </c>
      <c r="J3589" t="s">
        <v>41</v>
      </c>
      <c r="K3589">
        <v>4.4000000000000004</v>
      </c>
      <c r="L3589" t="s">
        <v>140</v>
      </c>
      <c r="M3589" t="s">
        <v>42</v>
      </c>
      <c r="N3589" t="s">
        <v>140</v>
      </c>
      <c r="O3589">
        <v>33</v>
      </c>
      <c r="P3589" t="s">
        <v>74</v>
      </c>
      <c r="Q3589" t="s">
        <v>37</v>
      </c>
      <c r="R3589" t="str" cm="1">
        <f t="array" ref="R3589">_xlfn.IFS(B3589&lt;31,"Young-Adult",B3589&lt;41,"Adult",B3589&lt;61,"Middle-aged",B3589&gt;=61,"Senior")</f>
        <v>Adult</v>
      </c>
      <c r="S3589" cm="1">
        <f t="array" ref="S3589">_xlfn.IFS(Q3589 ="Fortnightly",14,Q3589="Weekly",7,Q3589="Monthly",30,Q3589="Quarterly",90,Q3589="Bi-Weekly",14,Q3589="Annually",365,Q3589="Every 3 Months",90,TRUE,"NOT FOUND")</f>
        <v>365</v>
      </c>
    </row>
    <row r="3590" spans="1:19" x14ac:dyDescent="0.35">
      <c r="A3590">
        <v>3589</v>
      </c>
      <c r="B3590">
        <v>23</v>
      </c>
      <c r="C3590" t="s">
        <v>141</v>
      </c>
      <c r="D3590" t="s">
        <v>77</v>
      </c>
      <c r="E3590" t="s">
        <v>55</v>
      </c>
      <c r="F3590">
        <v>55</v>
      </c>
      <c r="G3590" t="s">
        <v>139</v>
      </c>
      <c r="H3590" t="s">
        <v>32</v>
      </c>
      <c r="I3590" t="s">
        <v>124</v>
      </c>
      <c r="J3590" t="s">
        <v>25</v>
      </c>
      <c r="K3590">
        <v>3.5</v>
      </c>
      <c r="L3590" t="s">
        <v>140</v>
      </c>
      <c r="M3590" t="s">
        <v>58</v>
      </c>
      <c r="N3590" t="s">
        <v>140</v>
      </c>
      <c r="O3590">
        <v>40</v>
      </c>
      <c r="P3590" t="s">
        <v>21</v>
      </c>
      <c r="Q3590" t="s">
        <v>37</v>
      </c>
      <c r="R3590" t="str" cm="1">
        <f t="array" ref="R3590">_xlfn.IFS(B3590&lt;31,"Young-Adult",B3590&lt;41,"Adult",B3590&lt;61,"Middle-aged",B3590&gt;=61,"Senior")</f>
        <v>Young-Adult</v>
      </c>
      <c r="S3590" cm="1">
        <f t="array" ref="S3590">_xlfn.IFS(Q3590 ="Fortnightly",14,Q3590="Weekly",7,Q3590="Monthly",30,Q3590="Quarterly",90,Q3590="Bi-Weekly",14,Q3590="Annually",365,Q3590="Every 3 Months",90,TRUE,"NOT FOUND")</f>
        <v>365</v>
      </c>
    </row>
    <row r="3591" spans="1:19" x14ac:dyDescent="0.35">
      <c r="A3591">
        <v>3590</v>
      </c>
      <c r="B3591">
        <v>31</v>
      </c>
      <c r="C3591" t="s">
        <v>141</v>
      </c>
      <c r="D3591" t="s">
        <v>121</v>
      </c>
      <c r="E3591" t="s">
        <v>55</v>
      </c>
      <c r="F3591">
        <v>73</v>
      </c>
      <c r="G3591" t="s">
        <v>70</v>
      </c>
      <c r="H3591" t="s">
        <v>32</v>
      </c>
      <c r="I3591" t="s">
        <v>132</v>
      </c>
      <c r="J3591" t="s">
        <v>25</v>
      </c>
      <c r="K3591">
        <v>4.8</v>
      </c>
      <c r="L3591" t="s">
        <v>140</v>
      </c>
      <c r="M3591" t="s">
        <v>33</v>
      </c>
      <c r="N3591" t="s">
        <v>140</v>
      </c>
      <c r="O3591">
        <v>38</v>
      </c>
      <c r="P3591" t="s">
        <v>21</v>
      </c>
      <c r="Q3591" t="s">
        <v>85</v>
      </c>
      <c r="R3591" t="str" cm="1">
        <f t="array" ref="R3591">_xlfn.IFS(B3591&lt;31,"Young-Adult",B3591&lt;41,"Adult",B3591&lt;61,"Middle-aged",B3591&gt;=61,"Senior")</f>
        <v>Adult</v>
      </c>
      <c r="S3591" cm="1">
        <f t="array" ref="S3591">_xlfn.IFS(Q3591 ="Fortnightly",14,Q3591="Weekly",7,Q3591="Monthly",30,Q3591="Quarterly",90,Q3591="Bi-Weekly",14,Q3591="Annually",365,Q3591="Every 3 Months",90,TRUE,"NOT FOUND")</f>
        <v>90</v>
      </c>
    </row>
    <row r="3592" spans="1:19" x14ac:dyDescent="0.35">
      <c r="A3592">
        <v>3591</v>
      </c>
      <c r="B3592">
        <v>27</v>
      </c>
      <c r="C3592" t="s">
        <v>141</v>
      </c>
      <c r="D3592" t="s">
        <v>69</v>
      </c>
      <c r="E3592" t="s">
        <v>9</v>
      </c>
      <c r="F3592">
        <v>87</v>
      </c>
      <c r="G3592" t="s">
        <v>135</v>
      </c>
      <c r="H3592" t="s">
        <v>32</v>
      </c>
      <c r="I3592" t="s">
        <v>12</v>
      </c>
      <c r="J3592" t="s">
        <v>45</v>
      </c>
      <c r="K3592">
        <v>2.9</v>
      </c>
      <c r="L3592" t="s">
        <v>140</v>
      </c>
      <c r="M3592" t="s">
        <v>58</v>
      </c>
      <c r="N3592" t="s">
        <v>140</v>
      </c>
      <c r="O3592">
        <v>19</v>
      </c>
      <c r="P3592" t="s">
        <v>16</v>
      </c>
      <c r="Q3592" t="s">
        <v>85</v>
      </c>
      <c r="R3592" t="str" cm="1">
        <f t="array" ref="R3592">_xlfn.IFS(B3592&lt;31,"Young-Adult",B3592&lt;41,"Adult",B3592&lt;61,"Middle-aged",B3592&gt;=61,"Senior")</f>
        <v>Young-Adult</v>
      </c>
      <c r="S3592" cm="1">
        <f t="array" ref="S3592">_xlfn.IFS(Q3592 ="Fortnightly",14,Q3592="Weekly",7,Q3592="Monthly",30,Q3592="Quarterly",90,Q3592="Bi-Weekly",14,Q3592="Annually",365,Q3592="Every 3 Months",90,TRUE,"NOT FOUND")</f>
        <v>90</v>
      </c>
    </row>
    <row r="3593" spans="1:19" x14ac:dyDescent="0.35">
      <c r="A3593">
        <v>3592</v>
      </c>
      <c r="B3593">
        <v>48</v>
      </c>
      <c r="C3593" t="s">
        <v>141</v>
      </c>
      <c r="D3593" t="s">
        <v>90</v>
      </c>
      <c r="E3593" t="s">
        <v>51</v>
      </c>
      <c r="F3593">
        <v>89</v>
      </c>
      <c r="G3593" t="s">
        <v>135</v>
      </c>
      <c r="H3593" t="s">
        <v>32</v>
      </c>
      <c r="I3593" t="s">
        <v>68</v>
      </c>
      <c r="J3593" t="s">
        <v>13</v>
      </c>
      <c r="K3593">
        <v>3.2</v>
      </c>
      <c r="L3593" t="s">
        <v>140</v>
      </c>
      <c r="M3593" t="s">
        <v>58</v>
      </c>
      <c r="N3593" t="s">
        <v>140</v>
      </c>
      <c r="O3593">
        <v>38</v>
      </c>
      <c r="P3593" t="s">
        <v>63</v>
      </c>
      <c r="Q3593" t="s">
        <v>46</v>
      </c>
      <c r="R3593" t="str" cm="1">
        <f t="array" ref="R3593">_xlfn.IFS(B3593&lt;31,"Young-Adult",B3593&lt;41,"Adult",B3593&lt;61,"Middle-aged",B3593&gt;=61,"Senior")</f>
        <v>Middle-aged</v>
      </c>
      <c r="S3593" cm="1">
        <f t="array" ref="S3593">_xlfn.IFS(Q3593 ="Fortnightly",14,Q3593="Weekly",7,Q3593="Monthly",30,Q3593="Quarterly",90,Q3593="Bi-Weekly",14,Q3593="Annually",365,Q3593="Every 3 Months",90,TRUE,"NOT FOUND")</f>
        <v>90</v>
      </c>
    </row>
    <row r="3594" spans="1:19" x14ac:dyDescent="0.35">
      <c r="A3594">
        <v>3593</v>
      </c>
      <c r="B3594">
        <v>61</v>
      </c>
      <c r="C3594" t="s">
        <v>141</v>
      </c>
      <c r="D3594" t="s">
        <v>125</v>
      </c>
      <c r="E3594" t="s">
        <v>30</v>
      </c>
      <c r="F3594">
        <v>82</v>
      </c>
      <c r="G3594" t="s">
        <v>115</v>
      </c>
      <c r="H3594" t="s">
        <v>11</v>
      </c>
      <c r="I3594" t="s">
        <v>81</v>
      </c>
      <c r="J3594" t="s">
        <v>25</v>
      </c>
      <c r="K3594">
        <v>4.4000000000000004</v>
      </c>
      <c r="L3594" t="s">
        <v>140</v>
      </c>
      <c r="M3594" t="s">
        <v>58</v>
      </c>
      <c r="N3594" t="s">
        <v>140</v>
      </c>
      <c r="O3594">
        <v>18</v>
      </c>
      <c r="P3594" t="s">
        <v>16</v>
      </c>
      <c r="Q3594" t="s">
        <v>17</v>
      </c>
      <c r="R3594" t="str" cm="1">
        <f t="array" ref="R3594">_xlfn.IFS(B3594&lt;31,"Young-Adult",B3594&lt;41,"Adult",B3594&lt;61,"Middle-aged",B3594&gt;=61,"Senior")</f>
        <v>Senior</v>
      </c>
      <c r="S3594" cm="1">
        <f t="array" ref="S3594">_xlfn.IFS(Q3594 ="Fortnightly",14,Q3594="Weekly",7,Q3594="Monthly",30,Q3594="Quarterly",90,Q3594="Bi-Weekly",14,Q3594="Annually",365,Q3594="Every 3 Months",90,TRUE,"NOT FOUND")</f>
        <v>14</v>
      </c>
    </row>
    <row r="3595" spans="1:19" x14ac:dyDescent="0.35">
      <c r="A3595">
        <v>3594</v>
      </c>
      <c r="B3595">
        <v>63</v>
      </c>
      <c r="C3595" t="s">
        <v>141</v>
      </c>
      <c r="D3595" t="s">
        <v>29</v>
      </c>
      <c r="E3595" t="s">
        <v>30</v>
      </c>
      <c r="F3595">
        <v>80</v>
      </c>
      <c r="G3595" t="s">
        <v>39</v>
      </c>
      <c r="H3595" t="s">
        <v>32</v>
      </c>
      <c r="I3595" t="s">
        <v>82</v>
      </c>
      <c r="J3595" t="s">
        <v>25</v>
      </c>
      <c r="K3595">
        <v>4.5999999999999996</v>
      </c>
      <c r="L3595" t="s">
        <v>140</v>
      </c>
      <c r="M3595" t="s">
        <v>33</v>
      </c>
      <c r="N3595" t="s">
        <v>140</v>
      </c>
      <c r="O3595">
        <v>24</v>
      </c>
      <c r="P3595" t="s">
        <v>34</v>
      </c>
      <c r="Q3595" t="s">
        <v>76</v>
      </c>
      <c r="R3595" t="str" cm="1">
        <f t="array" ref="R3595">_xlfn.IFS(B3595&lt;31,"Young-Adult",B3595&lt;41,"Adult",B3595&lt;61,"Middle-aged",B3595&gt;=61,"Senior")</f>
        <v>Senior</v>
      </c>
      <c r="S3595" cm="1">
        <f t="array" ref="S3595">_xlfn.IFS(Q3595 ="Fortnightly",14,Q3595="Weekly",7,Q3595="Monthly",30,Q3595="Quarterly",90,Q3595="Bi-Weekly",14,Q3595="Annually",365,Q3595="Every 3 Months",90,TRUE,"NOT FOUND")</f>
        <v>30</v>
      </c>
    </row>
    <row r="3596" spans="1:19" x14ac:dyDescent="0.35">
      <c r="A3596">
        <v>3595</v>
      </c>
      <c r="B3596">
        <v>19</v>
      </c>
      <c r="C3596" t="s">
        <v>141</v>
      </c>
      <c r="D3596" t="s">
        <v>107</v>
      </c>
      <c r="E3596" t="s">
        <v>55</v>
      </c>
      <c r="F3596">
        <v>87</v>
      </c>
      <c r="G3596" t="s">
        <v>78</v>
      </c>
      <c r="H3596" t="s">
        <v>11</v>
      </c>
      <c r="I3596" t="s">
        <v>49</v>
      </c>
      <c r="J3596" t="s">
        <v>41</v>
      </c>
      <c r="K3596">
        <v>2.6</v>
      </c>
      <c r="L3596" t="s">
        <v>140</v>
      </c>
      <c r="M3596" t="s">
        <v>58</v>
      </c>
      <c r="N3596" t="s">
        <v>140</v>
      </c>
      <c r="O3596">
        <v>29</v>
      </c>
      <c r="P3596" t="s">
        <v>16</v>
      </c>
      <c r="Q3596" t="s">
        <v>46</v>
      </c>
      <c r="R3596" t="str" cm="1">
        <f t="array" ref="R3596">_xlfn.IFS(B3596&lt;31,"Young-Adult",B3596&lt;41,"Adult",B3596&lt;61,"Middle-aged",B3596&gt;=61,"Senior")</f>
        <v>Young-Adult</v>
      </c>
      <c r="S3596" cm="1">
        <f t="array" ref="S3596">_xlfn.IFS(Q3596 ="Fortnightly",14,Q3596="Weekly",7,Q3596="Monthly",30,Q3596="Quarterly",90,Q3596="Bi-Weekly",14,Q3596="Annually",365,Q3596="Every 3 Months",90,TRUE,"NOT FOUND")</f>
        <v>90</v>
      </c>
    </row>
    <row r="3597" spans="1:19" x14ac:dyDescent="0.35">
      <c r="A3597">
        <v>3596</v>
      </c>
      <c r="B3597">
        <v>21</v>
      </c>
      <c r="C3597" t="s">
        <v>141</v>
      </c>
      <c r="D3597" t="s">
        <v>8</v>
      </c>
      <c r="E3597" t="s">
        <v>9</v>
      </c>
      <c r="F3597">
        <v>41</v>
      </c>
      <c r="G3597" t="s">
        <v>135</v>
      </c>
      <c r="H3597" t="s">
        <v>32</v>
      </c>
      <c r="I3597" t="s">
        <v>71</v>
      </c>
      <c r="J3597" t="s">
        <v>25</v>
      </c>
      <c r="K3597">
        <v>3.1</v>
      </c>
      <c r="L3597" t="s">
        <v>140</v>
      </c>
      <c r="M3597" t="s">
        <v>62</v>
      </c>
      <c r="N3597" t="s">
        <v>140</v>
      </c>
      <c r="O3597">
        <v>14</v>
      </c>
      <c r="P3597" t="s">
        <v>34</v>
      </c>
      <c r="Q3597" t="s">
        <v>37</v>
      </c>
      <c r="R3597" t="str" cm="1">
        <f t="array" ref="R3597">_xlfn.IFS(B3597&lt;31,"Young-Adult",B3597&lt;41,"Adult",B3597&lt;61,"Middle-aged",B3597&gt;=61,"Senior")</f>
        <v>Young-Adult</v>
      </c>
      <c r="S3597" cm="1">
        <f t="array" ref="S3597">_xlfn.IFS(Q3597 ="Fortnightly",14,Q3597="Weekly",7,Q3597="Monthly",30,Q3597="Quarterly",90,Q3597="Bi-Weekly",14,Q3597="Annually",365,Q3597="Every 3 Months",90,TRUE,"NOT FOUND")</f>
        <v>365</v>
      </c>
    </row>
    <row r="3598" spans="1:19" x14ac:dyDescent="0.35">
      <c r="A3598">
        <v>3597</v>
      </c>
      <c r="B3598">
        <v>28</v>
      </c>
      <c r="C3598" t="s">
        <v>141</v>
      </c>
      <c r="D3598" t="s">
        <v>92</v>
      </c>
      <c r="E3598" t="s">
        <v>9</v>
      </c>
      <c r="F3598">
        <v>83</v>
      </c>
      <c r="G3598" t="s">
        <v>119</v>
      </c>
      <c r="H3598" t="s">
        <v>32</v>
      </c>
      <c r="I3598" t="s">
        <v>49</v>
      </c>
      <c r="J3598" t="s">
        <v>25</v>
      </c>
      <c r="K3598">
        <v>4.3</v>
      </c>
      <c r="L3598" t="s">
        <v>140</v>
      </c>
      <c r="M3598" t="s">
        <v>42</v>
      </c>
      <c r="N3598" t="s">
        <v>140</v>
      </c>
      <c r="O3598">
        <v>44</v>
      </c>
      <c r="P3598" t="s">
        <v>21</v>
      </c>
      <c r="Q3598" t="s">
        <v>17</v>
      </c>
      <c r="R3598" t="str" cm="1">
        <f t="array" ref="R3598">_xlfn.IFS(B3598&lt;31,"Young-Adult",B3598&lt;41,"Adult",B3598&lt;61,"Middle-aged",B3598&gt;=61,"Senior")</f>
        <v>Young-Adult</v>
      </c>
      <c r="S3598" cm="1">
        <f t="array" ref="S3598">_xlfn.IFS(Q3598 ="Fortnightly",14,Q3598="Weekly",7,Q3598="Monthly",30,Q3598="Quarterly",90,Q3598="Bi-Weekly",14,Q3598="Annually",365,Q3598="Every 3 Months",90,TRUE,"NOT FOUND")</f>
        <v>14</v>
      </c>
    </row>
    <row r="3599" spans="1:19" x14ac:dyDescent="0.35">
      <c r="A3599">
        <v>3598</v>
      </c>
      <c r="B3599">
        <v>29</v>
      </c>
      <c r="C3599" t="s">
        <v>141</v>
      </c>
      <c r="D3599" t="s">
        <v>77</v>
      </c>
      <c r="E3599" t="s">
        <v>55</v>
      </c>
      <c r="F3599">
        <v>71</v>
      </c>
      <c r="G3599" t="s">
        <v>118</v>
      </c>
      <c r="H3599" t="s">
        <v>32</v>
      </c>
      <c r="I3599" t="s">
        <v>20</v>
      </c>
      <c r="J3599" t="s">
        <v>41</v>
      </c>
      <c r="K3599">
        <v>3.1</v>
      </c>
      <c r="L3599" t="s">
        <v>140</v>
      </c>
      <c r="M3599" t="s">
        <v>42</v>
      </c>
      <c r="N3599" t="s">
        <v>140</v>
      </c>
      <c r="O3599">
        <v>18</v>
      </c>
      <c r="P3599" t="s">
        <v>63</v>
      </c>
      <c r="Q3599" t="s">
        <v>46</v>
      </c>
      <c r="R3599" t="str" cm="1">
        <f t="array" ref="R3599">_xlfn.IFS(B3599&lt;31,"Young-Adult",B3599&lt;41,"Adult",B3599&lt;61,"Middle-aged",B3599&gt;=61,"Senior")</f>
        <v>Young-Adult</v>
      </c>
      <c r="S3599" cm="1">
        <f t="array" ref="S3599">_xlfn.IFS(Q3599 ="Fortnightly",14,Q3599="Weekly",7,Q3599="Monthly",30,Q3599="Quarterly",90,Q3599="Bi-Weekly",14,Q3599="Annually",365,Q3599="Every 3 Months",90,TRUE,"NOT FOUND")</f>
        <v>90</v>
      </c>
    </row>
    <row r="3600" spans="1:19" x14ac:dyDescent="0.35">
      <c r="A3600">
        <v>3599</v>
      </c>
      <c r="B3600">
        <v>23</v>
      </c>
      <c r="C3600" t="s">
        <v>141</v>
      </c>
      <c r="D3600" t="s">
        <v>92</v>
      </c>
      <c r="E3600" t="s">
        <v>9</v>
      </c>
      <c r="F3600">
        <v>76</v>
      </c>
      <c r="G3600" t="s">
        <v>127</v>
      </c>
      <c r="H3600" t="s">
        <v>80</v>
      </c>
      <c r="I3600" t="s">
        <v>61</v>
      </c>
      <c r="J3600" t="s">
        <v>25</v>
      </c>
      <c r="K3600">
        <v>4.5999999999999996</v>
      </c>
      <c r="L3600" t="s">
        <v>140</v>
      </c>
      <c r="M3600" t="s">
        <v>62</v>
      </c>
      <c r="N3600" t="s">
        <v>140</v>
      </c>
      <c r="O3600">
        <v>19</v>
      </c>
      <c r="P3600" t="s">
        <v>63</v>
      </c>
      <c r="Q3600" t="s">
        <v>64</v>
      </c>
      <c r="R3600" t="str" cm="1">
        <f t="array" ref="R3600">_xlfn.IFS(B3600&lt;31,"Young-Adult",B3600&lt;41,"Adult",B3600&lt;61,"Middle-aged",B3600&gt;=61,"Senior")</f>
        <v>Young-Adult</v>
      </c>
      <c r="S3600" cm="1">
        <f t="array" ref="S3600">_xlfn.IFS(Q3600 ="Fortnightly",14,Q3600="Weekly",7,Q3600="Monthly",30,Q3600="Quarterly",90,Q3600="Bi-Weekly",14,Q3600="Annually",365,Q3600="Every 3 Months",90,TRUE,"NOT FOUND")</f>
        <v>14</v>
      </c>
    </row>
    <row r="3601" spans="1:19" x14ac:dyDescent="0.35">
      <c r="A3601">
        <v>3600</v>
      </c>
      <c r="B3601">
        <v>37</v>
      </c>
      <c r="C3601" t="s">
        <v>141</v>
      </c>
      <c r="D3601" t="s">
        <v>107</v>
      </c>
      <c r="E3601" t="s">
        <v>55</v>
      </c>
      <c r="F3601">
        <v>34</v>
      </c>
      <c r="G3601" t="s">
        <v>99</v>
      </c>
      <c r="H3601" t="s">
        <v>24</v>
      </c>
      <c r="I3601" t="s">
        <v>88</v>
      </c>
      <c r="J3601" t="s">
        <v>25</v>
      </c>
      <c r="K3601">
        <v>4.5999999999999996</v>
      </c>
      <c r="L3601" t="s">
        <v>140</v>
      </c>
      <c r="M3601" t="s">
        <v>15</v>
      </c>
      <c r="N3601" t="s">
        <v>140</v>
      </c>
      <c r="O3601">
        <v>4</v>
      </c>
      <c r="P3601" t="s">
        <v>21</v>
      </c>
      <c r="Q3601" t="s">
        <v>28</v>
      </c>
      <c r="R3601" t="str" cm="1">
        <f t="array" ref="R3601">_xlfn.IFS(B3601&lt;31,"Young-Adult",B3601&lt;41,"Adult",B3601&lt;61,"Middle-aged",B3601&gt;=61,"Senior")</f>
        <v>Adult</v>
      </c>
      <c r="S3601" cm="1">
        <f t="array" ref="S3601">_xlfn.IFS(Q3601 ="Fortnightly",14,Q3601="Weekly",7,Q3601="Monthly",30,Q3601="Quarterly",90,Q3601="Bi-Weekly",14,Q3601="Annually",365,Q3601="Every 3 Months",90,TRUE,"NOT FOUND")</f>
        <v>7</v>
      </c>
    </row>
    <row r="3602" spans="1:19" x14ac:dyDescent="0.35">
      <c r="A3602">
        <v>3601</v>
      </c>
      <c r="B3602">
        <v>67</v>
      </c>
      <c r="C3602" t="s">
        <v>141</v>
      </c>
      <c r="D3602" t="s">
        <v>69</v>
      </c>
      <c r="E3602" t="s">
        <v>9</v>
      </c>
      <c r="F3602">
        <v>81</v>
      </c>
      <c r="G3602" t="s">
        <v>119</v>
      </c>
      <c r="H3602" t="s">
        <v>80</v>
      </c>
      <c r="I3602" t="s">
        <v>66</v>
      </c>
      <c r="J3602" t="s">
        <v>25</v>
      </c>
      <c r="K3602">
        <v>2.7</v>
      </c>
      <c r="L3602" t="s">
        <v>140</v>
      </c>
      <c r="M3602" t="s">
        <v>26</v>
      </c>
      <c r="N3602" t="s">
        <v>140</v>
      </c>
      <c r="O3602">
        <v>25</v>
      </c>
      <c r="P3602" t="s">
        <v>21</v>
      </c>
      <c r="Q3602" t="s">
        <v>64</v>
      </c>
      <c r="R3602" t="str" cm="1">
        <f t="array" ref="R3602">_xlfn.IFS(B3602&lt;31,"Young-Adult",B3602&lt;41,"Adult",B3602&lt;61,"Middle-aged",B3602&gt;=61,"Senior")</f>
        <v>Senior</v>
      </c>
      <c r="S3602" cm="1">
        <f t="array" ref="S3602">_xlfn.IFS(Q3602 ="Fortnightly",14,Q3602="Weekly",7,Q3602="Monthly",30,Q3602="Quarterly",90,Q3602="Bi-Weekly",14,Q3602="Annually",365,Q3602="Every 3 Months",90,TRUE,"NOT FOUND")</f>
        <v>14</v>
      </c>
    </row>
    <row r="3603" spans="1:19" x14ac:dyDescent="0.35">
      <c r="A3603">
        <v>3602</v>
      </c>
      <c r="B3603">
        <v>34</v>
      </c>
      <c r="C3603" t="s">
        <v>141</v>
      </c>
      <c r="D3603" t="s">
        <v>101</v>
      </c>
      <c r="E3603" t="s">
        <v>9</v>
      </c>
      <c r="F3603">
        <v>47</v>
      </c>
      <c r="G3603" t="s">
        <v>86</v>
      </c>
      <c r="H3603" t="s">
        <v>32</v>
      </c>
      <c r="I3603" t="s">
        <v>114</v>
      </c>
      <c r="J3603" t="s">
        <v>41</v>
      </c>
      <c r="K3603">
        <v>3</v>
      </c>
      <c r="L3603" t="s">
        <v>140</v>
      </c>
      <c r="M3603" t="s">
        <v>33</v>
      </c>
      <c r="N3603" t="s">
        <v>140</v>
      </c>
      <c r="O3603">
        <v>3</v>
      </c>
      <c r="P3603" t="s">
        <v>34</v>
      </c>
      <c r="Q3603" t="s">
        <v>76</v>
      </c>
      <c r="R3603" t="str" cm="1">
        <f t="array" ref="R3603">_xlfn.IFS(B3603&lt;31,"Young-Adult",B3603&lt;41,"Adult",B3603&lt;61,"Middle-aged",B3603&gt;=61,"Senior")</f>
        <v>Adult</v>
      </c>
      <c r="S3603" cm="1">
        <f t="array" ref="S3603">_xlfn.IFS(Q3603 ="Fortnightly",14,Q3603="Weekly",7,Q3603="Monthly",30,Q3603="Quarterly",90,Q3603="Bi-Weekly",14,Q3603="Annually",365,Q3603="Every 3 Months",90,TRUE,"NOT FOUND")</f>
        <v>30</v>
      </c>
    </row>
    <row r="3604" spans="1:19" x14ac:dyDescent="0.35">
      <c r="A3604">
        <v>3603</v>
      </c>
      <c r="B3604">
        <v>58</v>
      </c>
      <c r="C3604" t="s">
        <v>141</v>
      </c>
      <c r="D3604" t="s">
        <v>75</v>
      </c>
      <c r="E3604" t="s">
        <v>9</v>
      </c>
      <c r="F3604">
        <v>36</v>
      </c>
      <c r="G3604" t="s">
        <v>39</v>
      </c>
      <c r="H3604" t="s">
        <v>24</v>
      </c>
      <c r="I3604" t="s">
        <v>124</v>
      </c>
      <c r="J3604" t="s">
        <v>41</v>
      </c>
      <c r="K3604">
        <v>3.3</v>
      </c>
      <c r="L3604" t="s">
        <v>140</v>
      </c>
      <c r="M3604" t="s">
        <v>62</v>
      </c>
      <c r="N3604" t="s">
        <v>140</v>
      </c>
      <c r="O3604">
        <v>40</v>
      </c>
      <c r="P3604" t="s">
        <v>74</v>
      </c>
      <c r="Q3604" t="s">
        <v>46</v>
      </c>
      <c r="R3604" t="str" cm="1">
        <f t="array" ref="R3604">_xlfn.IFS(B3604&lt;31,"Young-Adult",B3604&lt;41,"Adult",B3604&lt;61,"Middle-aged",B3604&gt;=61,"Senior")</f>
        <v>Middle-aged</v>
      </c>
      <c r="S3604" cm="1">
        <f t="array" ref="S3604">_xlfn.IFS(Q3604 ="Fortnightly",14,Q3604="Weekly",7,Q3604="Monthly",30,Q3604="Quarterly",90,Q3604="Bi-Weekly",14,Q3604="Annually",365,Q3604="Every 3 Months",90,TRUE,"NOT FOUND")</f>
        <v>90</v>
      </c>
    </row>
    <row r="3605" spans="1:19" x14ac:dyDescent="0.35">
      <c r="A3605">
        <v>3604</v>
      </c>
      <c r="B3605">
        <v>45</v>
      </c>
      <c r="C3605" t="s">
        <v>141</v>
      </c>
      <c r="D3605" t="s">
        <v>22</v>
      </c>
      <c r="E3605" t="s">
        <v>9</v>
      </c>
      <c r="F3605">
        <v>51</v>
      </c>
      <c r="G3605" t="s">
        <v>48</v>
      </c>
      <c r="H3605" t="s">
        <v>32</v>
      </c>
      <c r="I3605" t="s">
        <v>68</v>
      </c>
      <c r="J3605" t="s">
        <v>25</v>
      </c>
      <c r="K3605">
        <v>2.7</v>
      </c>
      <c r="L3605" t="s">
        <v>140</v>
      </c>
      <c r="M3605" t="s">
        <v>26</v>
      </c>
      <c r="N3605" t="s">
        <v>140</v>
      </c>
      <c r="O3605">
        <v>5</v>
      </c>
      <c r="P3605" t="s">
        <v>21</v>
      </c>
      <c r="Q3605" t="s">
        <v>28</v>
      </c>
      <c r="R3605" t="str" cm="1">
        <f t="array" ref="R3605">_xlfn.IFS(B3605&lt;31,"Young-Adult",B3605&lt;41,"Adult",B3605&lt;61,"Middle-aged",B3605&gt;=61,"Senior")</f>
        <v>Middle-aged</v>
      </c>
      <c r="S3605" cm="1">
        <f t="array" ref="S3605">_xlfn.IFS(Q3605 ="Fortnightly",14,Q3605="Weekly",7,Q3605="Monthly",30,Q3605="Quarterly",90,Q3605="Bi-Weekly",14,Q3605="Annually",365,Q3605="Every 3 Months",90,TRUE,"NOT FOUND")</f>
        <v>7</v>
      </c>
    </row>
    <row r="3606" spans="1:19" x14ac:dyDescent="0.35">
      <c r="A3606">
        <v>3605</v>
      </c>
      <c r="B3606">
        <v>63</v>
      </c>
      <c r="C3606" t="s">
        <v>141</v>
      </c>
      <c r="D3606" t="s">
        <v>92</v>
      </c>
      <c r="E3606" t="s">
        <v>9</v>
      </c>
      <c r="F3606">
        <v>86</v>
      </c>
      <c r="G3606" t="s">
        <v>48</v>
      </c>
      <c r="H3606" t="s">
        <v>32</v>
      </c>
      <c r="I3606" t="s">
        <v>109</v>
      </c>
      <c r="J3606" t="s">
        <v>45</v>
      </c>
      <c r="K3606">
        <v>3.3</v>
      </c>
      <c r="L3606" t="s">
        <v>140</v>
      </c>
      <c r="M3606" t="s">
        <v>42</v>
      </c>
      <c r="N3606" t="s">
        <v>140</v>
      </c>
      <c r="O3606">
        <v>17</v>
      </c>
      <c r="P3606" t="s">
        <v>74</v>
      </c>
      <c r="Q3606" t="s">
        <v>37</v>
      </c>
      <c r="R3606" t="str" cm="1">
        <f t="array" ref="R3606">_xlfn.IFS(B3606&lt;31,"Young-Adult",B3606&lt;41,"Adult",B3606&lt;61,"Middle-aged",B3606&gt;=61,"Senior")</f>
        <v>Senior</v>
      </c>
      <c r="S3606" cm="1">
        <f t="array" ref="S3606">_xlfn.IFS(Q3606 ="Fortnightly",14,Q3606="Weekly",7,Q3606="Monthly",30,Q3606="Quarterly",90,Q3606="Bi-Weekly",14,Q3606="Annually",365,Q3606="Every 3 Months",90,TRUE,"NOT FOUND")</f>
        <v>365</v>
      </c>
    </row>
    <row r="3607" spans="1:19" x14ac:dyDescent="0.35">
      <c r="A3607">
        <v>3606</v>
      </c>
      <c r="B3607">
        <v>68</v>
      </c>
      <c r="C3607" t="s">
        <v>141</v>
      </c>
      <c r="D3607" t="s">
        <v>22</v>
      </c>
      <c r="E3607" t="s">
        <v>9</v>
      </c>
      <c r="F3607">
        <v>41</v>
      </c>
      <c r="G3607" t="s">
        <v>78</v>
      </c>
      <c r="H3607" t="s">
        <v>32</v>
      </c>
      <c r="I3607" t="s">
        <v>68</v>
      </c>
      <c r="J3607" t="s">
        <v>45</v>
      </c>
      <c r="K3607">
        <v>4.3</v>
      </c>
      <c r="L3607" t="s">
        <v>140</v>
      </c>
      <c r="M3607" t="s">
        <v>62</v>
      </c>
      <c r="N3607" t="s">
        <v>140</v>
      </c>
      <c r="O3607">
        <v>36</v>
      </c>
      <c r="P3607" t="s">
        <v>63</v>
      </c>
      <c r="Q3607" t="s">
        <v>85</v>
      </c>
      <c r="R3607" t="str" cm="1">
        <f t="array" ref="R3607">_xlfn.IFS(B3607&lt;31,"Young-Adult",B3607&lt;41,"Adult",B3607&lt;61,"Middle-aged",B3607&gt;=61,"Senior")</f>
        <v>Senior</v>
      </c>
      <c r="S3607" cm="1">
        <f t="array" ref="S3607">_xlfn.IFS(Q3607 ="Fortnightly",14,Q3607="Weekly",7,Q3607="Monthly",30,Q3607="Quarterly",90,Q3607="Bi-Weekly",14,Q3607="Annually",365,Q3607="Every 3 Months",90,TRUE,"NOT FOUND")</f>
        <v>90</v>
      </c>
    </row>
    <row r="3608" spans="1:19" x14ac:dyDescent="0.35">
      <c r="A3608">
        <v>3607</v>
      </c>
      <c r="B3608">
        <v>41</v>
      </c>
      <c r="C3608" t="s">
        <v>141</v>
      </c>
      <c r="D3608" t="s">
        <v>29</v>
      </c>
      <c r="E3608" t="s">
        <v>30</v>
      </c>
      <c r="F3608">
        <v>90</v>
      </c>
      <c r="G3608" t="s">
        <v>136</v>
      </c>
      <c r="H3608" t="s">
        <v>80</v>
      </c>
      <c r="I3608" t="s">
        <v>61</v>
      </c>
      <c r="J3608" t="s">
        <v>45</v>
      </c>
      <c r="K3608">
        <v>4.8</v>
      </c>
      <c r="L3608" t="s">
        <v>140</v>
      </c>
      <c r="M3608" t="s">
        <v>15</v>
      </c>
      <c r="N3608" t="s">
        <v>140</v>
      </c>
      <c r="O3608">
        <v>41</v>
      </c>
      <c r="P3608" t="s">
        <v>16</v>
      </c>
      <c r="Q3608" t="s">
        <v>37</v>
      </c>
      <c r="R3608" t="str" cm="1">
        <f t="array" ref="R3608">_xlfn.IFS(B3608&lt;31,"Young-Adult",B3608&lt;41,"Adult",B3608&lt;61,"Middle-aged",B3608&gt;=61,"Senior")</f>
        <v>Middle-aged</v>
      </c>
      <c r="S3608" cm="1">
        <f t="array" ref="S3608">_xlfn.IFS(Q3608 ="Fortnightly",14,Q3608="Weekly",7,Q3608="Monthly",30,Q3608="Quarterly",90,Q3608="Bi-Weekly",14,Q3608="Annually",365,Q3608="Every 3 Months",90,TRUE,"NOT FOUND")</f>
        <v>365</v>
      </c>
    </row>
    <row r="3609" spans="1:19" x14ac:dyDescent="0.35">
      <c r="A3609">
        <v>3608</v>
      </c>
      <c r="B3609">
        <v>50</v>
      </c>
      <c r="C3609" t="s">
        <v>141</v>
      </c>
      <c r="D3609" t="s">
        <v>112</v>
      </c>
      <c r="E3609" t="s">
        <v>55</v>
      </c>
      <c r="F3609">
        <v>93</v>
      </c>
      <c r="G3609" t="s">
        <v>118</v>
      </c>
      <c r="H3609" t="s">
        <v>11</v>
      </c>
      <c r="I3609" t="s">
        <v>49</v>
      </c>
      <c r="J3609" t="s">
        <v>45</v>
      </c>
      <c r="K3609">
        <v>3.3</v>
      </c>
      <c r="L3609" t="s">
        <v>140</v>
      </c>
      <c r="M3609" t="s">
        <v>42</v>
      </c>
      <c r="N3609" t="s">
        <v>140</v>
      </c>
      <c r="O3609">
        <v>20</v>
      </c>
      <c r="P3609" t="s">
        <v>16</v>
      </c>
      <c r="Q3609" t="s">
        <v>64</v>
      </c>
      <c r="R3609" t="str" cm="1">
        <f t="array" ref="R3609">_xlfn.IFS(B3609&lt;31,"Young-Adult",B3609&lt;41,"Adult",B3609&lt;61,"Middle-aged",B3609&gt;=61,"Senior")</f>
        <v>Middle-aged</v>
      </c>
      <c r="S3609" cm="1">
        <f t="array" ref="S3609">_xlfn.IFS(Q3609 ="Fortnightly",14,Q3609="Weekly",7,Q3609="Monthly",30,Q3609="Quarterly",90,Q3609="Bi-Weekly",14,Q3609="Annually",365,Q3609="Every 3 Months",90,TRUE,"NOT FOUND")</f>
        <v>14</v>
      </c>
    </row>
    <row r="3610" spans="1:19" x14ac:dyDescent="0.35">
      <c r="A3610">
        <v>3609</v>
      </c>
      <c r="B3610">
        <v>24</v>
      </c>
      <c r="C3610" t="s">
        <v>141</v>
      </c>
      <c r="D3610" t="s">
        <v>131</v>
      </c>
      <c r="E3610" t="s">
        <v>55</v>
      </c>
      <c r="F3610">
        <v>56</v>
      </c>
      <c r="G3610" t="s">
        <v>110</v>
      </c>
      <c r="H3610" t="s">
        <v>32</v>
      </c>
      <c r="I3610" t="s">
        <v>97</v>
      </c>
      <c r="J3610" t="s">
        <v>45</v>
      </c>
      <c r="K3610">
        <v>4.3</v>
      </c>
      <c r="L3610" t="s">
        <v>140</v>
      </c>
      <c r="M3610" t="s">
        <v>33</v>
      </c>
      <c r="N3610" t="s">
        <v>140</v>
      </c>
      <c r="O3610">
        <v>2</v>
      </c>
      <c r="P3610" t="s">
        <v>21</v>
      </c>
      <c r="Q3610" t="s">
        <v>85</v>
      </c>
      <c r="R3610" t="str" cm="1">
        <f t="array" ref="R3610">_xlfn.IFS(B3610&lt;31,"Young-Adult",B3610&lt;41,"Adult",B3610&lt;61,"Middle-aged",B3610&gt;=61,"Senior")</f>
        <v>Young-Adult</v>
      </c>
      <c r="S3610" cm="1">
        <f t="array" ref="S3610">_xlfn.IFS(Q3610 ="Fortnightly",14,Q3610="Weekly",7,Q3610="Monthly",30,Q3610="Quarterly",90,Q3610="Bi-Weekly",14,Q3610="Annually",365,Q3610="Every 3 Months",90,TRUE,"NOT FOUND")</f>
        <v>90</v>
      </c>
    </row>
    <row r="3611" spans="1:19" x14ac:dyDescent="0.35">
      <c r="A3611">
        <v>3610</v>
      </c>
      <c r="B3611">
        <v>21</v>
      </c>
      <c r="C3611" t="s">
        <v>141</v>
      </c>
      <c r="D3611" t="s">
        <v>113</v>
      </c>
      <c r="E3611" t="s">
        <v>9</v>
      </c>
      <c r="F3611">
        <v>39</v>
      </c>
      <c r="G3611" t="s">
        <v>118</v>
      </c>
      <c r="H3611" t="s">
        <v>32</v>
      </c>
      <c r="I3611" t="s">
        <v>97</v>
      </c>
      <c r="J3611" t="s">
        <v>41</v>
      </c>
      <c r="K3611">
        <v>3</v>
      </c>
      <c r="L3611" t="s">
        <v>140</v>
      </c>
      <c r="M3611" t="s">
        <v>58</v>
      </c>
      <c r="N3611" t="s">
        <v>140</v>
      </c>
      <c r="O3611">
        <v>31</v>
      </c>
      <c r="P3611" t="s">
        <v>74</v>
      </c>
      <c r="Q3611" t="s">
        <v>76</v>
      </c>
      <c r="R3611" t="str" cm="1">
        <f t="array" ref="R3611">_xlfn.IFS(B3611&lt;31,"Young-Adult",B3611&lt;41,"Adult",B3611&lt;61,"Middle-aged",B3611&gt;=61,"Senior")</f>
        <v>Young-Adult</v>
      </c>
      <c r="S3611" cm="1">
        <f t="array" ref="S3611">_xlfn.IFS(Q3611 ="Fortnightly",14,Q3611="Weekly",7,Q3611="Monthly",30,Q3611="Quarterly",90,Q3611="Bi-Weekly",14,Q3611="Annually",365,Q3611="Every 3 Months",90,TRUE,"NOT FOUND")</f>
        <v>30</v>
      </c>
    </row>
    <row r="3612" spans="1:19" x14ac:dyDescent="0.35">
      <c r="A3612">
        <v>3611</v>
      </c>
      <c r="B3612">
        <v>18</v>
      </c>
      <c r="C3612" t="s">
        <v>141</v>
      </c>
      <c r="D3612" t="s">
        <v>90</v>
      </c>
      <c r="E3612" t="s">
        <v>51</v>
      </c>
      <c r="F3612">
        <v>86</v>
      </c>
      <c r="G3612" t="s">
        <v>93</v>
      </c>
      <c r="H3612" t="s">
        <v>80</v>
      </c>
      <c r="I3612" t="s">
        <v>84</v>
      </c>
      <c r="J3612" t="s">
        <v>45</v>
      </c>
      <c r="K3612">
        <v>4.8</v>
      </c>
      <c r="L3612" t="s">
        <v>140</v>
      </c>
      <c r="M3612" t="s">
        <v>58</v>
      </c>
      <c r="N3612" t="s">
        <v>140</v>
      </c>
      <c r="O3612">
        <v>23</v>
      </c>
      <c r="P3612" t="s">
        <v>63</v>
      </c>
      <c r="Q3612" t="s">
        <v>17</v>
      </c>
      <c r="R3612" t="str" cm="1">
        <f t="array" ref="R3612">_xlfn.IFS(B3612&lt;31,"Young-Adult",B3612&lt;41,"Adult",B3612&lt;61,"Middle-aged",B3612&gt;=61,"Senior")</f>
        <v>Young-Adult</v>
      </c>
      <c r="S3612" cm="1">
        <f t="array" ref="S3612">_xlfn.IFS(Q3612 ="Fortnightly",14,Q3612="Weekly",7,Q3612="Monthly",30,Q3612="Quarterly",90,Q3612="Bi-Weekly",14,Q3612="Annually",365,Q3612="Every 3 Months",90,TRUE,"NOT FOUND")</f>
        <v>14</v>
      </c>
    </row>
    <row r="3613" spans="1:19" x14ac:dyDescent="0.35">
      <c r="A3613">
        <v>3612</v>
      </c>
      <c r="B3613">
        <v>63</v>
      </c>
      <c r="C3613" t="s">
        <v>141</v>
      </c>
      <c r="D3613" t="s">
        <v>101</v>
      </c>
      <c r="E3613" t="s">
        <v>9</v>
      </c>
      <c r="F3613">
        <v>82</v>
      </c>
      <c r="G3613" t="s">
        <v>137</v>
      </c>
      <c r="H3613" t="s">
        <v>32</v>
      </c>
      <c r="I3613" t="s">
        <v>53</v>
      </c>
      <c r="J3613" t="s">
        <v>25</v>
      </c>
      <c r="K3613">
        <v>2.9</v>
      </c>
      <c r="L3613" t="s">
        <v>140</v>
      </c>
      <c r="M3613" t="s">
        <v>42</v>
      </c>
      <c r="N3613" t="s">
        <v>140</v>
      </c>
      <c r="O3613">
        <v>30</v>
      </c>
      <c r="P3613" t="s">
        <v>27</v>
      </c>
      <c r="Q3613" t="s">
        <v>37</v>
      </c>
      <c r="R3613" t="str" cm="1">
        <f t="array" ref="R3613">_xlfn.IFS(B3613&lt;31,"Young-Adult",B3613&lt;41,"Adult",B3613&lt;61,"Middle-aged",B3613&gt;=61,"Senior")</f>
        <v>Senior</v>
      </c>
      <c r="S3613" cm="1">
        <f t="array" ref="S3613">_xlfn.IFS(Q3613 ="Fortnightly",14,Q3613="Weekly",7,Q3613="Monthly",30,Q3613="Quarterly",90,Q3613="Bi-Weekly",14,Q3613="Annually",365,Q3613="Every 3 Months",90,TRUE,"NOT FOUND")</f>
        <v>365</v>
      </c>
    </row>
    <row r="3614" spans="1:19" x14ac:dyDescent="0.35">
      <c r="A3614">
        <v>3613</v>
      </c>
      <c r="B3614">
        <v>47</v>
      </c>
      <c r="C3614" t="s">
        <v>141</v>
      </c>
      <c r="D3614" t="s">
        <v>29</v>
      </c>
      <c r="E3614" t="s">
        <v>30</v>
      </c>
      <c r="F3614">
        <v>29</v>
      </c>
      <c r="G3614" t="s">
        <v>139</v>
      </c>
      <c r="H3614" t="s">
        <v>32</v>
      </c>
      <c r="I3614" t="s">
        <v>73</v>
      </c>
      <c r="J3614" t="s">
        <v>41</v>
      </c>
      <c r="K3614">
        <v>3.6</v>
      </c>
      <c r="L3614" t="s">
        <v>140</v>
      </c>
      <c r="M3614" t="s">
        <v>42</v>
      </c>
      <c r="N3614" t="s">
        <v>140</v>
      </c>
      <c r="O3614">
        <v>26</v>
      </c>
      <c r="P3614" t="s">
        <v>21</v>
      </c>
      <c r="Q3614" t="s">
        <v>85</v>
      </c>
      <c r="R3614" t="str" cm="1">
        <f t="array" ref="R3614">_xlfn.IFS(B3614&lt;31,"Young-Adult",B3614&lt;41,"Adult",B3614&lt;61,"Middle-aged",B3614&gt;=61,"Senior")</f>
        <v>Middle-aged</v>
      </c>
      <c r="S3614" cm="1">
        <f t="array" ref="S3614">_xlfn.IFS(Q3614 ="Fortnightly",14,Q3614="Weekly",7,Q3614="Monthly",30,Q3614="Quarterly",90,Q3614="Bi-Weekly",14,Q3614="Annually",365,Q3614="Every 3 Months",90,TRUE,"NOT FOUND")</f>
        <v>90</v>
      </c>
    </row>
    <row r="3615" spans="1:19" x14ac:dyDescent="0.35">
      <c r="A3615">
        <v>3614</v>
      </c>
      <c r="B3615">
        <v>58</v>
      </c>
      <c r="C3615" t="s">
        <v>141</v>
      </c>
      <c r="D3615" t="s">
        <v>112</v>
      </c>
      <c r="E3615" t="s">
        <v>55</v>
      </c>
      <c r="F3615">
        <v>27</v>
      </c>
      <c r="G3615" t="s">
        <v>136</v>
      </c>
      <c r="H3615" t="s">
        <v>32</v>
      </c>
      <c r="I3615" t="s">
        <v>124</v>
      </c>
      <c r="J3615" t="s">
        <v>45</v>
      </c>
      <c r="K3615">
        <v>3.5</v>
      </c>
      <c r="L3615" t="s">
        <v>140</v>
      </c>
      <c r="M3615" t="s">
        <v>62</v>
      </c>
      <c r="N3615" t="s">
        <v>140</v>
      </c>
      <c r="O3615">
        <v>40</v>
      </c>
      <c r="P3615" t="s">
        <v>16</v>
      </c>
      <c r="Q3615" t="s">
        <v>37</v>
      </c>
      <c r="R3615" t="str" cm="1">
        <f t="array" ref="R3615">_xlfn.IFS(B3615&lt;31,"Young-Adult",B3615&lt;41,"Adult",B3615&lt;61,"Middle-aged",B3615&gt;=61,"Senior")</f>
        <v>Middle-aged</v>
      </c>
      <c r="S3615" cm="1">
        <f t="array" ref="S3615">_xlfn.IFS(Q3615 ="Fortnightly",14,Q3615="Weekly",7,Q3615="Monthly",30,Q3615="Quarterly",90,Q3615="Bi-Weekly",14,Q3615="Annually",365,Q3615="Every 3 Months",90,TRUE,"NOT FOUND")</f>
        <v>365</v>
      </c>
    </row>
    <row r="3616" spans="1:19" x14ac:dyDescent="0.35">
      <c r="A3616">
        <v>3615</v>
      </c>
      <c r="B3616">
        <v>46</v>
      </c>
      <c r="C3616" t="s">
        <v>141</v>
      </c>
      <c r="D3616" t="s">
        <v>131</v>
      </c>
      <c r="E3616" t="s">
        <v>55</v>
      </c>
      <c r="F3616">
        <v>25</v>
      </c>
      <c r="G3616" t="s">
        <v>67</v>
      </c>
      <c r="H3616" t="s">
        <v>11</v>
      </c>
      <c r="I3616" t="s">
        <v>20</v>
      </c>
      <c r="J3616" t="s">
        <v>25</v>
      </c>
      <c r="K3616">
        <v>4.7</v>
      </c>
      <c r="L3616" t="s">
        <v>140</v>
      </c>
      <c r="M3616" t="s">
        <v>58</v>
      </c>
      <c r="N3616" t="s">
        <v>140</v>
      </c>
      <c r="O3616">
        <v>19</v>
      </c>
      <c r="P3616" t="s">
        <v>63</v>
      </c>
      <c r="Q3616" t="s">
        <v>37</v>
      </c>
      <c r="R3616" t="str" cm="1">
        <f t="array" ref="R3616">_xlfn.IFS(B3616&lt;31,"Young-Adult",B3616&lt;41,"Adult",B3616&lt;61,"Middle-aged",B3616&gt;=61,"Senior")</f>
        <v>Middle-aged</v>
      </c>
      <c r="S3616" cm="1">
        <f t="array" ref="S3616">_xlfn.IFS(Q3616 ="Fortnightly",14,Q3616="Weekly",7,Q3616="Monthly",30,Q3616="Quarterly",90,Q3616="Bi-Weekly",14,Q3616="Annually",365,Q3616="Every 3 Months",90,TRUE,"NOT FOUND")</f>
        <v>365</v>
      </c>
    </row>
    <row r="3617" spans="1:19" x14ac:dyDescent="0.35">
      <c r="A3617">
        <v>3616</v>
      </c>
      <c r="B3617">
        <v>35</v>
      </c>
      <c r="C3617" t="s">
        <v>141</v>
      </c>
      <c r="D3617" t="s">
        <v>69</v>
      </c>
      <c r="E3617" t="s">
        <v>9</v>
      </c>
      <c r="F3617">
        <v>31</v>
      </c>
      <c r="G3617" t="s">
        <v>87</v>
      </c>
      <c r="H3617" t="s">
        <v>32</v>
      </c>
      <c r="I3617" t="s">
        <v>68</v>
      </c>
      <c r="J3617" t="s">
        <v>13</v>
      </c>
      <c r="K3617">
        <v>4.4000000000000004</v>
      </c>
      <c r="L3617" t="s">
        <v>140</v>
      </c>
      <c r="M3617" t="s">
        <v>26</v>
      </c>
      <c r="N3617" t="s">
        <v>140</v>
      </c>
      <c r="O3617">
        <v>4</v>
      </c>
      <c r="P3617" t="s">
        <v>27</v>
      </c>
      <c r="Q3617" t="s">
        <v>76</v>
      </c>
      <c r="R3617" t="str" cm="1">
        <f t="array" ref="R3617">_xlfn.IFS(B3617&lt;31,"Young-Adult",B3617&lt;41,"Adult",B3617&lt;61,"Middle-aged",B3617&gt;=61,"Senior")</f>
        <v>Adult</v>
      </c>
      <c r="S3617" cm="1">
        <f t="array" ref="S3617">_xlfn.IFS(Q3617 ="Fortnightly",14,Q3617="Weekly",7,Q3617="Monthly",30,Q3617="Quarterly",90,Q3617="Bi-Weekly",14,Q3617="Annually",365,Q3617="Every 3 Months",90,TRUE,"NOT FOUND")</f>
        <v>30</v>
      </c>
    </row>
    <row r="3618" spans="1:19" x14ac:dyDescent="0.35">
      <c r="A3618">
        <v>3617</v>
      </c>
      <c r="B3618">
        <v>42</v>
      </c>
      <c r="C3618" t="s">
        <v>141</v>
      </c>
      <c r="D3618" t="s">
        <v>92</v>
      </c>
      <c r="E3618" t="s">
        <v>9</v>
      </c>
      <c r="F3618">
        <v>23</v>
      </c>
      <c r="G3618" t="s">
        <v>138</v>
      </c>
      <c r="H3618" t="s">
        <v>11</v>
      </c>
      <c r="I3618" t="s">
        <v>61</v>
      </c>
      <c r="J3618" t="s">
        <v>13</v>
      </c>
      <c r="K3618">
        <v>3.3</v>
      </c>
      <c r="L3618" t="s">
        <v>140</v>
      </c>
      <c r="M3618" t="s">
        <v>62</v>
      </c>
      <c r="N3618" t="s">
        <v>140</v>
      </c>
      <c r="O3618">
        <v>33</v>
      </c>
      <c r="P3618" t="s">
        <v>74</v>
      </c>
      <c r="Q3618" t="s">
        <v>17</v>
      </c>
      <c r="R3618" t="str" cm="1">
        <f t="array" ref="R3618">_xlfn.IFS(B3618&lt;31,"Young-Adult",B3618&lt;41,"Adult",B3618&lt;61,"Middle-aged",B3618&gt;=61,"Senior")</f>
        <v>Middle-aged</v>
      </c>
      <c r="S3618" cm="1">
        <f t="array" ref="S3618">_xlfn.IFS(Q3618 ="Fortnightly",14,Q3618="Weekly",7,Q3618="Monthly",30,Q3618="Quarterly",90,Q3618="Bi-Weekly",14,Q3618="Annually",365,Q3618="Every 3 Months",90,TRUE,"NOT FOUND")</f>
        <v>14</v>
      </c>
    </row>
    <row r="3619" spans="1:19" x14ac:dyDescent="0.35">
      <c r="A3619">
        <v>3618</v>
      </c>
      <c r="B3619">
        <v>48</v>
      </c>
      <c r="C3619" t="s">
        <v>141</v>
      </c>
      <c r="D3619" t="s">
        <v>121</v>
      </c>
      <c r="E3619" t="s">
        <v>55</v>
      </c>
      <c r="F3619">
        <v>47</v>
      </c>
      <c r="G3619" t="s">
        <v>10</v>
      </c>
      <c r="H3619" t="s">
        <v>32</v>
      </c>
      <c r="I3619" t="s">
        <v>81</v>
      </c>
      <c r="J3619" t="s">
        <v>45</v>
      </c>
      <c r="K3619">
        <v>4.3</v>
      </c>
      <c r="L3619" t="s">
        <v>140</v>
      </c>
      <c r="M3619" t="s">
        <v>15</v>
      </c>
      <c r="N3619" t="s">
        <v>140</v>
      </c>
      <c r="O3619">
        <v>29</v>
      </c>
      <c r="P3619" t="s">
        <v>74</v>
      </c>
      <c r="Q3619" t="s">
        <v>76</v>
      </c>
      <c r="R3619" t="str" cm="1">
        <f t="array" ref="R3619">_xlfn.IFS(B3619&lt;31,"Young-Adult",B3619&lt;41,"Adult",B3619&lt;61,"Middle-aged",B3619&gt;=61,"Senior")</f>
        <v>Middle-aged</v>
      </c>
      <c r="S3619" cm="1">
        <f t="array" ref="S3619">_xlfn.IFS(Q3619 ="Fortnightly",14,Q3619="Weekly",7,Q3619="Monthly",30,Q3619="Quarterly",90,Q3619="Bi-Weekly",14,Q3619="Annually",365,Q3619="Every 3 Months",90,TRUE,"NOT FOUND")</f>
        <v>30</v>
      </c>
    </row>
    <row r="3620" spans="1:19" x14ac:dyDescent="0.35">
      <c r="A3620">
        <v>3619</v>
      </c>
      <c r="B3620">
        <v>28</v>
      </c>
      <c r="C3620" t="s">
        <v>141</v>
      </c>
      <c r="D3620" t="s">
        <v>131</v>
      </c>
      <c r="E3620" t="s">
        <v>55</v>
      </c>
      <c r="F3620">
        <v>67</v>
      </c>
      <c r="G3620" t="s">
        <v>95</v>
      </c>
      <c r="H3620" t="s">
        <v>32</v>
      </c>
      <c r="I3620" t="s">
        <v>20</v>
      </c>
      <c r="J3620" t="s">
        <v>45</v>
      </c>
      <c r="K3620">
        <v>4</v>
      </c>
      <c r="L3620" t="s">
        <v>140</v>
      </c>
      <c r="M3620" t="s">
        <v>58</v>
      </c>
      <c r="N3620" t="s">
        <v>140</v>
      </c>
      <c r="O3620">
        <v>47</v>
      </c>
      <c r="P3620" t="s">
        <v>34</v>
      </c>
      <c r="Q3620" t="s">
        <v>64</v>
      </c>
      <c r="R3620" t="str" cm="1">
        <f t="array" ref="R3620">_xlfn.IFS(B3620&lt;31,"Young-Adult",B3620&lt;41,"Adult",B3620&lt;61,"Middle-aged",B3620&gt;=61,"Senior")</f>
        <v>Young-Adult</v>
      </c>
      <c r="S3620" cm="1">
        <f t="array" ref="S3620">_xlfn.IFS(Q3620 ="Fortnightly",14,Q3620="Weekly",7,Q3620="Monthly",30,Q3620="Quarterly",90,Q3620="Bi-Weekly",14,Q3620="Annually",365,Q3620="Every 3 Months",90,TRUE,"NOT FOUND")</f>
        <v>14</v>
      </c>
    </row>
    <row r="3621" spans="1:19" x14ac:dyDescent="0.35">
      <c r="A3621">
        <v>3620</v>
      </c>
      <c r="B3621">
        <v>44</v>
      </c>
      <c r="C3621" t="s">
        <v>141</v>
      </c>
      <c r="D3621" t="s">
        <v>107</v>
      </c>
      <c r="E3621" t="s">
        <v>55</v>
      </c>
      <c r="F3621">
        <v>75</v>
      </c>
      <c r="G3621" t="s">
        <v>86</v>
      </c>
      <c r="H3621" t="s">
        <v>24</v>
      </c>
      <c r="I3621" t="s">
        <v>124</v>
      </c>
      <c r="J3621" t="s">
        <v>13</v>
      </c>
      <c r="K3621">
        <v>4.9000000000000004</v>
      </c>
      <c r="L3621" t="s">
        <v>140</v>
      </c>
      <c r="M3621" t="s">
        <v>58</v>
      </c>
      <c r="N3621" t="s">
        <v>140</v>
      </c>
      <c r="O3621">
        <v>50</v>
      </c>
      <c r="P3621" t="s">
        <v>16</v>
      </c>
      <c r="Q3621" t="s">
        <v>28</v>
      </c>
      <c r="R3621" t="str" cm="1">
        <f t="array" ref="R3621">_xlfn.IFS(B3621&lt;31,"Young-Adult",B3621&lt;41,"Adult",B3621&lt;61,"Middle-aged",B3621&gt;=61,"Senior")</f>
        <v>Middle-aged</v>
      </c>
      <c r="S3621" cm="1">
        <f t="array" ref="S3621">_xlfn.IFS(Q3621 ="Fortnightly",14,Q3621="Weekly",7,Q3621="Monthly",30,Q3621="Quarterly",90,Q3621="Bi-Weekly",14,Q3621="Annually",365,Q3621="Every 3 Months",90,TRUE,"NOT FOUND")</f>
        <v>7</v>
      </c>
    </row>
    <row r="3622" spans="1:19" x14ac:dyDescent="0.35">
      <c r="A3622">
        <v>3621</v>
      </c>
      <c r="B3622">
        <v>60</v>
      </c>
      <c r="C3622" t="s">
        <v>141</v>
      </c>
      <c r="D3622" t="s">
        <v>29</v>
      </c>
      <c r="E3622" t="s">
        <v>30</v>
      </c>
      <c r="F3622">
        <v>82</v>
      </c>
      <c r="G3622" t="s">
        <v>48</v>
      </c>
      <c r="H3622" t="s">
        <v>32</v>
      </c>
      <c r="I3622" t="s">
        <v>36</v>
      </c>
      <c r="J3622" t="s">
        <v>41</v>
      </c>
      <c r="K3622">
        <v>2.9</v>
      </c>
      <c r="L3622" t="s">
        <v>140</v>
      </c>
      <c r="M3622" t="s">
        <v>15</v>
      </c>
      <c r="N3622" t="s">
        <v>140</v>
      </c>
      <c r="O3622">
        <v>28</v>
      </c>
      <c r="P3622" t="s">
        <v>27</v>
      </c>
      <c r="Q3622" t="s">
        <v>17</v>
      </c>
      <c r="R3622" t="str" cm="1">
        <f t="array" ref="R3622">_xlfn.IFS(B3622&lt;31,"Young-Adult",B3622&lt;41,"Adult",B3622&lt;61,"Middle-aged",B3622&gt;=61,"Senior")</f>
        <v>Middle-aged</v>
      </c>
      <c r="S3622" cm="1">
        <f t="array" ref="S3622">_xlfn.IFS(Q3622 ="Fortnightly",14,Q3622="Weekly",7,Q3622="Monthly",30,Q3622="Quarterly",90,Q3622="Bi-Weekly",14,Q3622="Annually",365,Q3622="Every 3 Months",90,TRUE,"NOT FOUND")</f>
        <v>14</v>
      </c>
    </row>
    <row r="3623" spans="1:19" x14ac:dyDescent="0.35">
      <c r="A3623">
        <v>3622</v>
      </c>
      <c r="B3623">
        <v>38</v>
      </c>
      <c r="C3623" t="s">
        <v>141</v>
      </c>
      <c r="D3623" t="s">
        <v>38</v>
      </c>
      <c r="E3623" t="s">
        <v>30</v>
      </c>
      <c r="F3623">
        <v>32</v>
      </c>
      <c r="G3623" t="s">
        <v>115</v>
      </c>
      <c r="H3623" t="s">
        <v>80</v>
      </c>
      <c r="I3623" t="s">
        <v>53</v>
      </c>
      <c r="J3623" t="s">
        <v>41</v>
      </c>
      <c r="K3623">
        <v>4</v>
      </c>
      <c r="L3623" t="s">
        <v>140</v>
      </c>
      <c r="M3623" t="s">
        <v>58</v>
      </c>
      <c r="N3623" t="s">
        <v>140</v>
      </c>
      <c r="O3623">
        <v>5</v>
      </c>
      <c r="P3623" t="s">
        <v>21</v>
      </c>
      <c r="Q3623" t="s">
        <v>17</v>
      </c>
      <c r="R3623" t="str" cm="1">
        <f t="array" ref="R3623">_xlfn.IFS(B3623&lt;31,"Young-Adult",B3623&lt;41,"Adult",B3623&lt;61,"Middle-aged",B3623&gt;=61,"Senior")</f>
        <v>Adult</v>
      </c>
      <c r="S3623" cm="1">
        <f t="array" ref="S3623">_xlfn.IFS(Q3623 ="Fortnightly",14,Q3623="Weekly",7,Q3623="Monthly",30,Q3623="Quarterly",90,Q3623="Bi-Weekly",14,Q3623="Annually",365,Q3623="Every 3 Months",90,TRUE,"NOT FOUND")</f>
        <v>14</v>
      </c>
    </row>
    <row r="3624" spans="1:19" x14ac:dyDescent="0.35">
      <c r="A3624">
        <v>3623</v>
      </c>
      <c r="B3624">
        <v>46</v>
      </c>
      <c r="C3624" t="s">
        <v>141</v>
      </c>
      <c r="D3624" t="s">
        <v>69</v>
      </c>
      <c r="E3624" t="s">
        <v>9</v>
      </c>
      <c r="F3624">
        <v>41</v>
      </c>
      <c r="G3624" t="s">
        <v>138</v>
      </c>
      <c r="H3624" t="s">
        <v>32</v>
      </c>
      <c r="I3624" t="s">
        <v>61</v>
      </c>
      <c r="J3624" t="s">
        <v>45</v>
      </c>
      <c r="K3624">
        <v>4.3</v>
      </c>
      <c r="L3624" t="s">
        <v>140</v>
      </c>
      <c r="M3624" t="s">
        <v>62</v>
      </c>
      <c r="N3624" t="s">
        <v>140</v>
      </c>
      <c r="O3624">
        <v>12</v>
      </c>
      <c r="P3624" t="s">
        <v>27</v>
      </c>
      <c r="Q3624" t="s">
        <v>37</v>
      </c>
      <c r="R3624" t="str" cm="1">
        <f t="array" ref="R3624">_xlfn.IFS(B3624&lt;31,"Young-Adult",B3624&lt;41,"Adult",B3624&lt;61,"Middle-aged",B3624&gt;=61,"Senior")</f>
        <v>Middle-aged</v>
      </c>
      <c r="S3624" cm="1">
        <f t="array" ref="S3624">_xlfn.IFS(Q3624 ="Fortnightly",14,Q3624="Weekly",7,Q3624="Monthly",30,Q3624="Quarterly",90,Q3624="Bi-Weekly",14,Q3624="Annually",365,Q3624="Every 3 Months",90,TRUE,"NOT FOUND")</f>
        <v>365</v>
      </c>
    </row>
    <row r="3625" spans="1:19" x14ac:dyDescent="0.35">
      <c r="A3625">
        <v>3624</v>
      </c>
      <c r="B3625">
        <v>39</v>
      </c>
      <c r="C3625" t="s">
        <v>141</v>
      </c>
      <c r="D3625" t="s">
        <v>94</v>
      </c>
      <c r="E3625" t="s">
        <v>55</v>
      </c>
      <c r="F3625">
        <v>89</v>
      </c>
      <c r="G3625" t="s">
        <v>60</v>
      </c>
      <c r="H3625" t="s">
        <v>32</v>
      </c>
      <c r="I3625" t="s">
        <v>71</v>
      </c>
      <c r="J3625" t="s">
        <v>13</v>
      </c>
      <c r="K3625">
        <v>2.7</v>
      </c>
      <c r="L3625" t="s">
        <v>140</v>
      </c>
      <c r="M3625" t="s">
        <v>58</v>
      </c>
      <c r="N3625" t="s">
        <v>140</v>
      </c>
      <c r="O3625">
        <v>4</v>
      </c>
      <c r="P3625" t="s">
        <v>34</v>
      </c>
      <c r="Q3625" t="s">
        <v>28</v>
      </c>
      <c r="R3625" t="str" cm="1">
        <f t="array" ref="R3625">_xlfn.IFS(B3625&lt;31,"Young-Adult",B3625&lt;41,"Adult",B3625&lt;61,"Middle-aged",B3625&gt;=61,"Senior")</f>
        <v>Adult</v>
      </c>
      <c r="S3625" cm="1">
        <f t="array" ref="S3625">_xlfn.IFS(Q3625 ="Fortnightly",14,Q3625="Weekly",7,Q3625="Monthly",30,Q3625="Quarterly",90,Q3625="Bi-Weekly",14,Q3625="Annually",365,Q3625="Every 3 Months",90,TRUE,"NOT FOUND")</f>
        <v>7</v>
      </c>
    </row>
    <row r="3626" spans="1:19" x14ac:dyDescent="0.35">
      <c r="A3626">
        <v>3625</v>
      </c>
      <c r="B3626">
        <v>22</v>
      </c>
      <c r="C3626" t="s">
        <v>141</v>
      </c>
      <c r="D3626" t="s">
        <v>112</v>
      </c>
      <c r="E3626" t="s">
        <v>55</v>
      </c>
      <c r="F3626">
        <v>82</v>
      </c>
      <c r="G3626" t="s">
        <v>93</v>
      </c>
      <c r="H3626" t="s">
        <v>80</v>
      </c>
      <c r="I3626" t="s">
        <v>88</v>
      </c>
      <c r="J3626" t="s">
        <v>45</v>
      </c>
      <c r="K3626">
        <v>5</v>
      </c>
      <c r="L3626" t="s">
        <v>140</v>
      </c>
      <c r="M3626" t="s">
        <v>62</v>
      </c>
      <c r="N3626" t="s">
        <v>140</v>
      </c>
      <c r="O3626">
        <v>22</v>
      </c>
      <c r="P3626" t="s">
        <v>63</v>
      </c>
      <c r="Q3626" t="s">
        <v>64</v>
      </c>
      <c r="R3626" t="str" cm="1">
        <f t="array" ref="R3626">_xlfn.IFS(B3626&lt;31,"Young-Adult",B3626&lt;41,"Adult",B3626&lt;61,"Middle-aged",B3626&gt;=61,"Senior")</f>
        <v>Young-Adult</v>
      </c>
      <c r="S3626" cm="1">
        <f t="array" ref="S3626">_xlfn.IFS(Q3626 ="Fortnightly",14,Q3626="Weekly",7,Q3626="Monthly",30,Q3626="Quarterly",90,Q3626="Bi-Weekly",14,Q3626="Annually",365,Q3626="Every 3 Months",90,TRUE,"NOT FOUND")</f>
        <v>14</v>
      </c>
    </row>
    <row r="3627" spans="1:19" x14ac:dyDescent="0.35">
      <c r="A3627">
        <v>3626</v>
      </c>
      <c r="B3627">
        <v>44</v>
      </c>
      <c r="C3627" t="s">
        <v>141</v>
      </c>
      <c r="D3627" t="s">
        <v>107</v>
      </c>
      <c r="E3627" t="s">
        <v>55</v>
      </c>
      <c r="F3627">
        <v>99</v>
      </c>
      <c r="G3627" t="s">
        <v>103</v>
      </c>
      <c r="H3627" t="s">
        <v>11</v>
      </c>
      <c r="I3627" t="s">
        <v>84</v>
      </c>
      <c r="J3627" t="s">
        <v>13</v>
      </c>
      <c r="K3627">
        <v>4.4000000000000004</v>
      </c>
      <c r="L3627" t="s">
        <v>140</v>
      </c>
      <c r="M3627" t="s">
        <v>15</v>
      </c>
      <c r="N3627" t="s">
        <v>140</v>
      </c>
      <c r="O3627">
        <v>32</v>
      </c>
      <c r="P3627" t="s">
        <v>34</v>
      </c>
      <c r="Q3627" t="s">
        <v>28</v>
      </c>
      <c r="R3627" t="str" cm="1">
        <f t="array" ref="R3627">_xlfn.IFS(B3627&lt;31,"Young-Adult",B3627&lt;41,"Adult",B3627&lt;61,"Middle-aged",B3627&gt;=61,"Senior")</f>
        <v>Middle-aged</v>
      </c>
      <c r="S3627" cm="1">
        <f t="array" ref="S3627">_xlfn.IFS(Q3627 ="Fortnightly",14,Q3627="Weekly",7,Q3627="Monthly",30,Q3627="Quarterly",90,Q3627="Bi-Weekly",14,Q3627="Annually",365,Q3627="Every 3 Months",90,TRUE,"NOT FOUND")</f>
        <v>7</v>
      </c>
    </row>
    <row r="3628" spans="1:19" x14ac:dyDescent="0.35">
      <c r="A3628">
        <v>3627</v>
      </c>
      <c r="B3628">
        <v>69</v>
      </c>
      <c r="C3628" t="s">
        <v>141</v>
      </c>
      <c r="D3628" t="s">
        <v>8</v>
      </c>
      <c r="E3628" t="s">
        <v>9</v>
      </c>
      <c r="F3628">
        <v>98</v>
      </c>
      <c r="G3628" t="s">
        <v>79</v>
      </c>
      <c r="H3628" t="s">
        <v>11</v>
      </c>
      <c r="I3628" t="s">
        <v>73</v>
      </c>
      <c r="J3628" t="s">
        <v>45</v>
      </c>
      <c r="K3628">
        <v>3.5</v>
      </c>
      <c r="L3628" t="s">
        <v>140</v>
      </c>
      <c r="M3628" t="s">
        <v>15</v>
      </c>
      <c r="N3628" t="s">
        <v>140</v>
      </c>
      <c r="O3628">
        <v>32</v>
      </c>
      <c r="P3628" t="s">
        <v>16</v>
      </c>
      <c r="Q3628" t="s">
        <v>46</v>
      </c>
      <c r="R3628" t="str" cm="1">
        <f t="array" ref="R3628">_xlfn.IFS(B3628&lt;31,"Young-Adult",B3628&lt;41,"Adult",B3628&lt;61,"Middle-aged",B3628&gt;=61,"Senior")</f>
        <v>Senior</v>
      </c>
      <c r="S3628" cm="1">
        <f t="array" ref="S3628">_xlfn.IFS(Q3628 ="Fortnightly",14,Q3628="Weekly",7,Q3628="Monthly",30,Q3628="Quarterly",90,Q3628="Bi-Weekly",14,Q3628="Annually",365,Q3628="Every 3 Months",90,TRUE,"NOT FOUND")</f>
        <v>90</v>
      </c>
    </row>
    <row r="3629" spans="1:19" x14ac:dyDescent="0.35">
      <c r="A3629">
        <v>3628</v>
      </c>
      <c r="B3629">
        <v>39</v>
      </c>
      <c r="C3629" t="s">
        <v>141</v>
      </c>
      <c r="D3629" t="s">
        <v>121</v>
      </c>
      <c r="E3629" t="s">
        <v>55</v>
      </c>
      <c r="F3629">
        <v>54</v>
      </c>
      <c r="G3629" t="s">
        <v>67</v>
      </c>
      <c r="H3629" t="s">
        <v>32</v>
      </c>
      <c r="I3629" t="s">
        <v>53</v>
      </c>
      <c r="J3629" t="s">
        <v>13</v>
      </c>
      <c r="K3629">
        <v>3.3</v>
      </c>
      <c r="L3629" t="s">
        <v>140</v>
      </c>
      <c r="M3629" t="s">
        <v>33</v>
      </c>
      <c r="N3629" t="s">
        <v>140</v>
      </c>
      <c r="O3629">
        <v>48</v>
      </c>
      <c r="P3629" t="s">
        <v>21</v>
      </c>
      <c r="Q3629" t="s">
        <v>85</v>
      </c>
      <c r="R3629" t="str" cm="1">
        <f t="array" ref="R3629">_xlfn.IFS(B3629&lt;31,"Young-Adult",B3629&lt;41,"Adult",B3629&lt;61,"Middle-aged",B3629&gt;=61,"Senior")</f>
        <v>Adult</v>
      </c>
      <c r="S3629" cm="1">
        <f t="array" ref="S3629">_xlfn.IFS(Q3629 ="Fortnightly",14,Q3629="Weekly",7,Q3629="Monthly",30,Q3629="Quarterly",90,Q3629="Bi-Weekly",14,Q3629="Annually",365,Q3629="Every 3 Months",90,TRUE,"NOT FOUND")</f>
        <v>90</v>
      </c>
    </row>
    <row r="3630" spans="1:19" x14ac:dyDescent="0.35">
      <c r="A3630">
        <v>3629</v>
      </c>
      <c r="B3630">
        <v>53</v>
      </c>
      <c r="C3630" t="s">
        <v>141</v>
      </c>
      <c r="D3630" t="s">
        <v>8</v>
      </c>
      <c r="E3630" t="s">
        <v>9</v>
      </c>
      <c r="F3630">
        <v>88</v>
      </c>
      <c r="G3630" t="s">
        <v>130</v>
      </c>
      <c r="H3630" t="s">
        <v>11</v>
      </c>
      <c r="I3630" t="s">
        <v>61</v>
      </c>
      <c r="J3630" t="s">
        <v>41</v>
      </c>
      <c r="K3630">
        <v>3.8</v>
      </c>
      <c r="L3630" t="s">
        <v>140</v>
      </c>
      <c r="M3630" t="s">
        <v>26</v>
      </c>
      <c r="N3630" t="s">
        <v>140</v>
      </c>
      <c r="O3630">
        <v>35</v>
      </c>
      <c r="P3630" t="s">
        <v>27</v>
      </c>
      <c r="Q3630" t="s">
        <v>76</v>
      </c>
      <c r="R3630" t="str" cm="1">
        <f t="array" ref="R3630">_xlfn.IFS(B3630&lt;31,"Young-Adult",B3630&lt;41,"Adult",B3630&lt;61,"Middle-aged",B3630&gt;=61,"Senior")</f>
        <v>Middle-aged</v>
      </c>
      <c r="S3630" cm="1">
        <f t="array" ref="S3630">_xlfn.IFS(Q3630 ="Fortnightly",14,Q3630="Weekly",7,Q3630="Monthly",30,Q3630="Quarterly",90,Q3630="Bi-Weekly",14,Q3630="Annually",365,Q3630="Every 3 Months",90,TRUE,"NOT FOUND")</f>
        <v>30</v>
      </c>
    </row>
    <row r="3631" spans="1:19" x14ac:dyDescent="0.35">
      <c r="A3631">
        <v>3630</v>
      </c>
      <c r="B3631">
        <v>52</v>
      </c>
      <c r="C3631" t="s">
        <v>141</v>
      </c>
      <c r="D3631" t="s">
        <v>101</v>
      </c>
      <c r="E3631" t="s">
        <v>9</v>
      </c>
      <c r="F3631">
        <v>43</v>
      </c>
      <c r="G3631" t="s">
        <v>99</v>
      </c>
      <c r="H3631" t="s">
        <v>11</v>
      </c>
      <c r="I3631" t="s">
        <v>81</v>
      </c>
      <c r="J3631" t="s">
        <v>41</v>
      </c>
      <c r="K3631">
        <v>4.5</v>
      </c>
      <c r="L3631" t="s">
        <v>140</v>
      </c>
      <c r="M3631" t="s">
        <v>42</v>
      </c>
      <c r="N3631" t="s">
        <v>140</v>
      </c>
      <c r="O3631">
        <v>44</v>
      </c>
      <c r="P3631" t="s">
        <v>74</v>
      </c>
      <c r="Q3631" t="s">
        <v>17</v>
      </c>
      <c r="R3631" t="str" cm="1">
        <f t="array" ref="R3631">_xlfn.IFS(B3631&lt;31,"Young-Adult",B3631&lt;41,"Adult",B3631&lt;61,"Middle-aged",B3631&gt;=61,"Senior")</f>
        <v>Middle-aged</v>
      </c>
      <c r="S3631" cm="1">
        <f t="array" ref="S3631">_xlfn.IFS(Q3631 ="Fortnightly",14,Q3631="Weekly",7,Q3631="Monthly",30,Q3631="Quarterly",90,Q3631="Bi-Weekly",14,Q3631="Annually",365,Q3631="Every 3 Months",90,TRUE,"NOT FOUND")</f>
        <v>14</v>
      </c>
    </row>
    <row r="3632" spans="1:19" x14ac:dyDescent="0.35">
      <c r="A3632">
        <v>3631</v>
      </c>
      <c r="B3632">
        <v>65</v>
      </c>
      <c r="C3632" t="s">
        <v>141</v>
      </c>
      <c r="D3632" t="s">
        <v>112</v>
      </c>
      <c r="E3632" t="s">
        <v>55</v>
      </c>
      <c r="F3632">
        <v>73</v>
      </c>
      <c r="G3632" t="s">
        <v>89</v>
      </c>
      <c r="H3632" t="s">
        <v>32</v>
      </c>
      <c r="I3632" t="s">
        <v>81</v>
      </c>
      <c r="J3632" t="s">
        <v>13</v>
      </c>
      <c r="K3632">
        <v>4.8</v>
      </c>
      <c r="L3632" t="s">
        <v>140</v>
      </c>
      <c r="M3632" t="s">
        <v>62</v>
      </c>
      <c r="N3632" t="s">
        <v>140</v>
      </c>
      <c r="O3632">
        <v>29</v>
      </c>
      <c r="P3632" t="s">
        <v>21</v>
      </c>
      <c r="Q3632" t="s">
        <v>28</v>
      </c>
      <c r="R3632" t="str" cm="1">
        <f t="array" ref="R3632">_xlfn.IFS(B3632&lt;31,"Young-Adult",B3632&lt;41,"Adult",B3632&lt;61,"Middle-aged",B3632&gt;=61,"Senior")</f>
        <v>Senior</v>
      </c>
      <c r="S3632" cm="1">
        <f t="array" ref="S3632">_xlfn.IFS(Q3632 ="Fortnightly",14,Q3632="Weekly",7,Q3632="Monthly",30,Q3632="Quarterly",90,Q3632="Bi-Weekly",14,Q3632="Annually",365,Q3632="Every 3 Months",90,TRUE,"NOT FOUND")</f>
        <v>7</v>
      </c>
    </row>
    <row r="3633" spans="1:19" x14ac:dyDescent="0.35">
      <c r="A3633">
        <v>3632</v>
      </c>
      <c r="B3633">
        <v>48</v>
      </c>
      <c r="C3633" t="s">
        <v>141</v>
      </c>
      <c r="D3633" t="s">
        <v>112</v>
      </c>
      <c r="E3633" t="s">
        <v>55</v>
      </c>
      <c r="F3633">
        <v>50</v>
      </c>
      <c r="G3633" t="s">
        <v>115</v>
      </c>
      <c r="H3633" t="s">
        <v>32</v>
      </c>
      <c r="I3633" t="s">
        <v>88</v>
      </c>
      <c r="J3633" t="s">
        <v>45</v>
      </c>
      <c r="K3633">
        <v>2.9</v>
      </c>
      <c r="L3633" t="s">
        <v>140</v>
      </c>
      <c r="M3633" t="s">
        <v>62</v>
      </c>
      <c r="N3633" t="s">
        <v>140</v>
      </c>
      <c r="O3633">
        <v>26</v>
      </c>
      <c r="P3633" t="s">
        <v>27</v>
      </c>
      <c r="Q3633" t="s">
        <v>76</v>
      </c>
      <c r="R3633" t="str" cm="1">
        <f t="array" ref="R3633">_xlfn.IFS(B3633&lt;31,"Young-Adult",B3633&lt;41,"Adult",B3633&lt;61,"Middle-aged",B3633&gt;=61,"Senior")</f>
        <v>Middle-aged</v>
      </c>
      <c r="S3633" cm="1">
        <f t="array" ref="S3633">_xlfn.IFS(Q3633 ="Fortnightly",14,Q3633="Weekly",7,Q3633="Monthly",30,Q3633="Quarterly",90,Q3633="Bi-Weekly",14,Q3633="Annually",365,Q3633="Every 3 Months",90,TRUE,"NOT FOUND")</f>
        <v>30</v>
      </c>
    </row>
    <row r="3634" spans="1:19" x14ac:dyDescent="0.35">
      <c r="A3634">
        <v>3633</v>
      </c>
      <c r="B3634">
        <v>27</v>
      </c>
      <c r="C3634" t="s">
        <v>141</v>
      </c>
      <c r="D3634" t="s">
        <v>38</v>
      </c>
      <c r="E3634" t="s">
        <v>30</v>
      </c>
      <c r="F3634">
        <v>73</v>
      </c>
      <c r="G3634" t="s">
        <v>128</v>
      </c>
      <c r="H3634" t="s">
        <v>11</v>
      </c>
      <c r="I3634" t="s">
        <v>84</v>
      </c>
      <c r="J3634" t="s">
        <v>25</v>
      </c>
      <c r="K3634">
        <v>3.2</v>
      </c>
      <c r="L3634" t="s">
        <v>140</v>
      </c>
      <c r="M3634" t="s">
        <v>15</v>
      </c>
      <c r="N3634" t="s">
        <v>140</v>
      </c>
      <c r="O3634">
        <v>3</v>
      </c>
      <c r="P3634" t="s">
        <v>74</v>
      </c>
      <c r="Q3634" t="s">
        <v>46</v>
      </c>
      <c r="R3634" t="str" cm="1">
        <f t="array" ref="R3634">_xlfn.IFS(B3634&lt;31,"Young-Adult",B3634&lt;41,"Adult",B3634&lt;61,"Middle-aged",B3634&gt;=61,"Senior")</f>
        <v>Young-Adult</v>
      </c>
      <c r="S3634" cm="1">
        <f t="array" ref="S3634">_xlfn.IFS(Q3634 ="Fortnightly",14,Q3634="Weekly",7,Q3634="Monthly",30,Q3634="Quarterly",90,Q3634="Bi-Weekly",14,Q3634="Annually",365,Q3634="Every 3 Months",90,TRUE,"NOT FOUND")</f>
        <v>90</v>
      </c>
    </row>
    <row r="3635" spans="1:19" x14ac:dyDescent="0.35">
      <c r="A3635">
        <v>3634</v>
      </c>
      <c r="B3635">
        <v>39</v>
      </c>
      <c r="C3635" t="s">
        <v>141</v>
      </c>
      <c r="D3635" t="s">
        <v>131</v>
      </c>
      <c r="E3635" t="s">
        <v>55</v>
      </c>
      <c r="F3635">
        <v>51</v>
      </c>
      <c r="G3635" t="s">
        <v>44</v>
      </c>
      <c r="H3635" t="s">
        <v>32</v>
      </c>
      <c r="I3635" t="s">
        <v>109</v>
      </c>
      <c r="J3635" t="s">
        <v>25</v>
      </c>
      <c r="K3635">
        <v>2.8</v>
      </c>
      <c r="L3635" t="s">
        <v>140</v>
      </c>
      <c r="M3635" t="s">
        <v>26</v>
      </c>
      <c r="N3635" t="s">
        <v>140</v>
      </c>
      <c r="O3635">
        <v>1</v>
      </c>
      <c r="P3635" t="s">
        <v>63</v>
      </c>
      <c r="Q3635" t="s">
        <v>64</v>
      </c>
      <c r="R3635" t="str" cm="1">
        <f t="array" ref="R3635">_xlfn.IFS(B3635&lt;31,"Young-Adult",B3635&lt;41,"Adult",B3635&lt;61,"Middle-aged",B3635&gt;=61,"Senior")</f>
        <v>Adult</v>
      </c>
      <c r="S3635" cm="1">
        <f t="array" ref="S3635">_xlfn.IFS(Q3635 ="Fortnightly",14,Q3635="Weekly",7,Q3635="Monthly",30,Q3635="Quarterly",90,Q3635="Bi-Weekly",14,Q3635="Annually",365,Q3635="Every 3 Months",90,TRUE,"NOT FOUND")</f>
        <v>14</v>
      </c>
    </row>
    <row r="3636" spans="1:19" x14ac:dyDescent="0.35">
      <c r="A3636">
        <v>3635</v>
      </c>
      <c r="B3636">
        <v>59</v>
      </c>
      <c r="C3636" t="s">
        <v>141</v>
      </c>
      <c r="D3636" t="s">
        <v>113</v>
      </c>
      <c r="E3636" t="s">
        <v>9</v>
      </c>
      <c r="F3636">
        <v>22</v>
      </c>
      <c r="G3636" t="s">
        <v>111</v>
      </c>
      <c r="H3636" t="s">
        <v>32</v>
      </c>
      <c r="I3636" t="s">
        <v>57</v>
      </c>
      <c r="J3636" t="s">
        <v>13</v>
      </c>
      <c r="K3636">
        <v>3.3</v>
      </c>
      <c r="L3636" t="s">
        <v>140</v>
      </c>
      <c r="M3636" t="s">
        <v>42</v>
      </c>
      <c r="N3636" t="s">
        <v>140</v>
      </c>
      <c r="O3636">
        <v>17</v>
      </c>
      <c r="P3636" t="s">
        <v>34</v>
      </c>
      <c r="Q3636" t="s">
        <v>37</v>
      </c>
      <c r="R3636" t="str" cm="1">
        <f t="array" ref="R3636">_xlfn.IFS(B3636&lt;31,"Young-Adult",B3636&lt;41,"Adult",B3636&lt;61,"Middle-aged",B3636&gt;=61,"Senior")</f>
        <v>Middle-aged</v>
      </c>
      <c r="S3636" cm="1">
        <f t="array" ref="S3636">_xlfn.IFS(Q3636 ="Fortnightly",14,Q3636="Weekly",7,Q3636="Monthly",30,Q3636="Quarterly",90,Q3636="Bi-Weekly",14,Q3636="Annually",365,Q3636="Every 3 Months",90,TRUE,"NOT FOUND")</f>
        <v>365</v>
      </c>
    </row>
    <row r="3637" spans="1:19" x14ac:dyDescent="0.35">
      <c r="A3637">
        <v>3636</v>
      </c>
      <c r="B3637">
        <v>52</v>
      </c>
      <c r="C3637" t="s">
        <v>141</v>
      </c>
      <c r="D3637" t="s">
        <v>29</v>
      </c>
      <c r="E3637" t="s">
        <v>30</v>
      </c>
      <c r="F3637">
        <v>32</v>
      </c>
      <c r="G3637" t="s">
        <v>100</v>
      </c>
      <c r="H3637" t="s">
        <v>11</v>
      </c>
      <c r="I3637" t="s">
        <v>97</v>
      </c>
      <c r="J3637" t="s">
        <v>45</v>
      </c>
      <c r="K3637">
        <v>3.3</v>
      </c>
      <c r="L3637" t="s">
        <v>140</v>
      </c>
      <c r="M3637" t="s">
        <v>26</v>
      </c>
      <c r="N3637" t="s">
        <v>140</v>
      </c>
      <c r="O3637">
        <v>17</v>
      </c>
      <c r="P3637" t="s">
        <v>27</v>
      </c>
      <c r="Q3637" t="s">
        <v>17</v>
      </c>
      <c r="R3637" t="str" cm="1">
        <f t="array" ref="R3637">_xlfn.IFS(B3637&lt;31,"Young-Adult",B3637&lt;41,"Adult",B3637&lt;61,"Middle-aged",B3637&gt;=61,"Senior")</f>
        <v>Middle-aged</v>
      </c>
      <c r="S3637" cm="1">
        <f t="array" ref="S3637">_xlfn.IFS(Q3637 ="Fortnightly",14,Q3637="Weekly",7,Q3637="Monthly",30,Q3637="Quarterly",90,Q3637="Bi-Weekly",14,Q3637="Annually",365,Q3637="Every 3 Months",90,TRUE,"NOT FOUND")</f>
        <v>14</v>
      </c>
    </row>
    <row r="3638" spans="1:19" x14ac:dyDescent="0.35">
      <c r="A3638">
        <v>3637</v>
      </c>
      <c r="B3638">
        <v>50</v>
      </c>
      <c r="C3638" t="s">
        <v>141</v>
      </c>
      <c r="D3638" t="s">
        <v>29</v>
      </c>
      <c r="E3638" t="s">
        <v>30</v>
      </c>
      <c r="F3638">
        <v>38</v>
      </c>
      <c r="G3638" t="s">
        <v>87</v>
      </c>
      <c r="H3638" t="s">
        <v>11</v>
      </c>
      <c r="I3638" t="s">
        <v>81</v>
      </c>
      <c r="J3638" t="s">
        <v>41</v>
      </c>
      <c r="K3638">
        <v>4.2</v>
      </c>
      <c r="L3638" t="s">
        <v>140</v>
      </c>
      <c r="M3638" t="s">
        <v>58</v>
      </c>
      <c r="N3638" t="s">
        <v>140</v>
      </c>
      <c r="O3638">
        <v>36</v>
      </c>
      <c r="P3638" t="s">
        <v>21</v>
      </c>
      <c r="Q3638" t="s">
        <v>28</v>
      </c>
      <c r="R3638" t="str" cm="1">
        <f t="array" ref="R3638">_xlfn.IFS(B3638&lt;31,"Young-Adult",B3638&lt;41,"Adult",B3638&lt;61,"Middle-aged",B3638&gt;=61,"Senior")</f>
        <v>Middle-aged</v>
      </c>
      <c r="S3638" cm="1">
        <f t="array" ref="S3638">_xlfn.IFS(Q3638 ="Fortnightly",14,Q3638="Weekly",7,Q3638="Monthly",30,Q3638="Quarterly",90,Q3638="Bi-Weekly",14,Q3638="Annually",365,Q3638="Every 3 Months",90,TRUE,"NOT FOUND")</f>
        <v>7</v>
      </c>
    </row>
    <row r="3639" spans="1:19" x14ac:dyDescent="0.35">
      <c r="A3639">
        <v>3638</v>
      </c>
      <c r="B3639">
        <v>32</v>
      </c>
      <c r="C3639" t="s">
        <v>141</v>
      </c>
      <c r="D3639" t="s">
        <v>125</v>
      </c>
      <c r="E3639" t="s">
        <v>30</v>
      </c>
      <c r="F3639">
        <v>66</v>
      </c>
      <c r="G3639" t="s">
        <v>128</v>
      </c>
      <c r="H3639" t="s">
        <v>11</v>
      </c>
      <c r="I3639" t="s">
        <v>122</v>
      </c>
      <c r="J3639" t="s">
        <v>13</v>
      </c>
      <c r="K3639">
        <v>3.6</v>
      </c>
      <c r="L3639" t="s">
        <v>140</v>
      </c>
      <c r="M3639" t="s">
        <v>15</v>
      </c>
      <c r="N3639" t="s">
        <v>140</v>
      </c>
      <c r="O3639">
        <v>32</v>
      </c>
      <c r="P3639" t="s">
        <v>27</v>
      </c>
      <c r="Q3639" t="s">
        <v>17</v>
      </c>
      <c r="R3639" t="str" cm="1">
        <f t="array" ref="R3639">_xlfn.IFS(B3639&lt;31,"Young-Adult",B3639&lt;41,"Adult",B3639&lt;61,"Middle-aged",B3639&gt;=61,"Senior")</f>
        <v>Adult</v>
      </c>
      <c r="S3639" cm="1">
        <f t="array" ref="S3639">_xlfn.IFS(Q3639 ="Fortnightly",14,Q3639="Weekly",7,Q3639="Monthly",30,Q3639="Quarterly",90,Q3639="Bi-Weekly",14,Q3639="Annually",365,Q3639="Every 3 Months",90,TRUE,"NOT FOUND")</f>
        <v>14</v>
      </c>
    </row>
    <row r="3640" spans="1:19" x14ac:dyDescent="0.35">
      <c r="A3640">
        <v>3639</v>
      </c>
      <c r="B3640">
        <v>40</v>
      </c>
      <c r="C3640" t="s">
        <v>141</v>
      </c>
      <c r="D3640" t="s">
        <v>120</v>
      </c>
      <c r="E3640" t="s">
        <v>55</v>
      </c>
      <c r="F3640">
        <v>20</v>
      </c>
      <c r="G3640" t="s">
        <v>99</v>
      </c>
      <c r="H3640" t="s">
        <v>32</v>
      </c>
      <c r="I3640" t="s">
        <v>66</v>
      </c>
      <c r="J3640" t="s">
        <v>25</v>
      </c>
      <c r="K3640">
        <v>4.5999999999999996</v>
      </c>
      <c r="L3640" t="s">
        <v>140</v>
      </c>
      <c r="M3640" t="s">
        <v>15</v>
      </c>
      <c r="N3640" t="s">
        <v>140</v>
      </c>
      <c r="O3640">
        <v>50</v>
      </c>
      <c r="P3640" t="s">
        <v>34</v>
      </c>
      <c r="Q3640" t="s">
        <v>64</v>
      </c>
      <c r="R3640" t="str" cm="1">
        <f t="array" ref="R3640">_xlfn.IFS(B3640&lt;31,"Young-Adult",B3640&lt;41,"Adult",B3640&lt;61,"Middle-aged",B3640&gt;=61,"Senior")</f>
        <v>Adult</v>
      </c>
      <c r="S3640" cm="1">
        <f t="array" ref="S3640">_xlfn.IFS(Q3640 ="Fortnightly",14,Q3640="Weekly",7,Q3640="Monthly",30,Q3640="Quarterly",90,Q3640="Bi-Weekly",14,Q3640="Annually",365,Q3640="Every 3 Months",90,TRUE,"NOT FOUND")</f>
        <v>14</v>
      </c>
    </row>
    <row r="3641" spans="1:19" x14ac:dyDescent="0.35">
      <c r="A3641">
        <v>3640</v>
      </c>
      <c r="B3641">
        <v>26</v>
      </c>
      <c r="C3641" t="s">
        <v>141</v>
      </c>
      <c r="D3641" t="s">
        <v>50</v>
      </c>
      <c r="E3641" t="s">
        <v>51</v>
      </c>
      <c r="F3641">
        <v>44</v>
      </c>
      <c r="G3641" t="s">
        <v>103</v>
      </c>
      <c r="H3641" t="s">
        <v>32</v>
      </c>
      <c r="I3641" t="s">
        <v>98</v>
      </c>
      <c r="J3641" t="s">
        <v>41</v>
      </c>
      <c r="K3641">
        <v>3.6</v>
      </c>
      <c r="L3641" t="s">
        <v>140</v>
      </c>
      <c r="M3641" t="s">
        <v>58</v>
      </c>
      <c r="N3641" t="s">
        <v>140</v>
      </c>
      <c r="O3641">
        <v>39</v>
      </c>
      <c r="P3641" t="s">
        <v>16</v>
      </c>
      <c r="Q3641" t="s">
        <v>37</v>
      </c>
      <c r="R3641" t="str" cm="1">
        <f t="array" ref="R3641">_xlfn.IFS(B3641&lt;31,"Young-Adult",B3641&lt;41,"Adult",B3641&lt;61,"Middle-aged",B3641&gt;=61,"Senior")</f>
        <v>Young-Adult</v>
      </c>
      <c r="S3641" cm="1">
        <f t="array" ref="S3641">_xlfn.IFS(Q3641 ="Fortnightly",14,Q3641="Weekly",7,Q3641="Monthly",30,Q3641="Quarterly",90,Q3641="Bi-Weekly",14,Q3641="Annually",365,Q3641="Every 3 Months",90,TRUE,"NOT FOUND")</f>
        <v>365</v>
      </c>
    </row>
    <row r="3642" spans="1:19" x14ac:dyDescent="0.35">
      <c r="A3642">
        <v>3641</v>
      </c>
      <c r="B3642">
        <v>47</v>
      </c>
      <c r="C3642" t="s">
        <v>141</v>
      </c>
      <c r="D3642" t="s">
        <v>77</v>
      </c>
      <c r="E3642" t="s">
        <v>55</v>
      </c>
      <c r="F3642">
        <v>31</v>
      </c>
      <c r="G3642" t="s">
        <v>136</v>
      </c>
      <c r="H3642" t="s">
        <v>11</v>
      </c>
      <c r="I3642" t="s">
        <v>57</v>
      </c>
      <c r="J3642" t="s">
        <v>25</v>
      </c>
      <c r="K3642">
        <v>4</v>
      </c>
      <c r="L3642" t="s">
        <v>140</v>
      </c>
      <c r="M3642" t="s">
        <v>33</v>
      </c>
      <c r="N3642" t="s">
        <v>140</v>
      </c>
      <c r="O3642">
        <v>17</v>
      </c>
      <c r="P3642" t="s">
        <v>34</v>
      </c>
      <c r="Q3642" t="s">
        <v>76</v>
      </c>
      <c r="R3642" t="str" cm="1">
        <f t="array" ref="R3642">_xlfn.IFS(B3642&lt;31,"Young-Adult",B3642&lt;41,"Adult",B3642&lt;61,"Middle-aged",B3642&gt;=61,"Senior")</f>
        <v>Middle-aged</v>
      </c>
      <c r="S3642" cm="1">
        <f t="array" ref="S3642">_xlfn.IFS(Q3642 ="Fortnightly",14,Q3642="Weekly",7,Q3642="Monthly",30,Q3642="Quarterly",90,Q3642="Bi-Weekly",14,Q3642="Annually",365,Q3642="Every 3 Months",90,TRUE,"NOT FOUND")</f>
        <v>30</v>
      </c>
    </row>
    <row r="3643" spans="1:19" x14ac:dyDescent="0.35">
      <c r="A3643">
        <v>3642</v>
      </c>
      <c r="B3643">
        <v>51</v>
      </c>
      <c r="C3643" t="s">
        <v>141</v>
      </c>
      <c r="D3643" t="s">
        <v>90</v>
      </c>
      <c r="E3643" t="s">
        <v>51</v>
      </c>
      <c r="F3643">
        <v>45</v>
      </c>
      <c r="G3643" t="s">
        <v>72</v>
      </c>
      <c r="H3643" t="s">
        <v>32</v>
      </c>
      <c r="I3643" t="s">
        <v>97</v>
      </c>
      <c r="J3643" t="s">
        <v>45</v>
      </c>
      <c r="K3643">
        <v>2.7</v>
      </c>
      <c r="L3643" t="s">
        <v>140</v>
      </c>
      <c r="M3643" t="s">
        <v>26</v>
      </c>
      <c r="N3643" t="s">
        <v>140</v>
      </c>
      <c r="O3643">
        <v>39</v>
      </c>
      <c r="P3643" t="s">
        <v>63</v>
      </c>
      <c r="Q3643" t="s">
        <v>85</v>
      </c>
      <c r="R3643" t="str" cm="1">
        <f t="array" ref="R3643">_xlfn.IFS(B3643&lt;31,"Young-Adult",B3643&lt;41,"Adult",B3643&lt;61,"Middle-aged",B3643&gt;=61,"Senior")</f>
        <v>Middle-aged</v>
      </c>
      <c r="S3643" cm="1">
        <f t="array" ref="S3643">_xlfn.IFS(Q3643 ="Fortnightly",14,Q3643="Weekly",7,Q3643="Monthly",30,Q3643="Quarterly",90,Q3643="Bi-Weekly",14,Q3643="Annually",365,Q3643="Every 3 Months",90,TRUE,"NOT FOUND")</f>
        <v>90</v>
      </c>
    </row>
    <row r="3644" spans="1:19" x14ac:dyDescent="0.35">
      <c r="A3644">
        <v>3643</v>
      </c>
      <c r="B3644">
        <v>47</v>
      </c>
      <c r="C3644" t="s">
        <v>141</v>
      </c>
      <c r="D3644" t="s">
        <v>69</v>
      </c>
      <c r="E3644" t="s">
        <v>9</v>
      </c>
      <c r="F3644">
        <v>71</v>
      </c>
      <c r="G3644" t="s">
        <v>105</v>
      </c>
      <c r="H3644" t="s">
        <v>11</v>
      </c>
      <c r="I3644" t="s">
        <v>20</v>
      </c>
      <c r="J3644" t="s">
        <v>41</v>
      </c>
      <c r="K3644">
        <v>4.4000000000000004</v>
      </c>
      <c r="L3644" t="s">
        <v>140</v>
      </c>
      <c r="M3644" t="s">
        <v>62</v>
      </c>
      <c r="N3644" t="s">
        <v>140</v>
      </c>
      <c r="O3644">
        <v>5</v>
      </c>
      <c r="P3644" t="s">
        <v>34</v>
      </c>
      <c r="Q3644" t="s">
        <v>37</v>
      </c>
      <c r="R3644" t="str" cm="1">
        <f t="array" ref="R3644">_xlfn.IFS(B3644&lt;31,"Young-Adult",B3644&lt;41,"Adult",B3644&lt;61,"Middle-aged",B3644&gt;=61,"Senior")</f>
        <v>Middle-aged</v>
      </c>
      <c r="S3644" cm="1">
        <f t="array" ref="S3644">_xlfn.IFS(Q3644 ="Fortnightly",14,Q3644="Weekly",7,Q3644="Monthly",30,Q3644="Quarterly",90,Q3644="Bi-Weekly",14,Q3644="Annually",365,Q3644="Every 3 Months",90,TRUE,"NOT FOUND")</f>
        <v>365</v>
      </c>
    </row>
    <row r="3645" spans="1:19" x14ac:dyDescent="0.35">
      <c r="A3645">
        <v>3644</v>
      </c>
      <c r="B3645">
        <v>53</v>
      </c>
      <c r="C3645" t="s">
        <v>141</v>
      </c>
      <c r="D3645" t="s">
        <v>107</v>
      </c>
      <c r="E3645" t="s">
        <v>55</v>
      </c>
      <c r="F3645">
        <v>96</v>
      </c>
      <c r="G3645" t="s">
        <v>110</v>
      </c>
      <c r="H3645" t="s">
        <v>80</v>
      </c>
      <c r="I3645" t="s">
        <v>124</v>
      </c>
      <c r="J3645" t="s">
        <v>45</v>
      </c>
      <c r="K3645">
        <v>3.2</v>
      </c>
      <c r="L3645" t="s">
        <v>140</v>
      </c>
      <c r="M3645" t="s">
        <v>42</v>
      </c>
      <c r="N3645" t="s">
        <v>140</v>
      </c>
      <c r="O3645">
        <v>47</v>
      </c>
      <c r="P3645" t="s">
        <v>74</v>
      </c>
      <c r="Q3645" t="s">
        <v>37</v>
      </c>
      <c r="R3645" t="str" cm="1">
        <f t="array" ref="R3645">_xlfn.IFS(B3645&lt;31,"Young-Adult",B3645&lt;41,"Adult",B3645&lt;61,"Middle-aged",B3645&gt;=61,"Senior")</f>
        <v>Middle-aged</v>
      </c>
      <c r="S3645" cm="1">
        <f t="array" ref="S3645">_xlfn.IFS(Q3645 ="Fortnightly",14,Q3645="Weekly",7,Q3645="Monthly",30,Q3645="Quarterly",90,Q3645="Bi-Weekly",14,Q3645="Annually",365,Q3645="Every 3 Months",90,TRUE,"NOT FOUND")</f>
        <v>365</v>
      </c>
    </row>
    <row r="3646" spans="1:19" x14ac:dyDescent="0.35">
      <c r="A3646">
        <v>3645</v>
      </c>
      <c r="B3646">
        <v>35</v>
      </c>
      <c r="C3646" t="s">
        <v>141</v>
      </c>
      <c r="D3646" t="s">
        <v>8</v>
      </c>
      <c r="E3646" t="s">
        <v>9</v>
      </c>
      <c r="F3646">
        <v>32</v>
      </c>
      <c r="G3646" t="s">
        <v>60</v>
      </c>
      <c r="H3646" t="s">
        <v>32</v>
      </c>
      <c r="I3646" t="s">
        <v>71</v>
      </c>
      <c r="J3646" t="s">
        <v>13</v>
      </c>
      <c r="K3646">
        <v>2.6</v>
      </c>
      <c r="L3646" t="s">
        <v>140</v>
      </c>
      <c r="M3646" t="s">
        <v>33</v>
      </c>
      <c r="N3646" t="s">
        <v>140</v>
      </c>
      <c r="O3646">
        <v>18</v>
      </c>
      <c r="P3646" t="s">
        <v>16</v>
      </c>
      <c r="Q3646" t="s">
        <v>28</v>
      </c>
      <c r="R3646" t="str" cm="1">
        <f t="array" ref="R3646">_xlfn.IFS(B3646&lt;31,"Young-Adult",B3646&lt;41,"Adult",B3646&lt;61,"Middle-aged",B3646&gt;=61,"Senior")</f>
        <v>Adult</v>
      </c>
      <c r="S3646" cm="1">
        <f t="array" ref="S3646">_xlfn.IFS(Q3646 ="Fortnightly",14,Q3646="Weekly",7,Q3646="Monthly",30,Q3646="Quarterly",90,Q3646="Bi-Weekly",14,Q3646="Annually",365,Q3646="Every 3 Months",90,TRUE,"NOT FOUND")</f>
        <v>7</v>
      </c>
    </row>
    <row r="3647" spans="1:19" x14ac:dyDescent="0.35">
      <c r="A3647">
        <v>3646</v>
      </c>
      <c r="B3647">
        <v>38</v>
      </c>
      <c r="C3647" t="s">
        <v>141</v>
      </c>
      <c r="D3647" t="s">
        <v>120</v>
      </c>
      <c r="E3647" t="s">
        <v>55</v>
      </c>
      <c r="F3647">
        <v>90</v>
      </c>
      <c r="G3647" t="s">
        <v>100</v>
      </c>
      <c r="H3647" t="s">
        <v>11</v>
      </c>
      <c r="I3647" t="s">
        <v>53</v>
      </c>
      <c r="J3647" t="s">
        <v>41</v>
      </c>
      <c r="K3647">
        <v>3.4</v>
      </c>
      <c r="L3647" t="s">
        <v>140</v>
      </c>
      <c r="M3647" t="s">
        <v>26</v>
      </c>
      <c r="N3647" t="s">
        <v>140</v>
      </c>
      <c r="O3647">
        <v>31</v>
      </c>
      <c r="P3647" t="s">
        <v>27</v>
      </c>
      <c r="Q3647" t="s">
        <v>85</v>
      </c>
      <c r="R3647" t="str" cm="1">
        <f t="array" ref="R3647">_xlfn.IFS(B3647&lt;31,"Young-Adult",B3647&lt;41,"Adult",B3647&lt;61,"Middle-aged",B3647&gt;=61,"Senior")</f>
        <v>Adult</v>
      </c>
      <c r="S3647" cm="1">
        <f t="array" ref="S3647">_xlfn.IFS(Q3647 ="Fortnightly",14,Q3647="Weekly",7,Q3647="Monthly",30,Q3647="Quarterly",90,Q3647="Bi-Weekly",14,Q3647="Annually",365,Q3647="Every 3 Months",90,TRUE,"NOT FOUND")</f>
        <v>90</v>
      </c>
    </row>
    <row r="3648" spans="1:19" x14ac:dyDescent="0.35">
      <c r="A3648">
        <v>3647</v>
      </c>
      <c r="B3648">
        <v>69</v>
      </c>
      <c r="C3648" t="s">
        <v>141</v>
      </c>
      <c r="D3648" t="s">
        <v>94</v>
      </c>
      <c r="E3648" t="s">
        <v>55</v>
      </c>
      <c r="F3648">
        <v>68</v>
      </c>
      <c r="G3648" t="s">
        <v>95</v>
      </c>
      <c r="H3648" t="s">
        <v>32</v>
      </c>
      <c r="I3648" t="s">
        <v>20</v>
      </c>
      <c r="J3648" t="s">
        <v>25</v>
      </c>
      <c r="K3648">
        <v>5</v>
      </c>
      <c r="L3648" t="s">
        <v>140</v>
      </c>
      <c r="M3648" t="s">
        <v>58</v>
      </c>
      <c r="N3648" t="s">
        <v>140</v>
      </c>
      <c r="O3648">
        <v>39</v>
      </c>
      <c r="P3648" t="s">
        <v>74</v>
      </c>
      <c r="Q3648" t="s">
        <v>17</v>
      </c>
      <c r="R3648" t="str" cm="1">
        <f t="array" ref="R3648">_xlfn.IFS(B3648&lt;31,"Young-Adult",B3648&lt;41,"Adult",B3648&lt;61,"Middle-aged",B3648&gt;=61,"Senior")</f>
        <v>Senior</v>
      </c>
      <c r="S3648" cm="1">
        <f t="array" ref="S3648">_xlfn.IFS(Q3648 ="Fortnightly",14,Q3648="Weekly",7,Q3648="Monthly",30,Q3648="Quarterly",90,Q3648="Bi-Weekly",14,Q3648="Annually",365,Q3648="Every 3 Months",90,TRUE,"NOT FOUND")</f>
        <v>14</v>
      </c>
    </row>
    <row r="3649" spans="1:19" x14ac:dyDescent="0.35">
      <c r="A3649">
        <v>3648</v>
      </c>
      <c r="B3649">
        <v>47</v>
      </c>
      <c r="C3649" t="s">
        <v>141</v>
      </c>
      <c r="D3649" t="s">
        <v>47</v>
      </c>
      <c r="E3649" t="s">
        <v>9</v>
      </c>
      <c r="F3649">
        <v>45</v>
      </c>
      <c r="G3649" t="s">
        <v>99</v>
      </c>
      <c r="H3649" t="s">
        <v>32</v>
      </c>
      <c r="I3649" t="s">
        <v>12</v>
      </c>
      <c r="J3649" t="s">
        <v>13</v>
      </c>
      <c r="K3649">
        <v>2.9</v>
      </c>
      <c r="L3649" t="s">
        <v>140</v>
      </c>
      <c r="M3649" t="s">
        <v>62</v>
      </c>
      <c r="N3649" t="s">
        <v>140</v>
      </c>
      <c r="O3649">
        <v>12</v>
      </c>
      <c r="P3649" t="s">
        <v>63</v>
      </c>
      <c r="Q3649" t="s">
        <v>28</v>
      </c>
      <c r="R3649" t="str" cm="1">
        <f t="array" ref="R3649">_xlfn.IFS(B3649&lt;31,"Young-Adult",B3649&lt;41,"Adult",B3649&lt;61,"Middle-aged",B3649&gt;=61,"Senior")</f>
        <v>Middle-aged</v>
      </c>
      <c r="S3649" cm="1">
        <f t="array" ref="S3649">_xlfn.IFS(Q3649 ="Fortnightly",14,Q3649="Weekly",7,Q3649="Monthly",30,Q3649="Quarterly",90,Q3649="Bi-Weekly",14,Q3649="Annually",365,Q3649="Every 3 Months",90,TRUE,"NOT FOUND")</f>
        <v>7</v>
      </c>
    </row>
    <row r="3650" spans="1:19" x14ac:dyDescent="0.35">
      <c r="A3650">
        <v>3649</v>
      </c>
      <c r="B3650">
        <v>31</v>
      </c>
      <c r="C3650" t="s">
        <v>141</v>
      </c>
      <c r="D3650" t="s">
        <v>75</v>
      </c>
      <c r="E3650" t="s">
        <v>9</v>
      </c>
      <c r="F3650">
        <v>67</v>
      </c>
      <c r="G3650" t="s">
        <v>72</v>
      </c>
      <c r="H3650" t="s">
        <v>32</v>
      </c>
      <c r="I3650" t="s">
        <v>40</v>
      </c>
      <c r="J3650" t="s">
        <v>13</v>
      </c>
      <c r="K3650">
        <v>5</v>
      </c>
      <c r="L3650" t="s">
        <v>140</v>
      </c>
      <c r="M3650" t="s">
        <v>26</v>
      </c>
      <c r="N3650" t="s">
        <v>140</v>
      </c>
      <c r="O3650">
        <v>45</v>
      </c>
      <c r="P3650" t="s">
        <v>21</v>
      </c>
      <c r="Q3650" t="s">
        <v>64</v>
      </c>
      <c r="R3650" t="str" cm="1">
        <f t="array" ref="R3650">_xlfn.IFS(B3650&lt;31,"Young-Adult",B3650&lt;41,"Adult",B3650&lt;61,"Middle-aged",B3650&gt;=61,"Senior")</f>
        <v>Adult</v>
      </c>
      <c r="S3650" cm="1">
        <f t="array" ref="S3650">_xlfn.IFS(Q3650 ="Fortnightly",14,Q3650="Weekly",7,Q3650="Monthly",30,Q3650="Quarterly",90,Q3650="Bi-Weekly",14,Q3650="Annually",365,Q3650="Every 3 Months",90,TRUE,"NOT FOUND")</f>
        <v>14</v>
      </c>
    </row>
    <row r="3651" spans="1:19" x14ac:dyDescent="0.35">
      <c r="A3651">
        <v>3650</v>
      </c>
      <c r="B3651">
        <v>68</v>
      </c>
      <c r="C3651" t="s">
        <v>141</v>
      </c>
      <c r="D3651" t="s">
        <v>75</v>
      </c>
      <c r="E3651" t="s">
        <v>9</v>
      </c>
      <c r="F3651">
        <v>57</v>
      </c>
      <c r="G3651" t="s">
        <v>136</v>
      </c>
      <c r="H3651" t="s">
        <v>32</v>
      </c>
      <c r="I3651" t="s">
        <v>98</v>
      </c>
      <c r="J3651" t="s">
        <v>45</v>
      </c>
      <c r="K3651">
        <v>4.4000000000000004</v>
      </c>
      <c r="L3651" t="s">
        <v>140</v>
      </c>
      <c r="M3651" t="s">
        <v>42</v>
      </c>
      <c r="N3651" t="s">
        <v>140</v>
      </c>
      <c r="O3651">
        <v>33</v>
      </c>
      <c r="P3651" t="s">
        <v>27</v>
      </c>
      <c r="Q3651" t="s">
        <v>17</v>
      </c>
      <c r="R3651" t="str" cm="1">
        <f t="array" ref="R3651">_xlfn.IFS(B3651&lt;31,"Young-Adult",B3651&lt;41,"Adult",B3651&lt;61,"Middle-aged",B3651&gt;=61,"Senior")</f>
        <v>Senior</v>
      </c>
      <c r="S3651" cm="1">
        <f t="array" ref="S3651">_xlfn.IFS(Q3651 ="Fortnightly",14,Q3651="Weekly",7,Q3651="Monthly",30,Q3651="Quarterly",90,Q3651="Bi-Weekly",14,Q3651="Annually",365,Q3651="Every 3 Months",90,TRUE,"NOT FOUND")</f>
        <v>14</v>
      </c>
    </row>
    <row r="3652" spans="1:19" x14ac:dyDescent="0.35">
      <c r="A3652">
        <v>3651</v>
      </c>
      <c r="B3652">
        <v>51</v>
      </c>
      <c r="C3652" t="s">
        <v>141</v>
      </c>
      <c r="D3652" t="s">
        <v>22</v>
      </c>
      <c r="E3652" t="s">
        <v>9</v>
      </c>
      <c r="F3652">
        <v>60</v>
      </c>
      <c r="G3652" t="s">
        <v>111</v>
      </c>
      <c r="H3652" t="s">
        <v>32</v>
      </c>
      <c r="I3652" t="s">
        <v>53</v>
      </c>
      <c r="J3652" t="s">
        <v>41</v>
      </c>
      <c r="K3652">
        <v>3.5</v>
      </c>
      <c r="L3652" t="s">
        <v>140</v>
      </c>
      <c r="M3652" t="s">
        <v>58</v>
      </c>
      <c r="N3652" t="s">
        <v>140</v>
      </c>
      <c r="O3652">
        <v>3</v>
      </c>
      <c r="P3652" t="s">
        <v>34</v>
      </c>
      <c r="Q3652" t="s">
        <v>37</v>
      </c>
      <c r="R3652" t="str" cm="1">
        <f t="array" ref="R3652">_xlfn.IFS(B3652&lt;31,"Young-Adult",B3652&lt;41,"Adult",B3652&lt;61,"Middle-aged",B3652&gt;=61,"Senior")</f>
        <v>Middle-aged</v>
      </c>
      <c r="S3652" cm="1">
        <f t="array" ref="S3652">_xlfn.IFS(Q3652 ="Fortnightly",14,Q3652="Weekly",7,Q3652="Monthly",30,Q3652="Quarterly",90,Q3652="Bi-Weekly",14,Q3652="Annually",365,Q3652="Every 3 Months",90,TRUE,"NOT FOUND")</f>
        <v>365</v>
      </c>
    </row>
    <row r="3653" spans="1:19" x14ac:dyDescent="0.35">
      <c r="A3653">
        <v>3652</v>
      </c>
      <c r="B3653">
        <v>20</v>
      </c>
      <c r="C3653" t="s">
        <v>141</v>
      </c>
      <c r="D3653" t="s">
        <v>54</v>
      </c>
      <c r="E3653" t="s">
        <v>55</v>
      </c>
      <c r="F3653">
        <v>32</v>
      </c>
      <c r="G3653" t="s">
        <v>105</v>
      </c>
      <c r="H3653" t="s">
        <v>32</v>
      </c>
      <c r="I3653" t="s">
        <v>122</v>
      </c>
      <c r="J3653" t="s">
        <v>25</v>
      </c>
      <c r="K3653">
        <v>3.8</v>
      </c>
      <c r="L3653" t="s">
        <v>140</v>
      </c>
      <c r="M3653" t="s">
        <v>15</v>
      </c>
      <c r="N3653" t="s">
        <v>140</v>
      </c>
      <c r="O3653">
        <v>5</v>
      </c>
      <c r="P3653" t="s">
        <v>16</v>
      </c>
      <c r="Q3653" t="s">
        <v>85</v>
      </c>
      <c r="R3653" t="str" cm="1">
        <f t="array" ref="R3653">_xlfn.IFS(B3653&lt;31,"Young-Adult",B3653&lt;41,"Adult",B3653&lt;61,"Middle-aged",B3653&gt;=61,"Senior")</f>
        <v>Young-Adult</v>
      </c>
      <c r="S3653" cm="1">
        <f t="array" ref="S3653">_xlfn.IFS(Q3653 ="Fortnightly",14,Q3653="Weekly",7,Q3653="Monthly",30,Q3653="Quarterly",90,Q3653="Bi-Weekly",14,Q3653="Annually",365,Q3653="Every 3 Months",90,TRUE,"NOT FOUND")</f>
        <v>90</v>
      </c>
    </row>
    <row r="3654" spans="1:19" x14ac:dyDescent="0.35">
      <c r="A3654">
        <v>3653</v>
      </c>
      <c r="B3654">
        <v>27</v>
      </c>
      <c r="C3654" t="s">
        <v>141</v>
      </c>
      <c r="D3654" t="s">
        <v>54</v>
      </c>
      <c r="E3654" t="s">
        <v>55</v>
      </c>
      <c r="F3654">
        <v>29</v>
      </c>
      <c r="G3654" t="s">
        <v>10</v>
      </c>
      <c r="H3654" t="s">
        <v>24</v>
      </c>
      <c r="I3654" t="s">
        <v>124</v>
      </c>
      <c r="J3654" t="s">
        <v>45</v>
      </c>
      <c r="K3654">
        <v>3.8</v>
      </c>
      <c r="L3654" t="s">
        <v>140</v>
      </c>
      <c r="M3654" t="s">
        <v>62</v>
      </c>
      <c r="N3654" t="s">
        <v>140</v>
      </c>
      <c r="O3654">
        <v>23</v>
      </c>
      <c r="P3654" t="s">
        <v>74</v>
      </c>
      <c r="Q3654" t="s">
        <v>76</v>
      </c>
      <c r="R3654" t="str" cm="1">
        <f t="array" ref="R3654">_xlfn.IFS(B3654&lt;31,"Young-Adult",B3654&lt;41,"Adult",B3654&lt;61,"Middle-aged",B3654&gt;=61,"Senior")</f>
        <v>Young-Adult</v>
      </c>
      <c r="S3654" cm="1">
        <f t="array" ref="S3654">_xlfn.IFS(Q3654 ="Fortnightly",14,Q3654="Weekly",7,Q3654="Monthly",30,Q3654="Quarterly",90,Q3654="Bi-Weekly",14,Q3654="Annually",365,Q3654="Every 3 Months",90,TRUE,"NOT FOUND")</f>
        <v>30</v>
      </c>
    </row>
    <row r="3655" spans="1:19" x14ac:dyDescent="0.35">
      <c r="A3655">
        <v>3654</v>
      </c>
      <c r="B3655">
        <v>67</v>
      </c>
      <c r="C3655" t="s">
        <v>141</v>
      </c>
      <c r="D3655" t="s">
        <v>50</v>
      </c>
      <c r="E3655" t="s">
        <v>51</v>
      </c>
      <c r="F3655">
        <v>20</v>
      </c>
      <c r="G3655" t="s">
        <v>136</v>
      </c>
      <c r="H3655" t="s">
        <v>32</v>
      </c>
      <c r="I3655" t="s">
        <v>132</v>
      </c>
      <c r="J3655" t="s">
        <v>25</v>
      </c>
      <c r="K3655">
        <v>3.9</v>
      </c>
      <c r="L3655" t="s">
        <v>140</v>
      </c>
      <c r="M3655" t="s">
        <v>33</v>
      </c>
      <c r="N3655" t="s">
        <v>140</v>
      </c>
      <c r="O3655">
        <v>39</v>
      </c>
      <c r="P3655" t="s">
        <v>27</v>
      </c>
      <c r="Q3655" t="s">
        <v>17</v>
      </c>
      <c r="R3655" t="str" cm="1">
        <f t="array" ref="R3655">_xlfn.IFS(B3655&lt;31,"Young-Adult",B3655&lt;41,"Adult",B3655&lt;61,"Middle-aged",B3655&gt;=61,"Senior")</f>
        <v>Senior</v>
      </c>
      <c r="S3655" cm="1">
        <f t="array" ref="S3655">_xlfn.IFS(Q3655 ="Fortnightly",14,Q3655="Weekly",7,Q3655="Monthly",30,Q3655="Quarterly",90,Q3655="Bi-Weekly",14,Q3655="Annually",365,Q3655="Every 3 Months",90,TRUE,"NOT FOUND")</f>
        <v>14</v>
      </c>
    </row>
    <row r="3656" spans="1:19" x14ac:dyDescent="0.35">
      <c r="A3656">
        <v>3655</v>
      </c>
      <c r="B3656">
        <v>21</v>
      </c>
      <c r="C3656" t="s">
        <v>141</v>
      </c>
      <c r="D3656" t="s">
        <v>94</v>
      </c>
      <c r="E3656" t="s">
        <v>55</v>
      </c>
      <c r="F3656">
        <v>98</v>
      </c>
      <c r="G3656" t="s">
        <v>60</v>
      </c>
      <c r="H3656" t="s">
        <v>32</v>
      </c>
      <c r="I3656" t="s">
        <v>84</v>
      </c>
      <c r="J3656" t="s">
        <v>13</v>
      </c>
      <c r="K3656">
        <v>3.3</v>
      </c>
      <c r="L3656" t="s">
        <v>140</v>
      </c>
      <c r="M3656" t="s">
        <v>33</v>
      </c>
      <c r="N3656" t="s">
        <v>140</v>
      </c>
      <c r="O3656">
        <v>10</v>
      </c>
      <c r="P3656" t="s">
        <v>27</v>
      </c>
      <c r="Q3656" t="s">
        <v>37</v>
      </c>
      <c r="R3656" t="str" cm="1">
        <f t="array" ref="R3656">_xlfn.IFS(B3656&lt;31,"Young-Adult",B3656&lt;41,"Adult",B3656&lt;61,"Middle-aged",B3656&gt;=61,"Senior")</f>
        <v>Young-Adult</v>
      </c>
      <c r="S3656" cm="1">
        <f t="array" ref="S3656">_xlfn.IFS(Q3656 ="Fortnightly",14,Q3656="Weekly",7,Q3656="Monthly",30,Q3656="Quarterly",90,Q3656="Bi-Weekly",14,Q3656="Annually",365,Q3656="Every 3 Months",90,TRUE,"NOT FOUND")</f>
        <v>365</v>
      </c>
    </row>
    <row r="3657" spans="1:19" x14ac:dyDescent="0.35">
      <c r="A3657">
        <v>3656</v>
      </c>
      <c r="B3657">
        <v>20</v>
      </c>
      <c r="C3657" t="s">
        <v>141</v>
      </c>
      <c r="D3657" t="s">
        <v>18</v>
      </c>
      <c r="E3657" t="s">
        <v>9</v>
      </c>
      <c r="F3657">
        <v>27</v>
      </c>
      <c r="G3657" t="s">
        <v>39</v>
      </c>
      <c r="H3657" t="s">
        <v>32</v>
      </c>
      <c r="I3657" t="s">
        <v>122</v>
      </c>
      <c r="J3657" t="s">
        <v>45</v>
      </c>
      <c r="K3657">
        <v>2.9</v>
      </c>
      <c r="L3657" t="s">
        <v>140</v>
      </c>
      <c r="M3657" t="s">
        <v>33</v>
      </c>
      <c r="N3657" t="s">
        <v>140</v>
      </c>
      <c r="O3657">
        <v>4</v>
      </c>
      <c r="P3657" t="s">
        <v>27</v>
      </c>
      <c r="Q3657" t="s">
        <v>64</v>
      </c>
      <c r="R3657" t="str" cm="1">
        <f t="array" ref="R3657">_xlfn.IFS(B3657&lt;31,"Young-Adult",B3657&lt;41,"Adult",B3657&lt;61,"Middle-aged",B3657&gt;=61,"Senior")</f>
        <v>Young-Adult</v>
      </c>
      <c r="S3657" cm="1">
        <f t="array" ref="S3657">_xlfn.IFS(Q3657 ="Fortnightly",14,Q3657="Weekly",7,Q3657="Monthly",30,Q3657="Quarterly",90,Q3657="Bi-Weekly",14,Q3657="Annually",365,Q3657="Every 3 Months",90,TRUE,"NOT FOUND")</f>
        <v>14</v>
      </c>
    </row>
    <row r="3658" spans="1:19" x14ac:dyDescent="0.35">
      <c r="A3658">
        <v>3657</v>
      </c>
      <c r="B3658">
        <v>35</v>
      </c>
      <c r="C3658" t="s">
        <v>141</v>
      </c>
      <c r="D3658" t="s">
        <v>90</v>
      </c>
      <c r="E3658" t="s">
        <v>51</v>
      </c>
      <c r="F3658">
        <v>67</v>
      </c>
      <c r="G3658" t="s">
        <v>102</v>
      </c>
      <c r="H3658" t="s">
        <v>80</v>
      </c>
      <c r="I3658" t="s">
        <v>97</v>
      </c>
      <c r="J3658" t="s">
        <v>25</v>
      </c>
      <c r="K3658">
        <v>3.7</v>
      </c>
      <c r="L3658" t="s">
        <v>140</v>
      </c>
      <c r="M3658" t="s">
        <v>58</v>
      </c>
      <c r="N3658" t="s">
        <v>140</v>
      </c>
      <c r="O3658">
        <v>18</v>
      </c>
      <c r="P3658" t="s">
        <v>27</v>
      </c>
      <c r="Q3658" t="s">
        <v>76</v>
      </c>
      <c r="R3658" t="str" cm="1">
        <f t="array" ref="R3658">_xlfn.IFS(B3658&lt;31,"Young-Adult",B3658&lt;41,"Adult",B3658&lt;61,"Middle-aged",B3658&gt;=61,"Senior")</f>
        <v>Adult</v>
      </c>
      <c r="S3658" cm="1">
        <f t="array" ref="S3658">_xlfn.IFS(Q3658 ="Fortnightly",14,Q3658="Weekly",7,Q3658="Monthly",30,Q3658="Quarterly",90,Q3658="Bi-Weekly",14,Q3658="Annually",365,Q3658="Every 3 Months",90,TRUE,"NOT FOUND")</f>
        <v>30</v>
      </c>
    </row>
    <row r="3659" spans="1:19" x14ac:dyDescent="0.35">
      <c r="A3659">
        <v>3658</v>
      </c>
      <c r="B3659">
        <v>58</v>
      </c>
      <c r="C3659" t="s">
        <v>141</v>
      </c>
      <c r="D3659" t="s">
        <v>59</v>
      </c>
      <c r="E3659" t="s">
        <v>30</v>
      </c>
      <c r="F3659">
        <v>82</v>
      </c>
      <c r="G3659" t="s">
        <v>78</v>
      </c>
      <c r="H3659" t="s">
        <v>11</v>
      </c>
      <c r="I3659" t="s">
        <v>68</v>
      </c>
      <c r="J3659" t="s">
        <v>13</v>
      </c>
      <c r="K3659">
        <v>3.7</v>
      </c>
      <c r="L3659" t="s">
        <v>140</v>
      </c>
      <c r="M3659" t="s">
        <v>15</v>
      </c>
      <c r="N3659" t="s">
        <v>140</v>
      </c>
      <c r="O3659">
        <v>1</v>
      </c>
      <c r="P3659" t="s">
        <v>74</v>
      </c>
      <c r="Q3659" t="s">
        <v>85</v>
      </c>
      <c r="R3659" t="str" cm="1">
        <f t="array" ref="R3659">_xlfn.IFS(B3659&lt;31,"Young-Adult",B3659&lt;41,"Adult",B3659&lt;61,"Middle-aged",B3659&gt;=61,"Senior")</f>
        <v>Middle-aged</v>
      </c>
      <c r="S3659" cm="1">
        <f t="array" ref="S3659">_xlfn.IFS(Q3659 ="Fortnightly",14,Q3659="Weekly",7,Q3659="Monthly",30,Q3659="Quarterly",90,Q3659="Bi-Weekly",14,Q3659="Annually",365,Q3659="Every 3 Months",90,TRUE,"NOT FOUND")</f>
        <v>90</v>
      </c>
    </row>
    <row r="3660" spans="1:19" x14ac:dyDescent="0.35">
      <c r="A3660">
        <v>3659</v>
      </c>
      <c r="B3660">
        <v>28</v>
      </c>
      <c r="C3660" t="s">
        <v>141</v>
      </c>
      <c r="D3660" t="s">
        <v>101</v>
      </c>
      <c r="E3660" t="s">
        <v>9</v>
      </c>
      <c r="F3660">
        <v>72</v>
      </c>
      <c r="G3660" t="s">
        <v>79</v>
      </c>
      <c r="H3660" t="s">
        <v>32</v>
      </c>
      <c r="I3660" t="s">
        <v>124</v>
      </c>
      <c r="J3660" t="s">
        <v>45</v>
      </c>
      <c r="K3660">
        <v>4.5999999999999996</v>
      </c>
      <c r="L3660" t="s">
        <v>140</v>
      </c>
      <c r="M3660" t="s">
        <v>42</v>
      </c>
      <c r="N3660" t="s">
        <v>140</v>
      </c>
      <c r="O3660">
        <v>18</v>
      </c>
      <c r="P3660" t="s">
        <v>34</v>
      </c>
      <c r="Q3660" t="s">
        <v>17</v>
      </c>
      <c r="R3660" t="str" cm="1">
        <f t="array" ref="R3660">_xlfn.IFS(B3660&lt;31,"Young-Adult",B3660&lt;41,"Adult",B3660&lt;61,"Middle-aged",B3660&gt;=61,"Senior")</f>
        <v>Young-Adult</v>
      </c>
      <c r="S3660" cm="1">
        <f t="array" ref="S3660">_xlfn.IFS(Q3660 ="Fortnightly",14,Q3660="Weekly",7,Q3660="Monthly",30,Q3660="Quarterly",90,Q3660="Bi-Weekly",14,Q3660="Annually",365,Q3660="Every 3 Months",90,TRUE,"NOT FOUND")</f>
        <v>14</v>
      </c>
    </row>
    <row r="3661" spans="1:19" x14ac:dyDescent="0.35">
      <c r="A3661">
        <v>3660</v>
      </c>
      <c r="B3661">
        <v>27</v>
      </c>
      <c r="C3661" t="s">
        <v>141</v>
      </c>
      <c r="D3661" t="s">
        <v>29</v>
      </c>
      <c r="E3661" t="s">
        <v>30</v>
      </c>
      <c r="F3661">
        <v>77</v>
      </c>
      <c r="G3661" t="s">
        <v>103</v>
      </c>
      <c r="H3661" t="s">
        <v>24</v>
      </c>
      <c r="I3661" t="s">
        <v>12</v>
      </c>
      <c r="J3661" t="s">
        <v>45</v>
      </c>
      <c r="K3661">
        <v>4.9000000000000004</v>
      </c>
      <c r="L3661" t="s">
        <v>140</v>
      </c>
      <c r="M3661" t="s">
        <v>62</v>
      </c>
      <c r="N3661" t="s">
        <v>140</v>
      </c>
      <c r="O3661">
        <v>46</v>
      </c>
      <c r="P3661" t="s">
        <v>63</v>
      </c>
      <c r="Q3661" t="s">
        <v>37</v>
      </c>
      <c r="R3661" t="str" cm="1">
        <f t="array" ref="R3661">_xlfn.IFS(B3661&lt;31,"Young-Adult",B3661&lt;41,"Adult",B3661&lt;61,"Middle-aged",B3661&gt;=61,"Senior")</f>
        <v>Young-Adult</v>
      </c>
      <c r="S3661" cm="1">
        <f t="array" ref="S3661">_xlfn.IFS(Q3661 ="Fortnightly",14,Q3661="Weekly",7,Q3661="Monthly",30,Q3661="Quarterly",90,Q3661="Bi-Weekly",14,Q3661="Annually",365,Q3661="Every 3 Months",90,TRUE,"NOT FOUND")</f>
        <v>365</v>
      </c>
    </row>
    <row r="3662" spans="1:19" x14ac:dyDescent="0.35">
      <c r="A3662">
        <v>3661</v>
      </c>
      <c r="B3662">
        <v>19</v>
      </c>
      <c r="C3662" t="s">
        <v>141</v>
      </c>
      <c r="D3662" t="s">
        <v>59</v>
      </c>
      <c r="E3662" t="s">
        <v>30</v>
      </c>
      <c r="F3662">
        <v>74</v>
      </c>
      <c r="G3662" t="s">
        <v>60</v>
      </c>
      <c r="H3662" t="s">
        <v>11</v>
      </c>
      <c r="I3662" t="s">
        <v>114</v>
      </c>
      <c r="J3662" t="s">
        <v>13</v>
      </c>
      <c r="K3662">
        <v>3.1</v>
      </c>
      <c r="L3662" t="s">
        <v>140</v>
      </c>
      <c r="M3662" t="s">
        <v>58</v>
      </c>
      <c r="N3662" t="s">
        <v>140</v>
      </c>
      <c r="O3662">
        <v>13</v>
      </c>
      <c r="P3662" t="s">
        <v>63</v>
      </c>
      <c r="Q3662" t="s">
        <v>17</v>
      </c>
      <c r="R3662" t="str" cm="1">
        <f t="array" ref="R3662">_xlfn.IFS(B3662&lt;31,"Young-Adult",B3662&lt;41,"Adult",B3662&lt;61,"Middle-aged",B3662&gt;=61,"Senior")</f>
        <v>Young-Adult</v>
      </c>
      <c r="S3662" cm="1">
        <f t="array" ref="S3662">_xlfn.IFS(Q3662 ="Fortnightly",14,Q3662="Weekly",7,Q3662="Monthly",30,Q3662="Quarterly",90,Q3662="Bi-Weekly",14,Q3662="Annually",365,Q3662="Every 3 Months",90,TRUE,"NOT FOUND")</f>
        <v>14</v>
      </c>
    </row>
    <row r="3663" spans="1:19" x14ac:dyDescent="0.35">
      <c r="A3663">
        <v>3662</v>
      </c>
      <c r="B3663">
        <v>63</v>
      </c>
      <c r="C3663" t="s">
        <v>141</v>
      </c>
      <c r="D3663" t="s">
        <v>29</v>
      </c>
      <c r="E3663" t="s">
        <v>30</v>
      </c>
      <c r="F3663">
        <v>39</v>
      </c>
      <c r="G3663" t="s">
        <v>99</v>
      </c>
      <c r="H3663" t="s">
        <v>24</v>
      </c>
      <c r="I3663" t="s">
        <v>40</v>
      </c>
      <c r="J3663" t="s">
        <v>13</v>
      </c>
      <c r="K3663">
        <v>3.5</v>
      </c>
      <c r="L3663" t="s">
        <v>140</v>
      </c>
      <c r="M3663" t="s">
        <v>33</v>
      </c>
      <c r="N3663" t="s">
        <v>140</v>
      </c>
      <c r="O3663">
        <v>5</v>
      </c>
      <c r="P3663" t="s">
        <v>27</v>
      </c>
      <c r="Q3663" t="s">
        <v>17</v>
      </c>
      <c r="R3663" t="str" cm="1">
        <f t="array" ref="R3663">_xlfn.IFS(B3663&lt;31,"Young-Adult",B3663&lt;41,"Adult",B3663&lt;61,"Middle-aged",B3663&gt;=61,"Senior")</f>
        <v>Senior</v>
      </c>
      <c r="S3663" cm="1">
        <f t="array" ref="S3663">_xlfn.IFS(Q3663 ="Fortnightly",14,Q3663="Weekly",7,Q3663="Monthly",30,Q3663="Quarterly",90,Q3663="Bi-Weekly",14,Q3663="Annually",365,Q3663="Every 3 Months",90,TRUE,"NOT FOUND")</f>
        <v>14</v>
      </c>
    </row>
    <row r="3664" spans="1:19" x14ac:dyDescent="0.35">
      <c r="A3664">
        <v>3663</v>
      </c>
      <c r="B3664">
        <v>69</v>
      </c>
      <c r="C3664" t="s">
        <v>141</v>
      </c>
      <c r="D3664" t="s">
        <v>47</v>
      </c>
      <c r="E3664" t="s">
        <v>9</v>
      </c>
      <c r="F3664">
        <v>80</v>
      </c>
      <c r="G3664" t="s">
        <v>31</v>
      </c>
      <c r="H3664" t="s">
        <v>32</v>
      </c>
      <c r="I3664" t="s">
        <v>114</v>
      </c>
      <c r="J3664" t="s">
        <v>25</v>
      </c>
      <c r="K3664">
        <v>4.9000000000000004</v>
      </c>
      <c r="L3664" t="s">
        <v>140</v>
      </c>
      <c r="M3664" t="s">
        <v>33</v>
      </c>
      <c r="N3664" t="s">
        <v>140</v>
      </c>
      <c r="O3664">
        <v>11</v>
      </c>
      <c r="P3664" t="s">
        <v>74</v>
      </c>
      <c r="Q3664" t="s">
        <v>28</v>
      </c>
      <c r="R3664" t="str" cm="1">
        <f t="array" ref="R3664">_xlfn.IFS(B3664&lt;31,"Young-Adult",B3664&lt;41,"Adult",B3664&lt;61,"Middle-aged",B3664&gt;=61,"Senior")</f>
        <v>Senior</v>
      </c>
      <c r="S3664" cm="1">
        <f t="array" ref="S3664">_xlfn.IFS(Q3664 ="Fortnightly",14,Q3664="Weekly",7,Q3664="Monthly",30,Q3664="Quarterly",90,Q3664="Bi-Weekly",14,Q3664="Annually",365,Q3664="Every 3 Months",90,TRUE,"NOT FOUND")</f>
        <v>7</v>
      </c>
    </row>
    <row r="3665" spans="1:19" x14ac:dyDescent="0.35">
      <c r="A3665">
        <v>3664</v>
      </c>
      <c r="B3665">
        <v>65</v>
      </c>
      <c r="C3665" t="s">
        <v>141</v>
      </c>
      <c r="D3665" t="s">
        <v>120</v>
      </c>
      <c r="E3665" t="s">
        <v>55</v>
      </c>
      <c r="F3665">
        <v>59</v>
      </c>
      <c r="G3665" t="s">
        <v>91</v>
      </c>
      <c r="H3665" t="s">
        <v>32</v>
      </c>
      <c r="I3665" t="s">
        <v>84</v>
      </c>
      <c r="J3665" t="s">
        <v>41</v>
      </c>
      <c r="K3665">
        <v>4.4000000000000004</v>
      </c>
      <c r="L3665" t="s">
        <v>140</v>
      </c>
      <c r="M3665" t="s">
        <v>15</v>
      </c>
      <c r="N3665" t="s">
        <v>140</v>
      </c>
      <c r="O3665">
        <v>49</v>
      </c>
      <c r="P3665" t="s">
        <v>27</v>
      </c>
      <c r="Q3665" t="s">
        <v>28</v>
      </c>
      <c r="R3665" t="str" cm="1">
        <f t="array" ref="R3665">_xlfn.IFS(B3665&lt;31,"Young-Adult",B3665&lt;41,"Adult",B3665&lt;61,"Middle-aged",B3665&gt;=61,"Senior")</f>
        <v>Senior</v>
      </c>
      <c r="S3665" cm="1">
        <f t="array" ref="S3665">_xlfn.IFS(Q3665 ="Fortnightly",14,Q3665="Weekly",7,Q3665="Monthly",30,Q3665="Quarterly",90,Q3665="Bi-Weekly",14,Q3665="Annually",365,Q3665="Every 3 Months",90,TRUE,"NOT FOUND")</f>
        <v>7</v>
      </c>
    </row>
    <row r="3666" spans="1:19" x14ac:dyDescent="0.35">
      <c r="A3666">
        <v>3665</v>
      </c>
      <c r="B3666">
        <v>63</v>
      </c>
      <c r="C3666" t="s">
        <v>141</v>
      </c>
      <c r="D3666" t="s">
        <v>90</v>
      </c>
      <c r="E3666" t="s">
        <v>51</v>
      </c>
      <c r="F3666">
        <v>68</v>
      </c>
      <c r="G3666" t="s">
        <v>56</v>
      </c>
      <c r="H3666" t="s">
        <v>32</v>
      </c>
      <c r="I3666" t="s">
        <v>36</v>
      </c>
      <c r="J3666" t="s">
        <v>45</v>
      </c>
      <c r="K3666">
        <v>4.4000000000000004</v>
      </c>
      <c r="L3666" t="s">
        <v>140</v>
      </c>
      <c r="M3666" t="s">
        <v>62</v>
      </c>
      <c r="N3666" t="s">
        <v>140</v>
      </c>
      <c r="O3666">
        <v>1</v>
      </c>
      <c r="P3666" t="s">
        <v>74</v>
      </c>
      <c r="Q3666" t="s">
        <v>17</v>
      </c>
      <c r="R3666" t="str" cm="1">
        <f t="array" ref="R3666">_xlfn.IFS(B3666&lt;31,"Young-Adult",B3666&lt;41,"Adult",B3666&lt;61,"Middle-aged",B3666&gt;=61,"Senior")</f>
        <v>Senior</v>
      </c>
      <c r="S3666" cm="1">
        <f t="array" ref="S3666">_xlfn.IFS(Q3666 ="Fortnightly",14,Q3666="Weekly",7,Q3666="Monthly",30,Q3666="Quarterly",90,Q3666="Bi-Weekly",14,Q3666="Annually",365,Q3666="Every 3 Months",90,TRUE,"NOT FOUND")</f>
        <v>14</v>
      </c>
    </row>
    <row r="3667" spans="1:19" x14ac:dyDescent="0.35">
      <c r="A3667">
        <v>3666</v>
      </c>
      <c r="B3667">
        <v>28</v>
      </c>
      <c r="C3667" t="s">
        <v>141</v>
      </c>
      <c r="D3667" t="s">
        <v>113</v>
      </c>
      <c r="E3667" t="s">
        <v>9</v>
      </c>
      <c r="F3667">
        <v>77</v>
      </c>
      <c r="G3667" t="s">
        <v>86</v>
      </c>
      <c r="H3667" t="s">
        <v>32</v>
      </c>
      <c r="I3667" t="s">
        <v>88</v>
      </c>
      <c r="J3667" t="s">
        <v>45</v>
      </c>
      <c r="K3667">
        <v>3.4</v>
      </c>
      <c r="L3667" t="s">
        <v>140</v>
      </c>
      <c r="M3667" t="s">
        <v>33</v>
      </c>
      <c r="N3667" t="s">
        <v>140</v>
      </c>
      <c r="O3667">
        <v>11</v>
      </c>
      <c r="P3667" t="s">
        <v>27</v>
      </c>
      <c r="Q3667" t="s">
        <v>46</v>
      </c>
      <c r="R3667" t="str" cm="1">
        <f t="array" ref="R3667">_xlfn.IFS(B3667&lt;31,"Young-Adult",B3667&lt;41,"Adult",B3667&lt;61,"Middle-aged",B3667&gt;=61,"Senior")</f>
        <v>Young-Adult</v>
      </c>
      <c r="S3667" cm="1">
        <f t="array" ref="S3667">_xlfn.IFS(Q3667 ="Fortnightly",14,Q3667="Weekly",7,Q3667="Monthly",30,Q3667="Quarterly",90,Q3667="Bi-Weekly",14,Q3667="Annually",365,Q3667="Every 3 Months",90,TRUE,"NOT FOUND")</f>
        <v>90</v>
      </c>
    </row>
    <row r="3668" spans="1:19" x14ac:dyDescent="0.35">
      <c r="A3668">
        <v>3667</v>
      </c>
      <c r="B3668">
        <v>67</v>
      </c>
      <c r="C3668" t="s">
        <v>141</v>
      </c>
      <c r="D3668" t="s">
        <v>94</v>
      </c>
      <c r="E3668" t="s">
        <v>55</v>
      </c>
      <c r="F3668">
        <v>50</v>
      </c>
      <c r="G3668" t="s">
        <v>78</v>
      </c>
      <c r="H3668" t="s">
        <v>32</v>
      </c>
      <c r="I3668" t="s">
        <v>66</v>
      </c>
      <c r="J3668" t="s">
        <v>13</v>
      </c>
      <c r="K3668">
        <v>3</v>
      </c>
      <c r="L3668" t="s">
        <v>140</v>
      </c>
      <c r="M3668" t="s">
        <v>58</v>
      </c>
      <c r="N3668" t="s">
        <v>140</v>
      </c>
      <c r="O3668">
        <v>47</v>
      </c>
      <c r="P3668" t="s">
        <v>21</v>
      </c>
      <c r="Q3668" t="s">
        <v>85</v>
      </c>
      <c r="R3668" t="str" cm="1">
        <f t="array" ref="R3668">_xlfn.IFS(B3668&lt;31,"Young-Adult",B3668&lt;41,"Adult",B3668&lt;61,"Middle-aged",B3668&gt;=61,"Senior")</f>
        <v>Senior</v>
      </c>
      <c r="S3668" cm="1">
        <f t="array" ref="S3668">_xlfn.IFS(Q3668 ="Fortnightly",14,Q3668="Weekly",7,Q3668="Monthly",30,Q3668="Quarterly",90,Q3668="Bi-Weekly",14,Q3668="Annually",365,Q3668="Every 3 Months",90,TRUE,"NOT FOUND")</f>
        <v>90</v>
      </c>
    </row>
    <row r="3669" spans="1:19" x14ac:dyDescent="0.35">
      <c r="A3669">
        <v>3668</v>
      </c>
      <c r="B3669">
        <v>51</v>
      </c>
      <c r="C3669" t="s">
        <v>141</v>
      </c>
      <c r="D3669" t="s">
        <v>83</v>
      </c>
      <c r="E3669" t="s">
        <v>9</v>
      </c>
      <c r="F3669">
        <v>45</v>
      </c>
      <c r="G3669" t="s">
        <v>137</v>
      </c>
      <c r="H3669" t="s">
        <v>11</v>
      </c>
      <c r="I3669" t="s">
        <v>97</v>
      </c>
      <c r="J3669" t="s">
        <v>45</v>
      </c>
      <c r="K3669">
        <v>2.6</v>
      </c>
      <c r="L3669" t="s">
        <v>140</v>
      </c>
      <c r="M3669" t="s">
        <v>33</v>
      </c>
      <c r="N3669" t="s">
        <v>140</v>
      </c>
      <c r="O3669">
        <v>20</v>
      </c>
      <c r="P3669" t="s">
        <v>16</v>
      </c>
      <c r="Q3669" t="s">
        <v>76</v>
      </c>
      <c r="R3669" t="str" cm="1">
        <f t="array" ref="R3669">_xlfn.IFS(B3669&lt;31,"Young-Adult",B3669&lt;41,"Adult",B3669&lt;61,"Middle-aged",B3669&gt;=61,"Senior")</f>
        <v>Middle-aged</v>
      </c>
      <c r="S3669" cm="1">
        <f t="array" ref="S3669">_xlfn.IFS(Q3669 ="Fortnightly",14,Q3669="Weekly",7,Q3669="Monthly",30,Q3669="Quarterly",90,Q3669="Bi-Weekly",14,Q3669="Annually",365,Q3669="Every 3 Months",90,TRUE,"NOT FOUND")</f>
        <v>30</v>
      </c>
    </row>
    <row r="3670" spans="1:19" x14ac:dyDescent="0.35">
      <c r="A3670">
        <v>3669</v>
      </c>
      <c r="B3670">
        <v>59</v>
      </c>
      <c r="C3670" t="s">
        <v>141</v>
      </c>
      <c r="D3670" t="s">
        <v>8</v>
      </c>
      <c r="E3670" t="s">
        <v>9</v>
      </c>
      <c r="F3670">
        <v>71</v>
      </c>
      <c r="G3670" t="s">
        <v>139</v>
      </c>
      <c r="H3670" t="s">
        <v>80</v>
      </c>
      <c r="I3670" t="s">
        <v>124</v>
      </c>
      <c r="J3670" t="s">
        <v>41</v>
      </c>
      <c r="K3670">
        <v>3.2</v>
      </c>
      <c r="L3670" t="s">
        <v>140</v>
      </c>
      <c r="M3670" t="s">
        <v>62</v>
      </c>
      <c r="N3670" t="s">
        <v>140</v>
      </c>
      <c r="O3670">
        <v>18</v>
      </c>
      <c r="P3670" t="s">
        <v>16</v>
      </c>
      <c r="Q3670" t="s">
        <v>37</v>
      </c>
      <c r="R3670" t="str" cm="1">
        <f t="array" ref="R3670">_xlfn.IFS(B3670&lt;31,"Young-Adult",B3670&lt;41,"Adult",B3670&lt;61,"Middle-aged",B3670&gt;=61,"Senior")</f>
        <v>Middle-aged</v>
      </c>
      <c r="S3670" cm="1">
        <f t="array" ref="S3670">_xlfn.IFS(Q3670 ="Fortnightly",14,Q3670="Weekly",7,Q3670="Monthly",30,Q3670="Quarterly",90,Q3670="Bi-Weekly",14,Q3670="Annually",365,Q3670="Every 3 Months",90,TRUE,"NOT FOUND")</f>
        <v>365</v>
      </c>
    </row>
    <row r="3671" spans="1:19" x14ac:dyDescent="0.35">
      <c r="A3671">
        <v>3670</v>
      </c>
      <c r="B3671">
        <v>25</v>
      </c>
      <c r="C3671" t="s">
        <v>141</v>
      </c>
      <c r="D3671" t="s">
        <v>113</v>
      </c>
      <c r="E3671" t="s">
        <v>9</v>
      </c>
      <c r="F3671">
        <v>52</v>
      </c>
      <c r="G3671" t="s">
        <v>137</v>
      </c>
      <c r="H3671" t="s">
        <v>24</v>
      </c>
      <c r="I3671" t="s">
        <v>53</v>
      </c>
      <c r="J3671" t="s">
        <v>45</v>
      </c>
      <c r="K3671">
        <v>4.5999999999999996</v>
      </c>
      <c r="L3671" t="s">
        <v>140</v>
      </c>
      <c r="M3671" t="s">
        <v>62</v>
      </c>
      <c r="N3671" t="s">
        <v>140</v>
      </c>
      <c r="O3671">
        <v>43</v>
      </c>
      <c r="P3671" t="s">
        <v>34</v>
      </c>
      <c r="Q3671" t="s">
        <v>46</v>
      </c>
      <c r="R3671" t="str" cm="1">
        <f t="array" ref="R3671">_xlfn.IFS(B3671&lt;31,"Young-Adult",B3671&lt;41,"Adult",B3671&lt;61,"Middle-aged",B3671&gt;=61,"Senior")</f>
        <v>Young-Adult</v>
      </c>
      <c r="S3671" cm="1">
        <f t="array" ref="S3671">_xlfn.IFS(Q3671 ="Fortnightly",14,Q3671="Weekly",7,Q3671="Monthly",30,Q3671="Quarterly",90,Q3671="Bi-Weekly",14,Q3671="Annually",365,Q3671="Every 3 Months",90,TRUE,"NOT FOUND")</f>
        <v>90</v>
      </c>
    </row>
    <row r="3672" spans="1:19" x14ac:dyDescent="0.35">
      <c r="A3672">
        <v>3671</v>
      </c>
      <c r="B3672">
        <v>31</v>
      </c>
      <c r="C3672" t="s">
        <v>141</v>
      </c>
      <c r="D3672" t="s">
        <v>59</v>
      </c>
      <c r="E3672" t="s">
        <v>30</v>
      </c>
      <c r="F3672">
        <v>50</v>
      </c>
      <c r="G3672" t="s">
        <v>117</v>
      </c>
      <c r="H3672" t="s">
        <v>24</v>
      </c>
      <c r="I3672" t="s">
        <v>40</v>
      </c>
      <c r="J3672" t="s">
        <v>13</v>
      </c>
      <c r="K3672">
        <v>3.8</v>
      </c>
      <c r="L3672" t="s">
        <v>140</v>
      </c>
      <c r="M3672" t="s">
        <v>26</v>
      </c>
      <c r="N3672" t="s">
        <v>140</v>
      </c>
      <c r="O3672">
        <v>4</v>
      </c>
      <c r="P3672" t="s">
        <v>34</v>
      </c>
      <c r="Q3672" t="s">
        <v>85</v>
      </c>
      <c r="R3672" t="str" cm="1">
        <f t="array" ref="R3672">_xlfn.IFS(B3672&lt;31,"Young-Adult",B3672&lt;41,"Adult",B3672&lt;61,"Middle-aged",B3672&gt;=61,"Senior")</f>
        <v>Adult</v>
      </c>
      <c r="S3672" cm="1">
        <f t="array" ref="S3672">_xlfn.IFS(Q3672 ="Fortnightly",14,Q3672="Weekly",7,Q3672="Monthly",30,Q3672="Quarterly",90,Q3672="Bi-Weekly",14,Q3672="Annually",365,Q3672="Every 3 Months",90,TRUE,"NOT FOUND")</f>
        <v>90</v>
      </c>
    </row>
    <row r="3673" spans="1:19" x14ac:dyDescent="0.35">
      <c r="A3673">
        <v>3672</v>
      </c>
      <c r="B3673">
        <v>62</v>
      </c>
      <c r="C3673" t="s">
        <v>141</v>
      </c>
      <c r="D3673" t="s">
        <v>54</v>
      </c>
      <c r="E3673" t="s">
        <v>55</v>
      </c>
      <c r="F3673">
        <v>66</v>
      </c>
      <c r="G3673" t="s">
        <v>103</v>
      </c>
      <c r="H3673" t="s">
        <v>11</v>
      </c>
      <c r="I3673" t="s">
        <v>57</v>
      </c>
      <c r="J3673" t="s">
        <v>41</v>
      </c>
      <c r="K3673">
        <v>4.8</v>
      </c>
      <c r="L3673" t="s">
        <v>140</v>
      </c>
      <c r="M3673" t="s">
        <v>58</v>
      </c>
      <c r="N3673" t="s">
        <v>140</v>
      </c>
      <c r="O3673">
        <v>20</v>
      </c>
      <c r="P3673" t="s">
        <v>16</v>
      </c>
      <c r="Q3673" t="s">
        <v>46</v>
      </c>
      <c r="R3673" t="str" cm="1">
        <f t="array" ref="R3673">_xlfn.IFS(B3673&lt;31,"Young-Adult",B3673&lt;41,"Adult",B3673&lt;61,"Middle-aged",B3673&gt;=61,"Senior")</f>
        <v>Senior</v>
      </c>
      <c r="S3673" cm="1">
        <f t="array" ref="S3673">_xlfn.IFS(Q3673 ="Fortnightly",14,Q3673="Weekly",7,Q3673="Monthly",30,Q3673="Quarterly",90,Q3673="Bi-Weekly",14,Q3673="Annually",365,Q3673="Every 3 Months",90,TRUE,"NOT FOUND")</f>
        <v>90</v>
      </c>
    </row>
    <row r="3674" spans="1:19" x14ac:dyDescent="0.35">
      <c r="A3674">
        <v>3673</v>
      </c>
      <c r="B3674">
        <v>51</v>
      </c>
      <c r="C3674" t="s">
        <v>141</v>
      </c>
      <c r="D3674" t="s">
        <v>29</v>
      </c>
      <c r="E3674" t="s">
        <v>30</v>
      </c>
      <c r="F3674">
        <v>81</v>
      </c>
      <c r="G3674" t="s">
        <v>72</v>
      </c>
      <c r="H3674" t="s">
        <v>24</v>
      </c>
      <c r="I3674" t="s">
        <v>57</v>
      </c>
      <c r="J3674" t="s">
        <v>45</v>
      </c>
      <c r="K3674">
        <v>4.5</v>
      </c>
      <c r="L3674" t="s">
        <v>140</v>
      </c>
      <c r="M3674" t="s">
        <v>26</v>
      </c>
      <c r="N3674" t="s">
        <v>140</v>
      </c>
      <c r="O3674">
        <v>7</v>
      </c>
      <c r="P3674" t="s">
        <v>34</v>
      </c>
      <c r="Q3674" t="s">
        <v>76</v>
      </c>
      <c r="R3674" t="str" cm="1">
        <f t="array" ref="R3674">_xlfn.IFS(B3674&lt;31,"Young-Adult",B3674&lt;41,"Adult",B3674&lt;61,"Middle-aged",B3674&gt;=61,"Senior")</f>
        <v>Middle-aged</v>
      </c>
      <c r="S3674" cm="1">
        <f t="array" ref="S3674">_xlfn.IFS(Q3674 ="Fortnightly",14,Q3674="Weekly",7,Q3674="Monthly",30,Q3674="Quarterly",90,Q3674="Bi-Weekly",14,Q3674="Annually",365,Q3674="Every 3 Months",90,TRUE,"NOT FOUND")</f>
        <v>30</v>
      </c>
    </row>
    <row r="3675" spans="1:19" x14ac:dyDescent="0.35">
      <c r="A3675">
        <v>3674</v>
      </c>
      <c r="B3675">
        <v>32</v>
      </c>
      <c r="C3675" t="s">
        <v>141</v>
      </c>
      <c r="D3675" t="s">
        <v>113</v>
      </c>
      <c r="E3675" t="s">
        <v>9</v>
      </c>
      <c r="F3675">
        <v>28</v>
      </c>
      <c r="G3675" t="s">
        <v>31</v>
      </c>
      <c r="H3675" t="s">
        <v>32</v>
      </c>
      <c r="I3675" t="s">
        <v>57</v>
      </c>
      <c r="J3675" t="s">
        <v>41</v>
      </c>
      <c r="K3675">
        <v>4.2</v>
      </c>
      <c r="L3675" t="s">
        <v>140</v>
      </c>
      <c r="M3675" t="s">
        <v>58</v>
      </c>
      <c r="N3675" t="s">
        <v>140</v>
      </c>
      <c r="O3675">
        <v>31</v>
      </c>
      <c r="P3675" t="s">
        <v>63</v>
      </c>
      <c r="Q3675" t="s">
        <v>17</v>
      </c>
      <c r="R3675" t="str" cm="1">
        <f t="array" ref="R3675">_xlfn.IFS(B3675&lt;31,"Young-Adult",B3675&lt;41,"Adult",B3675&lt;61,"Middle-aged",B3675&gt;=61,"Senior")</f>
        <v>Adult</v>
      </c>
      <c r="S3675" cm="1">
        <f t="array" ref="S3675">_xlfn.IFS(Q3675 ="Fortnightly",14,Q3675="Weekly",7,Q3675="Monthly",30,Q3675="Quarterly",90,Q3675="Bi-Weekly",14,Q3675="Annually",365,Q3675="Every 3 Months",90,TRUE,"NOT FOUND")</f>
        <v>14</v>
      </c>
    </row>
    <row r="3676" spans="1:19" x14ac:dyDescent="0.35">
      <c r="A3676">
        <v>3675</v>
      </c>
      <c r="B3676">
        <v>35</v>
      </c>
      <c r="C3676" t="s">
        <v>141</v>
      </c>
      <c r="D3676" t="s">
        <v>54</v>
      </c>
      <c r="E3676" t="s">
        <v>55</v>
      </c>
      <c r="F3676">
        <v>65</v>
      </c>
      <c r="G3676" t="s">
        <v>137</v>
      </c>
      <c r="H3676" t="s">
        <v>32</v>
      </c>
      <c r="I3676" t="s">
        <v>132</v>
      </c>
      <c r="J3676" t="s">
        <v>13</v>
      </c>
      <c r="K3676">
        <v>2.7</v>
      </c>
      <c r="L3676" t="s">
        <v>140</v>
      </c>
      <c r="M3676" t="s">
        <v>58</v>
      </c>
      <c r="N3676" t="s">
        <v>140</v>
      </c>
      <c r="O3676">
        <v>41</v>
      </c>
      <c r="P3676" t="s">
        <v>16</v>
      </c>
      <c r="Q3676" t="s">
        <v>17</v>
      </c>
      <c r="R3676" t="str" cm="1">
        <f t="array" ref="R3676">_xlfn.IFS(B3676&lt;31,"Young-Adult",B3676&lt;41,"Adult",B3676&lt;61,"Middle-aged",B3676&gt;=61,"Senior")</f>
        <v>Adult</v>
      </c>
      <c r="S3676" cm="1">
        <f t="array" ref="S3676">_xlfn.IFS(Q3676 ="Fortnightly",14,Q3676="Weekly",7,Q3676="Monthly",30,Q3676="Quarterly",90,Q3676="Bi-Weekly",14,Q3676="Annually",365,Q3676="Every 3 Months",90,TRUE,"NOT FOUND")</f>
        <v>14</v>
      </c>
    </row>
    <row r="3677" spans="1:19" x14ac:dyDescent="0.35">
      <c r="A3677">
        <v>3676</v>
      </c>
      <c r="B3677">
        <v>70</v>
      </c>
      <c r="C3677" t="s">
        <v>141</v>
      </c>
      <c r="D3677" t="s">
        <v>112</v>
      </c>
      <c r="E3677" t="s">
        <v>55</v>
      </c>
      <c r="F3677">
        <v>80</v>
      </c>
      <c r="G3677" t="s">
        <v>129</v>
      </c>
      <c r="H3677" t="s">
        <v>32</v>
      </c>
      <c r="I3677" t="s">
        <v>40</v>
      </c>
      <c r="J3677" t="s">
        <v>13</v>
      </c>
      <c r="K3677">
        <v>4.5</v>
      </c>
      <c r="L3677" t="s">
        <v>140</v>
      </c>
      <c r="M3677" t="s">
        <v>15</v>
      </c>
      <c r="N3677" t="s">
        <v>140</v>
      </c>
      <c r="O3677">
        <v>3</v>
      </c>
      <c r="P3677" t="s">
        <v>63</v>
      </c>
      <c r="Q3677" t="s">
        <v>76</v>
      </c>
      <c r="R3677" t="str" cm="1">
        <f t="array" ref="R3677">_xlfn.IFS(B3677&lt;31,"Young-Adult",B3677&lt;41,"Adult",B3677&lt;61,"Middle-aged",B3677&gt;=61,"Senior")</f>
        <v>Senior</v>
      </c>
      <c r="S3677" cm="1">
        <f t="array" ref="S3677">_xlfn.IFS(Q3677 ="Fortnightly",14,Q3677="Weekly",7,Q3677="Monthly",30,Q3677="Quarterly",90,Q3677="Bi-Weekly",14,Q3677="Annually",365,Q3677="Every 3 Months",90,TRUE,"NOT FOUND")</f>
        <v>30</v>
      </c>
    </row>
    <row r="3678" spans="1:19" x14ac:dyDescent="0.35">
      <c r="A3678">
        <v>3677</v>
      </c>
      <c r="B3678">
        <v>19</v>
      </c>
      <c r="C3678" t="s">
        <v>141</v>
      </c>
      <c r="D3678" t="s">
        <v>94</v>
      </c>
      <c r="E3678" t="s">
        <v>55</v>
      </c>
      <c r="F3678">
        <v>94</v>
      </c>
      <c r="G3678" t="s">
        <v>138</v>
      </c>
      <c r="H3678" t="s">
        <v>24</v>
      </c>
      <c r="I3678" t="s">
        <v>73</v>
      </c>
      <c r="J3678" t="s">
        <v>25</v>
      </c>
      <c r="K3678">
        <v>4.9000000000000004</v>
      </c>
      <c r="L3678" t="s">
        <v>140</v>
      </c>
      <c r="M3678" t="s">
        <v>26</v>
      </c>
      <c r="N3678" t="s">
        <v>140</v>
      </c>
      <c r="O3678">
        <v>16</v>
      </c>
      <c r="P3678" t="s">
        <v>34</v>
      </c>
      <c r="Q3678" t="s">
        <v>76</v>
      </c>
      <c r="R3678" t="str" cm="1">
        <f t="array" ref="R3678">_xlfn.IFS(B3678&lt;31,"Young-Adult",B3678&lt;41,"Adult",B3678&lt;61,"Middle-aged",B3678&gt;=61,"Senior")</f>
        <v>Young-Adult</v>
      </c>
      <c r="S3678" cm="1">
        <f t="array" ref="S3678">_xlfn.IFS(Q3678 ="Fortnightly",14,Q3678="Weekly",7,Q3678="Monthly",30,Q3678="Quarterly",90,Q3678="Bi-Weekly",14,Q3678="Annually",365,Q3678="Every 3 Months",90,TRUE,"NOT FOUND")</f>
        <v>30</v>
      </c>
    </row>
    <row r="3679" spans="1:19" x14ac:dyDescent="0.35">
      <c r="A3679">
        <v>3678</v>
      </c>
      <c r="B3679">
        <v>32</v>
      </c>
      <c r="C3679" t="s">
        <v>141</v>
      </c>
      <c r="D3679" t="s">
        <v>120</v>
      </c>
      <c r="E3679" t="s">
        <v>55</v>
      </c>
      <c r="F3679">
        <v>30</v>
      </c>
      <c r="G3679" t="s">
        <v>139</v>
      </c>
      <c r="H3679" t="s">
        <v>32</v>
      </c>
      <c r="I3679" t="s">
        <v>12</v>
      </c>
      <c r="J3679" t="s">
        <v>45</v>
      </c>
      <c r="K3679">
        <v>2.8</v>
      </c>
      <c r="L3679" t="s">
        <v>140</v>
      </c>
      <c r="M3679" t="s">
        <v>42</v>
      </c>
      <c r="N3679" t="s">
        <v>140</v>
      </c>
      <c r="O3679">
        <v>43</v>
      </c>
      <c r="P3679" t="s">
        <v>21</v>
      </c>
      <c r="Q3679" t="s">
        <v>37</v>
      </c>
      <c r="R3679" t="str" cm="1">
        <f t="array" ref="R3679">_xlfn.IFS(B3679&lt;31,"Young-Adult",B3679&lt;41,"Adult",B3679&lt;61,"Middle-aged",B3679&gt;=61,"Senior")</f>
        <v>Adult</v>
      </c>
      <c r="S3679" cm="1">
        <f t="array" ref="S3679">_xlfn.IFS(Q3679 ="Fortnightly",14,Q3679="Weekly",7,Q3679="Monthly",30,Q3679="Quarterly",90,Q3679="Bi-Weekly",14,Q3679="Annually",365,Q3679="Every 3 Months",90,TRUE,"NOT FOUND")</f>
        <v>365</v>
      </c>
    </row>
    <row r="3680" spans="1:19" x14ac:dyDescent="0.35">
      <c r="A3680">
        <v>3679</v>
      </c>
      <c r="B3680">
        <v>56</v>
      </c>
      <c r="C3680" t="s">
        <v>141</v>
      </c>
      <c r="D3680" t="s">
        <v>43</v>
      </c>
      <c r="E3680" t="s">
        <v>9</v>
      </c>
      <c r="F3680">
        <v>45</v>
      </c>
      <c r="G3680" t="s">
        <v>93</v>
      </c>
      <c r="H3680" t="s">
        <v>24</v>
      </c>
      <c r="I3680" t="s">
        <v>106</v>
      </c>
      <c r="J3680" t="s">
        <v>45</v>
      </c>
      <c r="K3680">
        <v>3.5</v>
      </c>
      <c r="L3680" t="s">
        <v>140</v>
      </c>
      <c r="M3680" t="s">
        <v>42</v>
      </c>
      <c r="N3680" t="s">
        <v>140</v>
      </c>
      <c r="O3680">
        <v>29</v>
      </c>
      <c r="P3680" t="s">
        <v>63</v>
      </c>
      <c r="Q3680" t="s">
        <v>17</v>
      </c>
      <c r="R3680" t="str" cm="1">
        <f t="array" ref="R3680">_xlfn.IFS(B3680&lt;31,"Young-Adult",B3680&lt;41,"Adult",B3680&lt;61,"Middle-aged",B3680&gt;=61,"Senior")</f>
        <v>Middle-aged</v>
      </c>
      <c r="S3680" cm="1">
        <f t="array" ref="S3680">_xlfn.IFS(Q3680 ="Fortnightly",14,Q3680="Weekly",7,Q3680="Monthly",30,Q3680="Quarterly",90,Q3680="Bi-Weekly",14,Q3680="Annually",365,Q3680="Every 3 Months",90,TRUE,"NOT FOUND")</f>
        <v>14</v>
      </c>
    </row>
    <row r="3681" spans="1:19" x14ac:dyDescent="0.35">
      <c r="A3681">
        <v>3680</v>
      </c>
      <c r="B3681">
        <v>53</v>
      </c>
      <c r="C3681" t="s">
        <v>141</v>
      </c>
      <c r="D3681" t="s">
        <v>50</v>
      </c>
      <c r="E3681" t="s">
        <v>51</v>
      </c>
      <c r="F3681">
        <v>91</v>
      </c>
      <c r="G3681" t="s">
        <v>123</v>
      </c>
      <c r="H3681" t="s">
        <v>32</v>
      </c>
      <c r="I3681" t="s">
        <v>71</v>
      </c>
      <c r="J3681" t="s">
        <v>41</v>
      </c>
      <c r="K3681">
        <v>2.5</v>
      </c>
      <c r="L3681" t="s">
        <v>140</v>
      </c>
      <c r="M3681" t="s">
        <v>62</v>
      </c>
      <c r="N3681" t="s">
        <v>140</v>
      </c>
      <c r="O3681">
        <v>5</v>
      </c>
      <c r="P3681" t="s">
        <v>21</v>
      </c>
      <c r="Q3681" t="s">
        <v>64</v>
      </c>
      <c r="R3681" t="str" cm="1">
        <f t="array" ref="R3681">_xlfn.IFS(B3681&lt;31,"Young-Adult",B3681&lt;41,"Adult",B3681&lt;61,"Middle-aged",B3681&gt;=61,"Senior")</f>
        <v>Middle-aged</v>
      </c>
      <c r="S3681" cm="1">
        <f t="array" ref="S3681">_xlfn.IFS(Q3681 ="Fortnightly",14,Q3681="Weekly",7,Q3681="Monthly",30,Q3681="Quarterly",90,Q3681="Bi-Weekly",14,Q3681="Annually",365,Q3681="Every 3 Months",90,TRUE,"NOT FOUND")</f>
        <v>14</v>
      </c>
    </row>
    <row r="3682" spans="1:19" x14ac:dyDescent="0.35">
      <c r="A3682">
        <v>3681</v>
      </c>
      <c r="B3682">
        <v>22</v>
      </c>
      <c r="C3682" t="s">
        <v>141</v>
      </c>
      <c r="D3682" t="s">
        <v>77</v>
      </c>
      <c r="E3682" t="s">
        <v>55</v>
      </c>
      <c r="F3682">
        <v>36</v>
      </c>
      <c r="G3682" t="s">
        <v>134</v>
      </c>
      <c r="H3682" t="s">
        <v>24</v>
      </c>
      <c r="I3682" t="s">
        <v>132</v>
      </c>
      <c r="J3682" t="s">
        <v>13</v>
      </c>
      <c r="K3682">
        <v>2.9</v>
      </c>
      <c r="L3682" t="s">
        <v>140</v>
      </c>
      <c r="M3682" t="s">
        <v>42</v>
      </c>
      <c r="N3682" t="s">
        <v>140</v>
      </c>
      <c r="O3682">
        <v>30</v>
      </c>
      <c r="P3682" t="s">
        <v>74</v>
      </c>
      <c r="Q3682" t="s">
        <v>46</v>
      </c>
      <c r="R3682" t="str" cm="1">
        <f t="array" ref="R3682">_xlfn.IFS(B3682&lt;31,"Young-Adult",B3682&lt;41,"Adult",B3682&lt;61,"Middle-aged",B3682&gt;=61,"Senior")</f>
        <v>Young-Adult</v>
      </c>
      <c r="S3682" cm="1">
        <f t="array" ref="S3682">_xlfn.IFS(Q3682 ="Fortnightly",14,Q3682="Weekly",7,Q3682="Monthly",30,Q3682="Quarterly",90,Q3682="Bi-Weekly",14,Q3682="Annually",365,Q3682="Every 3 Months",90,TRUE,"NOT FOUND")</f>
        <v>90</v>
      </c>
    </row>
    <row r="3683" spans="1:19" x14ac:dyDescent="0.35">
      <c r="A3683">
        <v>3682</v>
      </c>
      <c r="B3683">
        <v>26</v>
      </c>
      <c r="C3683" t="s">
        <v>141</v>
      </c>
      <c r="D3683" t="s">
        <v>131</v>
      </c>
      <c r="E3683" t="s">
        <v>55</v>
      </c>
      <c r="F3683">
        <v>73</v>
      </c>
      <c r="G3683" t="s">
        <v>127</v>
      </c>
      <c r="H3683" t="s">
        <v>80</v>
      </c>
      <c r="I3683" t="s">
        <v>124</v>
      </c>
      <c r="J3683" t="s">
        <v>45</v>
      </c>
      <c r="K3683">
        <v>4.2</v>
      </c>
      <c r="L3683" t="s">
        <v>140</v>
      </c>
      <c r="M3683" t="s">
        <v>33</v>
      </c>
      <c r="N3683" t="s">
        <v>140</v>
      </c>
      <c r="O3683">
        <v>33</v>
      </c>
      <c r="P3683" t="s">
        <v>74</v>
      </c>
      <c r="Q3683" t="s">
        <v>76</v>
      </c>
      <c r="R3683" t="str" cm="1">
        <f t="array" ref="R3683">_xlfn.IFS(B3683&lt;31,"Young-Adult",B3683&lt;41,"Adult",B3683&lt;61,"Middle-aged",B3683&gt;=61,"Senior")</f>
        <v>Young-Adult</v>
      </c>
      <c r="S3683" cm="1">
        <f t="array" ref="S3683">_xlfn.IFS(Q3683 ="Fortnightly",14,Q3683="Weekly",7,Q3683="Monthly",30,Q3683="Quarterly",90,Q3683="Bi-Weekly",14,Q3683="Annually",365,Q3683="Every 3 Months",90,TRUE,"NOT FOUND")</f>
        <v>30</v>
      </c>
    </row>
    <row r="3684" spans="1:19" x14ac:dyDescent="0.35">
      <c r="A3684">
        <v>3683</v>
      </c>
      <c r="B3684">
        <v>42</v>
      </c>
      <c r="C3684" t="s">
        <v>141</v>
      </c>
      <c r="D3684" t="s">
        <v>43</v>
      </c>
      <c r="E3684" t="s">
        <v>9</v>
      </c>
      <c r="F3684">
        <v>60</v>
      </c>
      <c r="G3684" t="s">
        <v>39</v>
      </c>
      <c r="H3684" t="s">
        <v>32</v>
      </c>
      <c r="I3684" t="s">
        <v>20</v>
      </c>
      <c r="J3684" t="s">
        <v>45</v>
      </c>
      <c r="K3684">
        <v>4.5999999999999996</v>
      </c>
      <c r="L3684" t="s">
        <v>140</v>
      </c>
      <c r="M3684" t="s">
        <v>62</v>
      </c>
      <c r="N3684" t="s">
        <v>140</v>
      </c>
      <c r="O3684">
        <v>46</v>
      </c>
      <c r="P3684" t="s">
        <v>16</v>
      </c>
      <c r="Q3684" t="s">
        <v>64</v>
      </c>
      <c r="R3684" t="str" cm="1">
        <f t="array" ref="R3684">_xlfn.IFS(B3684&lt;31,"Young-Adult",B3684&lt;41,"Adult",B3684&lt;61,"Middle-aged",B3684&gt;=61,"Senior")</f>
        <v>Middle-aged</v>
      </c>
      <c r="S3684" cm="1">
        <f t="array" ref="S3684">_xlfn.IFS(Q3684 ="Fortnightly",14,Q3684="Weekly",7,Q3684="Monthly",30,Q3684="Quarterly",90,Q3684="Bi-Weekly",14,Q3684="Annually",365,Q3684="Every 3 Months",90,TRUE,"NOT FOUND")</f>
        <v>14</v>
      </c>
    </row>
    <row r="3685" spans="1:19" x14ac:dyDescent="0.35">
      <c r="A3685">
        <v>3684</v>
      </c>
      <c r="B3685">
        <v>30</v>
      </c>
      <c r="C3685" t="s">
        <v>141</v>
      </c>
      <c r="D3685" t="s">
        <v>113</v>
      </c>
      <c r="E3685" t="s">
        <v>9</v>
      </c>
      <c r="F3685">
        <v>77</v>
      </c>
      <c r="G3685" t="s">
        <v>79</v>
      </c>
      <c r="H3685" t="s">
        <v>32</v>
      </c>
      <c r="I3685" t="s">
        <v>61</v>
      </c>
      <c r="J3685" t="s">
        <v>13</v>
      </c>
      <c r="K3685">
        <v>3</v>
      </c>
      <c r="L3685" t="s">
        <v>140</v>
      </c>
      <c r="M3685" t="s">
        <v>26</v>
      </c>
      <c r="N3685" t="s">
        <v>140</v>
      </c>
      <c r="O3685">
        <v>17</v>
      </c>
      <c r="P3685" t="s">
        <v>16</v>
      </c>
      <c r="Q3685" t="s">
        <v>17</v>
      </c>
      <c r="R3685" t="str" cm="1">
        <f t="array" ref="R3685">_xlfn.IFS(B3685&lt;31,"Young-Adult",B3685&lt;41,"Adult",B3685&lt;61,"Middle-aged",B3685&gt;=61,"Senior")</f>
        <v>Young-Adult</v>
      </c>
      <c r="S3685" cm="1">
        <f t="array" ref="S3685">_xlfn.IFS(Q3685 ="Fortnightly",14,Q3685="Weekly",7,Q3685="Monthly",30,Q3685="Quarterly",90,Q3685="Bi-Weekly",14,Q3685="Annually",365,Q3685="Every 3 Months",90,TRUE,"NOT FOUND")</f>
        <v>14</v>
      </c>
    </row>
    <row r="3686" spans="1:19" x14ac:dyDescent="0.35">
      <c r="A3686">
        <v>3685</v>
      </c>
      <c r="B3686">
        <v>29</v>
      </c>
      <c r="C3686" t="s">
        <v>141</v>
      </c>
      <c r="D3686" t="s">
        <v>75</v>
      </c>
      <c r="E3686" t="s">
        <v>9</v>
      </c>
      <c r="F3686">
        <v>86</v>
      </c>
      <c r="G3686" t="s">
        <v>126</v>
      </c>
      <c r="H3686" t="s">
        <v>11</v>
      </c>
      <c r="I3686" t="s">
        <v>49</v>
      </c>
      <c r="J3686" t="s">
        <v>25</v>
      </c>
      <c r="K3686">
        <v>4.4000000000000004</v>
      </c>
      <c r="L3686" t="s">
        <v>140</v>
      </c>
      <c r="M3686" t="s">
        <v>26</v>
      </c>
      <c r="N3686" t="s">
        <v>140</v>
      </c>
      <c r="O3686">
        <v>47</v>
      </c>
      <c r="P3686" t="s">
        <v>27</v>
      </c>
      <c r="Q3686" t="s">
        <v>64</v>
      </c>
      <c r="R3686" t="str" cm="1">
        <f t="array" ref="R3686">_xlfn.IFS(B3686&lt;31,"Young-Adult",B3686&lt;41,"Adult",B3686&lt;61,"Middle-aged",B3686&gt;=61,"Senior")</f>
        <v>Young-Adult</v>
      </c>
      <c r="S3686" cm="1">
        <f t="array" ref="S3686">_xlfn.IFS(Q3686 ="Fortnightly",14,Q3686="Weekly",7,Q3686="Monthly",30,Q3686="Quarterly",90,Q3686="Bi-Weekly",14,Q3686="Annually",365,Q3686="Every 3 Months",90,TRUE,"NOT FOUND")</f>
        <v>14</v>
      </c>
    </row>
    <row r="3687" spans="1:19" x14ac:dyDescent="0.35">
      <c r="A3687">
        <v>3686</v>
      </c>
      <c r="B3687">
        <v>47</v>
      </c>
      <c r="C3687" t="s">
        <v>141</v>
      </c>
      <c r="D3687" t="s">
        <v>47</v>
      </c>
      <c r="E3687" t="s">
        <v>9</v>
      </c>
      <c r="F3687">
        <v>42</v>
      </c>
      <c r="G3687" t="s">
        <v>110</v>
      </c>
      <c r="H3687" t="s">
        <v>11</v>
      </c>
      <c r="I3687" t="s">
        <v>96</v>
      </c>
      <c r="J3687" t="s">
        <v>41</v>
      </c>
      <c r="K3687">
        <v>2.6</v>
      </c>
      <c r="L3687" t="s">
        <v>140</v>
      </c>
      <c r="M3687" t="s">
        <v>42</v>
      </c>
      <c r="N3687" t="s">
        <v>140</v>
      </c>
      <c r="O3687">
        <v>17</v>
      </c>
      <c r="P3687" t="s">
        <v>21</v>
      </c>
      <c r="Q3687" t="s">
        <v>64</v>
      </c>
      <c r="R3687" t="str" cm="1">
        <f t="array" ref="R3687">_xlfn.IFS(B3687&lt;31,"Young-Adult",B3687&lt;41,"Adult",B3687&lt;61,"Middle-aged",B3687&gt;=61,"Senior")</f>
        <v>Middle-aged</v>
      </c>
      <c r="S3687" cm="1">
        <f t="array" ref="S3687">_xlfn.IFS(Q3687 ="Fortnightly",14,Q3687="Weekly",7,Q3687="Monthly",30,Q3687="Quarterly",90,Q3687="Bi-Weekly",14,Q3687="Annually",365,Q3687="Every 3 Months",90,TRUE,"NOT FOUND")</f>
        <v>14</v>
      </c>
    </row>
    <row r="3688" spans="1:19" x14ac:dyDescent="0.35">
      <c r="A3688">
        <v>3687</v>
      </c>
      <c r="B3688">
        <v>59</v>
      </c>
      <c r="C3688" t="s">
        <v>141</v>
      </c>
      <c r="D3688" t="s">
        <v>29</v>
      </c>
      <c r="E3688" t="s">
        <v>30</v>
      </c>
      <c r="F3688">
        <v>70</v>
      </c>
      <c r="G3688" t="s">
        <v>48</v>
      </c>
      <c r="H3688" t="s">
        <v>32</v>
      </c>
      <c r="I3688" t="s">
        <v>49</v>
      </c>
      <c r="J3688" t="s">
        <v>25</v>
      </c>
      <c r="K3688">
        <v>4.8</v>
      </c>
      <c r="L3688" t="s">
        <v>140</v>
      </c>
      <c r="M3688" t="s">
        <v>26</v>
      </c>
      <c r="N3688" t="s">
        <v>140</v>
      </c>
      <c r="O3688">
        <v>17</v>
      </c>
      <c r="P3688" t="s">
        <v>21</v>
      </c>
      <c r="Q3688" t="s">
        <v>64</v>
      </c>
      <c r="R3688" t="str" cm="1">
        <f t="array" ref="R3688">_xlfn.IFS(B3688&lt;31,"Young-Adult",B3688&lt;41,"Adult",B3688&lt;61,"Middle-aged",B3688&gt;=61,"Senior")</f>
        <v>Middle-aged</v>
      </c>
      <c r="S3688" cm="1">
        <f t="array" ref="S3688">_xlfn.IFS(Q3688 ="Fortnightly",14,Q3688="Weekly",7,Q3688="Monthly",30,Q3688="Quarterly",90,Q3688="Bi-Weekly",14,Q3688="Annually",365,Q3688="Every 3 Months",90,TRUE,"NOT FOUND")</f>
        <v>14</v>
      </c>
    </row>
    <row r="3689" spans="1:19" x14ac:dyDescent="0.35">
      <c r="A3689">
        <v>3688</v>
      </c>
      <c r="B3689">
        <v>34</v>
      </c>
      <c r="C3689" t="s">
        <v>141</v>
      </c>
      <c r="D3689" t="s">
        <v>43</v>
      </c>
      <c r="E3689" t="s">
        <v>9</v>
      </c>
      <c r="F3689">
        <v>44</v>
      </c>
      <c r="G3689" t="s">
        <v>60</v>
      </c>
      <c r="H3689" t="s">
        <v>11</v>
      </c>
      <c r="I3689" t="s">
        <v>81</v>
      </c>
      <c r="J3689" t="s">
        <v>41</v>
      </c>
      <c r="K3689">
        <v>2.9</v>
      </c>
      <c r="L3689" t="s">
        <v>140</v>
      </c>
      <c r="M3689" t="s">
        <v>33</v>
      </c>
      <c r="N3689" t="s">
        <v>140</v>
      </c>
      <c r="O3689">
        <v>28</v>
      </c>
      <c r="P3689" t="s">
        <v>63</v>
      </c>
      <c r="Q3689" t="s">
        <v>85</v>
      </c>
      <c r="R3689" t="str" cm="1">
        <f t="array" ref="R3689">_xlfn.IFS(B3689&lt;31,"Young-Adult",B3689&lt;41,"Adult",B3689&lt;61,"Middle-aged",B3689&gt;=61,"Senior")</f>
        <v>Adult</v>
      </c>
      <c r="S3689" cm="1">
        <f t="array" ref="S3689">_xlfn.IFS(Q3689 ="Fortnightly",14,Q3689="Weekly",7,Q3689="Monthly",30,Q3689="Quarterly",90,Q3689="Bi-Weekly",14,Q3689="Annually",365,Q3689="Every 3 Months",90,TRUE,"NOT FOUND")</f>
        <v>90</v>
      </c>
    </row>
    <row r="3690" spans="1:19" x14ac:dyDescent="0.35">
      <c r="A3690">
        <v>3689</v>
      </c>
      <c r="B3690">
        <v>52</v>
      </c>
      <c r="C3690" t="s">
        <v>141</v>
      </c>
      <c r="D3690" t="s">
        <v>77</v>
      </c>
      <c r="E3690" t="s">
        <v>55</v>
      </c>
      <c r="F3690">
        <v>91</v>
      </c>
      <c r="G3690" t="s">
        <v>52</v>
      </c>
      <c r="H3690" t="s">
        <v>11</v>
      </c>
      <c r="I3690" t="s">
        <v>40</v>
      </c>
      <c r="J3690" t="s">
        <v>25</v>
      </c>
      <c r="K3690">
        <v>3</v>
      </c>
      <c r="L3690" t="s">
        <v>140</v>
      </c>
      <c r="M3690" t="s">
        <v>33</v>
      </c>
      <c r="N3690" t="s">
        <v>140</v>
      </c>
      <c r="O3690">
        <v>8</v>
      </c>
      <c r="P3690" t="s">
        <v>21</v>
      </c>
      <c r="Q3690" t="s">
        <v>76</v>
      </c>
      <c r="R3690" t="str" cm="1">
        <f t="array" ref="R3690">_xlfn.IFS(B3690&lt;31,"Young-Adult",B3690&lt;41,"Adult",B3690&lt;61,"Middle-aged",B3690&gt;=61,"Senior")</f>
        <v>Middle-aged</v>
      </c>
      <c r="S3690" cm="1">
        <f t="array" ref="S3690">_xlfn.IFS(Q3690 ="Fortnightly",14,Q3690="Weekly",7,Q3690="Monthly",30,Q3690="Quarterly",90,Q3690="Bi-Weekly",14,Q3690="Annually",365,Q3690="Every 3 Months",90,TRUE,"NOT FOUND")</f>
        <v>30</v>
      </c>
    </row>
    <row r="3691" spans="1:19" x14ac:dyDescent="0.35">
      <c r="A3691">
        <v>3690</v>
      </c>
      <c r="B3691">
        <v>47</v>
      </c>
      <c r="C3691" t="s">
        <v>141</v>
      </c>
      <c r="D3691" t="s">
        <v>94</v>
      </c>
      <c r="E3691" t="s">
        <v>55</v>
      </c>
      <c r="F3691">
        <v>30</v>
      </c>
      <c r="G3691" t="s">
        <v>119</v>
      </c>
      <c r="H3691" t="s">
        <v>11</v>
      </c>
      <c r="I3691" t="s">
        <v>96</v>
      </c>
      <c r="J3691" t="s">
        <v>45</v>
      </c>
      <c r="K3691">
        <v>4.5</v>
      </c>
      <c r="L3691" t="s">
        <v>140</v>
      </c>
      <c r="M3691" t="s">
        <v>42</v>
      </c>
      <c r="N3691" t="s">
        <v>140</v>
      </c>
      <c r="O3691">
        <v>8</v>
      </c>
      <c r="P3691" t="s">
        <v>63</v>
      </c>
      <c r="Q3691" t="s">
        <v>46</v>
      </c>
      <c r="R3691" t="str" cm="1">
        <f t="array" ref="R3691">_xlfn.IFS(B3691&lt;31,"Young-Adult",B3691&lt;41,"Adult",B3691&lt;61,"Middle-aged",B3691&gt;=61,"Senior")</f>
        <v>Middle-aged</v>
      </c>
      <c r="S3691" cm="1">
        <f t="array" ref="S3691">_xlfn.IFS(Q3691 ="Fortnightly",14,Q3691="Weekly",7,Q3691="Monthly",30,Q3691="Quarterly",90,Q3691="Bi-Weekly",14,Q3691="Annually",365,Q3691="Every 3 Months",90,TRUE,"NOT FOUND")</f>
        <v>90</v>
      </c>
    </row>
    <row r="3692" spans="1:19" x14ac:dyDescent="0.35">
      <c r="A3692">
        <v>3691</v>
      </c>
      <c r="B3692">
        <v>24</v>
      </c>
      <c r="C3692" t="s">
        <v>141</v>
      </c>
      <c r="D3692" t="s">
        <v>8</v>
      </c>
      <c r="E3692" t="s">
        <v>9</v>
      </c>
      <c r="F3692">
        <v>23</v>
      </c>
      <c r="G3692" t="s">
        <v>99</v>
      </c>
      <c r="H3692" t="s">
        <v>24</v>
      </c>
      <c r="I3692" t="s">
        <v>71</v>
      </c>
      <c r="J3692" t="s">
        <v>45</v>
      </c>
      <c r="K3692">
        <v>3.7</v>
      </c>
      <c r="L3692" t="s">
        <v>140</v>
      </c>
      <c r="M3692" t="s">
        <v>62</v>
      </c>
      <c r="N3692" t="s">
        <v>140</v>
      </c>
      <c r="O3692">
        <v>4</v>
      </c>
      <c r="P3692" t="s">
        <v>63</v>
      </c>
      <c r="Q3692" t="s">
        <v>64</v>
      </c>
      <c r="R3692" t="str" cm="1">
        <f t="array" ref="R3692">_xlfn.IFS(B3692&lt;31,"Young-Adult",B3692&lt;41,"Adult",B3692&lt;61,"Middle-aged",B3692&gt;=61,"Senior")</f>
        <v>Young-Adult</v>
      </c>
      <c r="S3692" cm="1">
        <f t="array" ref="S3692">_xlfn.IFS(Q3692 ="Fortnightly",14,Q3692="Weekly",7,Q3692="Monthly",30,Q3692="Quarterly",90,Q3692="Bi-Weekly",14,Q3692="Annually",365,Q3692="Every 3 Months",90,TRUE,"NOT FOUND")</f>
        <v>14</v>
      </c>
    </row>
    <row r="3693" spans="1:19" x14ac:dyDescent="0.35">
      <c r="A3693">
        <v>3692</v>
      </c>
      <c r="B3693">
        <v>63</v>
      </c>
      <c r="C3693" t="s">
        <v>141</v>
      </c>
      <c r="D3693" t="s">
        <v>29</v>
      </c>
      <c r="E3693" t="s">
        <v>30</v>
      </c>
      <c r="F3693">
        <v>21</v>
      </c>
      <c r="G3693" t="s">
        <v>139</v>
      </c>
      <c r="H3693" t="s">
        <v>80</v>
      </c>
      <c r="I3693" t="s">
        <v>109</v>
      </c>
      <c r="J3693" t="s">
        <v>41</v>
      </c>
      <c r="K3693">
        <v>4.8</v>
      </c>
      <c r="L3693" t="s">
        <v>140</v>
      </c>
      <c r="M3693" t="s">
        <v>33</v>
      </c>
      <c r="N3693" t="s">
        <v>140</v>
      </c>
      <c r="O3693">
        <v>24</v>
      </c>
      <c r="P3693" t="s">
        <v>34</v>
      </c>
      <c r="Q3693" t="s">
        <v>28</v>
      </c>
      <c r="R3693" t="str" cm="1">
        <f t="array" ref="R3693">_xlfn.IFS(B3693&lt;31,"Young-Adult",B3693&lt;41,"Adult",B3693&lt;61,"Middle-aged",B3693&gt;=61,"Senior")</f>
        <v>Senior</v>
      </c>
      <c r="S3693" cm="1">
        <f t="array" ref="S3693">_xlfn.IFS(Q3693 ="Fortnightly",14,Q3693="Weekly",7,Q3693="Monthly",30,Q3693="Quarterly",90,Q3693="Bi-Weekly",14,Q3693="Annually",365,Q3693="Every 3 Months",90,TRUE,"NOT FOUND")</f>
        <v>7</v>
      </c>
    </row>
    <row r="3694" spans="1:19" x14ac:dyDescent="0.35">
      <c r="A3694">
        <v>3693</v>
      </c>
      <c r="B3694">
        <v>59</v>
      </c>
      <c r="C3694" t="s">
        <v>141</v>
      </c>
      <c r="D3694" t="s">
        <v>50</v>
      </c>
      <c r="E3694" t="s">
        <v>51</v>
      </c>
      <c r="F3694">
        <v>34</v>
      </c>
      <c r="G3694" t="s">
        <v>78</v>
      </c>
      <c r="H3694" t="s">
        <v>11</v>
      </c>
      <c r="I3694" t="s">
        <v>36</v>
      </c>
      <c r="J3694" t="s">
        <v>25</v>
      </c>
      <c r="K3694">
        <v>4.8</v>
      </c>
      <c r="L3694" t="s">
        <v>140</v>
      </c>
      <c r="M3694" t="s">
        <v>26</v>
      </c>
      <c r="N3694" t="s">
        <v>140</v>
      </c>
      <c r="O3694">
        <v>29</v>
      </c>
      <c r="P3694" t="s">
        <v>21</v>
      </c>
      <c r="Q3694" t="s">
        <v>17</v>
      </c>
      <c r="R3694" t="str" cm="1">
        <f t="array" ref="R3694">_xlfn.IFS(B3694&lt;31,"Young-Adult",B3694&lt;41,"Adult",B3694&lt;61,"Middle-aged",B3694&gt;=61,"Senior")</f>
        <v>Middle-aged</v>
      </c>
      <c r="S3694" cm="1">
        <f t="array" ref="S3694">_xlfn.IFS(Q3694 ="Fortnightly",14,Q3694="Weekly",7,Q3694="Monthly",30,Q3694="Quarterly",90,Q3694="Bi-Weekly",14,Q3694="Annually",365,Q3694="Every 3 Months",90,TRUE,"NOT FOUND")</f>
        <v>14</v>
      </c>
    </row>
    <row r="3695" spans="1:19" x14ac:dyDescent="0.35">
      <c r="A3695">
        <v>3694</v>
      </c>
      <c r="B3695">
        <v>66</v>
      </c>
      <c r="C3695" t="s">
        <v>141</v>
      </c>
      <c r="D3695" t="s">
        <v>8</v>
      </c>
      <c r="E3695" t="s">
        <v>9</v>
      </c>
      <c r="F3695">
        <v>46</v>
      </c>
      <c r="G3695" t="s">
        <v>135</v>
      </c>
      <c r="H3695" t="s">
        <v>32</v>
      </c>
      <c r="I3695" t="s">
        <v>71</v>
      </c>
      <c r="J3695" t="s">
        <v>41</v>
      </c>
      <c r="K3695">
        <v>4.7</v>
      </c>
      <c r="L3695" t="s">
        <v>140</v>
      </c>
      <c r="M3695" t="s">
        <v>58</v>
      </c>
      <c r="N3695" t="s">
        <v>140</v>
      </c>
      <c r="O3695">
        <v>10</v>
      </c>
      <c r="P3695" t="s">
        <v>16</v>
      </c>
      <c r="Q3695" t="s">
        <v>28</v>
      </c>
      <c r="R3695" t="str" cm="1">
        <f t="array" ref="R3695">_xlfn.IFS(B3695&lt;31,"Young-Adult",B3695&lt;41,"Adult",B3695&lt;61,"Middle-aged",B3695&gt;=61,"Senior")</f>
        <v>Senior</v>
      </c>
      <c r="S3695" cm="1">
        <f t="array" ref="S3695">_xlfn.IFS(Q3695 ="Fortnightly",14,Q3695="Weekly",7,Q3695="Monthly",30,Q3695="Quarterly",90,Q3695="Bi-Weekly",14,Q3695="Annually",365,Q3695="Every 3 Months",90,TRUE,"NOT FOUND")</f>
        <v>7</v>
      </c>
    </row>
    <row r="3696" spans="1:19" x14ac:dyDescent="0.35">
      <c r="A3696">
        <v>3695</v>
      </c>
      <c r="B3696">
        <v>45</v>
      </c>
      <c r="C3696" t="s">
        <v>141</v>
      </c>
      <c r="D3696" t="s">
        <v>18</v>
      </c>
      <c r="E3696" t="s">
        <v>9</v>
      </c>
      <c r="F3696">
        <v>41</v>
      </c>
      <c r="G3696" t="s">
        <v>31</v>
      </c>
      <c r="H3696" t="s">
        <v>32</v>
      </c>
      <c r="I3696" t="s">
        <v>132</v>
      </c>
      <c r="J3696" t="s">
        <v>13</v>
      </c>
      <c r="K3696">
        <v>2.6</v>
      </c>
      <c r="L3696" t="s">
        <v>140</v>
      </c>
      <c r="M3696" t="s">
        <v>15</v>
      </c>
      <c r="N3696" t="s">
        <v>140</v>
      </c>
      <c r="O3696">
        <v>11</v>
      </c>
      <c r="P3696" t="s">
        <v>34</v>
      </c>
      <c r="Q3696" t="s">
        <v>64</v>
      </c>
      <c r="R3696" t="str" cm="1">
        <f t="array" ref="R3696">_xlfn.IFS(B3696&lt;31,"Young-Adult",B3696&lt;41,"Adult",B3696&lt;61,"Middle-aged",B3696&gt;=61,"Senior")</f>
        <v>Middle-aged</v>
      </c>
      <c r="S3696" cm="1">
        <f t="array" ref="S3696">_xlfn.IFS(Q3696 ="Fortnightly",14,Q3696="Weekly",7,Q3696="Monthly",30,Q3696="Quarterly",90,Q3696="Bi-Weekly",14,Q3696="Annually",365,Q3696="Every 3 Months",90,TRUE,"NOT FOUND")</f>
        <v>14</v>
      </c>
    </row>
    <row r="3697" spans="1:19" x14ac:dyDescent="0.35">
      <c r="A3697">
        <v>3696</v>
      </c>
      <c r="B3697">
        <v>38</v>
      </c>
      <c r="C3697" t="s">
        <v>141</v>
      </c>
      <c r="D3697" t="s">
        <v>75</v>
      </c>
      <c r="E3697" t="s">
        <v>9</v>
      </c>
      <c r="F3697">
        <v>33</v>
      </c>
      <c r="G3697" t="s">
        <v>91</v>
      </c>
      <c r="H3697" t="s">
        <v>32</v>
      </c>
      <c r="I3697" t="s">
        <v>40</v>
      </c>
      <c r="J3697" t="s">
        <v>45</v>
      </c>
      <c r="K3697">
        <v>4.5999999999999996</v>
      </c>
      <c r="L3697" t="s">
        <v>140</v>
      </c>
      <c r="M3697" t="s">
        <v>42</v>
      </c>
      <c r="N3697" t="s">
        <v>140</v>
      </c>
      <c r="O3697">
        <v>18</v>
      </c>
      <c r="P3697" t="s">
        <v>63</v>
      </c>
      <c r="Q3697" t="s">
        <v>17</v>
      </c>
      <c r="R3697" t="str" cm="1">
        <f t="array" ref="R3697">_xlfn.IFS(B3697&lt;31,"Young-Adult",B3697&lt;41,"Adult",B3697&lt;61,"Middle-aged",B3697&gt;=61,"Senior")</f>
        <v>Adult</v>
      </c>
      <c r="S3697" cm="1">
        <f t="array" ref="S3697">_xlfn.IFS(Q3697 ="Fortnightly",14,Q3697="Weekly",7,Q3697="Monthly",30,Q3697="Quarterly",90,Q3697="Bi-Weekly",14,Q3697="Annually",365,Q3697="Every 3 Months",90,TRUE,"NOT FOUND")</f>
        <v>14</v>
      </c>
    </row>
    <row r="3698" spans="1:19" x14ac:dyDescent="0.35">
      <c r="A3698">
        <v>3697</v>
      </c>
      <c r="B3698">
        <v>63</v>
      </c>
      <c r="C3698" t="s">
        <v>141</v>
      </c>
      <c r="D3698" t="s">
        <v>8</v>
      </c>
      <c r="E3698" t="s">
        <v>9</v>
      </c>
      <c r="F3698">
        <v>48</v>
      </c>
      <c r="G3698" t="s">
        <v>127</v>
      </c>
      <c r="H3698" t="s">
        <v>11</v>
      </c>
      <c r="I3698" t="s">
        <v>36</v>
      </c>
      <c r="J3698" t="s">
        <v>45</v>
      </c>
      <c r="K3698">
        <v>3.4</v>
      </c>
      <c r="L3698" t="s">
        <v>140</v>
      </c>
      <c r="M3698" t="s">
        <v>33</v>
      </c>
      <c r="N3698" t="s">
        <v>140</v>
      </c>
      <c r="O3698">
        <v>26</v>
      </c>
      <c r="P3698" t="s">
        <v>63</v>
      </c>
      <c r="Q3698" t="s">
        <v>37</v>
      </c>
      <c r="R3698" t="str" cm="1">
        <f t="array" ref="R3698">_xlfn.IFS(B3698&lt;31,"Young-Adult",B3698&lt;41,"Adult",B3698&lt;61,"Middle-aged",B3698&gt;=61,"Senior")</f>
        <v>Senior</v>
      </c>
      <c r="S3698" cm="1">
        <f t="array" ref="S3698">_xlfn.IFS(Q3698 ="Fortnightly",14,Q3698="Weekly",7,Q3698="Monthly",30,Q3698="Quarterly",90,Q3698="Bi-Weekly",14,Q3698="Annually",365,Q3698="Every 3 Months",90,TRUE,"NOT FOUND")</f>
        <v>365</v>
      </c>
    </row>
    <row r="3699" spans="1:19" x14ac:dyDescent="0.35">
      <c r="A3699">
        <v>3698</v>
      </c>
      <c r="B3699">
        <v>55</v>
      </c>
      <c r="C3699" t="s">
        <v>141</v>
      </c>
      <c r="D3699" t="s">
        <v>92</v>
      </c>
      <c r="E3699" t="s">
        <v>9</v>
      </c>
      <c r="F3699">
        <v>66</v>
      </c>
      <c r="G3699" t="s">
        <v>126</v>
      </c>
      <c r="H3699" t="s">
        <v>11</v>
      </c>
      <c r="I3699" t="s">
        <v>57</v>
      </c>
      <c r="J3699" t="s">
        <v>13</v>
      </c>
      <c r="K3699">
        <v>3</v>
      </c>
      <c r="L3699" t="s">
        <v>140</v>
      </c>
      <c r="M3699" t="s">
        <v>42</v>
      </c>
      <c r="N3699" t="s">
        <v>140</v>
      </c>
      <c r="O3699">
        <v>39</v>
      </c>
      <c r="P3699" t="s">
        <v>21</v>
      </c>
      <c r="Q3699" t="s">
        <v>28</v>
      </c>
      <c r="R3699" t="str" cm="1">
        <f t="array" ref="R3699">_xlfn.IFS(B3699&lt;31,"Young-Adult",B3699&lt;41,"Adult",B3699&lt;61,"Middle-aged",B3699&gt;=61,"Senior")</f>
        <v>Middle-aged</v>
      </c>
      <c r="S3699" cm="1">
        <f t="array" ref="S3699">_xlfn.IFS(Q3699 ="Fortnightly",14,Q3699="Weekly",7,Q3699="Monthly",30,Q3699="Quarterly",90,Q3699="Bi-Weekly",14,Q3699="Annually",365,Q3699="Every 3 Months",90,TRUE,"NOT FOUND")</f>
        <v>7</v>
      </c>
    </row>
    <row r="3700" spans="1:19" x14ac:dyDescent="0.35">
      <c r="A3700">
        <v>3699</v>
      </c>
      <c r="B3700">
        <v>25</v>
      </c>
      <c r="C3700" t="s">
        <v>141</v>
      </c>
      <c r="D3700" t="s">
        <v>75</v>
      </c>
      <c r="E3700" t="s">
        <v>9</v>
      </c>
      <c r="F3700">
        <v>54</v>
      </c>
      <c r="G3700" t="s">
        <v>87</v>
      </c>
      <c r="H3700" t="s">
        <v>80</v>
      </c>
      <c r="I3700" t="s">
        <v>20</v>
      </c>
      <c r="J3700" t="s">
        <v>25</v>
      </c>
      <c r="K3700">
        <v>4</v>
      </c>
      <c r="L3700" t="s">
        <v>140</v>
      </c>
      <c r="M3700" t="s">
        <v>58</v>
      </c>
      <c r="N3700" t="s">
        <v>140</v>
      </c>
      <c r="O3700">
        <v>4</v>
      </c>
      <c r="P3700" t="s">
        <v>16</v>
      </c>
      <c r="Q3700" t="s">
        <v>37</v>
      </c>
      <c r="R3700" t="str" cm="1">
        <f t="array" ref="R3700">_xlfn.IFS(B3700&lt;31,"Young-Adult",B3700&lt;41,"Adult",B3700&lt;61,"Middle-aged",B3700&gt;=61,"Senior")</f>
        <v>Young-Adult</v>
      </c>
      <c r="S3700" cm="1">
        <f t="array" ref="S3700">_xlfn.IFS(Q3700 ="Fortnightly",14,Q3700="Weekly",7,Q3700="Monthly",30,Q3700="Quarterly",90,Q3700="Bi-Weekly",14,Q3700="Annually",365,Q3700="Every 3 Months",90,TRUE,"NOT FOUND")</f>
        <v>365</v>
      </c>
    </row>
    <row r="3701" spans="1:19" x14ac:dyDescent="0.35">
      <c r="A3701">
        <v>3700</v>
      </c>
      <c r="B3701">
        <v>51</v>
      </c>
      <c r="C3701" t="s">
        <v>141</v>
      </c>
      <c r="D3701" t="s">
        <v>120</v>
      </c>
      <c r="E3701" t="s">
        <v>55</v>
      </c>
      <c r="F3701">
        <v>55</v>
      </c>
      <c r="G3701" t="s">
        <v>89</v>
      </c>
      <c r="H3701" t="s">
        <v>32</v>
      </c>
      <c r="I3701" t="s">
        <v>66</v>
      </c>
      <c r="J3701" t="s">
        <v>45</v>
      </c>
      <c r="K3701">
        <v>2.6</v>
      </c>
      <c r="L3701" t="s">
        <v>140</v>
      </c>
      <c r="M3701" t="s">
        <v>62</v>
      </c>
      <c r="N3701" t="s">
        <v>140</v>
      </c>
      <c r="O3701">
        <v>24</v>
      </c>
      <c r="P3701" t="s">
        <v>63</v>
      </c>
      <c r="Q3701" t="s">
        <v>28</v>
      </c>
      <c r="R3701" t="str" cm="1">
        <f t="array" ref="R3701">_xlfn.IFS(B3701&lt;31,"Young-Adult",B3701&lt;41,"Adult",B3701&lt;61,"Middle-aged",B3701&gt;=61,"Senior")</f>
        <v>Middle-aged</v>
      </c>
      <c r="S3701" cm="1">
        <f t="array" ref="S3701">_xlfn.IFS(Q3701 ="Fortnightly",14,Q3701="Weekly",7,Q3701="Monthly",30,Q3701="Quarterly",90,Q3701="Bi-Weekly",14,Q3701="Annually",365,Q3701="Every 3 Months",90,TRUE,"NOT FOUND")</f>
        <v>7</v>
      </c>
    </row>
    <row r="3702" spans="1:19" x14ac:dyDescent="0.35">
      <c r="A3702">
        <v>3701</v>
      </c>
      <c r="B3702">
        <v>28</v>
      </c>
      <c r="C3702" t="s">
        <v>141</v>
      </c>
      <c r="D3702" t="s">
        <v>54</v>
      </c>
      <c r="E3702" t="s">
        <v>55</v>
      </c>
      <c r="F3702">
        <v>84</v>
      </c>
      <c r="G3702" t="s">
        <v>102</v>
      </c>
      <c r="H3702" t="s">
        <v>80</v>
      </c>
      <c r="I3702" t="s">
        <v>49</v>
      </c>
      <c r="J3702" t="s">
        <v>41</v>
      </c>
      <c r="K3702">
        <v>3.4</v>
      </c>
      <c r="L3702" t="s">
        <v>140</v>
      </c>
      <c r="M3702" t="s">
        <v>62</v>
      </c>
      <c r="N3702" t="s">
        <v>140</v>
      </c>
      <c r="O3702">
        <v>2</v>
      </c>
      <c r="P3702" t="s">
        <v>63</v>
      </c>
      <c r="Q3702" t="s">
        <v>85</v>
      </c>
      <c r="R3702" t="str" cm="1">
        <f t="array" ref="R3702">_xlfn.IFS(B3702&lt;31,"Young-Adult",B3702&lt;41,"Adult",B3702&lt;61,"Middle-aged",B3702&gt;=61,"Senior")</f>
        <v>Young-Adult</v>
      </c>
      <c r="S3702" cm="1">
        <f t="array" ref="S3702">_xlfn.IFS(Q3702 ="Fortnightly",14,Q3702="Weekly",7,Q3702="Monthly",30,Q3702="Quarterly",90,Q3702="Bi-Weekly",14,Q3702="Annually",365,Q3702="Every 3 Months",90,TRUE,"NOT FOUND")</f>
        <v>90</v>
      </c>
    </row>
    <row r="3703" spans="1:19" x14ac:dyDescent="0.35">
      <c r="A3703">
        <v>3702</v>
      </c>
      <c r="B3703">
        <v>46</v>
      </c>
      <c r="C3703" t="s">
        <v>141</v>
      </c>
      <c r="D3703" t="s">
        <v>29</v>
      </c>
      <c r="E3703" t="s">
        <v>30</v>
      </c>
      <c r="F3703">
        <v>66</v>
      </c>
      <c r="G3703" t="s">
        <v>118</v>
      </c>
      <c r="H3703" t="s">
        <v>32</v>
      </c>
      <c r="I3703" t="s">
        <v>49</v>
      </c>
      <c r="J3703" t="s">
        <v>25</v>
      </c>
      <c r="K3703">
        <v>4.5</v>
      </c>
      <c r="L3703" t="s">
        <v>140</v>
      </c>
      <c r="M3703" t="s">
        <v>62</v>
      </c>
      <c r="N3703" t="s">
        <v>140</v>
      </c>
      <c r="O3703">
        <v>36</v>
      </c>
      <c r="P3703" t="s">
        <v>21</v>
      </c>
      <c r="Q3703" t="s">
        <v>37</v>
      </c>
      <c r="R3703" t="str" cm="1">
        <f t="array" ref="R3703">_xlfn.IFS(B3703&lt;31,"Young-Adult",B3703&lt;41,"Adult",B3703&lt;61,"Middle-aged",B3703&gt;=61,"Senior")</f>
        <v>Middle-aged</v>
      </c>
      <c r="S3703" cm="1">
        <f t="array" ref="S3703">_xlfn.IFS(Q3703 ="Fortnightly",14,Q3703="Weekly",7,Q3703="Monthly",30,Q3703="Quarterly",90,Q3703="Bi-Weekly",14,Q3703="Annually",365,Q3703="Every 3 Months",90,TRUE,"NOT FOUND")</f>
        <v>365</v>
      </c>
    </row>
    <row r="3704" spans="1:19" x14ac:dyDescent="0.35">
      <c r="A3704">
        <v>3703</v>
      </c>
      <c r="B3704">
        <v>58</v>
      </c>
      <c r="C3704" t="s">
        <v>141</v>
      </c>
      <c r="D3704" t="s">
        <v>59</v>
      </c>
      <c r="E3704" t="s">
        <v>30</v>
      </c>
      <c r="F3704">
        <v>65</v>
      </c>
      <c r="G3704" t="s">
        <v>119</v>
      </c>
      <c r="H3704" t="s">
        <v>32</v>
      </c>
      <c r="I3704" t="s">
        <v>114</v>
      </c>
      <c r="J3704" t="s">
        <v>25</v>
      </c>
      <c r="K3704">
        <v>2.7</v>
      </c>
      <c r="L3704" t="s">
        <v>140</v>
      </c>
      <c r="M3704" t="s">
        <v>62</v>
      </c>
      <c r="N3704" t="s">
        <v>140</v>
      </c>
      <c r="O3704">
        <v>36</v>
      </c>
      <c r="P3704" t="s">
        <v>16</v>
      </c>
      <c r="Q3704" t="s">
        <v>28</v>
      </c>
      <c r="R3704" t="str" cm="1">
        <f t="array" ref="R3704">_xlfn.IFS(B3704&lt;31,"Young-Adult",B3704&lt;41,"Adult",B3704&lt;61,"Middle-aged",B3704&gt;=61,"Senior")</f>
        <v>Middle-aged</v>
      </c>
      <c r="S3704" cm="1">
        <f t="array" ref="S3704">_xlfn.IFS(Q3704 ="Fortnightly",14,Q3704="Weekly",7,Q3704="Monthly",30,Q3704="Quarterly",90,Q3704="Bi-Weekly",14,Q3704="Annually",365,Q3704="Every 3 Months",90,TRUE,"NOT FOUND")</f>
        <v>7</v>
      </c>
    </row>
    <row r="3705" spans="1:19" x14ac:dyDescent="0.35">
      <c r="A3705">
        <v>3704</v>
      </c>
      <c r="B3705">
        <v>30</v>
      </c>
      <c r="C3705" t="s">
        <v>141</v>
      </c>
      <c r="D3705" t="s">
        <v>29</v>
      </c>
      <c r="E3705" t="s">
        <v>30</v>
      </c>
      <c r="F3705">
        <v>83</v>
      </c>
      <c r="G3705" t="s">
        <v>139</v>
      </c>
      <c r="H3705" t="s">
        <v>24</v>
      </c>
      <c r="I3705" t="s">
        <v>73</v>
      </c>
      <c r="J3705" t="s">
        <v>45</v>
      </c>
      <c r="K3705">
        <v>2.9</v>
      </c>
      <c r="L3705" t="s">
        <v>140</v>
      </c>
      <c r="M3705" t="s">
        <v>42</v>
      </c>
      <c r="N3705" t="s">
        <v>140</v>
      </c>
      <c r="O3705">
        <v>23</v>
      </c>
      <c r="P3705" t="s">
        <v>34</v>
      </c>
      <c r="Q3705" t="s">
        <v>85</v>
      </c>
      <c r="R3705" t="str" cm="1">
        <f t="array" ref="R3705">_xlfn.IFS(B3705&lt;31,"Young-Adult",B3705&lt;41,"Adult",B3705&lt;61,"Middle-aged",B3705&gt;=61,"Senior")</f>
        <v>Young-Adult</v>
      </c>
      <c r="S3705" cm="1">
        <f t="array" ref="S3705">_xlfn.IFS(Q3705 ="Fortnightly",14,Q3705="Weekly",7,Q3705="Monthly",30,Q3705="Quarterly",90,Q3705="Bi-Weekly",14,Q3705="Annually",365,Q3705="Every 3 Months",90,TRUE,"NOT FOUND")</f>
        <v>90</v>
      </c>
    </row>
    <row r="3706" spans="1:19" x14ac:dyDescent="0.35">
      <c r="A3706">
        <v>3705</v>
      </c>
      <c r="B3706">
        <v>68</v>
      </c>
      <c r="C3706" t="s">
        <v>141</v>
      </c>
      <c r="D3706" t="s">
        <v>77</v>
      </c>
      <c r="E3706" t="s">
        <v>55</v>
      </c>
      <c r="F3706">
        <v>61</v>
      </c>
      <c r="G3706" t="s">
        <v>56</v>
      </c>
      <c r="H3706" t="s">
        <v>11</v>
      </c>
      <c r="I3706" t="s">
        <v>82</v>
      </c>
      <c r="J3706" t="s">
        <v>13</v>
      </c>
      <c r="K3706">
        <v>4</v>
      </c>
      <c r="L3706" t="s">
        <v>140</v>
      </c>
      <c r="M3706" t="s">
        <v>62</v>
      </c>
      <c r="N3706" t="s">
        <v>140</v>
      </c>
      <c r="O3706">
        <v>36</v>
      </c>
      <c r="P3706" t="s">
        <v>27</v>
      </c>
      <c r="Q3706" t="s">
        <v>46</v>
      </c>
      <c r="R3706" t="str" cm="1">
        <f t="array" ref="R3706">_xlfn.IFS(B3706&lt;31,"Young-Adult",B3706&lt;41,"Adult",B3706&lt;61,"Middle-aged",B3706&gt;=61,"Senior")</f>
        <v>Senior</v>
      </c>
      <c r="S3706" cm="1">
        <f t="array" ref="S3706">_xlfn.IFS(Q3706 ="Fortnightly",14,Q3706="Weekly",7,Q3706="Monthly",30,Q3706="Quarterly",90,Q3706="Bi-Weekly",14,Q3706="Annually",365,Q3706="Every 3 Months",90,TRUE,"NOT FOUND")</f>
        <v>90</v>
      </c>
    </row>
    <row r="3707" spans="1:19" x14ac:dyDescent="0.35">
      <c r="A3707">
        <v>3706</v>
      </c>
      <c r="B3707">
        <v>28</v>
      </c>
      <c r="C3707" t="s">
        <v>141</v>
      </c>
      <c r="D3707" t="s">
        <v>75</v>
      </c>
      <c r="E3707" t="s">
        <v>9</v>
      </c>
      <c r="F3707">
        <v>65</v>
      </c>
      <c r="G3707" t="s">
        <v>100</v>
      </c>
      <c r="H3707" t="s">
        <v>11</v>
      </c>
      <c r="I3707" t="s">
        <v>73</v>
      </c>
      <c r="J3707" t="s">
        <v>41</v>
      </c>
      <c r="K3707">
        <v>3.2</v>
      </c>
      <c r="L3707" t="s">
        <v>140</v>
      </c>
      <c r="M3707" t="s">
        <v>26</v>
      </c>
      <c r="N3707" t="s">
        <v>140</v>
      </c>
      <c r="O3707">
        <v>2</v>
      </c>
      <c r="P3707" t="s">
        <v>74</v>
      </c>
      <c r="Q3707" t="s">
        <v>37</v>
      </c>
      <c r="R3707" t="str" cm="1">
        <f t="array" ref="R3707">_xlfn.IFS(B3707&lt;31,"Young-Adult",B3707&lt;41,"Adult",B3707&lt;61,"Middle-aged",B3707&gt;=61,"Senior")</f>
        <v>Young-Adult</v>
      </c>
      <c r="S3707" cm="1">
        <f t="array" ref="S3707">_xlfn.IFS(Q3707 ="Fortnightly",14,Q3707="Weekly",7,Q3707="Monthly",30,Q3707="Quarterly",90,Q3707="Bi-Weekly",14,Q3707="Annually",365,Q3707="Every 3 Months",90,TRUE,"NOT FOUND")</f>
        <v>365</v>
      </c>
    </row>
    <row r="3708" spans="1:19" x14ac:dyDescent="0.35">
      <c r="A3708">
        <v>3707</v>
      </c>
      <c r="B3708">
        <v>26</v>
      </c>
      <c r="C3708" t="s">
        <v>141</v>
      </c>
      <c r="D3708" t="s">
        <v>29</v>
      </c>
      <c r="E3708" t="s">
        <v>30</v>
      </c>
      <c r="F3708">
        <v>55</v>
      </c>
      <c r="G3708" t="s">
        <v>99</v>
      </c>
      <c r="H3708" t="s">
        <v>32</v>
      </c>
      <c r="I3708" t="s">
        <v>84</v>
      </c>
      <c r="J3708" t="s">
        <v>25</v>
      </c>
      <c r="K3708">
        <v>4</v>
      </c>
      <c r="L3708" t="s">
        <v>140</v>
      </c>
      <c r="M3708" t="s">
        <v>62</v>
      </c>
      <c r="N3708" t="s">
        <v>140</v>
      </c>
      <c r="O3708">
        <v>17</v>
      </c>
      <c r="P3708" t="s">
        <v>21</v>
      </c>
      <c r="Q3708" t="s">
        <v>64</v>
      </c>
      <c r="R3708" t="str" cm="1">
        <f t="array" ref="R3708">_xlfn.IFS(B3708&lt;31,"Young-Adult",B3708&lt;41,"Adult",B3708&lt;61,"Middle-aged",B3708&gt;=61,"Senior")</f>
        <v>Young-Adult</v>
      </c>
      <c r="S3708" cm="1">
        <f t="array" ref="S3708">_xlfn.IFS(Q3708 ="Fortnightly",14,Q3708="Weekly",7,Q3708="Monthly",30,Q3708="Quarterly",90,Q3708="Bi-Weekly",14,Q3708="Annually",365,Q3708="Every 3 Months",90,TRUE,"NOT FOUND")</f>
        <v>14</v>
      </c>
    </row>
    <row r="3709" spans="1:19" x14ac:dyDescent="0.35">
      <c r="A3709">
        <v>3708</v>
      </c>
      <c r="B3709">
        <v>35</v>
      </c>
      <c r="C3709" t="s">
        <v>141</v>
      </c>
      <c r="D3709" t="s">
        <v>131</v>
      </c>
      <c r="E3709" t="s">
        <v>55</v>
      </c>
      <c r="F3709">
        <v>79</v>
      </c>
      <c r="G3709" t="s">
        <v>103</v>
      </c>
      <c r="H3709" t="s">
        <v>32</v>
      </c>
      <c r="I3709" t="s">
        <v>68</v>
      </c>
      <c r="J3709" t="s">
        <v>45</v>
      </c>
      <c r="K3709">
        <v>3.4</v>
      </c>
      <c r="L3709" t="s">
        <v>140</v>
      </c>
      <c r="M3709" t="s">
        <v>58</v>
      </c>
      <c r="N3709" t="s">
        <v>140</v>
      </c>
      <c r="O3709">
        <v>19</v>
      </c>
      <c r="P3709" t="s">
        <v>16</v>
      </c>
      <c r="Q3709" t="s">
        <v>28</v>
      </c>
      <c r="R3709" t="str" cm="1">
        <f t="array" ref="R3709">_xlfn.IFS(B3709&lt;31,"Young-Adult",B3709&lt;41,"Adult",B3709&lt;61,"Middle-aged",B3709&gt;=61,"Senior")</f>
        <v>Adult</v>
      </c>
      <c r="S3709" cm="1">
        <f t="array" ref="S3709">_xlfn.IFS(Q3709 ="Fortnightly",14,Q3709="Weekly",7,Q3709="Monthly",30,Q3709="Quarterly",90,Q3709="Bi-Weekly",14,Q3709="Annually",365,Q3709="Every 3 Months",90,TRUE,"NOT FOUND")</f>
        <v>7</v>
      </c>
    </row>
    <row r="3710" spans="1:19" x14ac:dyDescent="0.35">
      <c r="A3710">
        <v>3709</v>
      </c>
      <c r="B3710">
        <v>40</v>
      </c>
      <c r="C3710" t="s">
        <v>141</v>
      </c>
      <c r="D3710" t="s">
        <v>92</v>
      </c>
      <c r="E3710" t="s">
        <v>9</v>
      </c>
      <c r="F3710">
        <v>96</v>
      </c>
      <c r="G3710" t="s">
        <v>119</v>
      </c>
      <c r="H3710" t="s">
        <v>32</v>
      </c>
      <c r="I3710" t="s">
        <v>96</v>
      </c>
      <c r="J3710" t="s">
        <v>45</v>
      </c>
      <c r="K3710">
        <v>4.9000000000000004</v>
      </c>
      <c r="L3710" t="s">
        <v>140</v>
      </c>
      <c r="M3710" t="s">
        <v>15</v>
      </c>
      <c r="N3710" t="s">
        <v>140</v>
      </c>
      <c r="O3710">
        <v>41</v>
      </c>
      <c r="P3710" t="s">
        <v>34</v>
      </c>
      <c r="Q3710" t="s">
        <v>76</v>
      </c>
      <c r="R3710" t="str" cm="1">
        <f t="array" ref="R3710">_xlfn.IFS(B3710&lt;31,"Young-Adult",B3710&lt;41,"Adult",B3710&lt;61,"Middle-aged",B3710&gt;=61,"Senior")</f>
        <v>Adult</v>
      </c>
      <c r="S3710" cm="1">
        <f t="array" ref="S3710">_xlfn.IFS(Q3710 ="Fortnightly",14,Q3710="Weekly",7,Q3710="Monthly",30,Q3710="Quarterly",90,Q3710="Bi-Weekly",14,Q3710="Annually",365,Q3710="Every 3 Months",90,TRUE,"NOT FOUND")</f>
        <v>30</v>
      </c>
    </row>
    <row r="3711" spans="1:19" x14ac:dyDescent="0.35">
      <c r="A3711">
        <v>3710</v>
      </c>
      <c r="B3711">
        <v>31</v>
      </c>
      <c r="C3711" t="s">
        <v>141</v>
      </c>
      <c r="D3711" t="s">
        <v>113</v>
      </c>
      <c r="E3711" t="s">
        <v>9</v>
      </c>
      <c r="F3711">
        <v>43</v>
      </c>
      <c r="G3711" t="s">
        <v>128</v>
      </c>
      <c r="H3711" t="s">
        <v>32</v>
      </c>
      <c r="I3711" t="s">
        <v>53</v>
      </c>
      <c r="J3711" t="s">
        <v>45</v>
      </c>
      <c r="K3711">
        <v>3.6</v>
      </c>
      <c r="L3711" t="s">
        <v>140</v>
      </c>
      <c r="M3711" t="s">
        <v>26</v>
      </c>
      <c r="N3711" t="s">
        <v>140</v>
      </c>
      <c r="O3711">
        <v>27</v>
      </c>
      <c r="P3711" t="s">
        <v>34</v>
      </c>
      <c r="Q3711" t="s">
        <v>46</v>
      </c>
      <c r="R3711" t="str" cm="1">
        <f t="array" ref="R3711">_xlfn.IFS(B3711&lt;31,"Young-Adult",B3711&lt;41,"Adult",B3711&lt;61,"Middle-aged",B3711&gt;=61,"Senior")</f>
        <v>Adult</v>
      </c>
      <c r="S3711" cm="1">
        <f t="array" ref="S3711">_xlfn.IFS(Q3711 ="Fortnightly",14,Q3711="Weekly",7,Q3711="Monthly",30,Q3711="Quarterly",90,Q3711="Bi-Weekly",14,Q3711="Annually",365,Q3711="Every 3 Months",90,TRUE,"NOT FOUND")</f>
        <v>90</v>
      </c>
    </row>
    <row r="3712" spans="1:19" x14ac:dyDescent="0.35">
      <c r="A3712">
        <v>3711</v>
      </c>
      <c r="B3712">
        <v>60</v>
      </c>
      <c r="C3712" t="s">
        <v>141</v>
      </c>
      <c r="D3712" t="s">
        <v>94</v>
      </c>
      <c r="E3712" t="s">
        <v>55</v>
      </c>
      <c r="F3712">
        <v>40</v>
      </c>
      <c r="G3712" t="s">
        <v>65</v>
      </c>
      <c r="H3712" t="s">
        <v>32</v>
      </c>
      <c r="I3712" t="s">
        <v>122</v>
      </c>
      <c r="J3712" t="s">
        <v>41</v>
      </c>
      <c r="K3712">
        <v>3.6</v>
      </c>
      <c r="L3712" t="s">
        <v>140</v>
      </c>
      <c r="M3712" t="s">
        <v>58</v>
      </c>
      <c r="N3712" t="s">
        <v>140</v>
      </c>
      <c r="O3712">
        <v>32</v>
      </c>
      <c r="P3712" t="s">
        <v>63</v>
      </c>
      <c r="Q3712" t="s">
        <v>17</v>
      </c>
      <c r="R3712" t="str" cm="1">
        <f t="array" ref="R3712">_xlfn.IFS(B3712&lt;31,"Young-Adult",B3712&lt;41,"Adult",B3712&lt;61,"Middle-aged",B3712&gt;=61,"Senior")</f>
        <v>Middle-aged</v>
      </c>
      <c r="S3712" cm="1">
        <f t="array" ref="S3712">_xlfn.IFS(Q3712 ="Fortnightly",14,Q3712="Weekly",7,Q3712="Monthly",30,Q3712="Quarterly",90,Q3712="Bi-Weekly",14,Q3712="Annually",365,Q3712="Every 3 Months",90,TRUE,"NOT FOUND")</f>
        <v>14</v>
      </c>
    </row>
    <row r="3713" spans="1:19" x14ac:dyDescent="0.35">
      <c r="A3713">
        <v>3712</v>
      </c>
      <c r="B3713">
        <v>69</v>
      </c>
      <c r="C3713" t="s">
        <v>141</v>
      </c>
      <c r="D3713" t="s">
        <v>112</v>
      </c>
      <c r="E3713" t="s">
        <v>55</v>
      </c>
      <c r="F3713">
        <v>62</v>
      </c>
      <c r="G3713" t="s">
        <v>93</v>
      </c>
      <c r="H3713" t="s">
        <v>80</v>
      </c>
      <c r="I3713" t="s">
        <v>88</v>
      </c>
      <c r="J3713" t="s">
        <v>45</v>
      </c>
      <c r="K3713">
        <v>3.2</v>
      </c>
      <c r="L3713" t="s">
        <v>140</v>
      </c>
      <c r="M3713" t="s">
        <v>26</v>
      </c>
      <c r="N3713" t="s">
        <v>140</v>
      </c>
      <c r="O3713">
        <v>33</v>
      </c>
      <c r="P3713" t="s">
        <v>21</v>
      </c>
      <c r="Q3713" t="s">
        <v>37</v>
      </c>
      <c r="R3713" t="str" cm="1">
        <f t="array" ref="R3713">_xlfn.IFS(B3713&lt;31,"Young-Adult",B3713&lt;41,"Adult",B3713&lt;61,"Middle-aged",B3713&gt;=61,"Senior")</f>
        <v>Senior</v>
      </c>
      <c r="S3713" cm="1">
        <f t="array" ref="S3713">_xlfn.IFS(Q3713 ="Fortnightly",14,Q3713="Weekly",7,Q3713="Monthly",30,Q3713="Quarterly",90,Q3713="Bi-Weekly",14,Q3713="Annually",365,Q3713="Every 3 Months",90,TRUE,"NOT FOUND")</f>
        <v>365</v>
      </c>
    </row>
    <row r="3714" spans="1:19" x14ac:dyDescent="0.35">
      <c r="A3714">
        <v>3713</v>
      </c>
      <c r="B3714">
        <v>51</v>
      </c>
      <c r="C3714" t="s">
        <v>141</v>
      </c>
      <c r="D3714" t="s">
        <v>8</v>
      </c>
      <c r="E3714" t="s">
        <v>9</v>
      </c>
      <c r="F3714">
        <v>72</v>
      </c>
      <c r="G3714" t="s">
        <v>35</v>
      </c>
      <c r="H3714" t="s">
        <v>32</v>
      </c>
      <c r="I3714" t="s">
        <v>36</v>
      </c>
      <c r="J3714" t="s">
        <v>25</v>
      </c>
      <c r="K3714">
        <v>3.7</v>
      </c>
      <c r="L3714" t="s">
        <v>140</v>
      </c>
      <c r="M3714" t="s">
        <v>58</v>
      </c>
      <c r="N3714" t="s">
        <v>140</v>
      </c>
      <c r="O3714">
        <v>24</v>
      </c>
      <c r="P3714" t="s">
        <v>34</v>
      </c>
      <c r="Q3714" t="s">
        <v>46</v>
      </c>
      <c r="R3714" t="str" cm="1">
        <f t="array" ref="R3714">_xlfn.IFS(B3714&lt;31,"Young-Adult",B3714&lt;41,"Adult",B3714&lt;61,"Middle-aged",B3714&gt;=61,"Senior")</f>
        <v>Middle-aged</v>
      </c>
      <c r="S3714" cm="1">
        <f t="array" ref="S3714">_xlfn.IFS(Q3714 ="Fortnightly",14,Q3714="Weekly",7,Q3714="Monthly",30,Q3714="Quarterly",90,Q3714="Bi-Weekly",14,Q3714="Annually",365,Q3714="Every 3 Months",90,TRUE,"NOT FOUND")</f>
        <v>90</v>
      </c>
    </row>
    <row r="3715" spans="1:19" x14ac:dyDescent="0.35">
      <c r="A3715">
        <v>3714</v>
      </c>
      <c r="B3715">
        <v>49</v>
      </c>
      <c r="C3715" t="s">
        <v>141</v>
      </c>
      <c r="D3715" t="s">
        <v>59</v>
      </c>
      <c r="E3715" t="s">
        <v>30</v>
      </c>
      <c r="F3715">
        <v>87</v>
      </c>
      <c r="G3715" t="s">
        <v>105</v>
      </c>
      <c r="H3715" t="s">
        <v>32</v>
      </c>
      <c r="I3715" t="s">
        <v>88</v>
      </c>
      <c r="J3715" t="s">
        <v>25</v>
      </c>
      <c r="K3715">
        <v>2.6</v>
      </c>
      <c r="L3715" t="s">
        <v>140</v>
      </c>
      <c r="M3715" t="s">
        <v>15</v>
      </c>
      <c r="N3715" t="s">
        <v>140</v>
      </c>
      <c r="O3715">
        <v>31</v>
      </c>
      <c r="P3715" t="s">
        <v>74</v>
      </c>
      <c r="Q3715" t="s">
        <v>85</v>
      </c>
      <c r="R3715" t="str" cm="1">
        <f t="array" ref="R3715">_xlfn.IFS(B3715&lt;31,"Young-Adult",B3715&lt;41,"Adult",B3715&lt;61,"Middle-aged",B3715&gt;=61,"Senior")</f>
        <v>Middle-aged</v>
      </c>
      <c r="S3715" cm="1">
        <f t="array" ref="S3715">_xlfn.IFS(Q3715 ="Fortnightly",14,Q3715="Weekly",7,Q3715="Monthly",30,Q3715="Quarterly",90,Q3715="Bi-Weekly",14,Q3715="Annually",365,Q3715="Every 3 Months",90,TRUE,"NOT FOUND")</f>
        <v>90</v>
      </c>
    </row>
    <row r="3716" spans="1:19" x14ac:dyDescent="0.35">
      <c r="A3716">
        <v>3715</v>
      </c>
      <c r="B3716">
        <v>18</v>
      </c>
      <c r="C3716" t="s">
        <v>141</v>
      </c>
      <c r="D3716" t="s">
        <v>112</v>
      </c>
      <c r="E3716" t="s">
        <v>55</v>
      </c>
      <c r="F3716">
        <v>31</v>
      </c>
      <c r="G3716" t="s">
        <v>72</v>
      </c>
      <c r="H3716" t="s">
        <v>24</v>
      </c>
      <c r="I3716" t="s">
        <v>88</v>
      </c>
      <c r="J3716" t="s">
        <v>13</v>
      </c>
      <c r="K3716">
        <v>3.9</v>
      </c>
      <c r="L3716" t="s">
        <v>140</v>
      </c>
      <c r="M3716" t="s">
        <v>15</v>
      </c>
      <c r="N3716" t="s">
        <v>140</v>
      </c>
      <c r="O3716">
        <v>35</v>
      </c>
      <c r="P3716" t="s">
        <v>27</v>
      </c>
      <c r="Q3716" t="s">
        <v>28</v>
      </c>
      <c r="R3716" t="str" cm="1">
        <f t="array" ref="R3716">_xlfn.IFS(B3716&lt;31,"Young-Adult",B3716&lt;41,"Adult",B3716&lt;61,"Middle-aged",B3716&gt;=61,"Senior")</f>
        <v>Young-Adult</v>
      </c>
      <c r="S3716" cm="1">
        <f t="array" ref="S3716">_xlfn.IFS(Q3716 ="Fortnightly",14,Q3716="Weekly",7,Q3716="Monthly",30,Q3716="Quarterly",90,Q3716="Bi-Weekly",14,Q3716="Annually",365,Q3716="Every 3 Months",90,TRUE,"NOT FOUND")</f>
        <v>7</v>
      </c>
    </row>
    <row r="3717" spans="1:19" x14ac:dyDescent="0.35">
      <c r="A3717">
        <v>3716</v>
      </c>
      <c r="B3717">
        <v>63</v>
      </c>
      <c r="C3717" t="s">
        <v>141</v>
      </c>
      <c r="D3717" t="s">
        <v>77</v>
      </c>
      <c r="E3717" t="s">
        <v>55</v>
      </c>
      <c r="F3717">
        <v>34</v>
      </c>
      <c r="G3717" t="s">
        <v>133</v>
      </c>
      <c r="H3717" t="s">
        <v>24</v>
      </c>
      <c r="I3717" t="s">
        <v>109</v>
      </c>
      <c r="J3717" t="s">
        <v>45</v>
      </c>
      <c r="K3717">
        <v>3.4</v>
      </c>
      <c r="L3717" t="s">
        <v>140</v>
      </c>
      <c r="M3717" t="s">
        <v>26</v>
      </c>
      <c r="N3717" t="s">
        <v>140</v>
      </c>
      <c r="O3717">
        <v>2</v>
      </c>
      <c r="P3717" t="s">
        <v>63</v>
      </c>
      <c r="Q3717" t="s">
        <v>76</v>
      </c>
      <c r="R3717" t="str" cm="1">
        <f t="array" ref="R3717">_xlfn.IFS(B3717&lt;31,"Young-Adult",B3717&lt;41,"Adult",B3717&lt;61,"Middle-aged",B3717&gt;=61,"Senior")</f>
        <v>Senior</v>
      </c>
      <c r="S3717" cm="1">
        <f t="array" ref="S3717">_xlfn.IFS(Q3717 ="Fortnightly",14,Q3717="Weekly",7,Q3717="Monthly",30,Q3717="Quarterly",90,Q3717="Bi-Weekly",14,Q3717="Annually",365,Q3717="Every 3 Months",90,TRUE,"NOT FOUND")</f>
        <v>30</v>
      </c>
    </row>
    <row r="3718" spans="1:19" x14ac:dyDescent="0.35">
      <c r="A3718">
        <v>3717</v>
      </c>
      <c r="B3718">
        <v>57</v>
      </c>
      <c r="C3718" t="s">
        <v>141</v>
      </c>
      <c r="D3718" t="s">
        <v>43</v>
      </c>
      <c r="E3718" t="s">
        <v>9</v>
      </c>
      <c r="F3718">
        <v>53</v>
      </c>
      <c r="G3718" t="s">
        <v>117</v>
      </c>
      <c r="H3718" t="s">
        <v>32</v>
      </c>
      <c r="I3718" t="s">
        <v>49</v>
      </c>
      <c r="J3718" t="s">
        <v>45</v>
      </c>
      <c r="K3718">
        <v>3.4</v>
      </c>
      <c r="L3718" t="s">
        <v>140</v>
      </c>
      <c r="M3718" t="s">
        <v>33</v>
      </c>
      <c r="N3718" t="s">
        <v>140</v>
      </c>
      <c r="O3718">
        <v>42</v>
      </c>
      <c r="P3718" t="s">
        <v>74</v>
      </c>
      <c r="Q3718" t="s">
        <v>85</v>
      </c>
      <c r="R3718" t="str" cm="1">
        <f t="array" ref="R3718">_xlfn.IFS(B3718&lt;31,"Young-Adult",B3718&lt;41,"Adult",B3718&lt;61,"Middle-aged",B3718&gt;=61,"Senior")</f>
        <v>Middle-aged</v>
      </c>
      <c r="S3718" cm="1">
        <f t="array" ref="S3718">_xlfn.IFS(Q3718 ="Fortnightly",14,Q3718="Weekly",7,Q3718="Monthly",30,Q3718="Quarterly",90,Q3718="Bi-Weekly",14,Q3718="Annually",365,Q3718="Every 3 Months",90,TRUE,"NOT FOUND")</f>
        <v>90</v>
      </c>
    </row>
    <row r="3719" spans="1:19" x14ac:dyDescent="0.35">
      <c r="A3719">
        <v>3718</v>
      </c>
      <c r="B3719">
        <v>45</v>
      </c>
      <c r="C3719" t="s">
        <v>141</v>
      </c>
      <c r="D3719" t="s">
        <v>101</v>
      </c>
      <c r="E3719" t="s">
        <v>9</v>
      </c>
      <c r="F3719">
        <v>85</v>
      </c>
      <c r="G3719" t="s">
        <v>116</v>
      </c>
      <c r="H3719" t="s">
        <v>80</v>
      </c>
      <c r="I3719" t="s">
        <v>40</v>
      </c>
      <c r="J3719" t="s">
        <v>41</v>
      </c>
      <c r="K3719">
        <v>4.2</v>
      </c>
      <c r="L3719" t="s">
        <v>140</v>
      </c>
      <c r="M3719" t="s">
        <v>15</v>
      </c>
      <c r="N3719" t="s">
        <v>140</v>
      </c>
      <c r="O3719">
        <v>47</v>
      </c>
      <c r="P3719" t="s">
        <v>63</v>
      </c>
      <c r="Q3719" t="s">
        <v>85</v>
      </c>
      <c r="R3719" t="str" cm="1">
        <f t="array" ref="R3719">_xlfn.IFS(B3719&lt;31,"Young-Adult",B3719&lt;41,"Adult",B3719&lt;61,"Middle-aged",B3719&gt;=61,"Senior")</f>
        <v>Middle-aged</v>
      </c>
      <c r="S3719" cm="1">
        <f t="array" ref="S3719">_xlfn.IFS(Q3719 ="Fortnightly",14,Q3719="Weekly",7,Q3719="Monthly",30,Q3719="Quarterly",90,Q3719="Bi-Weekly",14,Q3719="Annually",365,Q3719="Every 3 Months",90,TRUE,"NOT FOUND")</f>
        <v>90</v>
      </c>
    </row>
    <row r="3720" spans="1:19" x14ac:dyDescent="0.35">
      <c r="A3720">
        <v>3719</v>
      </c>
      <c r="B3720">
        <v>36</v>
      </c>
      <c r="C3720" t="s">
        <v>141</v>
      </c>
      <c r="D3720" t="s">
        <v>83</v>
      </c>
      <c r="E3720" t="s">
        <v>9</v>
      </c>
      <c r="F3720">
        <v>50</v>
      </c>
      <c r="G3720" t="s">
        <v>110</v>
      </c>
      <c r="H3720" t="s">
        <v>11</v>
      </c>
      <c r="I3720" t="s">
        <v>36</v>
      </c>
      <c r="J3720" t="s">
        <v>45</v>
      </c>
      <c r="K3720">
        <v>2.9</v>
      </c>
      <c r="L3720" t="s">
        <v>140</v>
      </c>
      <c r="M3720" t="s">
        <v>42</v>
      </c>
      <c r="N3720" t="s">
        <v>140</v>
      </c>
      <c r="O3720">
        <v>44</v>
      </c>
      <c r="P3720" t="s">
        <v>63</v>
      </c>
      <c r="Q3720" t="s">
        <v>64</v>
      </c>
      <c r="R3720" t="str" cm="1">
        <f t="array" ref="R3720">_xlfn.IFS(B3720&lt;31,"Young-Adult",B3720&lt;41,"Adult",B3720&lt;61,"Middle-aged",B3720&gt;=61,"Senior")</f>
        <v>Adult</v>
      </c>
      <c r="S3720" cm="1">
        <f t="array" ref="S3720">_xlfn.IFS(Q3720 ="Fortnightly",14,Q3720="Weekly",7,Q3720="Monthly",30,Q3720="Quarterly",90,Q3720="Bi-Weekly",14,Q3720="Annually",365,Q3720="Every 3 Months",90,TRUE,"NOT FOUND")</f>
        <v>14</v>
      </c>
    </row>
    <row r="3721" spans="1:19" x14ac:dyDescent="0.35">
      <c r="A3721">
        <v>3720</v>
      </c>
      <c r="B3721">
        <v>20</v>
      </c>
      <c r="C3721" t="s">
        <v>141</v>
      </c>
      <c r="D3721" t="s">
        <v>83</v>
      </c>
      <c r="E3721" t="s">
        <v>9</v>
      </c>
      <c r="F3721">
        <v>91</v>
      </c>
      <c r="G3721" t="s">
        <v>126</v>
      </c>
      <c r="H3721" t="s">
        <v>32</v>
      </c>
      <c r="I3721" t="s">
        <v>96</v>
      </c>
      <c r="J3721" t="s">
        <v>41</v>
      </c>
      <c r="K3721">
        <v>4.0999999999999996</v>
      </c>
      <c r="L3721" t="s">
        <v>140</v>
      </c>
      <c r="M3721" t="s">
        <v>26</v>
      </c>
      <c r="N3721" t="s">
        <v>140</v>
      </c>
      <c r="O3721">
        <v>8</v>
      </c>
      <c r="P3721" t="s">
        <v>63</v>
      </c>
      <c r="Q3721" t="s">
        <v>85</v>
      </c>
      <c r="R3721" t="str" cm="1">
        <f t="array" ref="R3721">_xlfn.IFS(B3721&lt;31,"Young-Adult",B3721&lt;41,"Adult",B3721&lt;61,"Middle-aged",B3721&gt;=61,"Senior")</f>
        <v>Young-Adult</v>
      </c>
      <c r="S3721" cm="1">
        <f t="array" ref="S3721">_xlfn.IFS(Q3721 ="Fortnightly",14,Q3721="Weekly",7,Q3721="Monthly",30,Q3721="Quarterly",90,Q3721="Bi-Weekly",14,Q3721="Annually",365,Q3721="Every 3 Months",90,TRUE,"NOT FOUND")</f>
        <v>90</v>
      </c>
    </row>
    <row r="3722" spans="1:19" x14ac:dyDescent="0.35">
      <c r="A3722">
        <v>3721</v>
      </c>
      <c r="B3722">
        <v>21</v>
      </c>
      <c r="C3722" t="s">
        <v>141</v>
      </c>
      <c r="D3722" t="s">
        <v>112</v>
      </c>
      <c r="E3722" t="s">
        <v>55</v>
      </c>
      <c r="F3722">
        <v>56</v>
      </c>
      <c r="G3722" t="s">
        <v>119</v>
      </c>
      <c r="H3722" t="s">
        <v>32</v>
      </c>
      <c r="I3722" t="s">
        <v>88</v>
      </c>
      <c r="J3722" t="s">
        <v>45</v>
      </c>
      <c r="K3722">
        <v>3.6</v>
      </c>
      <c r="L3722" t="s">
        <v>140</v>
      </c>
      <c r="M3722" t="s">
        <v>26</v>
      </c>
      <c r="N3722" t="s">
        <v>140</v>
      </c>
      <c r="O3722">
        <v>13</v>
      </c>
      <c r="P3722" t="s">
        <v>27</v>
      </c>
      <c r="Q3722" t="s">
        <v>46</v>
      </c>
      <c r="R3722" t="str" cm="1">
        <f t="array" ref="R3722">_xlfn.IFS(B3722&lt;31,"Young-Adult",B3722&lt;41,"Adult",B3722&lt;61,"Middle-aged",B3722&gt;=61,"Senior")</f>
        <v>Young-Adult</v>
      </c>
      <c r="S3722" cm="1">
        <f t="array" ref="S3722">_xlfn.IFS(Q3722 ="Fortnightly",14,Q3722="Weekly",7,Q3722="Monthly",30,Q3722="Quarterly",90,Q3722="Bi-Weekly",14,Q3722="Annually",365,Q3722="Every 3 Months",90,TRUE,"NOT FOUND")</f>
        <v>90</v>
      </c>
    </row>
    <row r="3723" spans="1:19" x14ac:dyDescent="0.35">
      <c r="A3723">
        <v>3722</v>
      </c>
      <c r="B3723">
        <v>62</v>
      </c>
      <c r="C3723" t="s">
        <v>141</v>
      </c>
      <c r="D3723" t="s">
        <v>50</v>
      </c>
      <c r="E3723" t="s">
        <v>51</v>
      </c>
      <c r="F3723">
        <v>60</v>
      </c>
      <c r="G3723" t="s">
        <v>127</v>
      </c>
      <c r="H3723" t="s">
        <v>11</v>
      </c>
      <c r="I3723" t="s">
        <v>57</v>
      </c>
      <c r="J3723" t="s">
        <v>45</v>
      </c>
      <c r="K3723">
        <v>4</v>
      </c>
      <c r="L3723" t="s">
        <v>140</v>
      </c>
      <c r="M3723" t="s">
        <v>33</v>
      </c>
      <c r="N3723" t="s">
        <v>140</v>
      </c>
      <c r="O3723">
        <v>10</v>
      </c>
      <c r="P3723" t="s">
        <v>21</v>
      </c>
      <c r="Q3723" t="s">
        <v>37</v>
      </c>
      <c r="R3723" t="str" cm="1">
        <f t="array" ref="R3723">_xlfn.IFS(B3723&lt;31,"Young-Adult",B3723&lt;41,"Adult",B3723&lt;61,"Middle-aged",B3723&gt;=61,"Senior")</f>
        <v>Senior</v>
      </c>
      <c r="S3723" cm="1">
        <f t="array" ref="S3723">_xlfn.IFS(Q3723 ="Fortnightly",14,Q3723="Weekly",7,Q3723="Monthly",30,Q3723="Quarterly",90,Q3723="Bi-Weekly",14,Q3723="Annually",365,Q3723="Every 3 Months",90,TRUE,"NOT FOUND")</f>
        <v>365</v>
      </c>
    </row>
    <row r="3724" spans="1:19" x14ac:dyDescent="0.35">
      <c r="A3724">
        <v>3723</v>
      </c>
      <c r="B3724">
        <v>23</v>
      </c>
      <c r="C3724" t="s">
        <v>141</v>
      </c>
      <c r="D3724" t="s">
        <v>90</v>
      </c>
      <c r="E3724" t="s">
        <v>51</v>
      </c>
      <c r="F3724">
        <v>34</v>
      </c>
      <c r="G3724" t="s">
        <v>10</v>
      </c>
      <c r="H3724" t="s">
        <v>80</v>
      </c>
      <c r="I3724" t="s">
        <v>122</v>
      </c>
      <c r="J3724" t="s">
        <v>45</v>
      </c>
      <c r="K3724">
        <v>4</v>
      </c>
      <c r="L3724" t="s">
        <v>140</v>
      </c>
      <c r="M3724" t="s">
        <v>42</v>
      </c>
      <c r="N3724" t="s">
        <v>140</v>
      </c>
      <c r="O3724">
        <v>1</v>
      </c>
      <c r="P3724" t="s">
        <v>27</v>
      </c>
      <c r="Q3724" t="s">
        <v>17</v>
      </c>
      <c r="R3724" t="str" cm="1">
        <f t="array" ref="R3724">_xlfn.IFS(B3724&lt;31,"Young-Adult",B3724&lt;41,"Adult",B3724&lt;61,"Middle-aged",B3724&gt;=61,"Senior")</f>
        <v>Young-Adult</v>
      </c>
      <c r="S3724" cm="1">
        <f t="array" ref="S3724">_xlfn.IFS(Q3724 ="Fortnightly",14,Q3724="Weekly",7,Q3724="Monthly",30,Q3724="Quarterly",90,Q3724="Bi-Weekly",14,Q3724="Annually",365,Q3724="Every 3 Months",90,TRUE,"NOT FOUND")</f>
        <v>14</v>
      </c>
    </row>
    <row r="3725" spans="1:19" x14ac:dyDescent="0.35">
      <c r="A3725">
        <v>3724</v>
      </c>
      <c r="B3725">
        <v>26</v>
      </c>
      <c r="C3725" t="s">
        <v>141</v>
      </c>
      <c r="D3725" t="s">
        <v>29</v>
      </c>
      <c r="E3725" t="s">
        <v>30</v>
      </c>
      <c r="F3725">
        <v>30</v>
      </c>
      <c r="G3725" t="s">
        <v>31</v>
      </c>
      <c r="H3725" t="s">
        <v>32</v>
      </c>
      <c r="I3725" t="s">
        <v>106</v>
      </c>
      <c r="J3725" t="s">
        <v>25</v>
      </c>
      <c r="K3725">
        <v>3.6</v>
      </c>
      <c r="L3725" t="s">
        <v>140</v>
      </c>
      <c r="M3725" t="s">
        <v>26</v>
      </c>
      <c r="N3725" t="s">
        <v>140</v>
      </c>
      <c r="O3725">
        <v>1</v>
      </c>
      <c r="P3725" t="s">
        <v>74</v>
      </c>
      <c r="Q3725" t="s">
        <v>76</v>
      </c>
      <c r="R3725" t="str" cm="1">
        <f t="array" ref="R3725">_xlfn.IFS(B3725&lt;31,"Young-Adult",B3725&lt;41,"Adult",B3725&lt;61,"Middle-aged",B3725&gt;=61,"Senior")</f>
        <v>Young-Adult</v>
      </c>
      <c r="S3725" cm="1">
        <f t="array" ref="S3725">_xlfn.IFS(Q3725 ="Fortnightly",14,Q3725="Weekly",7,Q3725="Monthly",30,Q3725="Quarterly",90,Q3725="Bi-Weekly",14,Q3725="Annually",365,Q3725="Every 3 Months",90,TRUE,"NOT FOUND")</f>
        <v>30</v>
      </c>
    </row>
    <row r="3726" spans="1:19" x14ac:dyDescent="0.35">
      <c r="A3726">
        <v>3725</v>
      </c>
      <c r="B3726">
        <v>30</v>
      </c>
      <c r="C3726" t="s">
        <v>141</v>
      </c>
      <c r="D3726" t="s">
        <v>131</v>
      </c>
      <c r="E3726" t="s">
        <v>55</v>
      </c>
      <c r="F3726">
        <v>71</v>
      </c>
      <c r="G3726" t="s">
        <v>100</v>
      </c>
      <c r="H3726" t="s">
        <v>11</v>
      </c>
      <c r="I3726" t="s">
        <v>84</v>
      </c>
      <c r="J3726" t="s">
        <v>13</v>
      </c>
      <c r="K3726">
        <v>3.1</v>
      </c>
      <c r="L3726" t="s">
        <v>140</v>
      </c>
      <c r="M3726" t="s">
        <v>15</v>
      </c>
      <c r="N3726" t="s">
        <v>140</v>
      </c>
      <c r="O3726">
        <v>18</v>
      </c>
      <c r="P3726" t="s">
        <v>63</v>
      </c>
      <c r="Q3726" t="s">
        <v>37</v>
      </c>
      <c r="R3726" t="str" cm="1">
        <f t="array" ref="R3726">_xlfn.IFS(B3726&lt;31,"Young-Adult",B3726&lt;41,"Adult",B3726&lt;61,"Middle-aged",B3726&gt;=61,"Senior")</f>
        <v>Young-Adult</v>
      </c>
      <c r="S3726" cm="1">
        <f t="array" ref="S3726">_xlfn.IFS(Q3726 ="Fortnightly",14,Q3726="Weekly",7,Q3726="Monthly",30,Q3726="Quarterly",90,Q3726="Bi-Weekly",14,Q3726="Annually",365,Q3726="Every 3 Months",90,TRUE,"NOT FOUND")</f>
        <v>365</v>
      </c>
    </row>
    <row r="3727" spans="1:19" x14ac:dyDescent="0.35">
      <c r="A3727">
        <v>3726</v>
      </c>
      <c r="B3727">
        <v>18</v>
      </c>
      <c r="C3727" t="s">
        <v>141</v>
      </c>
      <c r="D3727" t="s">
        <v>69</v>
      </c>
      <c r="E3727" t="s">
        <v>9</v>
      </c>
      <c r="F3727">
        <v>100</v>
      </c>
      <c r="G3727" t="s">
        <v>89</v>
      </c>
      <c r="H3727" t="s">
        <v>24</v>
      </c>
      <c r="I3727" t="s">
        <v>36</v>
      </c>
      <c r="J3727" t="s">
        <v>13</v>
      </c>
      <c r="K3727">
        <v>4.4000000000000004</v>
      </c>
      <c r="L3727" t="s">
        <v>140</v>
      </c>
      <c r="M3727" t="s">
        <v>33</v>
      </c>
      <c r="N3727" t="s">
        <v>140</v>
      </c>
      <c r="O3727">
        <v>2</v>
      </c>
      <c r="P3727" t="s">
        <v>34</v>
      </c>
      <c r="Q3727" t="s">
        <v>37</v>
      </c>
      <c r="R3727" t="str" cm="1">
        <f t="array" ref="R3727">_xlfn.IFS(B3727&lt;31,"Young-Adult",B3727&lt;41,"Adult",B3727&lt;61,"Middle-aged",B3727&gt;=61,"Senior")</f>
        <v>Young-Adult</v>
      </c>
      <c r="S3727" cm="1">
        <f t="array" ref="S3727">_xlfn.IFS(Q3727 ="Fortnightly",14,Q3727="Weekly",7,Q3727="Monthly",30,Q3727="Quarterly",90,Q3727="Bi-Weekly",14,Q3727="Annually",365,Q3727="Every 3 Months",90,TRUE,"NOT FOUND")</f>
        <v>365</v>
      </c>
    </row>
    <row r="3728" spans="1:19" x14ac:dyDescent="0.35">
      <c r="A3728">
        <v>3727</v>
      </c>
      <c r="B3728">
        <v>47</v>
      </c>
      <c r="C3728" t="s">
        <v>141</v>
      </c>
      <c r="D3728" t="s">
        <v>121</v>
      </c>
      <c r="E3728" t="s">
        <v>55</v>
      </c>
      <c r="F3728">
        <v>85</v>
      </c>
      <c r="G3728" t="s">
        <v>123</v>
      </c>
      <c r="H3728" t="s">
        <v>80</v>
      </c>
      <c r="I3728" t="s">
        <v>109</v>
      </c>
      <c r="J3728" t="s">
        <v>45</v>
      </c>
      <c r="K3728">
        <v>4.3</v>
      </c>
      <c r="L3728" t="s">
        <v>140</v>
      </c>
      <c r="M3728" t="s">
        <v>33</v>
      </c>
      <c r="N3728" t="s">
        <v>140</v>
      </c>
      <c r="O3728">
        <v>36</v>
      </c>
      <c r="P3728" t="s">
        <v>74</v>
      </c>
      <c r="Q3728" t="s">
        <v>85</v>
      </c>
      <c r="R3728" t="str" cm="1">
        <f t="array" ref="R3728">_xlfn.IFS(B3728&lt;31,"Young-Adult",B3728&lt;41,"Adult",B3728&lt;61,"Middle-aged",B3728&gt;=61,"Senior")</f>
        <v>Middle-aged</v>
      </c>
      <c r="S3728" cm="1">
        <f t="array" ref="S3728">_xlfn.IFS(Q3728 ="Fortnightly",14,Q3728="Weekly",7,Q3728="Monthly",30,Q3728="Quarterly",90,Q3728="Bi-Weekly",14,Q3728="Annually",365,Q3728="Every 3 Months",90,TRUE,"NOT FOUND")</f>
        <v>90</v>
      </c>
    </row>
    <row r="3729" spans="1:19" x14ac:dyDescent="0.35">
      <c r="A3729">
        <v>3728</v>
      </c>
      <c r="B3729">
        <v>41</v>
      </c>
      <c r="C3729" t="s">
        <v>141</v>
      </c>
      <c r="D3729" t="s">
        <v>113</v>
      </c>
      <c r="E3729" t="s">
        <v>9</v>
      </c>
      <c r="F3729">
        <v>83</v>
      </c>
      <c r="G3729" t="s">
        <v>19</v>
      </c>
      <c r="H3729" t="s">
        <v>32</v>
      </c>
      <c r="I3729" t="s">
        <v>68</v>
      </c>
      <c r="J3729" t="s">
        <v>41</v>
      </c>
      <c r="K3729">
        <v>3.5</v>
      </c>
      <c r="L3729" t="s">
        <v>140</v>
      </c>
      <c r="M3729" t="s">
        <v>33</v>
      </c>
      <c r="N3729" t="s">
        <v>140</v>
      </c>
      <c r="O3729">
        <v>17</v>
      </c>
      <c r="P3729" t="s">
        <v>74</v>
      </c>
      <c r="Q3729" t="s">
        <v>64</v>
      </c>
      <c r="R3729" t="str" cm="1">
        <f t="array" ref="R3729">_xlfn.IFS(B3729&lt;31,"Young-Adult",B3729&lt;41,"Adult",B3729&lt;61,"Middle-aged",B3729&gt;=61,"Senior")</f>
        <v>Middle-aged</v>
      </c>
      <c r="S3729" cm="1">
        <f t="array" ref="S3729">_xlfn.IFS(Q3729 ="Fortnightly",14,Q3729="Weekly",7,Q3729="Monthly",30,Q3729="Quarterly",90,Q3729="Bi-Weekly",14,Q3729="Annually",365,Q3729="Every 3 Months",90,TRUE,"NOT FOUND")</f>
        <v>14</v>
      </c>
    </row>
    <row r="3730" spans="1:19" x14ac:dyDescent="0.35">
      <c r="A3730">
        <v>3729</v>
      </c>
      <c r="B3730">
        <v>62</v>
      </c>
      <c r="C3730" t="s">
        <v>141</v>
      </c>
      <c r="D3730" t="s">
        <v>90</v>
      </c>
      <c r="E3730" t="s">
        <v>51</v>
      </c>
      <c r="F3730">
        <v>31</v>
      </c>
      <c r="G3730" t="s">
        <v>117</v>
      </c>
      <c r="H3730" t="s">
        <v>11</v>
      </c>
      <c r="I3730" t="s">
        <v>96</v>
      </c>
      <c r="J3730" t="s">
        <v>13</v>
      </c>
      <c r="K3730">
        <v>3</v>
      </c>
      <c r="L3730" t="s">
        <v>140</v>
      </c>
      <c r="M3730" t="s">
        <v>42</v>
      </c>
      <c r="N3730" t="s">
        <v>140</v>
      </c>
      <c r="O3730">
        <v>1</v>
      </c>
      <c r="P3730" t="s">
        <v>74</v>
      </c>
      <c r="Q3730" t="s">
        <v>37</v>
      </c>
      <c r="R3730" t="str" cm="1">
        <f t="array" ref="R3730">_xlfn.IFS(B3730&lt;31,"Young-Adult",B3730&lt;41,"Adult",B3730&lt;61,"Middle-aged",B3730&gt;=61,"Senior")</f>
        <v>Senior</v>
      </c>
      <c r="S3730" cm="1">
        <f t="array" ref="S3730">_xlfn.IFS(Q3730 ="Fortnightly",14,Q3730="Weekly",7,Q3730="Monthly",30,Q3730="Quarterly",90,Q3730="Bi-Weekly",14,Q3730="Annually",365,Q3730="Every 3 Months",90,TRUE,"NOT FOUND")</f>
        <v>365</v>
      </c>
    </row>
    <row r="3731" spans="1:19" x14ac:dyDescent="0.35">
      <c r="A3731">
        <v>3730</v>
      </c>
      <c r="B3731">
        <v>28</v>
      </c>
      <c r="C3731" t="s">
        <v>141</v>
      </c>
      <c r="D3731" t="s">
        <v>125</v>
      </c>
      <c r="E3731" t="s">
        <v>30</v>
      </c>
      <c r="F3731">
        <v>82</v>
      </c>
      <c r="G3731" t="s">
        <v>31</v>
      </c>
      <c r="H3731" t="s">
        <v>32</v>
      </c>
      <c r="I3731" t="s">
        <v>73</v>
      </c>
      <c r="J3731" t="s">
        <v>25</v>
      </c>
      <c r="K3731">
        <v>4.7</v>
      </c>
      <c r="L3731" t="s">
        <v>140</v>
      </c>
      <c r="M3731" t="s">
        <v>58</v>
      </c>
      <c r="N3731" t="s">
        <v>140</v>
      </c>
      <c r="O3731">
        <v>50</v>
      </c>
      <c r="P3731" t="s">
        <v>21</v>
      </c>
      <c r="Q3731" t="s">
        <v>46</v>
      </c>
      <c r="R3731" t="str" cm="1">
        <f t="array" ref="R3731">_xlfn.IFS(B3731&lt;31,"Young-Adult",B3731&lt;41,"Adult",B3731&lt;61,"Middle-aged",B3731&gt;=61,"Senior")</f>
        <v>Young-Adult</v>
      </c>
      <c r="S3731" cm="1">
        <f t="array" ref="S3731">_xlfn.IFS(Q3731 ="Fortnightly",14,Q3731="Weekly",7,Q3731="Monthly",30,Q3731="Quarterly",90,Q3731="Bi-Weekly",14,Q3731="Annually",365,Q3731="Every 3 Months",90,TRUE,"NOT FOUND")</f>
        <v>90</v>
      </c>
    </row>
    <row r="3732" spans="1:19" x14ac:dyDescent="0.35">
      <c r="A3732">
        <v>3731</v>
      </c>
      <c r="B3732">
        <v>46</v>
      </c>
      <c r="C3732" t="s">
        <v>141</v>
      </c>
      <c r="D3732" t="s">
        <v>43</v>
      </c>
      <c r="E3732" t="s">
        <v>9</v>
      </c>
      <c r="F3732">
        <v>79</v>
      </c>
      <c r="G3732" t="s">
        <v>91</v>
      </c>
      <c r="H3732" t="s">
        <v>32</v>
      </c>
      <c r="I3732" t="s">
        <v>73</v>
      </c>
      <c r="J3732" t="s">
        <v>41</v>
      </c>
      <c r="K3732">
        <v>2.5</v>
      </c>
      <c r="L3732" t="s">
        <v>140</v>
      </c>
      <c r="M3732" t="s">
        <v>58</v>
      </c>
      <c r="N3732" t="s">
        <v>140</v>
      </c>
      <c r="O3732">
        <v>3</v>
      </c>
      <c r="P3732" t="s">
        <v>27</v>
      </c>
      <c r="Q3732" t="s">
        <v>64</v>
      </c>
      <c r="R3732" t="str" cm="1">
        <f t="array" ref="R3732">_xlfn.IFS(B3732&lt;31,"Young-Adult",B3732&lt;41,"Adult",B3732&lt;61,"Middle-aged",B3732&gt;=61,"Senior")</f>
        <v>Middle-aged</v>
      </c>
      <c r="S3732" cm="1">
        <f t="array" ref="S3732">_xlfn.IFS(Q3732 ="Fortnightly",14,Q3732="Weekly",7,Q3732="Monthly",30,Q3732="Quarterly",90,Q3732="Bi-Weekly",14,Q3732="Annually",365,Q3732="Every 3 Months",90,TRUE,"NOT FOUND")</f>
        <v>14</v>
      </c>
    </row>
    <row r="3733" spans="1:19" x14ac:dyDescent="0.35">
      <c r="A3733">
        <v>3732</v>
      </c>
      <c r="B3733">
        <v>54</v>
      </c>
      <c r="C3733" t="s">
        <v>141</v>
      </c>
      <c r="D3733" t="s">
        <v>112</v>
      </c>
      <c r="E3733" t="s">
        <v>55</v>
      </c>
      <c r="F3733">
        <v>62</v>
      </c>
      <c r="G3733" t="s">
        <v>52</v>
      </c>
      <c r="H3733" t="s">
        <v>32</v>
      </c>
      <c r="I3733" t="s">
        <v>81</v>
      </c>
      <c r="J3733" t="s">
        <v>25</v>
      </c>
      <c r="K3733">
        <v>3.1</v>
      </c>
      <c r="L3733" t="s">
        <v>140</v>
      </c>
      <c r="M3733" t="s">
        <v>58</v>
      </c>
      <c r="N3733" t="s">
        <v>140</v>
      </c>
      <c r="O3733">
        <v>45</v>
      </c>
      <c r="P3733" t="s">
        <v>34</v>
      </c>
      <c r="Q3733" t="s">
        <v>46</v>
      </c>
      <c r="R3733" t="str" cm="1">
        <f t="array" ref="R3733">_xlfn.IFS(B3733&lt;31,"Young-Adult",B3733&lt;41,"Adult",B3733&lt;61,"Middle-aged",B3733&gt;=61,"Senior")</f>
        <v>Middle-aged</v>
      </c>
      <c r="S3733" cm="1">
        <f t="array" ref="S3733">_xlfn.IFS(Q3733 ="Fortnightly",14,Q3733="Weekly",7,Q3733="Monthly",30,Q3733="Quarterly",90,Q3733="Bi-Weekly",14,Q3733="Annually",365,Q3733="Every 3 Months",90,TRUE,"NOT FOUND")</f>
        <v>90</v>
      </c>
    </row>
    <row r="3734" spans="1:19" x14ac:dyDescent="0.35">
      <c r="A3734">
        <v>3733</v>
      </c>
      <c r="B3734">
        <v>36</v>
      </c>
      <c r="C3734" t="s">
        <v>141</v>
      </c>
      <c r="D3734" t="s">
        <v>59</v>
      </c>
      <c r="E3734" t="s">
        <v>30</v>
      </c>
      <c r="F3734">
        <v>92</v>
      </c>
      <c r="G3734" t="s">
        <v>104</v>
      </c>
      <c r="H3734" t="s">
        <v>11</v>
      </c>
      <c r="I3734" t="s">
        <v>57</v>
      </c>
      <c r="J3734" t="s">
        <v>25</v>
      </c>
      <c r="K3734">
        <v>3.3</v>
      </c>
      <c r="L3734" t="s">
        <v>140</v>
      </c>
      <c r="M3734" t="s">
        <v>26</v>
      </c>
      <c r="N3734" t="s">
        <v>140</v>
      </c>
      <c r="O3734">
        <v>28</v>
      </c>
      <c r="P3734" t="s">
        <v>34</v>
      </c>
      <c r="Q3734" t="s">
        <v>37</v>
      </c>
      <c r="R3734" t="str" cm="1">
        <f t="array" ref="R3734">_xlfn.IFS(B3734&lt;31,"Young-Adult",B3734&lt;41,"Adult",B3734&lt;61,"Middle-aged",B3734&gt;=61,"Senior")</f>
        <v>Adult</v>
      </c>
      <c r="S3734" cm="1">
        <f t="array" ref="S3734">_xlfn.IFS(Q3734 ="Fortnightly",14,Q3734="Weekly",7,Q3734="Monthly",30,Q3734="Quarterly",90,Q3734="Bi-Weekly",14,Q3734="Annually",365,Q3734="Every 3 Months",90,TRUE,"NOT FOUND")</f>
        <v>365</v>
      </c>
    </row>
    <row r="3735" spans="1:19" x14ac:dyDescent="0.35">
      <c r="A3735">
        <v>3734</v>
      </c>
      <c r="B3735">
        <v>25</v>
      </c>
      <c r="C3735" t="s">
        <v>141</v>
      </c>
      <c r="D3735" t="s">
        <v>113</v>
      </c>
      <c r="E3735" t="s">
        <v>9</v>
      </c>
      <c r="F3735">
        <v>58</v>
      </c>
      <c r="G3735" t="s">
        <v>103</v>
      </c>
      <c r="H3735" t="s">
        <v>32</v>
      </c>
      <c r="I3735" t="s">
        <v>20</v>
      </c>
      <c r="J3735" t="s">
        <v>45</v>
      </c>
      <c r="K3735">
        <v>4.7</v>
      </c>
      <c r="L3735" t="s">
        <v>140</v>
      </c>
      <c r="M3735" t="s">
        <v>33</v>
      </c>
      <c r="N3735" t="s">
        <v>140</v>
      </c>
      <c r="O3735">
        <v>6</v>
      </c>
      <c r="P3735" t="s">
        <v>74</v>
      </c>
      <c r="Q3735" t="s">
        <v>85</v>
      </c>
      <c r="R3735" t="str" cm="1">
        <f t="array" ref="R3735">_xlfn.IFS(B3735&lt;31,"Young-Adult",B3735&lt;41,"Adult",B3735&lt;61,"Middle-aged",B3735&gt;=61,"Senior")</f>
        <v>Young-Adult</v>
      </c>
      <c r="S3735" cm="1">
        <f t="array" ref="S3735">_xlfn.IFS(Q3735 ="Fortnightly",14,Q3735="Weekly",7,Q3735="Monthly",30,Q3735="Quarterly",90,Q3735="Bi-Weekly",14,Q3735="Annually",365,Q3735="Every 3 Months",90,TRUE,"NOT FOUND")</f>
        <v>90</v>
      </c>
    </row>
    <row r="3736" spans="1:19" x14ac:dyDescent="0.35">
      <c r="A3736">
        <v>3735</v>
      </c>
      <c r="B3736">
        <v>38</v>
      </c>
      <c r="C3736" t="s">
        <v>141</v>
      </c>
      <c r="D3736" t="s">
        <v>92</v>
      </c>
      <c r="E3736" t="s">
        <v>9</v>
      </c>
      <c r="F3736">
        <v>88</v>
      </c>
      <c r="G3736" t="s">
        <v>87</v>
      </c>
      <c r="H3736" t="s">
        <v>32</v>
      </c>
      <c r="I3736" t="s">
        <v>106</v>
      </c>
      <c r="J3736" t="s">
        <v>25</v>
      </c>
      <c r="K3736">
        <v>3.4</v>
      </c>
      <c r="L3736" t="s">
        <v>140</v>
      </c>
      <c r="M3736" t="s">
        <v>33</v>
      </c>
      <c r="N3736" t="s">
        <v>140</v>
      </c>
      <c r="O3736">
        <v>33</v>
      </c>
      <c r="P3736" t="s">
        <v>74</v>
      </c>
      <c r="Q3736" t="s">
        <v>85</v>
      </c>
      <c r="R3736" t="str" cm="1">
        <f t="array" ref="R3736">_xlfn.IFS(B3736&lt;31,"Young-Adult",B3736&lt;41,"Adult",B3736&lt;61,"Middle-aged",B3736&gt;=61,"Senior")</f>
        <v>Adult</v>
      </c>
      <c r="S3736" cm="1">
        <f t="array" ref="S3736">_xlfn.IFS(Q3736 ="Fortnightly",14,Q3736="Weekly",7,Q3736="Monthly",30,Q3736="Quarterly",90,Q3736="Bi-Weekly",14,Q3736="Annually",365,Q3736="Every 3 Months",90,TRUE,"NOT FOUND")</f>
        <v>90</v>
      </c>
    </row>
    <row r="3737" spans="1:19" x14ac:dyDescent="0.35">
      <c r="A3737">
        <v>3736</v>
      </c>
      <c r="B3737">
        <v>38</v>
      </c>
      <c r="C3737" t="s">
        <v>141</v>
      </c>
      <c r="D3737" t="s">
        <v>29</v>
      </c>
      <c r="E3737" t="s">
        <v>30</v>
      </c>
      <c r="F3737">
        <v>44</v>
      </c>
      <c r="G3737" t="s">
        <v>23</v>
      </c>
      <c r="H3737" t="s">
        <v>11</v>
      </c>
      <c r="I3737" t="s">
        <v>109</v>
      </c>
      <c r="J3737" t="s">
        <v>25</v>
      </c>
      <c r="K3737">
        <v>3.1</v>
      </c>
      <c r="L3737" t="s">
        <v>140</v>
      </c>
      <c r="M3737" t="s">
        <v>58</v>
      </c>
      <c r="N3737" t="s">
        <v>140</v>
      </c>
      <c r="O3737">
        <v>29</v>
      </c>
      <c r="P3737" t="s">
        <v>34</v>
      </c>
      <c r="Q3737" t="s">
        <v>37</v>
      </c>
      <c r="R3737" t="str" cm="1">
        <f t="array" ref="R3737">_xlfn.IFS(B3737&lt;31,"Young-Adult",B3737&lt;41,"Adult",B3737&lt;61,"Middle-aged",B3737&gt;=61,"Senior")</f>
        <v>Adult</v>
      </c>
      <c r="S3737" cm="1">
        <f t="array" ref="S3737">_xlfn.IFS(Q3737 ="Fortnightly",14,Q3737="Weekly",7,Q3737="Monthly",30,Q3737="Quarterly",90,Q3737="Bi-Weekly",14,Q3737="Annually",365,Q3737="Every 3 Months",90,TRUE,"NOT FOUND")</f>
        <v>365</v>
      </c>
    </row>
    <row r="3738" spans="1:19" x14ac:dyDescent="0.35">
      <c r="A3738">
        <v>3737</v>
      </c>
      <c r="B3738">
        <v>42</v>
      </c>
      <c r="C3738" t="s">
        <v>141</v>
      </c>
      <c r="D3738" t="s">
        <v>22</v>
      </c>
      <c r="E3738" t="s">
        <v>9</v>
      </c>
      <c r="F3738">
        <v>56</v>
      </c>
      <c r="G3738" t="s">
        <v>123</v>
      </c>
      <c r="H3738" t="s">
        <v>32</v>
      </c>
      <c r="I3738" t="s">
        <v>96</v>
      </c>
      <c r="J3738" t="s">
        <v>25</v>
      </c>
      <c r="K3738">
        <v>4.5999999999999996</v>
      </c>
      <c r="L3738" t="s">
        <v>140</v>
      </c>
      <c r="M3738" t="s">
        <v>62</v>
      </c>
      <c r="N3738" t="s">
        <v>140</v>
      </c>
      <c r="O3738">
        <v>2</v>
      </c>
      <c r="P3738" t="s">
        <v>34</v>
      </c>
      <c r="Q3738" t="s">
        <v>85</v>
      </c>
      <c r="R3738" t="str" cm="1">
        <f t="array" ref="R3738">_xlfn.IFS(B3738&lt;31,"Young-Adult",B3738&lt;41,"Adult",B3738&lt;61,"Middle-aged",B3738&gt;=61,"Senior")</f>
        <v>Middle-aged</v>
      </c>
      <c r="S3738" cm="1">
        <f t="array" ref="S3738">_xlfn.IFS(Q3738 ="Fortnightly",14,Q3738="Weekly",7,Q3738="Monthly",30,Q3738="Quarterly",90,Q3738="Bi-Weekly",14,Q3738="Annually",365,Q3738="Every 3 Months",90,TRUE,"NOT FOUND")</f>
        <v>90</v>
      </c>
    </row>
    <row r="3739" spans="1:19" x14ac:dyDescent="0.35">
      <c r="A3739">
        <v>3738</v>
      </c>
      <c r="B3739">
        <v>19</v>
      </c>
      <c r="C3739" t="s">
        <v>141</v>
      </c>
      <c r="D3739" t="s">
        <v>94</v>
      </c>
      <c r="E3739" t="s">
        <v>55</v>
      </c>
      <c r="F3739">
        <v>23</v>
      </c>
      <c r="G3739" t="s">
        <v>10</v>
      </c>
      <c r="H3739" t="s">
        <v>24</v>
      </c>
      <c r="I3739" t="s">
        <v>20</v>
      </c>
      <c r="J3739" t="s">
        <v>13</v>
      </c>
      <c r="K3739">
        <v>4.9000000000000004</v>
      </c>
      <c r="L3739" t="s">
        <v>140</v>
      </c>
      <c r="M3739" t="s">
        <v>26</v>
      </c>
      <c r="N3739" t="s">
        <v>140</v>
      </c>
      <c r="O3739">
        <v>43</v>
      </c>
      <c r="P3739" t="s">
        <v>34</v>
      </c>
      <c r="Q3739" t="s">
        <v>64</v>
      </c>
      <c r="R3739" t="str" cm="1">
        <f t="array" ref="R3739">_xlfn.IFS(B3739&lt;31,"Young-Adult",B3739&lt;41,"Adult",B3739&lt;61,"Middle-aged",B3739&gt;=61,"Senior")</f>
        <v>Young-Adult</v>
      </c>
      <c r="S3739" cm="1">
        <f t="array" ref="S3739">_xlfn.IFS(Q3739 ="Fortnightly",14,Q3739="Weekly",7,Q3739="Monthly",30,Q3739="Quarterly",90,Q3739="Bi-Weekly",14,Q3739="Annually",365,Q3739="Every 3 Months",90,TRUE,"NOT FOUND")</f>
        <v>14</v>
      </c>
    </row>
    <row r="3740" spans="1:19" x14ac:dyDescent="0.35">
      <c r="A3740">
        <v>3739</v>
      </c>
      <c r="B3740">
        <v>34</v>
      </c>
      <c r="C3740" t="s">
        <v>141</v>
      </c>
      <c r="D3740" t="s">
        <v>47</v>
      </c>
      <c r="E3740" t="s">
        <v>9</v>
      </c>
      <c r="F3740">
        <v>45</v>
      </c>
      <c r="G3740" t="s">
        <v>67</v>
      </c>
      <c r="H3740" t="s">
        <v>32</v>
      </c>
      <c r="I3740" t="s">
        <v>98</v>
      </c>
      <c r="J3740" t="s">
        <v>25</v>
      </c>
      <c r="K3740">
        <v>2.7</v>
      </c>
      <c r="L3740" t="s">
        <v>140</v>
      </c>
      <c r="M3740" t="s">
        <v>26</v>
      </c>
      <c r="N3740" t="s">
        <v>140</v>
      </c>
      <c r="O3740">
        <v>48</v>
      </c>
      <c r="P3740" t="s">
        <v>21</v>
      </c>
      <c r="Q3740" t="s">
        <v>17</v>
      </c>
      <c r="R3740" t="str" cm="1">
        <f t="array" ref="R3740">_xlfn.IFS(B3740&lt;31,"Young-Adult",B3740&lt;41,"Adult",B3740&lt;61,"Middle-aged",B3740&gt;=61,"Senior")</f>
        <v>Adult</v>
      </c>
      <c r="S3740" cm="1">
        <f t="array" ref="S3740">_xlfn.IFS(Q3740 ="Fortnightly",14,Q3740="Weekly",7,Q3740="Monthly",30,Q3740="Quarterly",90,Q3740="Bi-Weekly",14,Q3740="Annually",365,Q3740="Every 3 Months",90,TRUE,"NOT FOUND")</f>
        <v>14</v>
      </c>
    </row>
    <row r="3741" spans="1:19" x14ac:dyDescent="0.35">
      <c r="A3741">
        <v>3740</v>
      </c>
      <c r="B3741">
        <v>38</v>
      </c>
      <c r="C3741" t="s">
        <v>141</v>
      </c>
      <c r="D3741" t="s">
        <v>77</v>
      </c>
      <c r="E3741" t="s">
        <v>55</v>
      </c>
      <c r="F3741">
        <v>31</v>
      </c>
      <c r="G3741" t="s">
        <v>123</v>
      </c>
      <c r="H3741" t="s">
        <v>32</v>
      </c>
      <c r="I3741" t="s">
        <v>66</v>
      </c>
      <c r="J3741" t="s">
        <v>45</v>
      </c>
      <c r="K3741">
        <v>4.2</v>
      </c>
      <c r="L3741" t="s">
        <v>140</v>
      </c>
      <c r="M3741" t="s">
        <v>26</v>
      </c>
      <c r="N3741" t="s">
        <v>140</v>
      </c>
      <c r="O3741">
        <v>43</v>
      </c>
      <c r="P3741" t="s">
        <v>27</v>
      </c>
      <c r="Q3741" t="s">
        <v>28</v>
      </c>
      <c r="R3741" t="str" cm="1">
        <f t="array" ref="R3741">_xlfn.IFS(B3741&lt;31,"Young-Adult",B3741&lt;41,"Adult",B3741&lt;61,"Middle-aged",B3741&gt;=61,"Senior")</f>
        <v>Adult</v>
      </c>
      <c r="S3741" cm="1">
        <f t="array" ref="S3741">_xlfn.IFS(Q3741 ="Fortnightly",14,Q3741="Weekly",7,Q3741="Monthly",30,Q3741="Quarterly",90,Q3741="Bi-Weekly",14,Q3741="Annually",365,Q3741="Every 3 Months",90,TRUE,"NOT FOUND")</f>
        <v>7</v>
      </c>
    </row>
    <row r="3742" spans="1:19" x14ac:dyDescent="0.35">
      <c r="A3742">
        <v>3741</v>
      </c>
      <c r="B3742">
        <v>42</v>
      </c>
      <c r="C3742" t="s">
        <v>141</v>
      </c>
      <c r="D3742" t="s">
        <v>83</v>
      </c>
      <c r="E3742" t="s">
        <v>9</v>
      </c>
      <c r="F3742">
        <v>96</v>
      </c>
      <c r="G3742" t="s">
        <v>129</v>
      </c>
      <c r="H3742" t="s">
        <v>32</v>
      </c>
      <c r="I3742" t="s">
        <v>53</v>
      </c>
      <c r="J3742" t="s">
        <v>41</v>
      </c>
      <c r="K3742">
        <v>2.6</v>
      </c>
      <c r="L3742" t="s">
        <v>140</v>
      </c>
      <c r="M3742" t="s">
        <v>62</v>
      </c>
      <c r="N3742" t="s">
        <v>140</v>
      </c>
      <c r="O3742">
        <v>26</v>
      </c>
      <c r="P3742" t="s">
        <v>74</v>
      </c>
      <c r="Q3742" t="s">
        <v>64</v>
      </c>
      <c r="R3742" t="str" cm="1">
        <f t="array" ref="R3742">_xlfn.IFS(B3742&lt;31,"Young-Adult",B3742&lt;41,"Adult",B3742&lt;61,"Middle-aged",B3742&gt;=61,"Senior")</f>
        <v>Middle-aged</v>
      </c>
      <c r="S3742" cm="1">
        <f t="array" ref="S3742">_xlfn.IFS(Q3742 ="Fortnightly",14,Q3742="Weekly",7,Q3742="Monthly",30,Q3742="Quarterly",90,Q3742="Bi-Weekly",14,Q3742="Annually",365,Q3742="Every 3 Months",90,TRUE,"NOT FOUND")</f>
        <v>14</v>
      </c>
    </row>
    <row r="3743" spans="1:19" x14ac:dyDescent="0.35">
      <c r="A3743">
        <v>3742</v>
      </c>
      <c r="B3743">
        <v>58</v>
      </c>
      <c r="C3743" t="s">
        <v>141</v>
      </c>
      <c r="D3743" t="s">
        <v>43</v>
      </c>
      <c r="E3743" t="s">
        <v>9</v>
      </c>
      <c r="F3743">
        <v>96</v>
      </c>
      <c r="G3743" t="s">
        <v>105</v>
      </c>
      <c r="H3743" t="s">
        <v>32</v>
      </c>
      <c r="I3743" t="s">
        <v>61</v>
      </c>
      <c r="J3743" t="s">
        <v>25</v>
      </c>
      <c r="K3743">
        <v>3.2</v>
      </c>
      <c r="L3743" t="s">
        <v>140</v>
      </c>
      <c r="M3743" t="s">
        <v>58</v>
      </c>
      <c r="N3743" t="s">
        <v>140</v>
      </c>
      <c r="O3743">
        <v>26</v>
      </c>
      <c r="P3743" t="s">
        <v>74</v>
      </c>
      <c r="Q3743" t="s">
        <v>64</v>
      </c>
      <c r="R3743" t="str" cm="1">
        <f t="array" ref="R3743">_xlfn.IFS(B3743&lt;31,"Young-Adult",B3743&lt;41,"Adult",B3743&lt;61,"Middle-aged",B3743&gt;=61,"Senior")</f>
        <v>Middle-aged</v>
      </c>
      <c r="S3743" cm="1">
        <f t="array" ref="S3743">_xlfn.IFS(Q3743 ="Fortnightly",14,Q3743="Weekly",7,Q3743="Monthly",30,Q3743="Quarterly",90,Q3743="Bi-Weekly",14,Q3743="Annually",365,Q3743="Every 3 Months",90,TRUE,"NOT FOUND")</f>
        <v>14</v>
      </c>
    </row>
    <row r="3744" spans="1:19" x14ac:dyDescent="0.35">
      <c r="A3744">
        <v>3743</v>
      </c>
      <c r="B3744">
        <v>56</v>
      </c>
      <c r="C3744" t="s">
        <v>141</v>
      </c>
      <c r="D3744" t="s">
        <v>43</v>
      </c>
      <c r="E3744" t="s">
        <v>9</v>
      </c>
      <c r="F3744">
        <v>80</v>
      </c>
      <c r="G3744" t="s">
        <v>116</v>
      </c>
      <c r="H3744" t="s">
        <v>32</v>
      </c>
      <c r="I3744" t="s">
        <v>12</v>
      </c>
      <c r="J3744" t="s">
        <v>45</v>
      </c>
      <c r="K3744">
        <v>4.4000000000000004</v>
      </c>
      <c r="L3744" t="s">
        <v>140</v>
      </c>
      <c r="M3744" t="s">
        <v>42</v>
      </c>
      <c r="N3744" t="s">
        <v>140</v>
      </c>
      <c r="O3744">
        <v>50</v>
      </c>
      <c r="P3744" t="s">
        <v>27</v>
      </c>
      <c r="Q3744" t="s">
        <v>64</v>
      </c>
      <c r="R3744" t="str" cm="1">
        <f t="array" ref="R3744">_xlfn.IFS(B3744&lt;31,"Young-Adult",B3744&lt;41,"Adult",B3744&lt;61,"Middle-aged",B3744&gt;=61,"Senior")</f>
        <v>Middle-aged</v>
      </c>
      <c r="S3744" cm="1">
        <f t="array" ref="S3744">_xlfn.IFS(Q3744 ="Fortnightly",14,Q3744="Weekly",7,Q3744="Monthly",30,Q3744="Quarterly",90,Q3744="Bi-Weekly",14,Q3744="Annually",365,Q3744="Every 3 Months",90,TRUE,"NOT FOUND")</f>
        <v>14</v>
      </c>
    </row>
    <row r="3745" spans="1:19" x14ac:dyDescent="0.35">
      <c r="A3745">
        <v>3744</v>
      </c>
      <c r="B3745">
        <v>62</v>
      </c>
      <c r="C3745" t="s">
        <v>141</v>
      </c>
      <c r="D3745" t="s">
        <v>83</v>
      </c>
      <c r="E3745" t="s">
        <v>9</v>
      </c>
      <c r="F3745">
        <v>28</v>
      </c>
      <c r="G3745" t="s">
        <v>123</v>
      </c>
      <c r="H3745" t="s">
        <v>11</v>
      </c>
      <c r="I3745" t="s">
        <v>97</v>
      </c>
      <c r="J3745" t="s">
        <v>45</v>
      </c>
      <c r="K3745">
        <v>3.6</v>
      </c>
      <c r="L3745" t="s">
        <v>140</v>
      </c>
      <c r="M3745" t="s">
        <v>26</v>
      </c>
      <c r="N3745" t="s">
        <v>140</v>
      </c>
      <c r="O3745">
        <v>36</v>
      </c>
      <c r="P3745" t="s">
        <v>74</v>
      </c>
      <c r="Q3745" t="s">
        <v>46</v>
      </c>
      <c r="R3745" t="str" cm="1">
        <f t="array" ref="R3745">_xlfn.IFS(B3745&lt;31,"Young-Adult",B3745&lt;41,"Adult",B3745&lt;61,"Middle-aged",B3745&gt;=61,"Senior")</f>
        <v>Senior</v>
      </c>
      <c r="S3745" cm="1">
        <f t="array" ref="S3745">_xlfn.IFS(Q3745 ="Fortnightly",14,Q3745="Weekly",7,Q3745="Monthly",30,Q3745="Quarterly",90,Q3745="Bi-Weekly",14,Q3745="Annually",365,Q3745="Every 3 Months",90,TRUE,"NOT FOUND")</f>
        <v>90</v>
      </c>
    </row>
    <row r="3746" spans="1:19" x14ac:dyDescent="0.35">
      <c r="A3746">
        <v>3745</v>
      </c>
      <c r="B3746">
        <v>24</v>
      </c>
      <c r="C3746" t="s">
        <v>141</v>
      </c>
      <c r="D3746" t="s">
        <v>92</v>
      </c>
      <c r="E3746" t="s">
        <v>9</v>
      </c>
      <c r="F3746">
        <v>51</v>
      </c>
      <c r="G3746" t="s">
        <v>115</v>
      </c>
      <c r="H3746" t="s">
        <v>32</v>
      </c>
      <c r="I3746" t="s">
        <v>12</v>
      </c>
      <c r="J3746" t="s">
        <v>41</v>
      </c>
      <c r="K3746">
        <v>2.7</v>
      </c>
      <c r="L3746" t="s">
        <v>140</v>
      </c>
      <c r="M3746" t="s">
        <v>33</v>
      </c>
      <c r="N3746" t="s">
        <v>140</v>
      </c>
      <c r="O3746">
        <v>26</v>
      </c>
      <c r="P3746" t="s">
        <v>63</v>
      </c>
      <c r="Q3746" t="s">
        <v>17</v>
      </c>
      <c r="R3746" t="str" cm="1">
        <f t="array" ref="R3746">_xlfn.IFS(B3746&lt;31,"Young-Adult",B3746&lt;41,"Adult",B3746&lt;61,"Middle-aged",B3746&gt;=61,"Senior")</f>
        <v>Young-Adult</v>
      </c>
      <c r="S3746" cm="1">
        <f t="array" ref="S3746">_xlfn.IFS(Q3746 ="Fortnightly",14,Q3746="Weekly",7,Q3746="Monthly",30,Q3746="Quarterly",90,Q3746="Bi-Weekly",14,Q3746="Annually",365,Q3746="Every 3 Months",90,TRUE,"NOT FOUND")</f>
        <v>14</v>
      </c>
    </row>
    <row r="3747" spans="1:19" x14ac:dyDescent="0.35">
      <c r="A3747">
        <v>3746</v>
      </c>
      <c r="B3747">
        <v>60</v>
      </c>
      <c r="C3747" t="s">
        <v>141</v>
      </c>
      <c r="D3747" t="s">
        <v>113</v>
      </c>
      <c r="E3747" t="s">
        <v>9</v>
      </c>
      <c r="F3747">
        <v>41</v>
      </c>
      <c r="G3747" t="s">
        <v>137</v>
      </c>
      <c r="H3747" t="s">
        <v>11</v>
      </c>
      <c r="I3747" t="s">
        <v>68</v>
      </c>
      <c r="J3747" t="s">
        <v>25</v>
      </c>
      <c r="K3747">
        <v>4.3</v>
      </c>
      <c r="L3747" t="s">
        <v>140</v>
      </c>
      <c r="M3747" t="s">
        <v>15</v>
      </c>
      <c r="N3747" t="s">
        <v>140</v>
      </c>
      <c r="O3747">
        <v>2</v>
      </c>
      <c r="P3747" t="s">
        <v>74</v>
      </c>
      <c r="Q3747" t="s">
        <v>76</v>
      </c>
      <c r="R3747" t="str" cm="1">
        <f t="array" ref="R3747">_xlfn.IFS(B3747&lt;31,"Young-Adult",B3747&lt;41,"Adult",B3747&lt;61,"Middle-aged",B3747&gt;=61,"Senior")</f>
        <v>Middle-aged</v>
      </c>
      <c r="S3747" cm="1">
        <f t="array" ref="S3747">_xlfn.IFS(Q3747 ="Fortnightly",14,Q3747="Weekly",7,Q3747="Monthly",30,Q3747="Quarterly",90,Q3747="Bi-Weekly",14,Q3747="Annually",365,Q3747="Every 3 Months",90,TRUE,"NOT FOUND")</f>
        <v>30</v>
      </c>
    </row>
    <row r="3748" spans="1:19" x14ac:dyDescent="0.35">
      <c r="A3748">
        <v>3747</v>
      </c>
      <c r="B3748">
        <v>53</v>
      </c>
      <c r="C3748" t="s">
        <v>141</v>
      </c>
      <c r="D3748" t="s">
        <v>50</v>
      </c>
      <c r="E3748" t="s">
        <v>51</v>
      </c>
      <c r="F3748">
        <v>99</v>
      </c>
      <c r="G3748" t="s">
        <v>123</v>
      </c>
      <c r="H3748" t="s">
        <v>80</v>
      </c>
      <c r="I3748" t="s">
        <v>97</v>
      </c>
      <c r="J3748" t="s">
        <v>41</v>
      </c>
      <c r="K3748">
        <v>2.6</v>
      </c>
      <c r="L3748" t="s">
        <v>140</v>
      </c>
      <c r="M3748" t="s">
        <v>33</v>
      </c>
      <c r="N3748" t="s">
        <v>140</v>
      </c>
      <c r="O3748">
        <v>49</v>
      </c>
      <c r="P3748" t="s">
        <v>34</v>
      </c>
      <c r="Q3748" t="s">
        <v>76</v>
      </c>
      <c r="R3748" t="str" cm="1">
        <f t="array" ref="R3748">_xlfn.IFS(B3748&lt;31,"Young-Adult",B3748&lt;41,"Adult",B3748&lt;61,"Middle-aged",B3748&gt;=61,"Senior")</f>
        <v>Middle-aged</v>
      </c>
      <c r="S3748" cm="1">
        <f t="array" ref="S3748">_xlfn.IFS(Q3748 ="Fortnightly",14,Q3748="Weekly",7,Q3748="Monthly",30,Q3748="Quarterly",90,Q3748="Bi-Weekly",14,Q3748="Annually",365,Q3748="Every 3 Months",90,TRUE,"NOT FOUND")</f>
        <v>30</v>
      </c>
    </row>
    <row r="3749" spans="1:19" x14ac:dyDescent="0.35">
      <c r="A3749">
        <v>3748</v>
      </c>
      <c r="B3749">
        <v>26</v>
      </c>
      <c r="C3749" t="s">
        <v>141</v>
      </c>
      <c r="D3749" t="s">
        <v>18</v>
      </c>
      <c r="E3749" t="s">
        <v>9</v>
      </c>
      <c r="F3749">
        <v>53</v>
      </c>
      <c r="G3749" t="s">
        <v>31</v>
      </c>
      <c r="H3749" t="s">
        <v>11</v>
      </c>
      <c r="I3749" t="s">
        <v>66</v>
      </c>
      <c r="J3749" t="s">
        <v>25</v>
      </c>
      <c r="K3749">
        <v>4.3</v>
      </c>
      <c r="L3749" t="s">
        <v>140</v>
      </c>
      <c r="M3749" t="s">
        <v>62</v>
      </c>
      <c r="N3749" t="s">
        <v>140</v>
      </c>
      <c r="O3749">
        <v>32</v>
      </c>
      <c r="P3749" t="s">
        <v>63</v>
      </c>
      <c r="Q3749" t="s">
        <v>64</v>
      </c>
      <c r="R3749" t="str" cm="1">
        <f t="array" ref="R3749">_xlfn.IFS(B3749&lt;31,"Young-Adult",B3749&lt;41,"Adult",B3749&lt;61,"Middle-aged",B3749&gt;=61,"Senior")</f>
        <v>Young-Adult</v>
      </c>
      <c r="S3749" cm="1">
        <f t="array" ref="S3749">_xlfn.IFS(Q3749 ="Fortnightly",14,Q3749="Weekly",7,Q3749="Monthly",30,Q3749="Quarterly",90,Q3749="Bi-Weekly",14,Q3749="Annually",365,Q3749="Every 3 Months",90,TRUE,"NOT FOUND")</f>
        <v>14</v>
      </c>
    </row>
    <row r="3750" spans="1:19" x14ac:dyDescent="0.35">
      <c r="A3750">
        <v>3749</v>
      </c>
      <c r="B3750">
        <v>34</v>
      </c>
      <c r="C3750" t="s">
        <v>141</v>
      </c>
      <c r="D3750" t="s">
        <v>120</v>
      </c>
      <c r="E3750" t="s">
        <v>55</v>
      </c>
      <c r="F3750">
        <v>25</v>
      </c>
      <c r="G3750" t="s">
        <v>67</v>
      </c>
      <c r="H3750" t="s">
        <v>32</v>
      </c>
      <c r="I3750" t="s">
        <v>71</v>
      </c>
      <c r="J3750" t="s">
        <v>45</v>
      </c>
      <c r="K3750">
        <v>3.9</v>
      </c>
      <c r="L3750" t="s">
        <v>140</v>
      </c>
      <c r="M3750" t="s">
        <v>58</v>
      </c>
      <c r="N3750" t="s">
        <v>140</v>
      </c>
      <c r="O3750">
        <v>3</v>
      </c>
      <c r="P3750" t="s">
        <v>16</v>
      </c>
      <c r="Q3750" t="s">
        <v>37</v>
      </c>
      <c r="R3750" t="str" cm="1">
        <f t="array" ref="R3750">_xlfn.IFS(B3750&lt;31,"Young-Adult",B3750&lt;41,"Adult",B3750&lt;61,"Middle-aged",B3750&gt;=61,"Senior")</f>
        <v>Adult</v>
      </c>
      <c r="S3750" cm="1">
        <f t="array" ref="S3750">_xlfn.IFS(Q3750 ="Fortnightly",14,Q3750="Weekly",7,Q3750="Monthly",30,Q3750="Quarterly",90,Q3750="Bi-Weekly",14,Q3750="Annually",365,Q3750="Every 3 Months",90,TRUE,"NOT FOUND")</f>
        <v>365</v>
      </c>
    </row>
    <row r="3751" spans="1:19" x14ac:dyDescent="0.35">
      <c r="A3751">
        <v>3750</v>
      </c>
      <c r="B3751">
        <v>24</v>
      </c>
      <c r="C3751" t="s">
        <v>141</v>
      </c>
      <c r="D3751" t="s">
        <v>8</v>
      </c>
      <c r="E3751" t="s">
        <v>9</v>
      </c>
      <c r="F3751">
        <v>95</v>
      </c>
      <c r="G3751" t="s">
        <v>108</v>
      </c>
      <c r="H3751" t="s">
        <v>11</v>
      </c>
      <c r="I3751" t="s">
        <v>122</v>
      </c>
      <c r="J3751" t="s">
        <v>13</v>
      </c>
      <c r="K3751">
        <v>2.9</v>
      </c>
      <c r="L3751" t="s">
        <v>140</v>
      </c>
      <c r="M3751" t="s">
        <v>58</v>
      </c>
      <c r="N3751" t="s">
        <v>140</v>
      </c>
      <c r="O3751">
        <v>38</v>
      </c>
      <c r="P3751" t="s">
        <v>16</v>
      </c>
      <c r="Q3751" t="s">
        <v>85</v>
      </c>
      <c r="R3751" t="str" cm="1">
        <f t="array" ref="R3751">_xlfn.IFS(B3751&lt;31,"Young-Adult",B3751&lt;41,"Adult",B3751&lt;61,"Middle-aged",B3751&gt;=61,"Senior")</f>
        <v>Young-Adult</v>
      </c>
      <c r="S3751" cm="1">
        <f t="array" ref="S3751">_xlfn.IFS(Q3751 ="Fortnightly",14,Q3751="Weekly",7,Q3751="Monthly",30,Q3751="Quarterly",90,Q3751="Bi-Weekly",14,Q3751="Annually",365,Q3751="Every 3 Months",90,TRUE,"NOT FOUND")</f>
        <v>90</v>
      </c>
    </row>
    <row r="3752" spans="1:19" x14ac:dyDescent="0.35">
      <c r="A3752">
        <v>3751</v>
      </c>
      <c r="B3752">
        <v>42</v>
      </c>
      <c r="C3752" t="s">
        <v>141</v>
      </c>
      <c r="D3752" t="s">
        <v>92</v>
      </c>
      <c r="E3752" t="s">
        <v>9</v>
      </c>
      <c r="F3752">
        <v>88</v>
      </c>
      <c r="G3752" t="s">
        <v>105</v>
      </c>
      <c r="H3752" t="s">
        <v>32</v>
      </c>
      <c r="I3752" t="s">
        <v>68</v>
      </c>
      <c r="J3752" t="s">
        <v>45</v>
      </c>
      <c r="K3752">
        <v>3.1</v>
      </c>
      <c r="L3752" t="s">
        <v>140</v>
      </c>
      <c r="M3752" t="s">
        <v>26</v>
      </c>
      <c r="N3752" t="s">
        <v>140</v>
      </c>
      <c r="O3752">
        <v>5</v>
      </c>
      <c r="P3752" t="s">
        <v>34</v>
      </c>
      <c r="Q3752" t="s">
        <v>76</v>
      </c>
      <c r="R3752" t="str" cm="1">
        <f t="array" ref="R3752">_xlfn.IFS(B3752&lt;31,"Young-Adult",B3752&lt;41,"Adult",B3752&lt;61,"Middle-aged",B3752&gt;=61,"Senior")</f>
        <v>Middle-aged</v>
      </c>
      <c r="S3752" cm="1">
        <f t="array" ref="S3752">_xlfn.IFS(Q3752 ="Fortnightly",14,Q3752="Weekly",7,Q3752="Monthly",30,Q3752="Quarterly",90,Q3752="Bi-Weekly",14,Q3752="Annually",365,Q3752="Every 3 Months",90,TRUE,"NOT FOUND")</f>
        <v>30</v>
      </c>
    </row>
    <row r="3753" spans="1:19" x14ac:dyDescent="0.35">
      <c r="A3753">
        <v>3752</v>
      </c>
      <c r="B3753">
        <v>36</v>
      </c>
      <c r="C3753" t="s">
        <v>141</v>
      </c>
      <c r="D3753" t="s">
        <v>94</v>
      </c>
      <c r="E3753" t="s">
        <v>55</v>
      </c>
      <c r="F3753">
        <v>97</v>
      </c>
      <c r="G3753" t="s">
        <v>78</v>
      </c>
      <c r="H3753" t="s">
        <v>24</v>
      </c>
      <c r="I3753" t="s">
        <v>53</v>
      </c>
      <c r="J3753" t="s">
        <v>45</v>
      </c>
      <c r="K3753">
        <v>4.2</v>
      </c>
      <c r="L3753" t="s">
        <v>140</v>
      </c>
      <c r="M3753" t="s">
        <v>26</v>
      </c>
      <c r="N3753" t="s">
        <v>140</v>
      </c>
      <c r="O3753">
        <v>8</v>
      </c>
      <c r="P3753" t="s">
        <v>27</v>
      </c>
      <c r="Q3753" t="s">
        <v>85</v>
      </c>
      <c r="R3753" t="str" cm="1">
        <f t="array" ref="R3753">_xlfn.IFS(B3753&lt;31,"Young-Adult",B3753&lt;41,"Adult",B3753&lt;61,"Middle-aged",B3753&gt;=61,"Senior")</f>
        <v>Adult</v>
      </c>
      <c r="S3753" cm="1">
        <f t="array" ref="S3753">_xlfn.IFS(Q3753 ="Fortnightly",14,Q3753="Weekly",7,Q3753="Monthly",30,Q3753="Quarterly",90,Q3753="Bi-Weekly",14,Q3753="Annually",365,Q3753="Every 3 Months",90,TRUE,"NOT FOUND")</f>
        <v>90</v>
      </c>
    </row>
    <row r="3754" spans="1:19" x14ac:dyDescent="0.35">
      <c r="A3754">
        <v>3753</v>
      </c>
      <c r="B3754">
        <v>24</v>
      </c>
      <c r="C3754" t="s">
        <v>141</v>
      </c>
      <c r="D3754" t="s">
        <v>50</v>
      </c>
      <c r="E3754" t="s">
        <v>51</v>
      </c>
      <c r="F3754">
        <v>81</v>
      </c>
      <c r="G3754" t="s">
        <v>137</v>
      </c>
      <c r="H3754" t="s">
        <v>11</v>
      </c>
      <c r="I3754" t="s">
        <v>57</v>
      </c>
      <c r="J3754" t="s">
        <v>13</v>
      </c>
      <c r="K3754">
        <v>4.0999999999999996</v>
      </c>
      <c r="L3754" t="s">
        <v>140</v>
      </c>
      <c r="M3754" t="s">
        <v>58</v>
      </c>
      <c r="N3754" t="s">
        <v>140</v>
      </c>
      <c r="O3754">
        <v>43</v>
      </c>
      <c r="P3754" t="s">
        <v>16</v>
      </c>
      <c r="Q3754" t="s">
        <v>28</v>
      </c>
      <c r="R3754" t="str" cm="1">
        <f t="array" ref="R3754">_xlfn.IFS(B3754&lt;31,"Young-Adult",B3754&lt;41,"Adult",B3754&lt;61,"Middle-aged",B3754&gt;=61,"Senior")</f>
        <v>Young-Adult</v>
      </c>
      <c r="S3754" cm="1">
        <f t="array" ref="S3754">_xlfn.IFS(Q3754 ="Fortnightly",14,Q3754="Weekly",7,Q3754="Monthly",30,Q3754="Quarterly",90,Q3754="Bi-Weekly",14,Q3754="Annually",365,Q3754="Every 3 Months",90,TRUE,"NOT FOUND")</f>
        <v>7</v>
      </c>
    </row>
    <row r="3755" spans="1:19" x14ac:dyDescent="0.35">
      <c r="A3755">
        <v>3754</v>
      </c>
      <c r="B3755">
        <v>39</v>
      </c>
      <c r="C3755" t="s">
        <v>141</v>
      </c>
      <c r="D3755" t="s">
        <v>77</v>
      </c>
      <c r="E3755" t="s">
        <v>55</v>
      </c>
      <c r="F3755">
        <v>26</v>
      </c>
      <c r="G3755" t="s">
        <v>48</v>
      </c>
      <c r="H3755" t="s">
        <v>24</v>
      </c>
      <c r="I3755" t="s">
        <v>36</v>
      </c>
      <c r="J3755" t="s">
        <v>13</v>
      </c>
      <c r="K3755">
        <v>4.2</v>
      </c>
      <c r="L3755" t="s">
        <v>140</v>
      </c>
      <c r="M3755" t="s">
        <v>33</v>
      </c>
      <c r="N3755" t="s">
        <v>140</v>
      </c>
      <c r="O3755">
        <v>22</v>
      </c>
      <c r="P3755" t="s">
        <v>63</v>
      </c>
      <c r="Q3755" t="s">
        <v>17</v>
      </c>
      <c r="R3755" t="str" cm="1">
        <f t="array" ref="R3755">_xlfn.IFS(B3755&lt;31,"Young-Adult",B3755&lt;41,"Adult",B3755&lt;61,"Middle-aged",B3755&gt;=61,"Senior")</f>
        <v>Adult</v>
      </c>
      <c r="S3755" cm="1">
        <f t="array" ref="S3755">_xlfn.IFS(Q3755 ="Fortnightly",14,Q3755="Weekly",7,Q3755="Monthly",30,Q3755="Quarterly",90,Q3755="Bi-Weekly",14,Q3755="Annually",365,Q3755="Every 3 Months",90,TRUE,"NOT FOUND")</f>
        <v>14</v>
      </c>
    </row>
    <row r="3756" spans="1:19" x14ac:dyDescent="0.35">
      <c r="A3756">
        <v>3755</v>
      </c>
      <c r="B3756">
        <v>46</v>
      </c>
      <c r="C3756" t="s">
        <v>141</v>
      </c>
      <c r="D3756" t="s">
        <v>59</v>
      </c>
      <c r="E3756" t="s">
        <v>30</v>
      </c>
      <c r="F3756">
        <v>41</v>
      </c>
      <c r="G3756" t="s">
        <v>133</v>
      </c>
      <c r="H3756" t="s">
        <v>32</v>
      </c>
      <c r="I3756" t="s">
        <v>36</v>
      </c>
      <c r="J3756" t="s">
        <v>41</v>
      </c>
      <c r="K3756">
        <v>4.4000000000000004</v>
      </c>
      <c r="L3756" t="s">
        <v>140</v>
      </c>
      <c r="M3756" t="s">
        <v>15</v>
      </c>
      <c r="N3756" t="s">
        <v>140</v>
      </c>
      <c r="O3756">
        <v>10</v>
      </c>
      <c r="P3756" t="s">
        <v>21</v>
      </c>
      <c r="Q3756" t="s">
        <v>85</v>
      </c>
      <c r="R3756" t="str" cm="1">
        <f t="array" ref="R3756">_xlfn.IFS(B3756&lt;31,"Young-Adult",B3756&lt;41,"Adult",B3756&lt;61,"Middle-aged",B3756&gt;=61,"Senior")</f>
        <v>Middle-aged</v>
      </c>
      <c r="S3756" cm="1">
        <f t="array" ref="S3756">_xlfn.IFS(Q3756 ="Fortnightly",14,Q3756="Weekly",7,Q3756="Monthly",30,Q3756="Quarterly",90,Q3756="Bi-Weekly",14,Q3756="Annually",365,Q3756="Every 3 Months",90,TRUE,"NOT FOUND")</f>
        <v>90</v>
      </c>
    </row>
    <row r="3757" spans="1:19" x14ac:dyDescent="0.35">
      <c r="A3757">
        <v>3756</v>
      </c>
      <c r="B3757">
        <v>64</v>
      </c>
      <c r="C3757" t="s">
        <v>141</v>
      </c>
      <c r="D3757" t="s">
        <v>75</v>
      </c>
      <c r="E3757" t="s">
        <v>9</v>
      </c>
      <c r="F3757">
        <v>93</v>
      </c>
      <c r="G3757" t="s">
        <v>126</v>
      </c>
      <c r="H3757" t="s">
        <v>32</v>
      </c>
      <c r="I3757" t="s">
        <v>88</v>
      </c>
      <c r="J3757" t="s">
        <v>45</v>
      </c>
      <c r="K3757">
        <v>3.4</v>
      </c>
      <c r="L3757" t="s">
        <v>140</v>
      </c>
      <c r="M3757" t="s">
        <v>26</v>
      </c>
      <c r="N3757" t="s">
        <v>140</v>
      </c>
      <c r="O3757">
        <v>26</v>
      </c>
      <c r="P3757" t="s">
        <v>27</v>
      </c>
      <c r="Q3757" t="s">
        <v>76</v>
      </c>
      <c r="R3757" t="str" cm="1">
        <f t="array" ref="R3757">_xlfn.IFS(B3757&lt;31,"Young-Adult",B3757&lt;41,"Adult",B3757&lt;61,"Middle-aged",B3757&gt;=61,"Senior")</f>
        <v>Senior</v>
      </c>
      <c r="S3757" cm="1">
        <f t="array" ref="S3757">_xlfn.IFS(Q3757 ="Fortnightly",14,Q3757="Weekly",7,Q3757="Monthly",30,Q3757="Quarterly",90,Q3757="Bi-Weekly",14,Q3757="Annually",365,Q3757="Every 3 Months",90,TRUE,"NOT FOUND")</f>
        <v>30</v>
      </c>
    </row>
    <row r="3758" spans="1:19" x14ac:dyDescent="0.35">
      <c r="A3758">
        <v>3757</v>
      </c>
      <c r="B3758">
        <v>64</v>
      </c>
      <c r="C3758" t="s">
        <v>141</v>
      </c>
      <c r="D3758" t="s">
        <v>75</v>
      </c>
      <c r="E3758" t="s">
        <v>9</v>
      </c>
      <c r="F3758">
        <v>69</v>
      </c>
      <c r="G3758" t="s">
        <v>119</v>
      </c>
      <c r="H3758" t="s">
        <v>11</v>
      </c>
      <c r="I3758" t="s">
        <v>73</v>
      </c>
      <c r="J3758" t="s">
        <v>25</v>
      </c>
      <c r="K3758">
        <v>4.8</v>
      </c>
      <c r="L3758" t="s">
        <v>140</v>
      </c>
      <c r="M3758" t="s">
        <v>15</v>
      </c>
      <c r="N3758" t="s">
        <v>140</v>
      </c>
      <c r="O3758">
        <v>42</v>
      </c>
      <c r="P3758" t="s">
        <v>74</v>
      </c>
      <c r="Q3758" t="s">
        <v>64</v>
      </c>
      <c r="R3758" t="str" cm="1">
        <f t="array" ref="R3758">_xlfn.IFS(B3758&lt;31,"Young-Adult",B3758&lt;41,"Adult",B3758&lt;61,"Middle-aged",B3758&gt;=61,"Senior")</f>
        <v>Senior</v>
      </c>
      <c r="S3758" cm="1">
        <f t="array" ref="S3758">_xlfn.IFS(Q3758 ="Fortnightly",14,Q3758="Weekly",7,Q3758="Monthly",30,Q3758="Quarterly",90,Q3758="Bi-Weekly",14,Q3758="Annually",365,Q3758="Every 3 Months",90,TRUE,"NOT FOUND")</f>
        <v>14</v>
      </c>
    </row>
    <row r="3759" spans="1:19" x14ac:dyDescent="0.35">
      <c r="A3759">
        <v>3758</v>
      </c>
      <c r="B3759">
        <v>61</v>
      </c>
      <c r="C3759" t="s">
        <v>141</v>
      </c>
      <c r="D3759" t="s">
        <v>75</v>
      </c>
      <c r="E3759" t="s">
        <v>9</v>
      </c>
      <c r="F3759">
        <v>44</v>
      </c>
      <c r="G3759" t="s">
        <v>87</v>
      </c>
      <c r="H3759" t="s">
        <v>11</v>
      </c>
      <c r="I3759" t="s">
        <v>96</v>
      </c>
      <c r="J3759" t="s">
        <v>45</v>
      </c>
      <c r="K3759">
        <v>4.5</v>
      </c>
      <c r="L3759" t="s">
        <v>140</v>
      </c>
      <c r="M3759" t="s">
        <v>58</v>
      </c>
      <c r="N3759" t="s">
        <v>140</v>
      </c>
      <c r="O3759">
        <v>33</v>
      </c>
      <c r="P3759" t="s">
        <v>21</v>
      </c>
      <c r="Q3759" t="s">
        <v>28</v>
      </c>
      <c r="R3759" t="str" cm="1">
        <f t="array" ref="R3759">_xlfn.IFS(B3759&lt;31,"Young-Adult",B3759&lt;41,"Adult",B3759&lt;61,"Middle-aged",B3759&gt;=61,"Senior")</f>
        <v>Senior</v>
      </c>
      <c r="S3759" cm="1">
        <f t="array" ref="S3759">_xlfn.IFS(Q3759 ="Fortnightly",14,Q3759="Weekly",7,Q3759="Monthly",30,Q3759="Quarterly",90,Q3759="Bi-Weekly",14,Q3759="Annually",365,Q3759="Every 3 Months",90,TRUE,"NOT FOUND")</f>
        <v>7</v>
      </c>
    </row>
    <row r="3760" spans="1:19" x14ac:dyDescent="0.35">
      <c r="A3760">
        <v>3759</v>
      </c>
      <c r="B3760">
        <v>61</v>
      </c>
      <c r="C3760" t="s">
        <v>141</v>
      </c>
      <c r="D3760" t="s">
        <v>29</v>
      </c>
      <c r="E3760" t="s">
        <v>30</v>
      </c>
      <c r="F3760">
        <v>54</v>
      </c>
      <c r="G3760" t="s">
        <v>104</v>
      </c>
      <c r="H3760" t="s">
        <v>24</v>
      </c>
      <c r="I3760" t="s">
        <v>82</v>
      </c>
      <c r="J3760" t="s">
        <v>25</v>
      </c>
      <c r="K3760">
        <v>2.7</v>
      </c>
      <c r="L3760" t="s">
        <v>140</v>
      </c>
      <c r="M3760" t="s">
        <v>62</v>
      </c>
      <c r="N3760" t="s">
        <v>140</v>
      </c>
      <c r="O3760">
        <v>23</v>
      </c>
      <c r="P3760" t="s">
        <v>63</v>
      </c>
      <c r="Q3760" t="s">
        <v>46</v>
      </c>
      <c r="R3760" t="str" cm="1">
        <f t="array" ref="R3760">_xlfn.IFS(B3760&lt;31,"Young-Adult",B3760&lt;41,"Adult",B3760&lt;61,"Middle-aged",B3760&gt;=61,"Senior")</f>
        <v>Senior</v>
      </c>
      <c r="S3760" cm="1">
        <f t="array" ref="S3760">_xlfn.IFS(Q3760 ="Fortnightly",14,Q3760="Weekly",7,Q3760="Monthly",30,Q3760="Quarterly",90,Q3760="Bi-Weekly",14,Q3760="Annually",365,Q3760="Every 3 Months",90,TRUE,"NOT FOUND")</f>
        <v>90</v>
      </c>
    </row>
    <row r="3761" spans="1:19" x14ac:dyDescent="0.35">
      <c r="A3761">
        <v>3760</v>
      </c>
      <c r="B3761">
        <v>44</v>
      </c>
      <c r="C3761" t="s">
        <v>141</v>
      </c>
      <c r="D3761" t="s">
        <v>38</v>
      </c>
      <c r="E3761" t="s">
        <v>30</v>
      </c>
      <c r="F3761">
        <v>61</v>
      </c>
      <c r="G3761" t="s">
        <v>56</v>
      </c>
      <c r="H3761" t="s">
        <v>32</v>
      </c>
      <c r="I3761" t="s">
        <v>57</v>
      </c>
      <c r="J3761" t="s">
        <v>25</v>
      </c>
      <c r="K3761">
        <v>3.5</v>
      </c>
      <c r="L3761" t="s">
        <v>140</v>
      </c>
      <c r="M3761" t="s">
        <v>62</v>
      </c>
      <c r="N3761" t="s">
        <v>140</v>
      </c>
      <c r="O3761">
        <v>30</v>
      </c>
      <c r="P3761" t="s">
        <v>16</v>
      </c>
      <c r="Q3761" t="s">
        <v>46</v>
      </c>
      <c r="R3761" t="str" cm="1">
        <f t="array" ref="R3761">_xlfn.IFS(B3761&lt;31,"Young-Adult",B3761&lt;41,"Adult",B3761&lt;61,"Middle-aged",B3761&gt;=61,"Senior")</f>
        <v>Middle-aged</v>
      </c>
      <c r="S3761" cm="1">
        <f t="array" ref="S3761">_xlfn.IFS(Q3761 ="Fortnightly",14,Q3761="Weekly",7,Q3761="Monthly",30,Q3761="Quarterly",90,Q3761="Bi-Weekly",14,Q3761="Annually",365,Q3761="Every 3 Months",90,TRUE,"NOT FOUND")</f>
        <v>90</v>
      </c>
    </row>
    <row r="3762" spans="1:19" x14ac:dyDescent="0.35">
      <c r="A3762">
        <v>3761</v>
      </c>
      <c r="B3762">
        <v>65</v>
      </c>
      <c r="C3762" t="s">
        <v>141</v>
      </c>
      <c r="D3762" t="s">
        <v>113</v>
      </c>
      <c r="E3762" t="s">
        <v>9</v>
      </c>
      <c r="F3762">
        <v>80</v>
      </c>
      <c r="G3762" t="s">
        <v>127</v>
      </c>
      <c r="H3762" t="s">
        <v>32</v>
      </c>
      <c r="I3762" t="s">
        <v>88</v>
      </c>
      <c r="J3762" t="s">
        <v>45</v>
      </c>
      <c r="K3762">
        <v>3.1</v>
      </c>
      <c r="L3762" t="s">
        <v>140</v>
      </c>
      <c r="M3762" t="s">
        <v>33</v>
      </c>
      <c r="N3762" t="s">
        <v>140</v>
      </c>
      <c r="O3762">
        <v>36</v>
      </c>
      <c r="P3762" t="s">
        <v>34</v>
      </c>
      <c r="Q3762" t="s">
        <v>28</v>
      </c>
      <c r="R3762" t="str" cm="1">
        <f t="array" ref="R3762">_xlfn.IFS(B3762&lt;31,"Young-Adult",B3762&lt;41,"Adult",B3762&lt;61,"Middle-aged",B3762&gt;=61,"Senior")</f>
        <v>Senior</v>
      </c>
      <c r="S3762" cm="1">
        <f t="array" ref="S3762">_xlfn.IFS(Q3762 ="Fortnightly",14,Q3762="Weekly",7,Q3762="Monthly",30,Q3762="Quarterly",90,Q3762="Bi-Weekly",14,Q3762="Annually",365,Q3762="Every 3 Months",90,TRUE,"NOT FOUND")</f>
        <v>7</v>
      </c>
    </row>
    <row r="3763" spans="1:19" x14ac:dyDescent="0.35">
      <c r="A3763">
        <v>3762</v>
      </c>
      <c r="B3763">
        <v>60</v>
      </c>
      <c r="C3763" t="s">
        <v>141</v>
      </c>
      <c r="D3763" t="s">
        <v>120</v>
      </c>
      <c r="E3763" t="s">
        <v>55</v>
      </c>
      <c r="F3763">
        <v>30</v>
      </c>
      <c r="G3763" t="s">
        <v>95</v>
      </c>
      <c r="H3763" t="s">
        <v>32</v>
      </c>
      <c r="I3763" t="s">
        <v>84</v>
      </c>
      <c r="J3763" t="s">
        <v>41</v>
      </c>
      <c r="K3763">
        <v>2.8</v>
      </c>
      <c r="L3763" t="s">
        <v>140</v>
      </c>
      <c r="M3763" t="s">
        <v>33</v>
      </c>
      <c r="N3763" t="s">
        <v>140</v>
      </c>
      <c r="O3763">
        <v>3</v>
      </c>
      <c r="P3763" t="s">
        <v>16</v>
      </c>
      <c r="Q3763" t="s">
        <v>85</v>
      </c>
      <c r="R3763" t="str" cm="1">
        <f t="array" ref="R3763">_xlfn.IFS(B3763&lt;31,"Young-Adult",B3763&lt;41,"Adult",B3763&lt;61,"Middle-aged",B3763&gt;=61,"Senior")</f>
        <v>Middle-aged</v>
      </c>
      <c r="S3763" cm="1">
        <f t="array" ref="S3763">_xlfn.IFS(Q3763 ="Fortnightly",14,Q3763="Weekly",7,Q3763="Monthly",30,Q3763="Quarterly",90,Q3763="Bi-Weekly",14,Q3763="Annually",365,Q3763="Every 3 Months",90,TRUE,"NOT FOUND")</f>
        <v>90</v>
      </c>
    </row>
    <row r="3764" spans="1:19" x14ac:dyDescent="0.35">
      <c r="A3764">
        <v>3763</v>
      </c>
      <c r="B3764">
        <v>65</v>
      </c>
      <c r="C3764" t="s">
        <v>141</v>
      </c>
      <c r="D3764" t="s">
        <v>47</v>
      </c>
      <c r="E3764" t="s">
        <v>9</v>
      </c>
      <c r="F3764">
        <v>94</v>
      </c>
      <c r="G3764" t="s">
        <v>72</v>
      </c>
      <c r="H3764" t="s">
        <v>11</v>
      </c>
      <c r="I3764" t="s">
        <v>84</v>
      </c>
      <c r="J3764" t="s">
        <v>45</v>
      </c>
      <c r="K3764">
        <v>2.9</v>
      </c>
      <c r="L3764" t="s">
        <v>140</v>
      </c>
      <c r="M3764" t="s">
        <v>62</v>
      </c>
      <c r="N3764" t="s">
        <v>140</v>
      </c>
      <c r="O3764">
        <v>13</v>
      </c>
      <c r="P3764" t="s">
        <v>34</v>
      </c>
      <c r="Q3764" t="s">
        <v>37</v>
      </c>
      <c r="R3764" t="str" cm="1">
        <f t="array" ref="R3764">_xlfn.IFS(B3764&lt;31,"Young-Adult",B3764&lt;41,"Adult",B3764&lt;61,"Middle-aged",B3764&gt;=61,"Senior")</f>
        <v>Senior</v>
      </c>
      <c r="S3764" cm="1">
        <f t="array" ref="S3764">_xlfn.IFS(Q3764 ="Fortnightly",14,Q3764="Weekly",7,Q3764="Monthly",30,Q3764="Quarterly",90,Q3764="Bi-Weekly",14,Q3764="Annually",365,Q3764="Every 3 Months",90,TRUE,"NOT FOUND")</f>
        <v>365</v>
      </c>
    </row>
    <row r="3765" spans="1:19" x14ac:dyDescent="0.35">
      <c r="A3765">
        <v>3764</v>
      </c>
      <c r="B3765">
        <v>27</v>
      </c>
      <c r="C3765" t="s">
        <v>141</v>
      </c>
      <c r="D3765" t="s">
        <v>43</v>
      </c>
      <c r="E3765" t="s">
        <v>9</v>
      </c>
      <c r="F3765">
        <v>24</v>
      </c>
      <c r="G3765" t="s">
        <v>89</v>
      </c>
      <c r="H3765" t="s">
        <v>80</v>
      </c>
      <c r="I3765" t="s">
        <v>96</v>
      </c>
      <c r="J3765" t="s">
        <v>13</v>
      </c>
      <c r="K3765">
        <v>4.5</v>
      </c>
      <c r="L3765" t="s">
        <v>140</v>
      </c>
      <c r="M3765" t="s">
        <v>42</v>
      </c>
      <c r="N3765" t="s">
        <v>140</v>
      </c>
      <c r="O3765">
        <v>38</v>
      </c>
      <c r="P3765" t="s">
        <v>21</v>
      </c>
      <c r="Q3765" t="s">
        <v>85</v>
      </c>
      <c r="R3765" t="str" cm="1">
        <f t="array" ref="R3765">_xlfn.IFS(B3765&lt;31,"Young-Adult",B3765&lt;41,"Adult",B3765&lt;61,"Middle-aged",B3765&gt;=61,"Senior")</f>
        <v>Young-Adult</v>
      </c>
      <c r="S3765" cm="1">
        <f t="array" ref="S3765">_xlfn.IFS(Q3765 ="Fortnightly",14,Q3765="Weekly",7,Q3765="Monthly",30,Q3765="Quarterly",90,Q3765="Bi-Weekly",14,Q3765="Annually",365,Q3765="Every 3 Months",90,TRUE,"NOT FOUND")</f>
        <v>90</v>
      </c>
    </row>
    <row r="3766" spans="1:19" x14ac:dyDescent="0.35">
      <c r="A3766">
        <v>3765</v>
      </c>
      <c r="B3766">
        <v>36</v>
      </c>
      <c r="C3766" t="s">
        <v>141</v>
      </c>
      <c r="D3766" t="s">
        <v>113</v>
      </c>
      <c r="E3766" t="s">
        <v>9</v>
      </c>
      <c r="F3766">
        <v>21</v>
      </c>
      <c r="G3766" t="s">
        <v>135</v>
      </c>
      <c r="H3766" t="s">
        <v>32</v>
      </c>
      <c r="I3766" t="s">
        <v>20</v>
      </c>
      <c r="J3766" t="s">
        <v>45</v>
      </c>
      <c r="K3766">
        <v>3.5</v>
      </c>
      <c r="L3766" t="s">
        <v>140</v>
      </c>
      <c r="M3766" t="s">
        <v>33</v>
      </c>
      <c r="N3766" t="s">
        <v>140</v>
      </c>
      <c r="O3766">
        <v>19</v>
      </c>
      <c r="P3766" t="s">
        <v>16</v>
      </c>
      <c r="Q3766" t="s">
        <v>76</v>
      </c>
      <c r="R3766" t="str" cm="1">
        <f t="array" ref="R3766">_xlfn.IFS(B3766&lt;31,"Young-Adult",B3766&lt;41,"Adult",B3766&lt;61,"Middle-aged",B3766&gt;=61,"Senior")</f>
        <v>Adult</v>
      </c>
      <c r="S3766" cm="1">
        <f t="array" ref="S3766">_xlfn.IFS(Q3766 ="Fortnightly",14,Q3766="Weekly",7,Q3766="Monthly",30,Q3766="Quarterly",90,Q3766="Bi-Weekly",14,Q3766="Annually",365,Q3766="Every 3 Months",90,TRUE,"NOT FOUND")</f>
        <v>30</v>
      </c>
    </row>
    <row r="3767" spans="1:19" x14ac:dyDescent="0.35">
      <c r="A3767">
        <v>3766</v>
      </c>
      <c r="B3767">
        <v>22</v>
      </c>
      <c r="C3767" t="s">
        <v>141</v>
      </c>
      <c r="D3767" t="s">
        <v>94</v>
      </c>
      <c r="E3767" t="s">
        <v>55</v>
      </c>
      <c r="F3767">
        <v>52</v>
      </c>
      <c r="G3767" t="s">
        <v>56</v>
      </c>
      <c r="H3767" t="s">
        <v>32</v>
      </c>
      <c r="I3767" t="s">
        <v>84</v>
      </c>
      <c r="J3767" t="s">
        <v>41</v>
      </c>
      <c r="K3767">
        <v>4.3</v>
      </c>
      <c r="L3767" t="s">
        <v>140</v>
      </c>
      <c r="M3767" t="s">
        <v>42</v>
      </c>
      <c r="N3767" t="s">
        <v>140</v>
      </c>
      <c r="O3767">
        <v>14</v>
      </c>
      <c r="P3767" t="s">
        <v>63</v>
      </c>
      <c r="Q3767" t="s">
        <v>64</v>
      </c>
      <c r="R3767" t="str" cm="1">
        <f t="array" ref="R3767">_xlfn.IFS(B3767&lt;31,"Young-Adult",B3767&lt;41,"Adult",B3767&lt;61,"Middle-aged",B3767&gt;=61,"Senior")</f>
        <v>Young-Adult</v>
      </c>
      <c r="S3767" cm="1">
        <f t="array" ref="S3767">_xlfn.IFS(Q3767 ="Fortnightly",14,Q3767="Weekly",7,Q3767="Monthly",30,Q3767="Quarterly",90,Q3767="Bi-Weekly",14,Q3767="Annually",365,Q3767="Every 3 Months",90,TRUE,"NOT FOUND")</f>
        <v>14</v>
      </c>
    </row>
    <row r="3768" spans="1:19" x14ac:dyDescent="0.35">
      <c r="A3768">
        <v>3767</v>
      </c>
      <c r="B3768">
        <v>62</v>
      </c>
      <c r="C3768" t="s">
        <v>141</v>
      </c>
      <c r="D3768" t="s">
        <v>54</v>
      </c>
      <c r="E3768" t="s">
        <v>55</v>
      </c>
      <c r="F3768">
        <v>59</v>
      </c>
      <c r="G3768" t="s">
        <v>93</v>
      </c>
      <c r="H3768" t="s">
        <v>32</v>
      </c>
      <c r="I3768" t="s">
        <v>82</v>
      </c>
      <c r="J3768" t="s">
        <v>45</v>
      </c>
      <c r="K3768">
        <v>4.9000000000000004</v>
      </c>
      <c r="L3768" t="s">
        <v>140</v>
      </c>
      <c r="M3768" t="s">
        <v>33</v>
      </c>
      <c r="N3768" t="s">
        <v>140</v>
      </c>
      <c r="O3768">
        <v>43</v>
      </c>
      <c r="P3768" t="s">
        <v>74</v>
      </c>
      <c r="Q3768" t="s">
        <v>37</v>
      </c>
      <c r="R3768" t="str" cm="1">
        <f t="array" ref="R3768">_xlfn.IFS(B3768&lt;31,"Young-Adult",B3768&lt;41,"Adult",B3768&lt;61,"Middle-aged",B3768&gt;=61,"Senior")</f>
        <v>Senior</v>
      </c>
      <c r="S3768" cm="1">
        <f t="array" ref="S3768">_xlfn.IFS(Q3768 ="Fortnightly",14,Q3768="Weekly",7,Q3768="Monthly",30,Q3768="Quarterly",90,Q3768="Bi-Weekly",14,Q3768="Annually",365,Q3768="Every 3 Months",90,TRUE,"NOT FOUND")</f>
        <v>365</v>
      </c>
    </row>
    <row r="3769" spans="1:19" x14ac:dyDescent="0.35">
      <c r="A3769">
        <v>3768</v>
      </c>
      <c r="B3769">
        <v>59</v>
      </c>
      <c r="C3769" t="s">
        <v>141</v>
      </c>
      <c r="D3769" t="s">
        <v>47</v>
      </c>
      <c r="E3769" t="s">
        <v>9</v>
      </c>
      <c r="F3769">
        <v>51</v>
      </c>
      <c r="G3769" t="s">
        <v>72</v>
      </c>
      <c r="H3769" t="s">
        <v>80</v>
      </c>
      <c r="I3769" t="s">
        <v>82</v>
      </c>
      <c r="J3769" t="s">
        <v>41</v>
      </c>
      <c r="K3769">
        <v>3.1</v>
      </c>
      <c r="L3769" t="s">
        <v>140</v>
      </c>
      <c r="M3769" t="s">
        <v>26</v>
      </c>
      <c r="N3769" t="s">
        <v>140</v>
      </c>
      <c r="O3769">
        <v>10</v>
      </c>
      <c r="P3769" t="s">
        <v>63</v>
      </c>
      <c r="Q3769" t="s">
        <v>17</v>
      </c>
      <c r="R3769" t="str" cm="1">
        <f t="array" ref="R3769">_xlfn.IFS(B3769&lt;31,"Young-Adult",B3769&lt;41,"Adult",B3769&lt;61,"Middle-aged",B3769&gt;=61,"Senior")</f>
        <v>Middle-aged</v>
      </c>
      <c r="S3769" cm="1">
        <f t="array" ref="S3769">_xlfn.IFS(Q3769 ="Fortnightly",14,Q3769="Weekly",7,Q3769="Monthly",30,Q3769="Quarterly",90,Q3769="Bi-Weekly",14,Q3769="Annually",365,Q3769="Every 3 Months",90,TRUE,"NOT FOUND")</f>
        <v>14</v>
      </c>
    </row>
    <row r="3770" spans="1:19" x14ac:dyDescent="0.35">
      <c r="A3770">
        <v>3769</v>
      </c>
      <c r="B3770">
        <v>50</v>
      </c>
      <c r="C3770" t="s">
        <v>141</v>
      </c>
      <c r="D3770" t="s">
        <v>18</v>
      </c>
      <c r="E3770" t="s">
        <v>9</v>
      </c>
      <c r="F3770">
        <v>35</v>
      </c>
      <c r="G3770" t="s">
        <v>117</v>
      </c>
      <c r="H3770" t="s">
        <v>32</v>
      </c>
      <c r="I3770" t="s">
        <v>122</v>
      </c>
      <c r="J3770" t="s">
        <v>13</v>
      </c>
      <c r="K3770">
        <v>4</v>
      </c>
      <c r="L3770" t="s">
        <v>140</v>
      </c>
      <c r="M3770" t="s">
        <v>26</v>
      </c>
      <c r="N3770" t="s">
        <v>140</v>
      </c>
      <c r="O3770">
        <v>34</v>
      </c>
      <c r="P3770" t="s">
        <v>63</v>
      </c>
      <c r="Q3770" t="s">
        <v>46</v>
      </c>
      <c r="R3770" t="str" cm="1">
        <f t="array" ref="R3770">_xlfn.IFS(B3770&lt;31,"Young-Adult",B3770&lt;41,"Adult",B3770&lt;61,"Middle-aged",B3770&gt;=61,"Senior")</f>
        <v>Middle-aged</v>
      </c>
      <c r="S3770" cm="1">
        <f t="array" ref="S3770">_xlfn.IFS(Q3770 ="Fortnightly",14,Q3770="Weekly",7,Q3770="Monthly",30,Q3770="Quarterly",90,Q3770="Bi-Weekly",14,Q3770="Annually",365,Q3770="Every 3 Months",90,TRUE,"NOT FOUND")</f>
        <v>90</v>
      </c>
    </row>
    <row r="3771" spans="1:19" x14ac:dyDescent="0.35">
      <c r="A3771">
        <v>3770</v>
      </c>
      <c r="B3771">
        <v>51</v>
      </c>
      <c r="C3771" t="s">
        <v>141</v>
      </c>
      <c r="D3771" t="s">
        <v>131</v>
      </c>
      <c r="E3771" t="s">
        <v>55</v>
      </c>
      <c r="F3771">
        <v>87</v>
      </c>
      <c r="G3771" t="s">
        <v>105</v>
      </c>
      <c r="H3771" t="s">
        <v>11</v>
      </c>
      <c r="I3771" t="s">
        <v>84</v>
      </c>
      <c r="J3771" t="s">
        <v>41</v>
      </c>
      <c r="K3771">
        <v>3.6</v>
      </c>
      <c r="L3771" t="s">
        <v>140</v>
      </c>
      <c r="M3771" t="s">
        <v>42</v>
      </c>
      <c r="N3771" t="s">
        <v>140</v>
      </c>
      <c r="O3771">
        <v>31</v>
      </c>
      <c r="P3771" t="s">
        <v>16</v>
      </c>
      <c r="Q3771" t="s">
        <v>37</v>
      </c>
      <c r="R3771" t="str" cm="1">
        <f t="array" ref="R3771">_xlfn.IFS(B3771&lt;31,"Young-Adult",B3771&lt;41,"Adult",B3771&lt;61,"Middle-aged",B3771&gt;=61,"Senior")</f>
        <v>Middle-aged</v>
      </c>
      <c r="S3771" cm="1">
        <f t="array" ref="S3771">_xlfn.IFS(Q3771 ="Fortnightly",14,Q3771="Weekly",7,Q3771="Monthly",30,Q3771="Quarterly",90,Q3771="Bi-Weekly",14,Q3771="Annually",365,Q3771="Every 3 Months",90,TRUE,"NOT FOUND")</f>
        <v>365</v>
      </c>
    </row>
    <row r="3772" spans="1:19" x14ac:dyDescent="0.35">
      <c r="A3772">
        <v>3771</v>
      </c>
      <c r="B3772">
        <v>23</v>
      </c>
      <c r="C3772" t="s">
        <v>141</v>
      </c>
      <c r="D3772" t="s">
        <v>83</v>
      </c>
      <c r="E3772" t="s">
        <v>9</v>
      </c>
      <c r="F3772">
        <v>42</v>
      </c>
      <c r="G3772" t="s">
        <v>44</v>
      </c>
      <c r="H3772" t="s">
        <v>11</v>
      </c>
      <c r="I3772" t="s">
        <v>82</v>
      </c>
      <c r="J3772" t="s">
        <v>41</v>
      </c>
      <c r="K3772">
        <v>4</v>
      </c>
      <c r="L3772" t="s">
        <v>140</v>
      </c>
      <c r="M3772" t="s">
        <v>62</v>
      </c>
      <c r="N3772" t="s">
        <v>140</v>
      </c>
      <c r="O3772">
        <v>34</v>
      </c>
      <c r="P3772" t="s">
        <v>63</v>
      </c>
      <c r="Q3772" t="s">
        <v>28</v>
      </c>
      <c r="R3772" t="str" cm="1">
        <f t="array" ref="R3772">_xlfn.IFS(B3772&lt;31,"Young-Adult",B3772&lt;41,"Adult",B3772&lt;61,"Middle-aged",B3772&gt;=61,"Senior")</f>
        <v>Young-Adult</v>
      </c>
      <c r="S3772" cm="1">
        <f t="array" ref="S3772">_xlfn.IFS(Q3772 ="Fortnightly",14,Q3772="Weekly",7,Q3772="Monthly",30,Q3772="Quarterly",90,Q3772="Bi-Weekly",14,Q3772="Annually",365,Q3772="Every 3 Months",90,TRUE,"NOT FOUND")</f>
        <v>7</v>
      </c>
    </row>
    <row r="3773" spans="1:19" x14ac:dyDescent="0.35">
      <c r="A3773">
        <v>3772</v>
      </c>
      <c r="B3773">
        <v>21</v>
      </c>
      <c r="C3773" t="s">
        <v>141</v>
      </c>
      <c r="D3773" t="s">
        <v>101</v>
      </c>
      <c r="E3773" t="s">
        <v>9</v>
      </c>
      <c r="F3773">
        <v>86</v>
      </c>
      <c r="G3773" t="s">
        <v>89</v>
      </c>
      <c r="H3773" t="s">
        <v>32</v>
      </c>
      <c r="I3773" t="s">
        <v>96</v>
      </c>
      <c r="J3773" t="s">
        <v>13</v>
      </c>
      <c r="K3773">
        <v>2.6</v>
      </c>
      <c r="L3773" t="s">
        <v>140</v>
      </c>
      <c r="M3773" t="s">
        <v>15</v>
      </c>
      <c r="N3773" t="s">
        <v>140</v>
      </c>
      <c r="O3773">
        <v>28</v>
      </c>
      <c r="P3773" t="s">
        <v>16</v>
      </c>
      <c r="Q3773" t="s">
        <v>64</v>
      </c>
      <c r="R3773" t="str" cm="1">
        <f t="array" ref="R3773">_xlfn.IFS(B3773&lt;31,"Young-Adult",B3773&lt;41,"Adult",B3773&lt;61,"Middle-aged",B3773&gt;=61,"Senior")</f>
        <v>Young-Adult</v>
      </c>
      <c r="S3773" cm="1">
        <f t="array" ref="S3773">_xlfn.IFS(Q3773 ="Fortnightly",14,Q3773="Weekly",7,Q3773="Monthly",30,Q3773="Quarterly",90,Q3773="Bi-Weekly",14,Q3773="Annually",365,Q3773="Every 3 Months",90,TRUE,"NOT FOUND")</f>
        <v>14</v>
      </c>
    </row>
    <row r="3774" spans="1:19" x14ac:dyDescent="0.35">
      <c r="A3774">
        <v>3773</v>
      </c>
      <c r="B3774">
        <v>44</v>
      </c>
      <c r="C3774" t="s">
        <v>141</v>
      </c>
      <c r="D3774" t="s">
        <v>83</v>
      </c>
      <c r="E3774" t="s">
        <v>9</v>
      </c>
      <c r="F3774">
        <v>26</v>
      </c>
      <c r="G3774" t="s">
        <v>70</v>
      </c>
      <c r="H3774" t="s">
        <v>11</v>
      </c>
      <c r="I3774" t="s">
        <v>122</v>
      </c>
      <c r="J3774" t="s">
        <v>45</v>
      </c>
      <c r="K3774">
        <v>3.1</v>
      </c>
      <c r="L3774" t="s">
        <v>140</v>
      </c>
      <c r="M3774" t="s">
        <v>33</v>
      </c>
      <c r="N3774" t="s">
        <v>140</v>
      </c>
      <c r="O3774">
        <v>35</v>
      </c>
      <c r="P3774" t="s">
        <v>21</v>
      </c>
      <c r="Q3774" t="s">
        <v>37</v>
      </c>
      <c r="R3774" t="str" cm="1">
        <f t="array" ref="R3774">_xlfn.IFS(B3774&lt;31,"Young-Adult",B3774&lt;41,"Adult",B3774&lt;61,"Middle-aged",B3774&gt;=61,"Senior")</f>
        <v>Middle-aged</v>
      </c>
      <c r="S3774" cm="1">
        <f t="array" ref="S3774">_xlfn.IFS(Q3774 ="Fortnightly",14,Q3774="Weekly",7,Q3774="Monthly",30,Q3774="Quarterly",90,Q3774="Bi-Weekly",14,Q3774="Annually",365,Q3774="Every 3 Months",90,TRUE,"NOT FOUND")</f>
        <v>365</v>
      </c>
    </row>
    <row r="3775" spans="1:19" x14ac:dyDescent="0.35">
      <c r="A3775">
        <v>3774</v>
      </c>
      <c r="B3775">
        <v>25</v>
      </c>
      <c r="C3775" t="s">
        <v>141</v>
      </c>
      <c r="D3775" t="s">
        <v>18</v>
      </c>
      <c r="E3775" t="s">
        <v>9</v>
      </c>
      <c r="F3775">
        <v>60</v>
      </c>
      <c r="G3775" t="s">
        <v>138</v>
      </c>
      <c r="H3775" t="s">
        <v>32</v>
      </c>
      <c r="I3775" t="s">
        <v>71</v>
      </c>
      <c r="J3775" t="s">
        <v>41</v>
      </c>
      <c r="K3775">
        <v>3.5</v>
      </c>
      <c r="L3775" t="s">
        <v>140</v>
      </c>
      <c r="M3775" t="s">
        <v>62</v>
      </c>
      <c r="N3775" t="s">
        <v>140</v>
      </c>
      <c r="O3775">
        <v>41</v>
      </c>
      <c r="P3775" t="s">
        <v>21</v>
      </c>
      <c r="Q3775" t="s">
        <v>46</v>
      </c>
      <c r="R3775" t="str" cm="1">
        <f t="array" ref="R3775">_xlfn.IFS(B3775&lt;31,"Young-Adult",B3775&lt;41,"Adult",B3775&lt;61,"Middle-aged",B3775&gt;=61,"Senior")</f>
        <v>Young-Adult</v>
      </c>
      <c r="S3775" cm="1">
        <f t="array" ref="S3775">_xlfn.IFS(Q3775 ="Fortnightly",14,Q3775="Weekly",7,Q3775="Monthly",30,Q3775="Quarterly",90,Q3775="Bi-Weekly",14,Q3775="Annually",365,Q3775="Every 3 Months",90,TRUE,"NOT FOUND")</f>
        <v>90</v>
      </c>
    </row>
    <row r="3776" spans="1:19" x14ac:dyDescent="0.35">
      <c r="A3776">
        <v>3775</v>
      </c>
      <c r="B3776">
        <v>57</v>
      </c>
      <c r="C3776" t="s">
        <v>141</v>
      </c>
      <c r="D3776" t="s">
        <v>131</v>
      </c>
      <c r="E3776" t="s">
        <v>55</v>
      </c>
      <c r="F3776">
        <v>83</v>
      </c>
      <c r="G3776" t="s">
        <v>108</v>
      </c>
      <c r="H3776" t="s">
        <v>24</v>
      </c>
      <c r="I3776" t="s">
        <v>97</v>
      </c>
      <c r="J3776" t="s">
        <v>13</v>
      </c>
      <c r="K3776">
        <v>3.9</v>
      </c>
      <c r="L3776" t="s">
        <v>140</v>
      </c>
      <c r="M3776" t="s">
        <v>42</v>
      </c>
      <c r="N3776" t="s">
        <v>140</v>
      </c>
      <c r="O3776">
        <v>48</v>
      </c>
      <c r="P3776" t="s">
        <v>34</v>
      </c>
      <c r="Q3776" t="s">
        <v>17</v>
      </c>
      <c r="R3776" t="str" cm="1">
        <f t="array" ref="R3776">_xlfn.IFS(B3776&lt;31,"Young-Adult",B3776&lt;41,"Adult",B3776&lt;61,"Middle-aged",B3776&gt;=61,"Senior")</f>
        <v>Middle-aged</v>
      </c>
      <c r="S3776" cm="1">
        <f t="array" ref="S3776">_xlfn.IFS(Q3776 ="Fortnightly",14,Q3776="Weekly",7,Q3776="Monthly",30,Q3776="Quarterly",90,Q3776="Bi-Weekly",14,Q3776="Annually",365,Q3776="Every 3 Months",90,TRUE,"NOT FOUND")</f>
        <v>14</v>
      </c>
    </row>
    <row r="3777" spans="1:19" x14ac:dyDescent="0.35">
      <c r="A3777">
        <v>3776</v>
      </c>
      <c r="B3777">
        <v>41</v>
      </c>
      <c r="C3777" t="s">
        <v>141</v>
      </c>
      <c r="D3777" t="s">
        <v>121</v>
      </c>
      <c r="E3777" t="s">
        <v>55</v>
      </c>
      <c r="F3777">
        <v>63</v>
      </c>
      <c r="G3777" t="s">
        <v>135</v>
      </c>
      <c r="H3777" t="s">
        <v>24</v>
      </c>
      <c r="I3777" t="s">
        <v>57</v>
      </c>
      <c r="J3777" t="s">
        <v>25</v>
      </c>
      <c r="K3777">
        <v>2.7</v>
      </c>
      <c r="L3777" t="s">
        <v>140</v>
      </c>
      <c r="M3777" t="s">
        <v>58</v>
      </c>
      <c r="N3777" t="s">
        <v>140</v>
      </c>
      <c r="O3777">
        <v>45</v>
      </c>
      <c r="P3777" t="s">
        <v>21</v>
      </c>
      <c r="Q3777" t="s">
        <v>46</v>
      </c>
      <c r="R3777" t="str" cm="1">
        <f t="array" ref="R3777">_xlfn.IFS(B3777&lt;31,"Young-Adult",B3777&lt;41,"Adult",B3777&lt;61,"Middle-aged",B3777&gt;=61,"Senior")</f>
        <v>Middle-aged</v>
      </c>
      <c r="S3777" cm="1">
        <f t="array" ref="S3777">_xlfn.IFS(Q3777 ="Fortnightly",14,Q3777="Weekly",7,Q3777="Monthly",30,Q3777="Quarterly",90,Q3777="Bi-Weekly",14,Q3777="Annually",365,Q3777="Every 3 Months",90,TRUE,"NOT FOUND")</f>
        <v>90</v>
      </c>
    </row>
    <row r="3778" spans="1:19" x14ac:dyDescent="0.35">
      <c r="A3778">
        <v>3777</v>
      </c>
      <c r="B3778">
        <v>19</v>
      </c>
      <c r="C3778" t="s">
        <v>141</v>
      </c>
      <c r="D3778" t="s">
        <v>38</v>
      </c>
      <c r="E3778" t="s">
        <v>30</v>
      </c>
      <c r="F3778">
        <v>25</v>
      </c>
      <c r="G3778" t="s">
        <v>108</v>
      </c>
      <c r="H3778" t="s">
        <v>11</v>
      </c>
      <c r="I3778" t="s">
        <v>66</v>
      </c>
      <c r="J3778" t="s">
        <v>25</v>
      </c>
      <c r="K3778">
        <v>4.0999999999999996</v>
      </c>
      <c r="L3778" t="s">
        <v>140</v>
      </c>
      <c r="M3778" t="s">
        <v>42</v>
      </c>
      <c r="N3778" t="s">
        <v>140</v>
      </c>
      <c r="O3778">
        <v>10</v>
      </c>
      <c r="P3778" t="s">
        <v>27</v>
      </c>
      <c r="Q3778" t="s">
        <v>17</v>
      </c>
      <c r="R3778" t="str" cm="1">
        <f t="array" ref="R3778">_xlfn.IFS(B3778&lt;31,"Young-Adult",B3778&lt;41,"Adult",B3778&lt;61,"Middle-aged",B3778&gt;=61,"Senior")</f>
        <v>Young-Adult</v>
      </c>
      <c r="S3778" cm="1">
        <f t="array" ref="S3778">_xlfn.IFS(Q3778 ="Fortnightly",14,Q3778="Weekly",7,Q3778="Monthly",30,Q3778="Quarterly",90,Q3778="Bi-Weekly",14,Q3778="Annually",365,Q3778="Every 3 Months",90,TRUE,"NOT FOUND")</f>
        <v>14</v>
      </c>
    </row>
    <row r="3779" spans="1:19" x14ac:dyDescent="0.35">
      <c r="A3779">
        <v>3778</v>
      </c>
      <c r="B3779">
        <v>43</v>
      </c>
      <c r="C3779" t="s">
        <v>141</v>
      </c>
      <c r="D3779" t="s">
        <v>47</v>
      </c>
      <c r="E3779" t="s">
        <v>9</v>
      </c>
      <c r="F3779">
        <v>65</v>
      </c>
      <c r="G3779" t="s">
        <v>128</v>
      </c>
      <c r="H3779" t="s">
        <v>32</v>
      </c>
      <c r="I3779" t="s">
        <v>20</v>
      </c>
      <c r="J3779" t="s">
        <v>45</v>
      </c>
      <c r="K3779">
        <v>4.3</v>
      </c>
      <c r="L3779" t="s">
        <v>140</v>
      </c>
      <c r="M3779" t="s">
        <v>15</v>
      </c>
      <c r="N3779" t="s">
        <v>140</v>
      </c>
      <c r="O3779">
        <v>9</v>
      </c>
      <c r="P3779" t="s">
        <v>21</v>
      </c>
      <c r="Q3779" t="s">
        <v>28</v>
      </c>
      <c r="R3779" t="str" cm="1">
        <f t="array" ref="R3779">_xlfn.IFS(B3779&lt;31,"Young-Adult",B3779&lt;41,"Adult",B3779&lt;61,"Middle-aged",B3779&gt;=61,"Senior")</f>
        <v>Middle-aged</v>
      </c>
      <c r="S3779" cm="1">
        <f t="array" ref="S3779">_xlfn.IFS(Q3779 ="Fortnightly",14,Q3779="Weekly",7,Q3779="Monthly",30,Q3779="Quarterly",90,Q3779="Bi-Weekly",14,Q3779="Annually",365,Q3779="Every 3 Months",90,TRUE,"NOT FOUND")</f>
        <v>7</v>
      </c>
    </row>
    <row r="3780" spans="1:19" x14ac:dyDescent="0.35">
      <c r="A3780">
        <v>3779</v>
      </c>
      <c r="B3780">
        <v>25</v>
      </c>
      <c r="C3780" t="s">
        <v>141</v>
      </c>
      <c r="D3780" t="s">
        <v>38</v>
      </c>
      <c r="E3780" t="s">
        <v>30</v>
      </c>
      <c r="F3780">
        <v>60</v>
      </c>
      <c r="G3780" t="s">
        <v>135</v>
      </c>
      <c r="H3780" t="s">
        <v>32</v>
      </c>
      <c r="I3780" t="s">
        <v>97</v>
      </c>
      <c r="J3780" t="s">
        <v>45</v>
      </c>
      <c r="K3780">
        <v>2.9</v>
      </c>
      <c r="L3780" t="s">
        <v>140</v>
      </c>
      <c r="M3780" t="s">
        <v>26</v>
      </c>
      <c r="N3780" t="s">
        <v>140</v>
      </c>
      <c r="O3780">
        <v>30</v>
      </c>
      <c r="P3780" t="s">
        <v>74</v>
      </c>
      <c r="Q3780" t="s">
        <v>37</v>
      </c>
      <c r="R3780" t="str" cm="1">
        <f t="array" ref="R3780">_xlfn.IFS(B3780&lt;31,"Young-Adult",B3780&lt;41,"Adult",B3780&lt;61,"Middle-aged",B3780&gt;=61,"Senior")</f>
        <v>Young-Adult</v>
      </c>
      <c r="S3780" cm="1">
        <f t="array" ref="S3780">_xlfn.IFS(Q3780 ="Fortnightly",14,Q3780="Weekly",7,Q3780="Monthly",30,Q3780="Quarterly",90,Q3780="Bi-Weekly",14,Q3780="Annually",365,Q3780="Every 3 Months",90,TRUE,"NOT FOUND")</f>
        <v>365</v>
      </c>
    </row>
    <row r="3781" spans="1:19" x14ac:dyDescent="0.35">
      <c r="A3781">
        <v>3780</v>
      </c>
      <c r="B3781">
        <v>60</v>
      </c>
      <c r="C3781" t="s">
        <v>141</v>
      </c>
      <c r="D3781" t="s">
        <v>22</v>
      </c>
      <c r="E3781" t="s">
        <v>9</v>
      </c>
      <c r="F3781">
        <v>75</v>
      </c>
      <c r="G3781" t="s">
        <v>87</v>
      </c>
      <c r="H3781" t="s">
        <v>80</v>
      </c>
      <c r="I3781" t="s">
        <v>81</v>
      </c>
      <c r="J3781" t="s">
        <v>25</v>
      </c>
      <c r="K3781">
        <v>4</v>
      </c>
      <c r="L3781" t="s">
        <v>140</v>
      </c>
      <c r="M3781" t="s">
        <v>15</v>
      </c>
      <c r="N3781" t="s">
        <v>140</v>
      </c>
      <c r="O3781">
        <v>45</v>
      </c>
      <c r="P3781" t="s">
        <v>34</v>
      </c>
      <c r="Q3781" t="s">
        <v>37</v>
      </c>
      <c r="R3781" t="str" cm="1">
        <f t="array" ref="R3781">_xlfn.IFS(B3781&lt;31,"Young-Adult",B3781&lt;41,"Adult",B3781&lt;61,"Middle-aged",B3781&gt;=61,"Senior")</f>
        <v>Middle-aged</v>
      </c>
      <c r="S3781" cm="1">
        <f t="array" ref="S3781">_xlfn.IFS(Q3781 ="Fortnightly",14,Q3781="Weekly",7,Q3781="Monthly",30,Q3781="Quarterly",90,Q3781="Bi-Weekly",14,Q3781="Annually",365,Q3781="Every 3 Months",90,TRUE,"NOT FOUND")</f>
        <v>365</v>
      </c>
    </row>
    <row r="3782" spans="1:19" x14ac:dyDescent="0.35">
      <c r="A3782">
        <v>3781</v>
      </c>
      <c r="B3782">
        <v>54</v>
      </c>
      <c r="C3782" t="s">
        <v>141</v>
      </c>
      <c r="D3782" t="s">
        <v>38</v>
      </c>
      <c r="E3782" t="s">
        <v>30</v>
      </c>
      <c r="F3782">
        <v>57</v>
      </c>
      <c r="G3782" t="s">
        <v>79</v>
      </c>
      <c r="H3782" t="s">
        <v>11</v>
      </c>
      <c r="I3782" t="s">
        <v>122</v>
      </c>
      <c r="J3782" t="s">
        <v>45</v>
      </c>
      <c r="K3782">
        <v>4.0999999999999996</v>
      </c>
      <c r="L3782" t="s">
        <v>140</v>
      </c>
      <c r="M3782" t="s">
        <v>26</v>
      </c>
      <c r="N3782" t="s">
        <v>140</v>
      </c>
      <c r="O3782">
        <v>41</v>
      </c>
      <c r="P3782" t="s">
        <v>16</v>
      </c>
      <c r="Q3782" t="s">
        <v>46</v>
      </c>
      <c r="R3782" t="str" cm="1">
        <f t="array" ref="R3782">_xlfn.IFS(B3782&lt;31,"Young-Adult",B3782&lt;41,"Adult",B3782&lt;61,"Middle-aged",B3782&gt;=61,"Senior")</f>
        <v>Middle-aged</v>
      </c>
      <c r="S3782" cm="1">
        <f t="array" ref="S3782">_xlfn.IFS(Q3782 ="Fortnightly",14,Q3782="Weekly",7,Q3782="Monthly",30,Q3782="Quarterly",90,Q3782="Bi-Weekly",14,Q3782="Annually",365,Q3782="Every 3 Months",90,TRUE,"NOT FOUND")</f>
        <v>90</v>
      </c>
    </row>
    <row r="3783" spans="1:19" x14ac:dyDescent="0.35">
      <c r="A3783">
        <v>3782</v>
      </c>
      <c r="B3783">
        <v>52</v>
      </c>
      <c r="C3783" t="s">
        <v>141</v>
      </c>
      <c r="D3783" t="s">
        <v>125</v>
      </c>
      <c r="E3783" t="s">
        <v>30</v>
      </c>
      <c r="F3783">
        <v>99</v>
      </c>
      <c r="G3783" t="s">
        <v>110</v>
      </c>
      <c r="H3783" t="s">
        <v>32</v>
      </c>
      <c r="I3783" t="s">
        <v>57</v>
      </c>
      <c r="J3783" t="s">
        <v>13</v>
      </c>
      <c r="K3783">
        <v>3.7</v>
      </c>
      <c r="L3783" t="s">
        <v>140</v>
      </c>
      <c r="M3783" t="s">
        <v>42</v>
      </c>
      <c r="N3783" t="s">
        <v>140</v>
      </c>
      <c r="O3783">
        <v>40</v>
      </c>
      <c r="P3783" t="s">
        <v>34</v>
      </c>
      <c r="Q3783" t="s">
        <v>17</v>
      </c>
      <c r="R3783" t="str" cm="1">
        <f t="array" ref="R3783">_xlfn.IFS(B3783&lt;31,"Young-Adult",B3783&lt;41,"Adult",B3783&lt;61,"Middle-aged",B3783&gt;=61,"Senior")</f>
        <v>Middle-aged</v>
      </c>
      <c r="S3783" cm="1">
        <f t="array" ref="S3783">_xlfn.IFS(Q3783 ="Fortnightly",14,Q3783="Weekly",7,Q3783="Monthly",30,Q3783="Quarterly",90,Q3783="Bi-Weekly",14,Q3783="Annually",365,Q3783="Every 3 Months",90,TRUE,"NOT FOUND")</f>
        <v>14</v>
      </c>
    </row>
    <row r="3784" spans="1:19" x14ac:dyDescent="0.35">
      <c r="A3784">
        <v>3783</v>
      </c>
      <c r="B3784">
        <v>40</v>
      </c>
      <c r="C3784" t="s">
        <v>141</v>
      </c>
      <c r="D3784" t="s">
        <v>90</v>
      </c>
      <c r="E3784" t="s">
        <v>51</v>
      </c>
      <c r="F3784">
        <v>45</v>
      </c>
      <c r="G3784" t="s">
        <v>78</v>
      </c>
      <c r="H3784" t="s">
        <v>11</v>
      </c>
      <c r="I3784" t="s">
        <v>109</v>
      </c>
      <c r="J3784" t="s">
        <v>25</v>
      </c>
      <c r="K3784">
        <v>2.8</v>
      </c>
      <c r="L3784" t="s">
        <v>140</v>
      </c>
      <c r="M3784" t="s">
        <v>26</v>
      </c>
      <c r="N3784" t="s">
        <v>140</v>
      </c>
      <c r="O3784">
        <v>42</v>
      </c>
      <c r="P3784" t="s">
        <v>34</v>
      </c>
      <c r="Q3784" t="s">
        <v>17</v>
      </c>
      <c r="R3784" t="str" cm="1">
        <f t="array" ref="R3784">_xlfn.IFS(B3784&lt;31,"Young-Adult",B3784&lt;41,"Adult",B3784&lt;61,"Middle-aged",B3784&gt;=61,"Senior")</f>
        <v>Adult</v>
      </c>
      <c r="S3784" cm="1">
        <f t="array" ref="S3784">_xlfn.IFS(Q3784 ="Fortnightly",14,Q3784="Weekly",7,Q3784="Monthly",30,Q3784="Quarterly",90,Q3784="Bi-Weekly",14,Q3784="Annually",365,Q3784="Every 3 Months",90,TRUE,"NOT FOUND")</f>
        <v>14</v>
      </c>
    </row>
    <row r="3785" spans="1:19" x14ac:dyDescent="0.35">
      <c r="A3785">
        <v>3784</v>
      </c>
      <c r="B3785">
        <v>39</v>
      </c>
      <c r="C3785" t="s">
        <v>141</v>
      </c>
      <c r="D3785" t="s">
        <v>131</v>
      </c>
      <c r="E3785" t="s">
        <v>55</v>
      </c>
      <c r="F3785">
        <v>66</v>
      </c>
      <c r="G3785" t="s">
        <v>19</v>
      </c>
      <c r="H3785" t="s">
        <v>80</v>
      </c>
      <c r="I3785" t="s">
        <v>109</v>
      </c>
      <c r="J3785" t="s">
        <v>41</v>
      </c>
      <c r="K3785">
        <v>3.2</v>
      </c>
      <c r="L3785" t="s">
        <v>140</v>
      </c>
      <c r="M3785" t="s">
        <v>26</v>
      </c>
      <c r="N3785" t="s">
        <v>140</v>
      </c>
      <c r="O3785">
        <v>17</v>
      </c>
      <c r="P3785" t="s">
        <v>74</v>
      </c>
      <c r="Q3785" t="s">
        <v>17</v>
      </c>
      <c r="R3785" t="str" cm="1">
        <f t="array" ref="R3785">_xlfn.IFS(B3785&lt;31,"Young-Adult",B3785&lt;41,"Adult",B3785&lt;61,"Middle-aged",B3785&gt;=61,"Senior")</f>
        <v>Adult</v>
      </c>
      <c r="S3785" cm="1">
        <f t="array" ref="S3785">_xlfn.IFS(Q3785 ="Fortnightly",14,Q3785="Weekly",7,Q3785="Monthly",30,Q3785="Quarterly",90,Q3785="Bi-Weekly",14,Q3785="Annually",365,Q3785="Every 3 Months",90,TRUE,"NOT FOUND")</f>
        <v>14</v>
      </c>
    </row>
    <row r="3786" spans="1:19" x14ac:dyDescent="0.35">
      <c r="A3786">
        <v>3785</v>
      </c>
      <c r="B3786">
        <v>54</v>
      </c>
      <c r="C3786" t="s">
        <v>141</v>
      </c>
      <c r="D3786" t="s">
        <v>113</v>
      </c>
      <c r="E3786" t="s">
        <v>9</v>
      </c>
      <c r="F3786">
        <v>53</v>
      </c>
      <c r="G3786" t="s">
        <v>129</v>
      </c>
      <c r="H3786" t="s">
        <v>32</v>
      </c>
      <c r="I3786" t="s">
        <v>71</v>
      </c>
      <c r="J3786" t="s">
        <v>13</v>
      </c>
      <c r="K3786">
        <v>4.5</v>
      </c>
      <c r="L3786" t="s">
        <v>140</v>
      </c>
      <c r="M3786" t="s">
        <v>33</v>
      </c>
      <c r="N3786" t="s">
        <v>140</v>
      </c>
      <c r="O3786">
        <v>4</v>
      </c>
      <c r="P3786" t="s">
        <v>16</v>
      </c>
      <c r="Q3786" t="s">
        <v>37</v>
      </c>
      <c r="R3786" t="str" cm="1">
        <f t="array" ref="R3786">_xlfn.IFS(B3786&lt;31,"Young-Adult",B3786&lt;41,"Adult",B3786&lt;61,"Middle-aged",B3786&gt;=61,"Senior")</f>
        <v>Middle-aged</v>
      </c>
      <c r="S3786" cm="1">
        <f t="array" ref="S3786">_xlfn.IFS(Q3786 ="Fortnightly",14,Q3786="Weekly",7,Q3786="Monthly",30,Q3786="Quarterly",90,Q3786="Bi-Weekly",14,Q3786="Annually",365,Q3786="Every 3 Months",90,TRUE,"NOT FOUND")</f>
        <v>365</v>
      </c>
    </row>
    <row r="3787" spans="1:19" x14ac:dyDescent="0.35">
      <c r="A3787">
        <v>3786</v>
      </c>
      <c r="B3787">
        <v>64</v>
      </c>
      <c r="C3787" t="s">
        <v>141</v>
      </c>
      <c r="D3787" t="s">
        <v>22</v>
      </c>
      <c r="E3787" t="s">
        <v>9</v>
      </c>
      <c r="F3787">
        <v>94</v>
      </c>
      <c r="G3787" t="s">
        <v>70</v>
      </c>
      <c r="H3787" t="s">
        <v>11</v>
      </c>
      <c r="I3787" t="s">
        <v>81</v>
      </c>
      <c r="J3787" t="s">
        <v>13</v>
      </c>
      <c r="K3787">
        <v>3.8</v>
      </c>
      <c r="L3787" t="s">
        <v>140</v>
      </c>
      <c r="M3787" t="s">
        <v>42</v>
      </c>
      <c r="N3787" t="s">
        <v>140</v>
      </c>
      <c r="O3787">
        <v>6</v>
      </c>
      <c r="P3787" t="s">
        <v>21</v>
      </c>
      <c r="Q3787" t="s">
        <v>76</v>
      </c>
      <c r="R3787" t="str" cm="1">
        <f t="array" ref="R3787">_xlfn.IFS(B3787&lt;31,"Young-Adult",B3787&lt;41,"Adult",B3787&lt;61,"Middle-aged",B3787&gt;=61,"Senior")</f>
        <v>Senior</v>
      </c>
      <c r="S3787" cm="1">
        <f t="array" ref="S3787">_xlfn.IFS(Q3787 ="Fortnightly",14,Q3787="Weekly",7,Q3787="Monthly",30,Q3787="Quarterly",90,Q3787="Bi-Weekly",14,Q3787="Annually",365,Q3787="Every 3 Months",90,TRUE,"NOT FOUND")</f>
        <v>30</v>
      </c>
    </row>
    <row r="3788" spans="1:19" x14ac:dyDescent="0.35">
      <c r="A3788">
        <v>3787</v>
      </c>
      <c r="B3788">
        <v>31</v>
      </c>
      <c r="C3788" t="s">
        <v>141</v>
      </c>
      <c r="D3788" t="s">
        <v>125</v>
      </c>
      <c r="E3788" t="s">
        <v>30</v>
      </c>
      <c r="F3788">
        <v>47</v>
      </c>
      <c r="G3788" t="s">
        <v>110</v>
      </c>
      <c r="H3788" t="s">
        <v>11</v>
      </c>
      <c r="I3788" t="s">
        <v>122</v>
      </c>
      <c r="J3788" t="s">
        <v>45</v>
      </c>
      <c r="K3788">
        <v>3.6</v>
      </c>
      <c r="L3788" t="s">
        <v>140</v>
      </c>
      <c r="M3788" t="s">
        <v>58</v>
      </c>
      <c r="N3788" t="s">
        <v>140</v>
      </c>
      <c r="O3788">
        <v>22</v>
      </c>
      <c r="P3788" t="s">
        <v>16</v>
      </c>
      <c r="Q3788" t="s">
        <v>28</v>
      </c>
      <c r="R3788" t="str" cm="1">
        <f t="array" ref="R3788">_xlfn.IFS(B3788&lt;31,"Young-Adult",B3788&lt;41,"Adult",B3788&lt;61,"Middle-aged",B3788&gt;=61,"Senior")</f>
        <v>Adult</v>
      </c>
      <c r="S3788" cm="1">
        <f t="array" ref="S3788">_xlfn.IFS(Q3788 ="Fortnightly",14,Q3788="Weekly",7,Q3788="Monthly",30,Q3788="Quarterly",90,Q3788="Bi-Weekly",14,Q3788="Annually",365,Q3788="Every 3 Months",90,TRUE,"NOT FOUND")</f>
        <v>7</v>
      </c>
    </row>
    <row r="3789" spans="1:19" x14ac:dyDescent="0.35">
      <c r="A3789">
        <v>3788</v>
      </c>
      <c r="B3789">
        <v>37</v>
      </c>
      <c r="C3789" t="s">
        <v>141</v>
      </c>
      <c r="D3789" t="s">
        <v>8</v>
      </c>
      <c r="E3789" t="s">
        <v>9</v>
      </c>
      <c r="F3789">
        <v>80</v>
      </c>
      <c r="G3789" t="s">
        <v>72</v>
      </c>
      <c r="H3789" t="s">
        <v>32</v>
      </c>
      <c r="I3789" t="s">
        <v>57</v>
      </c>
      <c r="J3789" t="s">
        <v>45</v>
      </c>
      <c r="K3789">
        <v>3.6</v>
      </c>
      <c r="L3789" t="s">
        <v>140</v>
      </c>
      <c r="M3789" t="s">
        <v>58</v>
      </c>
      <c r="N3789" t="s">
        <v>140</v>
      </c>
      <c r="O3789">
        <v>46</v>
      </c>
      <c r="P3789" t="s">
        <v>34</v>
      </c>
      <c r="Q3789" t="s">
        <v>85</v>
      </c>
      <c r="R3789" t="str" cm="1">
        <f t="array" ref="R3789">_xlfn.IFS(B3789&lt;31,"Young-Adult",B3789&lt;41,"Adult",B3789&lt;61,"Middle-aged",B3789&gt;=61,"Senior")</f>
        <v>Adult</v>
      </c>
      <c r="S3789" cm="1">
        <f t="array" ref="S3789">_xlfn.IFS(Q3789 ="Fortnightly",14,Q3789="Weekly",7,Q3789="Monthly",30,Q3789="Quarterly",90,Q3789="Bi-Weekly",14,Q3789="Annually",365,Q3789="Every 3 Months",90,TRUE,"NOT FOUND")</f>
        <v>90</v>
      </c>
    </row>
    <row r="3790" spans="1:19" x14ac:dyDescent="0.35">
      <c r="A3790">
        <v>3789</v>
      </c>
      <c r="B3790">
        <v>43</v>
      </c>
      <c r="C3790" t="s">
        <v>141</v>
      </c>
      <c r="D3790" t="s">
        <v>112</v>
      </c>
      <c r="E3790" t="s">
        <v>55</v>
      </c>
      <c r="F3790">
        <v>65</v>
      </c>
      <c r="G3790" t="s">
        <v>99</v>
      </c>
      <c r="H3790" t="s">
        <v>80</v>
      </c>
      <c r="I3790" t="s">
        <v>73</v>
      </c>
      <c r="J3790" t="s">
        <v>25</v>
      </c>
      <c r="K3790">
        <v>3.2</v>
      </c>
      <c r="L3790" t="s">
        <v>140</v>
      </c>
      <c r="M3790" t="s">
        <v>33</v>
      </c>
      <c r="N3790" t="s">
        <v>140</v>
      </c>
      <c r="O3790">
        <v>27</v>
      </c>
      <c r="P3790" t="s">
        <v>74</v>
      </c>
      <c r="Q3790" t="s">
        <v>76</v>
      </c>
      <c r="R3790" t="str" cm="1">
        <f t="array" ref="R3790">_xlfn.IFS(B3790&lt;31,"Young-Adult",B3790&lt;41,"Adult",B3790&lt;61,"Middle-aged",B3790&gt;=61,"Senior")</f>
        <v>Middle-aged</v>
      </c>
      <c r="S3790" cm="1">
        <f t="array" ref="S3790">_xlfn.IFS(Q3790 ="Fortnightly",14,Q3790="Weekly",7,Q3790="Monthly",30,Q3790="Quarterly",90,Q3790="Bi-Weekly",14,Q3790="Annually",365,Q3790="Every 3 Months",90,TRUE,"NOT FOUND")</f>
        <v>30</v>
      </c>
    </row>
    <row r="3791" spans="1:19" x14ac:dyDescent="0.35">
      <c r="A3791">
        <v>3790</v>
      </c>
      <c r="B3791">
        <v>56</v>
      </c>
      <c r="C3791" t="s">
        <v>141</v>
      </c>
      <c r="D3791" t="s">
        <v>43</v>
      </c>
      <c r="E3791" t="s">
        <v>9</v>
      </c>
      <c r="F3791">
        <v>75</v>
      </c>
      <c r="G3791" t="s">
        <v>102</v>
      </c>
      <c r="H3791" t="s">
        <v>32</v>
      </c>
      <c r="I3791" t="s">
        <v>124</v>
      </c>
      <c r="J3791" t="s">
        <v>41</v>
      </c>
      <c r="K3791">
        <v>3.8</v>
      </c>
      <c r="L3791" t="s">
        <v>140</v>
      </c>
      <c r="M3791" t="s">
        <v>15</v>
      </c>
      <c r="N3791" t="s">
        <v>140</v>
      </c>
      <c r="O3791">
        <v>18</v>
      </c>
      <c r="P3791" t="s">
        <v>63</v>
      </c>
      <c r="Q3791" t="s">
        <v>85</v>
      </c>
      <c r="R3791" t="str" cm="1">
        <f t="array" ref="R3791">_xlfn.IFS(B3791&lt;31,"Young-Adult",B3791&lt;41,"Adult",B3791&lt;61,"Middle-aged",B3791&gt;=61,"Senior")</f>
        <v>Middle-aged</v>
      </c>
      <c r="S3791" cm="1">
        <f t="array" ref="S3791">_xlfn.IFS(Q3791 ="Fortnightly",14,Q3791="Weekly",7,Q3791="Monthly",30,Q3791="Quarterly",90,Q3791="Bi-Weekly",14,Q3791="Annually",365,Q3791="Every 3 Months",90,TRUE,"NOT FOUND")</f>
        <v>90</v>
      </c>
    </row>
    <row r="3792" spans="1:19" x14ac:dyDescent="0.35">
      <c r="A3792">
        <v>3791</v>
      </c>
      <c r="B3792">
        <v>27</v>
      </c>
      <c r="C3792" t="s">
        <v>141</v>
      </c>
      <c r="D3792" t="s">
        <v>54</v>
      </c>
      <c r="E3792" t="s">
        <v>55</v>
      </c>
      <c r="F3792">
        <v>45</v>
      </c>
      <c r="G3792" t="s">
        <v>108</v>
      </c>
      <c r="H3792" t="s">
        <v>80</v>
      </c>
      <c r="I3792" t="s">
        <v>106</v>
      </c>
      <c r="J3792" t="s">
        <v>41</v>
      </c>
      <c r="K3792">
        <v>4.4000000000000004</v>
      </c>
      <c r="L3792" t="s">
        <v>140</v>
      </c>
      <c r="M3792" t="s">
        <v>42</v>
      </c>
      <c r="N3792" t="s">
        <v>140</v>
      </c>
      <c r="O3792">
        <v>31</v>
      </c>
      <c r="P3792" t="s">
        <v>27</v>
      </c>
      <c r="Q3792" t="s">
        <v>28</v>
      </c>
      <c r="R3792" t="str" cm="1">
        <f t="array" ref="R3792">_xlfn.IFS(B3792&lt;31,"Young-Adult",B3792&lt;41,"Adult",B3792&lt;61,"Middle-aged",B3792&gt;=61,"Senior")</f>
        <v>Young-Adult</v>
      </c>
      <c r="S3792" cm="1">
        <f t="array" ref="S3792">_xlfn.IFS(Q3792 ="Fortnightly",14,Q3792="Weekly",7,Q3792="Monthly",30,Q3792="Quarterly",90,Q3792="Bi-Weekly",14,Q3792="Annually",365,Q3792="Every 3 Months",90,TRUE,"NOT FOUND")</f>
        <v>7</v>
      </c>
    </row>
    <row r="3793" spans="1:19" x14ac:dyDescent="0.35">
      <c r="A3793">
        <v>3792</v>
      </c>
      <c r="B3793">
        <v>40</v>
      </c>
      <c r="C3793" t="s">
        <v>141</v>
      </c>
      <c r="D3793" t="s">
        <v>77</v>
      </c>
      <c r="E3793" t="s">
        <v>55</v>
      </c>
      <c r="F3793">
        <v>51</v>
      </c>
      <c r="G3793" t="s">
        <v>93</v>
      </c>
      <c r="H3793" t="s">
        <v>32</v>
      </c>
      <c r="I3793" t="s">
        <v>12</v>
      </c>
      <c r="J3793" t="s">
        <v>25</v>
      </c>
      <c r="K3793">
        <v>3.7</v>
      </c>
      <c r="L3793" t="s">
        <v>140</v>
      </c>
      <c r="M3793" t="s">
        <v>62</v>
      </c>
      <c r="N3793" t="s">
        <v>140</v>
      </c>
      <c r="O3793">
        <v>1</v>
      </c>
      <c r="P3793" t="s">
        <v>16</v>
      </c>
      <c r="Q3793" t="s">
        <v>28</v>
      </c>
      <c r="R3793" t="str" cm="1">
        <f t="array" ref="R3793">_xlfn.IFS(B3793&lt;31,"Young-Adult",B3793&lt;41,"Adult",B3793&lt;61,"Middle-aged",B3793&gt;=61,"Senior")</f>
        <v>Adult</v>
      </c>
      <c r="S3793" cm="1">
        <f t="array" ref="S3793">_xlfn.IFS(Q3793 ="Fortnightly",14,Q3793="Weekly",7,Q3793="Monthly",30,Q3793="Quarterly",90,Q3793="Bi-Weekly",14,Q3793="Annually",365,Q3793="Every 3 Months",90,TRUE,"NOT FOUND")</f>
        <v>7</v>
      </c>
    </row>
    <row r="3794" spans="1:19" x14ac:dyDescent="0.35">
      <c r="A3794">
        <v>3793</v>
      </c>
      <c r="B3794">
        <v>43</v>
      </c>
      <c r="C3794" t="s">
        <v>141</v>
      </c>
      <c r="D3794" t="s">
        <v>107</v>
      </c>
      <c r="E3794" t="s">
        <v>55</v>
      </c>
      <c r="F3794">
        <v>58</v>
      </c>
      <c r="G3794" t="s">
        <v>23</v>
      </c>
      <c r="H3794" t="s">
        <v>24</v>
      </c>
      <c r="I3794" t="s">
        <v>36</v>
      </c>
      <c r="J3794" t="s">
        <v>41</v>
      </c>
      <c r="K3794">
        <v>2.6</v>
      </c>
      <c r="L3794" t="s">
        <v>140</v>
      </c>
      <c r="M3794" t="s">
        <v>15</v>
      </c>
      <c r="N3794" t="s">
        <v>140</v>
      </c>
      <c r="O3794">
        <v>2</v>
      </c>
      <c r="P3794" t="s">
        <v>34</v>
      </c>
      <c r="Q3794" t="s">
        <v>17</v>
      </c>
      <c r="R3794" t="str" cm="1">
        <f t="array" ref="R3794">_xlfn.IFS(B3794&lt;31,"Young-Adult",B3794&lt;41,"Adult",B3794&lt;61,"Middle-aged",B3794&gt;=61,"Senior")</f>
        <v>Middle-aged</v>
      </c>
      <c r="S3794" cm="1">
        <f t="array" ref="S3794">_xlfn.IFS(Q3794 ="Fortnightly",14,Q3794="Weekly",7,Q3794="Monthly",30,Q3794="Quarterly",90,Q3794="Bi-Weekly",14,Q3794="Annually",365,Q3794="Every 3 Months",90,TRUE,"NOT FOUND")</f>
        <v>14</v>
      </c>
    </row>
    <row r="3795" spans="1:19" x14ac:dyDescent="0.35">
      <c r="A3795">
        <v>3794</v>
      </c>
      <c r="B3795">
        <v>62</v>
      </c>
      <c r="C3795" t="s">
        <v>141</v>
      </c>
      <c r="D3795" t="s">
        <v>77</v>
      </c>
      <c r="E3795" t="s">
        <v>55</v>
      </c>
      <c r="F3795">
        <v>20</v>
      </c>
      <c r="G3795" t="s">
        <v>67</v>
      </c>
      <c r="H3795" t="s">
        <v>32</v>
      </c>
      <c r="I3795" t="s">
        <v>57</v>
      </c>
      <c r="J3795" t="s">
        <v>45</v>
      </c>
      <c r="K3795">
        <v>4</v>
      </c>
      <c r="L3795" t="s">
        <v>140</v>
      </c>
      <c r="M3795" t="s">
        <v>42</v>
      </c>
      <c r="N3795" t="s">
        <v>140</v>
      </c>
      <c r="O3795">
        <v>46</v>
      </c>
      <c r="P3795" t="s">
        <v>63</v>
      </c>
      <c r="Q3795" t="s">
        <v>37</v>
      </c>
      <c r="R3795" t="str" cm="1">
        <f t="array" ref="R3795">_xlfn.IFS(B3795&lt;31,"Young-Adult",B3795&lt;41,"Adult",B3795&lt;61,"Middle-aged",B3795&gt;=61,"Senior")</f>
        <v>Senior</v>
      </c>
      <c r="S3795" cm="1">
        <f t="array" ref="S3795">_xlfn.IFS(Q3795 ="Fortnightly",14,Q3795="Weekly",7,Q3795="Monthly",30,Q3795="Quarterly",90,Q3795="Bi-Weekly",14,Q3795="Annually",365,Q3795="Every 3 Months",90,TRUE,"NOT FOUND")</f>
        <v>365</v>
      </c>
    </row>
    <row r="3796" spans="1:19" x14ac:dyDescent="0.35">
      <c r="A3796">
        <v>3795</v>
      </c>
      <c r="B3796">
        <v>44</v>
      </c>
      <c r="C3796" t="s">
        <v>141</v>
      </c>
      <c r="D3796" t="s">
        <v>107</v>
      </c>
      <c r="E3796" t="s">
        <v>55</v>
      </c>
      <c r="F3796">
        <v>82</v>
      </c>
      <c r="G3796" t="s">
        <v>135</v>
      </c>
      <c r="H3796" t="s">
        <v>32</v>
      </c>
      <c r="I3796" t="s">
        <v>71</v>
      </c>
      <c r="J3796" t="s">
        <v>41</v>
      </c>
      <c r="K3796">
        <v>3.6</v>
      </c>
      <c r="L3796" t="s">
        <v>140</v>
      </c>
      <c r="M3796" t="s">
        <v>58</v>
      </c>
      <c r="N3796" t="s">
        <v>140</v>
      </c>
      <c r="O3796">
        <v>27</v>
      </c>
      <c r="P3796" t="s">
        <v>16</v>
      </c>
      <c r="Q3796" t="s">
        <v>28</v>
      </c>
      <c r="R3796" t="str" cm="1">
        <f t="array" ref="R3796">_xlfn.IFS(B3796&lt;31,"Young-Adult",B3796&lt;41,"Adult",B3796&lt;61,"Middle-aged",B3796&gt;=61,"Senior")</f>
        <v>Middle-aged</v>
      </c>
      <c r="S3796" cm="1">
        <f t="array" ref="S3796">_xlfn.IFS(Q3796 ="Fortnightly",14,Q3796="Weekly",7,Q3796="Monthly",30,Q3796="Quarterly",90,Q3796="Bi-Weekly",14,Q3796="Annually",365,Q3796="Every 3 Months",90,TRUE,"NOT FOUND")</f>
        <v>7</v>
      </c>
    </row>
    <row r="3797" spans="1:19" x14ac:dyDescent="0.35">
      <c r="A3797">
        <v>3796</v>
      </c>
      <c r="B3797">
        <v>45</v>
      </c>
      <c r="C3797" t="s">
        <v>141</v>
      </c>
      <c r="D3797" t="s">
        <v>131</v>
      </c>
      <c r="E3797" t="s">
        <v>55</v>
      </c>
      <c r="F3797">
        <v>92</v>
      </c>
      <c r="G3797" t="s">
        <v>60</v>
      </c>
      <c r="H3797" t="s">
        <v>32</v>
      </c>
      <c r="I3797" t="s">
        <v>49</v>
      </c>
      <c r="J3797" t="s">
        <v>25</v>
      </c>
      <c r="K3797">
        <v>2.5</v>
      </c>
      <c r="L3797" t="s">
        <v>140</v>
      </c>
      <c r="M3797" t="s">
        <v>15</v>
      </c>
      <c r="N3797" t="s">
        <v>140</v>
      </c>
      <c r="O3797">
        <v>3</v>
      </c>
      <c r="P3797" t="s">
        <v>21</v>
      </c>
      <c r="Q3797" t="s">
        <v>28</v>
      </c>
      <c r="R3797" t="str" cm="1">
        <f t="array" ref="R3797">_xlfn.IFS(B3797&lt;31,"Young-Adult",B3797&lt;41,"Adult",B3797&lt;61,"Middle-aged",B3797&gt;=61,"Senior")</f>
        <v>Middle-aged</v>
      </c>
      <c r="S3797" cm="1">
        <f t="array" ref="S3797">_xlfn.IFS(Q3797 ="Fortnightly",14,Q3797="Weekly",7,Q3797="Monthly",30,Q3797="Quarterly",90,Q3797="Bi-Weekly",14,Q3797="Annually",365,Q3797="Every 3 Months",90,TRUE,"NOT FOUND")</f>
        <v>7</v>
      </c>
    </row>
    <row r="3798" spans="1:19" x14ac:dyDescent="0.35">
      <c r="A3798">
        <v>3797</v>
      </c>
      <c r="B3798">
        <v>40</v>
      </c>
      <c r="C3798" t="s">
        <v>141</v>
      </c>
      <c r="D3798" t="s">
        <v>47</v>
      </c>
      <c r="E3798" t="s">
        <v>9</v>
      </c>
      <c r="F3798">
        <v>81</v>
      </c>
      <c r="G3798" t="s">
        <v>128</v>
      </c>
      <c r="H3798" t="s">
        <v>32</v>
      </c>
      <c r="I3798" t="s">
        <v>81</v>
      </c>
      <c r="J3798" t="s">
        <v>45</v>
      </c>
      <c r="K3798">
        <v>3.2</v>
      </c>
      <c r="L3798" t="s">
        <v>140</v>
      </c>
      <c r="M3798" t="s">
        <v>26</v>
      </c>
      <c r="N3798" t="s">
        <v>140</v>
      </c>
      <c r="O3798">
        <v>47</v>
      </c>
      <c r="P3798" t="s">
        <v>63</v>
      </c>
      <c r="Q3798" t="s">
        <v>46</v>
      </c>
      <c r="R3798" t="str" cm="1">
        <f t="array" ref="R3798">_xlfn.IFS(B3798&lt;31,"Young-Adult",B3798&lt;41,"Adult",B3798&lt;61,"Middle-aged",B3798&gt;=61,"Senior")</f>
        <v>Adult</v>
      </c>
      <c r="S3798" cm="1">
        <f t="array" ref="S3798">_xlfn.IFS(Q3798 ="Fortnightly",14,Q3798="Weekly",7,Q3798="Monthly",30,Q3798="Quarterly",90,Q3798="Bi-Weekly",14,Q3798="Annually",365,Q3798="Every 3 Months",90,TRUE,"NOT FOUND")</f>
        <v>90</v>
      </c>
    </row>
    <row r="3799" spans="1:19" x14ac:dyDescent="0.35">
      <c r="A3799">
        <v>3798</v>
      </c>
      <c r="B3799">
        <v>68</v>
      </c>
      <c r="C3799" t="s">
        <v>141</v>
      </c>
      <c r="D3799" t="s">
        <v>77</v>
      </c>
      <c r="E3799" t="s">
        <v>55</v>
      </c>
      <c r="F3799">
        <v>44</v>
      </c>
      <c r="G3799" t="s">
        <v>87</v>
      </c>
      <c r="H3799" t="s">
        <v>32</v>
      </c>
      <c r="I3799" t="s">
        <v>12</v>
      </c>
      <c r="J3799" t="s">
        <v>41</v>
      </c>
      <c r="K3799">
        <v>2.5</v>
      </c>
      <c r="L3799" t="s">
        <v>140</v>
      </c>
      <c r="M3799" t="s">
        <v>33</v>
      </c>
      <c r="N3799" t="s">
        <v>140</v>
      </c>
      <c r="O3799">
        <v>20</v>
      </c>
      <c r="P3799" t="s">
        <v>21</v>
      </c>
      <c r="Q3799" t="s">
        <v>46</v>
      </c>
      <c r="R3799" t="str" cm="1">
        <f t="array" ref="R3799">_xlfn.IFS(B3799&lt;31,"Young-Adult",B3799&lt;41,"Adult",B3799&lt;61,"Middle-aged",B3799&gt;=61,"Senior")</f>
        <v>Senior</v>
      </c>
      <c r="S3799" cm="1">
        <f t="array" ref="S3799">_xlfn.IFS(Q3799 ="Fortnightly",14,Q3799="Weekly",7,Q3799="Monthly",30,Q3799="Quarterly",90,Q3799="Bi-Weekly",14,Q3799="Annually",365,Q3799="Every 3 Months",90,TRUE,"NOT FOUND")</f>
        <v>90</v>
      </c>
    </row>
    <row r="3800" spans="1:19" x14ac:dyDescent="0.35">
      <c r="A3800">
        <v>3799</v>
      </c>
      <c r="B3800">
        <v>63</v>
      </c>
      <c r="C3800" t="s">
        <v>141</v>
      </c>
      <c r="D3800" t="s">
        <v>94</v>
      </c>
      <c r="E3800" t="s">
        <v>55</v>
      </c>
      <c r="F3800">
        <v>72</v>
      </c>
      <c r="G3800" t="s">
        <v>31</v>
      </c>
      <c r="H3800" t="s">
        <v>24</v>
      </c>
      <c r="I3800" t="s">
        <v>98</v>
      </c>
      <c r="J3800" t="s">
        <v>13</v>
      </c>
      <c r="K3800">
        <v>3.2</v>
      </c>
      <c r="L3800" t="s">
        <v>140</v>
      </c>
      <c r="M3800" t="s">
        <v>33</v>
      </c>
      <c r="N3800" t="s">
        <v>140</v>
      </c>
      <c r="O3800">
        <v>23</v>
      </c>
      <c r="P3800" t="s">
        <v>27</v>
      </c>
      <c r="Q3800" t="s">
        <v>37</v>
      </c>
      <c r="R3800" t="str" cm="1">
        <f t="array" ref="R3800">_xlfn.IFS(B3800&lt;31,"Young-Adult",B3800&lt;41,"Adult",B3800&lt;61,"Middle-aged",B3800&gt;=61,"Senior")</f>
        <v>Senior</v>
      </c>
      <c r="S3800" cm="1">
        <f t="array" ref="S3800">_xlfn.IFS(Q3800 ="Fortnightly",14,Q3800="Weekly",7,Q3800="Monthly",30,Q3800="Quarterly",90,Q3800="Bi-Weekly",14,Q3800="Annually",365,Q3800="Every 3 Months",90,TRUE,"NOT FOUND")</f>
        <v>365</v>
      </c>
    </row>
    <row r="3801" spans="1:19" x14ac:dyDescent="0.35">
      <c r="A3801">
        <v>3800</v>
      </c>
      <c r="B3801">
        <v>60</v>
      </c>
      <c r="C3801" t="s">
        <v>141</v>
      </c>
      <c r="D3801" t="s">
        <v>90</v>
      </c>
      <c r="E3801" t="s">
        <v>51</v>
      </c>
      <c r="F3801">
        <v>26</v>
      </c>
      <c r="G3801" t="s">
        <v>89</v>
      </c>
      <c r="H3801" t="s">
        <v>11</v>
      </c>
      <c r="I3801" t="s">
        <v>71</v>
      </c>
      <c r="J3801" t="s">
        <v>13</v>
      </c>
      <c r="K3801">
        <v>2.6</v>
      </c>
      <c r="L3801" t="s">
        <v>140</v>
      </c>
      <c r="M3801" t="s">
        <v>62</v>
      </c>
      <c r="N3801" t="s">
        <v>140</v>
      </c>
      <c r="O3801">
        <v>13</v>
      </c>
      <c r="P3801" t="s">
        <v>27</v>
      </c>
      <c r="Q3801" t="s">
        <v>76</v>
      </c>
      <c r="R3801" t="str" cm="1">
        <f t="array" ref="R3801">_xlfn.IFS(B3801&lt;31,"Young-Adult",B3801&lt;41,"Adult",B3801&lt;61,"Middle-aged",B3801&gt;=61,"Senior")</f>
        <v>Middle-aged</v>
      </c>
      <c r="S3801" cm="1">
        <f t="array" ref="S3801">_xlfn.IFS(Q3801 ="Fortnightly",14,Q3801="Weekly",7,Q3801="Monthly",30,Q3801="Quarterly",90,Q3801="Bi-Weekly",14,Q3801="Annually",365,Q3801="Every 3 Months",90,TRUE,"NOT FOUND")</f>
        <v>30</v>
      </c>
    </row>
    <row r="3802" spans="1:19" x14ac:dyDescent="0.35">
      <c r="A3802">
        <v>3801</v>
      </c>
      <c r="B3802">
        <v>19</v>
      </c>
      <c r="C3802" t="s">
        <v>141</v>
      </c>
      <c r="D3802" t="s">
        <v>18</v>
      </c>
      <c r="E3802" t="s">
        <v>9</v>
      </c>
      <c r="F3802">
        <v>26</v>
      </c>
      <c r="G3802" t="s">
        <v>117</v>
      </c>
      <c r="H3802" t="s">
        <v>32</v>
      </c>
      <c r="I3802" t="s">
        <v>36</v>
      </c>
      <c r="J3802" t="s">
        <v>45</v>
      </c>
      <c r="K3802">
        <v>4.8</v>
      </c>
      <c r="L3802" t="s">
        <v>140</v>
      </c>
      <c r="M3802" t="s">
        <v>33</v>
      </c>
      <c r="N3802" t="s">
        <v>140</v>
      </c>
      <c r="O3802">
        <v>12</v>
      </c>
      <c r="P3802" t="s">
        <v>16</v>
      </c>
      <c r="Q3802" t="s">
        <v>64</v>
      </c>
      <c r="R3802" t="str" cm="1">
        <f t="array" ref="R3802">_xlfn.IFS(B3802&lt;31,"Young-Adult",B3802&lt;41,"Adult",B3802&lt;61,"Middle-aged",B3802&gt;=61,"Senior")</f>
        <v>Young-Adult</v>
      </c>
      <c r="S3802" cm="1">
        <f t="array" ref="S3802">_xlfn.IFS(Q3802 ="Fortnightly",14,Q3802="Weekly",7,Q3802="Monthly",30,Q3802="Quarterly",90,Q3802="Bi-Weekly",14,Q3802="Annually",365,Q3802="Every 3 Months",90,TRUE,"NOT FOUND")</f>
        <v>14</v>
      </c>
    </row>
    <row r="3803" spans="1:19" x14ac:dyDescent="0.35">
      <c r="A3803">
        <v>3802</v>
      </c>
      <c r="B3803">
        <v>26</v>
      </c>
      <c r="C3803" t="s">
        <v>141</v>
      </c>
      <c r="D3803" t="s">
        <v>8</v>
      </c>
      <c r="E3803" t="s">
        <v>9</v>
      </c>
      <c r="F3803">
        <v>84</v>
      </c>
      <c r="G3803" t="s">
        <v>10</v>
      </c>
      <c r="H3803" t="s">
        <v>32</v>
      </c>
      <c r="I3803" t="s">
        <v>88</v>
      </c>
      <c r="J3803" t="s">
        <v>25</v>
      </c>
      <c r="K3803">
        <v>5</v>
      </c>
      <c r="L3803" t="s">
        <v>140</v>
      </c>
      <c r="M3803" t="s">
        <v>62</v>
      </c>
      <c r="N3803" t="s">
        <v>140</v>
      </c>
      <c r="O3803">
        <v>36</v>
      </c>
      <c r="P3803" t="s">
        <v>34</v>
      </c>
      <c r="Q3803" t="s">
        <v>17</v>
      </c>
      <c r="R3803" t="str" cm="1">
        <f t="array" ref="R3803">_xlfn.IFS(B3803&lt;31,"Young-Adult",B3803&lt;41,"Adult",B3803&lt;61,"Middle-aged",B3803&gt;=61,"Senior")</f>
        <v>Young-Adult</v>
      </c>
      <c r="S3803" cm="1">
        <f t="array" ref="S3803">_xlfn.IFS(Q3803 ="Fortnightly",14,Q3803="Weekly",7,Q3803="Monthly",30,Q3803="Quarterly",90,Q3803="Bi-Weekly",14,Q3803="Annually",365,Q3803="Every 3 Months",90,TRUE,"NOT FOUND")</f>
        <v>14</v>
      </c>
    </row>
    <row r="3804" spans="1:19" x14ac:dyDescent="0.35">
      <c r="A3804">
        <v>3803</v>
      </c>
      <c r="B3804">
        <v>70</v>
      </c>
      <c r="C3804" t="s">
        <v>141</v>
      </c>
      <c r="D3804" t="s">
        <v>107</v>
      </c>
      <c r="E3804" t="s">
        <v>55</v>
      </c>
      <c r="F3804">
        <v>72</v>
      </c>
      <c r="G3804" t="s">
        <v>103</v>
      </c>
      <c r="H3804" t="s">
        <v>24</v>
      </c>
      <c r="I3804" t="s">
        <v>36</v>
      </c>
      <c r="J3804" t="s">
        <v>25</v>
      </c>
      <c r="K3804">
        <v>3.2</v>
      </c>
      <c r="L3804" t="s">
        <v>140</v>
      </c>
      <c r="M3804" t="s">
        <v>58</v>
      </c>
      <c r="N3804" t="s">
        <v>140</v>
      </c>
      <c r="O3804">
        <v>1</v>
      </c>
      <c r="P3804" t="s">
        <v>63</v>
      </c>
      <c r="Q3804" t="s">
        <v>76</v>
      </c>
      <c r="R3804" t="str" cm="1">
        <f t="array" ref="R3804">_xlfn.IFS(B3804&lt;31,"Young-Adult",B3804&lt;41,"Adult",B3804&lt;61,"Middle-aged",B3804&gt;=61,"Senior")</f>
        <v>Senior</v>
      </c>
      <c r="S3804" cm="1">
        <f t="array" ref="S3804">_xlfn.IFS(Q3804 ="Fortnightly",14,Q3804="Weekly",7,Q3804="Monthly",30,Q3804="Quarterly",90,Q3804="Bi-Weekly",14,Q3804="Annually",365,Q3804="Every 3 Months",90,TRUE,"NOT FOUND")</f>
        <v>30</v>
      </c>
    </row>
    <row r="3805" spans="1:19" x14ac:dyDescent="0.35">
      <c r="A3805">
        <v>3804</v>
      </c>
      <c r="B3805">
        <v>48</v>
      </c>
      <c r="C3805" t="s">
        <v>141</v>
      </c>
      <c r="D3805" t="s">
        <v>54</v>
      </c>
      <c r="E3805" t="s">
        <v>55</v>
      </c>
      <c r="F3805">
        <v>55</v>
      </c>
      <c r="G3805" t="s">
        <v>127</v>
      </c>
      <c r="H3805" t="s">
        <v>32</v>
      </c>
      <c r="I3805" t="s">
        <v>71</v>
      </c>
      <c r="J3805" t="s">
        <v>25</v>
      </c>
      <c r="K3805">
        <v>3.6</v>
      </c>
      <c r="L3805" t="s">
        <v>140</v>
      </c>
      <c r="M3805" t="s">
        <v>42</v>
      </c>
      <c r="N3805" t="s">
        <v>140</v>
      </c>
      <c r="O3805">
        <v>14</v>
      </c>
      <c r="P3805" t="s">
        <v>74</v>
      </c>
      <c r="Q3805" t="s">
        <v>28</v>
      </c>
      <c r="R3805" t="str" cm="1">
        <f t="array" ref="R3805">_xlfn.IFS(B3805&lt;31,"Young-Adult",B3805&lt;41,"Adult",B3805&lt;61,"Middle-aged",B3805&gt;=61,"Senior")</f>
        <v>Middle-aged</v>
      </c>
      <c r="S3805" cm="1">
        <f t="array" ref="S3805">_xlfn.IFS(Q3805 ="Fortnightly",14,Q3805="Weekly",7,Q3805="Monthly",30,Q3805="Quarterly",90,Q3805="Bi-Weekly",14,Q3805="Annually",365,Q3805="Every 3 Months",90,TRUE,"NOT FOUND")</f>
        <v>7</v>
      </c>
    </row>
    <row r="3806" spans="1:19" x14ac:dyDescent="0.35">
      <c r="A3806">
        <v>3805</v>
      </c>
      <c r="B3806">
        <v>37</v>
      </c>
      <c r="C3806" t="s">
        <v>141</v>
      </c>
      <c r="D3806" t="s">
        <v>112</v>
      </c>
      <c r="E3806" t="s">
        <v>55</v>
      </c>
      <c r="F3806">
        <v>77</v>
      </c>
      <c r="G3806" t="s">
        <v>91</v>
      </c>
      <c r="H3806" t="s">
        <v>32</v>
      </c>
      <c r="I3806" t="s">
        <v>66</v>
      </c>
      <c r="J3806" t="s">
        <v>45</v>
      </c>
      <c r="K3806">
        <v>2.7</v>
      </c>
      <c r="L3806" t="s">
        <v>140</v>
      </c>
      <c r="M3806" t="s">
        <v>58</v>
      </c>
      <c r="N3806" t="s">
        <v>140</v>
      </c>
      <c r="O3806">
        <v>45</v>
      </c>
      <c r="P3806" t="s">
        <v>21</v>
      </c>
      <c r="Q3806" t="s">
        <v>37</v>
      </c>
      <c r="R3806" t="str" cm="1">
        <f t="array" ref="R3806">_xlfn.IFS(B3806&lt;31,"Young-Adult",B3806&lt;41,"Adult",B3806&lt;61,"Middle-aged",B3806&gt;=61,"Senior")</f>
        <v>Adult</v>
      </c>
      <c r="S3806" cm="1">
        <f t="array" ref="S3806">_xlfn.IFS(Q3806 ="Fortnightly",14,Q3806="Weekly",7,Q3806="Monthly",30,Q3806="Quarterly",90,Q3806="Bi-Weekly",14,Q3806="Annually",365,Q3806="Every 3 Months",90,TRUE,"NOT FOUND")</f>
        <v>365</v>
      </c>
    </row>
    <row r="3807" spans="1:19" x14ac:dyDescent="0.35">
      <c r="A3807">
        <v>3806</v>
      </c>
      <c r="B3807">
        <v>48</v>
      </c>
      <c r="C3807" t="s">
        <v>141</v>
      </c>
      <c r="D3807" t="s">
        <v>107</v>
      </c>
      <c r="E3807" t="s">
        <v>55</v>
      </c>
      <c r="F3807">
        <v>57</v>
      </c>
      <c r="G3807" t="s">
        <v>115</v>
      </c>
      <c r="H3807" t="s">
        <v>32</v>
      </c>
      <c r="I3807" t="s">
        <v>84</v>
      </c>
      <c r="J3807" t="s">
        <v>45</v>
      </c>
      <c r="K3807">
        <v>3.1</v>
      </c>
      <c r="L3807" t="s">
        <v>140</v>
      </c>
      <c r="M3807" t="s">
        <v>42</v>
      </c>
      <c r="N3807" t="s">
        <v>140</v>
      </c>
      <c r="O3807">
        <v>31</v>
      </c>
      <c r="P3807" t="s">
        <v>27</v>
      </c>
      <c r="Q3807" t="s">
        <v>46</v>
      </c>
      <c r="R3807" t="str" cm="1">
        <f t="array" ref="R3807">_xlfn.IFS(B3807&lt;31,"Young-Adult",B3807&lt;41,"Adult",B3807&lt;61,"Middle-aged",B3807&gt;=61,"Senior")</f>
        <v>Middle-aged</v>
      </c>
      <c r="S3807" cm="1">
        <f t="array" ref="S3807">_xlfn.IFS(Q3807 ="Fortnightly",14,Q3807="Weekly",7,Q3807="Monthly",30,Q3807="Quarterly",90,Q3807="Bi-Weekly",14,Q3807="Annually",365,Q3807="Every 3 Months",90,TRUE,"NOT FOUND")</f>
        <v>90</v>
      </c>
    </row>
    <row r="3808" spans="1:19" x14ac:dyDescent="0.35">
      <c r="A3808">
        <v>3807</v>
      </c>
      <c r="B3808">
        <v>18</v>
      </c>
      <c r="C3808" t="s">
        <v>141</v>
      </c>
      <c r="D3808" t="s">
        <v>125</v>
      </c>
      <c r="E3808" t="s">
        <v>30</v>
      </c>
      <c r="F3808">
        <v>71</v>
      </c>
      <c r="G3808" t="s">
        <v>56</v>
      </c>
      <c r="H3808" t="s">
        <v>32</v>
      </c>
      <c r="I3808" t="s">
        <v>73</v>
      </c>
      <c r="J3808" t="s">
        <v>25</v>
      </c>
      <c r="K3808">
        <v>3</v>
      </c>
      <c r="L3808" t="s">
        <v>140</v>
      </c>
      <c r="M3808" t="s">
        <v>42</v>
      </c>
      <c r="N3808" t="s">
        <v>140</v>
      </c>
      <c r="O3808">
        <v>41</v>
      </c>
      <c r="P3808" t="s">
        <v>34</v>
      </c>
      <c r="Q3808" t="s">
        <v>28</v>
      </c>
      <c r="R3808" t="str" cm="1">
        <f t="array" ref="R3808">_xlfn.IFS(B3808&lt;31,"Young-Adult",B3808&lt;41,"Adult",B3808&lt;61,"Middle-aged",B3808&gt;=61,"Senior")</f>
        <v>Young-Adult</v>
      </c>
      <c r="S3808" cm="1">
        <f t="array" ref="S3808">_xlfn.IFS(Q3808 ="Fortnightly",14,Q3808="Weekly",7,Q3808="Monthly",30,Q3808="Quarterly",90,Q3808="Bi-Weekly",14,Q3808="Annually",365,Q3808="Every 3 Months",90,TRUE,"NOT FOUND")</f>
        <v>7</v>
      </c>
    </row>
    <row r="3809" spans="1:19" x14ac:dyDescent="0.35">
      <c r="A3809">
        <v>3808</v>
      </c>
      <c r="B3809">
        <v>38</v>
      </c>
      <c r="C3809" t="s">
        <v>141</v>
      </c>
      <c r="D3809" t="s">
        <v>8</v>
      </c>
      <c r="E3809" t="s">
        <v>9</v>
      </c>
      <c r="F3809">
        <v>39</v>
      </c>
      <c r="G3809" t="s">
        <v>139</v>
      </c>
      <c r="H3809" t="s">
        <v>11</v>
      </c>
      <c r="I3809" t="s">
        <v>88</v>
      </c>
      <c r="J3809" t="s">
        <v>25</v>
      </c>
      <c r="K3809">
        <v>2.9</v>
      </c>
      <c r="L3809" t="s">
        <v>140</v>
      </c>
      <c r="M3809" t="s">
        <v>33</v>
      </c>
      <c r="N3809" t="s">
        <v>140</v>
      </c>
      <c r="O3809">
        <v>36</v>
      </c>
      <c r="P3809" t="s">
        <v>34</v>
      </c>
      <c r="Q3809" t="s">
        <v>37</v>
      </c>
      <c r="R3809" t="str" cm="1">
        <f t="array" ref="R3809">_xlfn.IFS(B3809&lt;31,"Young-Adult",B3809&lt;41,"Adult",B3809&lt;61,"Middle-aged",B3809&gt;=61,"Senior")</f>
        <v>Adult</v>
      </c>
      <c r="S3809" cm="1">
        <f t="array" ref="S3809">_xlfn.IFS(Q3809 ="Fortnightly",14,Q3809="Weekly",7,Q3809="Monthly",30,Q3809="Quarterly",90,Q3809="Bi-Weekly",14,Q3809="Annually",365,Q3809="Every 3 Months",90,TRUE,"NOT FOUND")</f>
        <v>365</v>
      </c>
    </row>
    <row r="3810" spans="1:19" x14ac:dyDescent="0.35">
      <c r="A3810">
        <v>3809</v>
      </c>
      <c r="B3810">
        <v>33</v>
      </c>
      <c r="C3810" t="s">
        <v>141</v>
      </c>
      <c r="D3810" t="s">
        <v>113</v>
      </c>
      <c r="E3810" t="s">
        <v>9</v>
      </c>
      <c r="F3810">
        <v>28</v>
      </c>
      <c r="G3810" t="s">
        <v>137</v>
      </c>
      <c r="H3810" t="s">
        <v>32</v>
      </c>
      <c r="I3810" t="s">
        <v>57</v>
      </c>
      <c r="J3810" t="s">
        <v>13</v>
      </c>
      <c r="K3810">
        <v>4.7</v>
      </c>
      <c r="L3810" t="s">
        <v>140</v>
      </c>
      <c r="M3810" t="s">
        <v>15</v>
      </c>
      <c r="N3810" t="s">
        <v>140</v>
      </c>
      <c r="O3810">
        <v>6</v>
      </c>
      <c r="P3810" t="s">
        <v>74</v>
      </c>
      <c r="Q3810" t="s">
        <v>64</v>
      </c>
      <c r="R3810" t="str" cm="1">
        <f t="array" ref="R3810">_xlfn.IFS(B3810&lt;31,"Young-Adult",B3810&lt;41,"Adult",B3810&lt;61,"Middle-aged",B3810&gt;=61,"Senior")</f>
        <v>Adult</v>
      </c>
      <c r="S3810" cm="1">
        <f t="array" ref="S3810">_xlfn.IFS(Q3810 ="Fortnightly",14,Q3810="Weekly",7,Q3810="Monthly",30,Q3810="Quarterly",90,Q3810="Bi-Weekly",14,Q3810="Annually",365,Q3810="Every 3 Months",90,TRUE,"NOT FOUND")</f>
        <v>14</v>
      </c>
    </row>
    <row r="3811" spans="1:19" x14ac:dyDescent="0.35">
      <c r="A3811">
        <v>3810</v>
      </c>
      <c r="B3811">
        <v>57</v>
      </c>
      <c r="C3811" t="s">
        <v>141</v>
      </c>
      <c r="D3811" t="s">
        <v>59</v>
      </c>
      <c r="E3811" t="s">
        <v>30</v>
      </c>
      <c r="F3811">
        <v>33</v>
      </c>
      <c r="G3811" t="s">
        <v>72</v>
      </c>
      <c r="H3811" t="s">
        <v>24</v>
      </c>
      <c r="I3811" t="s">
        <v>20</v>
      </c>
      <c r="J3811" t="s">
        <v>13</v>
      </c>
      <c r="K3811">
        <v>3.7</v>
      </c>
      <c r="L3811" t="s">
        <v>140</v>
      </c>
      <c r="M3811" t="s">
        <v>42</v>
      </c>
      <c r="N3811" t="s">
        <v>140</v>
      </c>
      <c r="O3811">
        <v>28</v>
      </c>
      <c r="P3811" t="s">
        <v>27</v>
      </c>
      <c r="Q3811" t="s">
        <v>37</v>
      </c>
      <c r="R3811" t="str" cm="1">
        <f t="array" ref="R3811">_xlfn.IFS(B3811&lt;31,"Young-Adult",B3811&lt;41,"Adult",B3811&lt;61,"Middle-aged",B3811&gt;=61,"Senior")</f>
        <v>Middle-aged</v>
      </c>
      <c r="S3811" cm="1">
        <f t="array" ref="S3811">_xlfn.IFS(Q3811 ="Fortnightly",14,Q3811="Weekly",7,Q3811="Monthly",30,Q3811="Quarterly",90,Q3811="Bi-Weekly",14,Q3811="Annually",365,Q3811="Every 3 Months",90,TRUE,"NOT FOUND")</f>
        <v>365</v>
      </c>
    </row>
    <row r="3812" spans="1:19" x14ac:dyDescent="0.35">
      <c r="A3812">
        <v>3811</v>
      </c>
      <c r="B3812">
        <v>46</v>
      </c>
      <c r="C3812" t="s">
        <v>141</v>
      </c>
      <c r="D3812" t="s">
        <v>75</v>
      </c>
      <c r="E3812" t="s">
        <v>9</v>
      </c>
      <c r="F3812">
        <v>79</v>
      </c>
      <c r="G3812" t="s">
        <v>138</v>
      </c>
      <c r="H3812" t="s">
        <v>11</v>
      </c>
      <c r="I3812" t="s">
        <v>88</v>
      </c>
      <c r="J3812" t="s">
        <v>45</v>
      </c>
      <c r="K3812">
        <v>3.9</v>
      </c>
      <c r="L3812" t="s">
        <v>140</v>
      </c>
      <c r="M3812" t="s">
        <v>26</v>
      </c>
      <c r="N3812" t="s">
        <v>140</v>
      </c>
      <c r="O3812">
        <v>29</v>
      </c>
      <c r="P3812" t="s">
        <v>16</v>
      </c>
      <c r="Q3812" t="s">
        <v>76</v>
      </c>
      <c r="R3812" t="str" cm="1">
        <f t="array" ref="R3812">_xlfn.IFS(B3812&lt;31,"Young-Adult",B3812&lt;41,"Adult",B3812&lt;61,"Middle-aged",B3812&gt;=61,"Senior")</f>
        <v>Middle-aged</v>
      </c>
      <c r="S3812" cm="1">
        <f t="array" ref="S3812">_xlfn.IFS(Q3812 ="Fortnightly",14,Q3812="Weekly",7,Q3812="Monthly",30,Q3812="Quarterly",90,Q3812="Bi-Weekly",14,Q3812="Annually",365,Q3812="Every 3 Months",90,TRUE,"NOT FOUND")</f>
        <v>30</v>
      </c>
    </row>
    <row r="3813" spans="1:19" x14ac:dyDescent="0.35">
      <c r="A3813">
        <v>3812</v>
      </c>
      <c r="B3813">
        <v>46</v>
      </c>
      <c r="C3813" t="s">
        <v>141</v>
      </c>
      <c r="D3813" t="s">
        <v>121</v>
      </c>
      <c r="E3813" t="s">
        <v>55</v>
      </c>
      <c r="F3813">
        <v>30</v>
      </c>
      <c r="G3813" t="s">
        <v>123</v>
      </c>
      <c r="H3813" t="s">
        <v>32</v>
      </c>
      <c r="I3813" t="s">
        <v>20</v>
      </c>
      <c r="J3813" t="s">
        <v>13</v>
      </c>
      <c r="K3813">
        <v>4</v>
      </c>
      <c r="L3813" t="s">
        <v>140</v>
      </c>
      <c r="M3813" t="s">
        <v>42</v>
      </c>
      <c r="N3813" t="s">
        <v>140</v>
      </c>
      <c r="O3813">
        <v>14</v>
      </c>
      <c r="P3813" t="s">
        <v>21</v>
      </c>
      <c r="Q3813" t="s">
        <v>76</v>
      </c>
      <c r="R3813" t="str" cm="1">
        <f t="array" ref="R3813">_xlfn.IFS(B3813&lt;31,"Young-Adult",B3813&lt;41,"Adult",B3813&lt;61,"Middle-aged",B3813&gt;=61,"Senior")</f>
        <v>Middle-aged</v>
      </c>
      <c r="S3813" cm="1">
        <f t="array" ref="S3813">_xlfn.IFS(Q3813 ="Fortnightly",14,Q3813="Weekly",7,Q3813="Monthly",30,Q3813="Quarterly",90,Q3813="Bi-Weekly",14,Q3813="Annually",365,Q3813="Every 3 Months",90,TRUE,"NOT FOUND")</f>
        <v>30</v>
      </c>
    </row>
    <row r="3814" spans="1:19" x14ac:dyDescent="0.35">
      <c r="A3814">
        <v>3813</v>
      </c>
      <c r="B3814">
        <v>50</v>
      </c>
      <c r="C3814" t="s">
        <v>141</v>
      </c>
      <c r="D3814" t="s">
        <v>75</v>
      </c>
      <c r="E3814" t="s">
        <v>9</v>
      </c>
      <c r="F3814">
        <v>75</v>
      </c>
      <c r="G3814" t="s">
        <v>139</v>
      </c>
      <c r="H3814" t="s">
        <v>32</v>
      </c>
      <c r="I3814" t="s">
        <v>57</v>
      </c>
      <c r="J3814" t="s">
        <v>25</v>
      </c>
      <c r="K3814">
        <v>2.8</v>
      </c>
      <c r="L3814" t="s">
        <v>140</v>
      </c>
      <c r="M3814" t="s">
        <v>33</v>
      </c>
      <c r="N3814" t="s">
        <v>140</v>
      </c>
      <c r="O3814">
        <v>7</v>
      </c>
      <c r="P3814" t="s">
        <v>63</v>
      </c>
      <c r="Q3814" t="s">
        <v>85</v>
      </c>
      <c r="R3814" t="str" cm="1">
        <f t="array" ref="R3814">_xlfn.IFS(B3814&lt;31,"Young-Adult",B3814&lt;41,"Adult",B3814&lt;61,"Middle-aged",B3814&gt;=61,"Senior")</f>
        <v>Middle-aged</v>
      </c>
      <c r="S3814" cm="1">
        <f t="array" ref="S3814">_xlfn.IFS(Q3814 ="Fortnightly",14,Q3814="Weekly",7,Q3814="Monthly",30,Q3814="Quarterly",90,Q3814="Bi-Weekly",14,Q3814="Annually",365,Q3814="Every 3 Months",90,TRUE,"NOT FOUND")</f>
        <v>90</v>
      </c>
    </row>
    <row r="3815" spans="1:19" x14ac:dyDescent="0.35">
      <c r="A3815">
        <v>3814</v>
      </c>
      <c r="B3815">
        <v>61</v>
      </c>
      <c r="C3815" t="s">
        <v>141</v>
      </c>
      <c r="D3815" t="s">
        <v>83</v>
      </c>
      <c r="E3815" t="s">
        <v>9</v>
      </c>
      <c r="F3815">
        <v>89</v>
      </c>
      <c r="G3815" t="s">
        <v>130</v>
      </c>
      <c r="H3815" t="s">
        <v>32</v>
      </c>
      <c r="I3815" t="s">
        <v>109</v>
      </c>
      <c r="J3815" t="s">
        <v>41</v>
      </c>
      <c r="K3815">
        <v>4.0999999999999996</v>
      </c>
      <c r="L3815" t="s">
        <v>140</v>
      </c>
      <c r="M3815" t="s">
        <v>15</v>
      </c>
      <c r="N3815" t="s">
        <v>140</v>
      </c>
      <c r="O3815">
        <v>31</v>
      </c>
      <c r="P3815" t="s">
        <v>16</v>
      </c>
      <c r="Q3815" t="s">
        <v>64</v>
      </c>
      <c r="R3815" t="str" cm="1">
        <f t="array" ref="R3815">_xlfn.IFS(B3815&lt;31,"Young-Adult",B3815&lt;41,"Adult",B3815&lt;61,"Middle-aged",B3815&gt;=61,"Senior")</f>
        <v>Senior</v>
      </c>
      <c r="S3815" cm="1">
        <f t="array" ref="S3815">_xlfn.IFS(Q3815 ="Fortnightly",14,Q3815="Weekly",7,Q3815="Monthly",30,Q3815="Quarterly",90,Q3815="Bi-Weekly",14,Q3815="Annually",365,Q3815="Every 3 Months",90,TRUE,"NOT FOUND")</f>
        <v>14</v>
      </c>
    </row>
    <row r="3816" spans="1:19" x14ac:dyDescent="0.35">
      <c r="A3816">
        <v>3815</v>
      </c>
      <c r="B3816">
        <v>45</v>
      </c>
      <c r="C3816" t="s">
        <v>141</v>
      </c>
      <c r="D3816" t="s">
        <v>69</v>
      </c>
      <c r="E3816" t="s">
        <v>9</v>
      </c>
      <c r="F3816">
        <v>95</v>
      </c>
      <c r="G3816" t="s">
        <v>139</v>
      </c>
      <c r="H3816" t="s">
        <v>32</v>
      </c>
      <c r="I3816" t="s">
        <v>109</v>
      </c>
      <c r="J3816" t="s">
        <v>13</v>
      </c>
      <c r="K3816">
        <v>4.2</v>
      </c>
      <c r="L3816" t="s">
        <v>140</v>
      </c>
      <c r="M3816" t="s">
        <v>26</v>
      </c>
      <c r="N3816" t="s">
        <v>140</v>
      </c>
      <c r="O3816">
        <v>26</v>
      </c>
      <c r="P3816" t="s">
        <v>63</v>
      </c>
      <c r="Q3816" t="s">
        <v>85</v>
      </c>
      <c r="R3816" t="str" cm="1">
        <f t="array" ref="R3816">_xlfn.IFS(B3816&lt;31,"Young-Adult",B3816&lt;41,"Adult",B3816&lt;61,"Middle-aged",B3816&gt;=61,"Senior")</f>
        <v>Middle-aged</v>
      </c>
      <c r="S3816" cm="1">
        <f t="array" ref="S3816">_xlfn.IFS(Q3816 ="Fortnightly",14,Q3816="Weekly",7,Q3816="Monthly",30,Q3816="Quarterly",90,Q3816="Bi-Weekly",14,Q3816="Annually",365,Q3816="Every 3 Months",90,TRUE,"NOT FOUND")</f>
        <v>90</v>
      </c>
    </row>
    <row r="3817" spans="1:19" x14ac:dyDescent="0.35">
      <c r="A3817">
        <v>3816</v>
      </c>
      <c r="B3817">
        <v>32</v>
      </c>
      <c r="C3817" t="s">
        <v>141</v>
      </c>
      <c r="D3817" t="s">
        <v>112</v>
      </c>
      <c r="E3817" t="s">
        <v>55</v>
      </c>
      <c r="F3817">
        <v>44</v>
      </c>
      <c r="G3817" t="s">
        <v>19</v>
      </c>
      <c r="H3817" t="s">
        <v>32</v>
      </c>
      <c r="I3817" t="s">
        <v>98</v>
      </c>
      <c r="J3817" t="s">
        <v>45</v>
      </c>
      <c r="K3817">
        <v>4.3</v>
      </c>
      <c r="L3817" t="s">
        <v>140</v>
      </c>
      <c r="M3817" t="s">
        <v>15</v>
      </c>
      <c r="N3817" t="s">
        <v>140</v>
      </c>
      <c r="O3817">
        <v>12</v>
      </c>
      <c r="P3817" t="s">
        <v>16</v>
      </c>
      <c r="Q3817" t="s">
        <v>17</v>
      </c>
      <c r="R3817" t="str" cm="1">
        <f t="array" ref="R3817">_xlfn.IFS(B3817&lt;31,"Young-Adult",B3817&lt;41,"Adult",B3817&lt;61,"Middle-aged",B3817&gt;=61,"Senior")</f>
        <v>Adult</v>
      </c>
      <c r="S3817" cm="1">
        <f t="array" ref="S3817">_xlfn.IFS(Q3817 ="Fortnightly",14,Q3817="Weekly",7,Q3817="Monthly",30,Q3817="Quarterly",90,Q3817="Bi-Weekly",14,Q3817="Annually",365,Q3817="Every 3 Months",90,TRUE,"NOT FOUND")</f>
        <v>14</v>
      </c>
    </row>
    <row r="3818" spans="1:19" x14ac:dyDescent="0.35">
      <c r="A3818">
        <v>3817</v>
      </c>
      <c r="B3818">
        <v>29</v>
      </c>
      <c r="C3818" t="s">
        <v>141</v>
      </c>
      <c r="D3818" t="s">
        <v>50</v>
      </c>
      <c r="E3818" t="s">
        <v>51</v>
      </c>
      <c r="F3818">
        <v>86</v>
      </c>
      <c r="G3818" t="s">
        <v>116</v>
      </c>
      <c r="H3818" t="s">
        <v>24</v>
      </c>
      <c r="I3818" t="s">
        <v>53</v>
      </c>
      <c r="J3818" t="s">
        <v>41</v>
      </c>
      <c r="K3818">
        <v>4.3</v>
      </c>
      <c r="L3818" t="s">
        <v>140</v>
      </c>
      <c r="M3818" t="s">
        <v>62</v>
      </c>
      <c r="N3818" t="s">
        <v>140</v>
      </c>
      <c r="O3818">
        <v>45</v>
      </c>
      <c r="P3818" t="s">
        <v>27</v>
      </c>
      <c r="Q3818" t="s">
        <v>17</v>
      </c>
      <c r="R3818" t="str" cm="1">
        <f t="array" ref="R3818">_xlfn.IFS(B3818&lt;31,"Young-Adult",B3818&lt;41,"Adult",B3818&lt;61,"Middle-aged",B3818&gt;=61,"Senior")</f>
        <v>Young-Adult</v>
      </c>
      <c r="S3818" cm="1">
        <f t="array" ref="S3818">_xlfn.IFS(Q3818 ="Fortnightly",14,Q3818="Weekly",7,Q3818="Monthly",30,Q3818="Quarterly",90,Q3818="Bi-Weekly",14,Q3818="Annually",365,Q3818="Every 3 Months",90,TRUE,"NOT FOUND")</f>
        <v>14</v>
      </c>
    </row>
    <row r="3819" spans="1:19" x14ac:dyDescent="0.35">
      <c r="A3819">
        <v>3818</v>
      </c>
      <c r="B3819">
        <v>66</v>
      </c>
      <c r="C3819" t="s">
        <v>141</v>
      </c>
      <c r="D3819" t="s">
        <v>107</v>
      </c>
      <c r="E3819" t="s">
        <v>55</v>
      </c>
      <c r="F3819">
        <v>91</v>
      </c>
      <c r="G3819" t="s">
        <v>56</v>
      </c>
      <c r="H3819" t="s">
        <v>32</v>
      </c>
      <c r="I3819" t="s">
        <v>124</v>
      </c>
      <c r="J3819" t="s">
        <v>45</v>
      </c>
      <c r="K3819">
        <v>2.6</v>
      </c>
      <c r="L3819" t="s">
        <v>140</v>
      </c>
      <c r="M3819" t="s">
        <v>15</v>
      </c>
      <c r="N3819" t="s">
        <v>140</v>
      </c>
      <c r="O3819">
        <v>40</v>
      </c>
      <c r="P3819" t="s">
        <v>34</v>
      </c>
      <c r="Q3819" t="s">
        <v>37</v>
      </c>
      <c r="R3819" t="str" cm="1">
        <f t="array" ref="R3819">_xlfn.IFS(B3819&lt;31,"Young-Adult",B3819&lt;41,"Adult",B3819&lt;61,"Middle-aged",B3819&gt;=61,"Senior")</f>
        <v>Senior</v>
      </c>
      <c r="S3819" cm="1">
        <f t="array" ref="S3819">_xlfn.IFS(Q3819 ="Fortnightly",14,Q3819="Weekly",7,Q3819="Monthly",30,Q3819="Quarterly",90,Q3819="Bi-Weekly",14,Q3819="Annually",365,Q3819="Every 3 Months",90,TRUE,"NOT FOUND")</f>
        <v>365</v>
      </c>
    </row>
    <row r="3820" spans="1:19" x14ac:dyDescent="0.35">
      <c r="A3820">
        <v>3819</v>
      </c>
      <c r="B3820">
        <v>70</v>
      </c>
      <c r="C3820" t="s">
        <v>141</v>
      </c>
      <c r="D3820" t="s">
        <v>38</v>
      </c>
      <c r="E3820" t="s">
        <v>30</v>
      </c>
      <c r="F3820">
        <v>41</v>
      </c>
      <c r="G3820" t="s">
        <v>35</v>
      </c>
      <c r="H3820" t="s">
        <v>80</v>
      </c>
      <c r="I3820" t="s">
        <v>114</v>
      </c>
      <c r="J3820" t="s">
        <v>13</v>
      </c>
      <c r="K3820">
        <v>3.8</v>
      </c>
      <c r="L3820" t="s">
        <v>140</v>
      </c>
      <c r="M3820" t="s">
        <v>26</v>
      </c>
      <c r="N3820" t="s">
        <v>140</v>
      </c>
      <c r="O3820">
        <v>42</v>
      </c>
      <c r="P3820" t="s">
        <v>21</v>
      </c>
      <c r="Q3820" t="s">
        <v>76</v>
      </c>
      <c r="R3820" t="str" cm="1">
        <f t="array" ref="R3820">_xlfn.IFS(B3820&lt;31,"Young-Adult",B3820&lt;41,"Adult",B3820&lt;61,"Middle-aged",B3820&gt;=61,"Senior")</f>
        <v>Senior</v>
      </c>
      <c r="S3820" cm="1">
        <f t="array" ref="S3820">_xlfn.IFS(Q3820 ="Fortnightly",14,Q3820="Weekly",7,Q3820="Monthly",30,Q3820="Quarterly",90,Q3820="Bi-Weekly",14,Q3820="Annually",365,Q3820="Every 3 Months",90,TRUE,"NOT FOUND")</f>
        <v>30</v>
      </c>
    </row>
    <row r="3821" spans="1:19" x14ac:dyDescent="0.35">
      <c r="A3821">
        <v>3820</v>
      </c>
      <c r="B3821">
        <v>36</v>
      </c>
      <c r="C3821" t="s">
        <v>141</v>
      </c>
      <c r="D3821" t="s">
        <v>83</v>
      </c>
      <c r="E3821" t="s">
        <v>9</v>
      </c>
      <c r="F3821">
        <v>99</v>
      </c>
      <c r="G3821" t="s">
        <v>60</v>
      </c>
      <c r="H3821" t="s">
        <v>24</v>
      </c>
      <c r="I3821" t="s">
        <v>68</v>
      </c>
      <c r="J3821" t="s">
        <v>25</v>
      </c>
      <c r="K3821">
        <v>2.9</v>
      </c>
      <c r="L3821" t="s">
        <v>140</v>
      </c>
      <c r="M3821" t="s">
        <v>15</v>
      </c>
      <c r="N3821" t="s">
        <v>140</v>
      </c>
      <c r="O3821">
        <v>45</v>
      </c>
      <c r="P3821" t="s">
        <v>21</v>
      </c>
      <c r="Q3821" t="s">
        <v>46</v>
      </c>
      <c r="R3821" t="str" cm="1">
        <f t="array" ref="R3821">_xlfn.IFS(B3821&lt;31,"Young-Adult",B3821&lt;41,"Adult",B3821&lt;61,"Middle-aged",B3821&gt;=61,"Senior")</f>
        <v>Adult</v>
      </c>
      <c r="S3821" cm="1">
        <f t="array" ref="S3821">_xlfn.IFS(Q3821 ="Fortnightly",14,Q3821="Weekly",7,Q3821="Monthly",30,Q3821="Quarterly",90,Q3821="Bi-Weekly",14,Q3821="Annually",365,Q3821="Every 3 Months",90,TRUE,"NOT FOUND")</f>
        <v>90</v>
      </c>
    </row>
    <row r="3822" spans="1:19" x14ac:dyDescent="0.35">
      <c r="A3822">
        <v>3821</v>
      </c>
      <c r="B3822">
        <v>34</v>
      </c>
      <c r="C3822" t="s">
        <v>141</v>
      </c>
      <c r="D3822" t="s">
        <v>121</v>
      </c>
      <c r="E3822" t="s">
        <v>55</v>
      </c>
      <c r="F3822">
        <v>65</v>
      </c>
      <c r="G3822" t="s">
        <v>70</v>
      </c>
      <c r="H3822" t="s">
        <v>32</v>
      </c>
      <c r="I3822" t="s">
        <v>61</v>
      </c>
      <c r="J3822" t="s">
        <v>13</v>
      </c>
      <c r="K3822">
        <v>5</v>
      </c>
      <c r="L3822" t="s">
        <v>140</v>
      </c>
      <c r="M3822" t="s">
        <v>42</v>
      </c>
      <c r="N3822" t="s">
        <v>140</v>
      </c>
      <c r="O3822">
        <v>34</v>
      </c>
      <c r="P3822" t="s">
        <v>74</v>
      </c>
      <c r="Q3822" t="s">
        <v>46</v>
      </c>
      <c r="R3822" t="str" cm="1">
        <f t="array" ref="R3822">_xlfn.IFS(B3822&lt;31,"Young-Adult",B3822&lt;41,"Adult",B3822&lt;61,"Middle-aged",B3822&gt;=61,"Senior")</f>
        <v>Adult</v>
      </c>
      <c r="S3822" cm="1">
        <f t="array" ref="S3822">_xlfn.IFS(Q3822 ="Fortnightly",14,Q3822="Weekly",7,Q3822="Monthly",30,Q3822="Quarterly",90,Q3822="Bi-Weekly",14,Q3822="Annually",365,Q3822="Every 3 Months",90,TRUE,"NOT FOUND")</f>
        <v>90</v>
      </c>
    </row>
    <row r="3823" spans="1:19" x14ac:dyDescent="0.35">
      <c r="A3823">
        <v>3822</v>
      </c>
      <c r="B3823">
        <v>20</v>
      </c>
      <c r="C3823" t="s">
        <v>141</v>
      </c>
      <c r="D3823" t="s">
        <v>38</v>
      </c>
      <c r="E3823" t="s">
        <v>30</v>
      </c>
      <c r="F3823">
        <v>48</v>
      </c>
      <c r="G3823" t="s">
        <v>35</v>
      </c>
      <c r="H3823" t="s">
        <v>32</v>
      </c>
      <c r="I3823" t="s">
        <v>68</v>
      </c>
      <c r="J3823" t="s">
        <v>41</v>
      </c>
      <c r="K3823">
        <v>4.5999999999999996</v>
      </c>
      <c r="L3823" t="s">
        <v>140</v>
      </c>
      <c r="M3823" t="s">
        <v>26</v>
      </c>
      <c r="N3823" t="s">
        <v>140</v>
      </c>
      <c r="O3823">
        <v>34</v>
      </c>
      <c r="P3823" t="s">
        <v>27</v>
      </c>
      <c r="Q3823" t="s">
        <v>85</v>
      </c>
      <c r="R3823" t="str" cm="1">
        <f t="array" ref="R3823">_xlfn.IFS(B3823&lt;31,"Young-Adult",B3823&lt;41,"Adult",B3823&lt;61,"Middle-aged",B3823&gt;=61,"Senior")</f>
        <v>Young-Adult</v>
      </c>
      <c r="S3823" cm="1">
        <f t="array" ref="S3823">_xlfn.IFS(Q3823 ="Fortnightly",14,Q3823="Weekly",7,Q3823="Monthly",30,Q3823="Quarterly",90,Q3823="Bi-Weekly",14,Q3823="Annually",365,Q3823="Every 3 Months",90,TRUE,"NOT FOUND")</f>
        <v>90</v>
      </c>
    </row>
    <row r="3824" spans="1:19" x14ac:dyDescent="0.35">
      <c r="A3824">
        <v>3823</v>
      </c>
      <c r="B3824">
        <v>70</v>
      </c>
      <c r="C3824" t="s">
        <v>141</v>
      </c>
      <c r="D3824" t="s">
        <v>112</v>
      </c>
      <c r="E3824" t="s">
        <v>55</v>
      </c>
      <c r="F3824">
        <v>41</v>
      </c>
      <c r="G3824" t="s">
        <v>99</v>
      </c>
      <c r="H3824" t="s">
        <v>24</v>
      </c>
      <c r="I3824" t="s">
        <v>68</v>
      </c>
      <c r="J3824" t="s">
        <v>25</v>
      </c>
      <c r="K3824">
        <v>3.2</v>
      </c>
      <c r="L3824" t="s">
        <v>140</v>
      </c>
      <c r="M3824" t="s">
        <v>26</v>
      </c>
      <c r="N3824" t="s">
        <v>140</v>
      </c>
      <c r="O3824">
        <v>17</v>
      </c>
      <c r="P3824" t="s">
        <v>34</v>
      </c>
      <c r="Q3824" t="s">
        <v>85</v>
      </c>
      <c r="R3824" t="str" cm="1">
        <f t="array" ref="R3824">_xlfn.IFS(B3824&lt;31,"Young-Adult",B3824&lt;41,"Adult",B3824&lt;61,"Middle-aged",B3824&gt;=61,"Senior")</f>
        <v>Senior</v>
      </c>
      <c r="S3824" cm="1">
        <f t="array" ref="S3824">_xlfn.IFS(Q3824 ="Fortnightly",14,Q3824="Weekly",7,Q3824="Monthly",30,Q3824="Quarterly",90,Q3824="Bi-Weekly",14,Q3824="Annually",365,Q3824="Every 3 Months",90,TRUE,"NOT FOUND")</f>
        <v>90</v>
      </c>
    </row>
    <row r="3825" spans="1:19" x14ac:dyDescent="0.35">
      <c r="A3825">
        <v>3824</v>
      </c>
      <c r="B3825">
        <v>50</v>
      </c>
      <c r="C3825" t="s">
        <v>141</v>
      </c>
      <c r="D3825" t="s">
        <v>43</v>
      </c>
      <c r="E3825" t="s">
        <v>9</v>
      </c>
      <c r="F3825">
        <v>42</v>
      </c>
      <c r="G3825" t="s">
        <v>87</v>
      </c>
      <c r="H3825" t="s">
        <v>32</v>
      </c>
      <c r="I3825" t="s">
        <v>68</v>
      </c>
      <c r="J3825" t="s">
        <v>41</v>
      </c>
      <c r="K3825">
        <v>3</v>
      </c>
      <c r="L3825" t="s">
        <v>140</v>
      </c>
      <c r="M3825" t="s">
        <v>42</v>
      </c>
      <c r="N3825" t="s">
        <v>140</v>
      </c>
      <c r="O3825">
        <v>27</v>
      </c>
      <c r="P3825" t="s">
        <v>63</v>
      </c>
      <c r="Q3825" t="s">
        <v>28</v>
      </c>
      <c r="R3825" t="str" cm="1">
        <f t="array" ref="R3825">_xlfn.IFS(B3825&lt;31,"Young-Adult",B3825&lt;41,"Adult",B3825&lt;61,"Middle-aged",B3825&gt;=61,"Senior")</f>
        <v>Middle-aged</v>
      </c>
      <c r="S3825" cm="1">
        <f t="array" ref="S3825">_xlfn.IFS(Q3825 ="Fortnightly",14,Q3825="Weekly",7,Q3825="Monthly",30,Q3825="Quarterly",90,Q3825="Bi-Weekly",14,Q3825="Annually",365,Q3825="Every 3 Months",90,TRUE,"NOT FOUND")</f>
        <v>7</v>
      </c>
    </row>
    <row r="3826" spans="1:19" x14ac:dyDescent="0.35">
      <c r="A3826">
        <v>3825</v>
      </c>
      <c r="B3826">
        <v>54</v>
      </c>
      <c r="C3826" t="s">
        <v>141</v>
      </c>
      <c r="D3826" t="s">
        <v>47</v>
      </c>
      <c r="E3826" t="s">
        <v>9</v>
      </c>
      <c r="F3826">
        <v>26</v>
      </c>
      <c r="G3826" t="s">
        <v>130</v>
      </c>
      <c r="H3826" t="s">
        <v>32</v>
      </c>
      <c r="I3826" t="s">
        <v>66</v>
      </c>
      <c r="J3826" t="s">
        <v>41</v>
      </c>
      <c r="K3826">
        <v>4</v>
      </c>
      <c r="L3826" t="s">
        <v>140</v>
      </c>
      <c r="M3826" t="s">
        <v>26</v>
      </c>
      <c r="N3826" t="s">
        <v>140</v>
      </c>
      <c r="O3826">
        <v>31</v>
      </c>
      <c r="P3826" t="s">
        <v>27</v>
      </c>
      <c r="Q3826" t="s">
        <v>46</v>
      </c>
      <c r="R3826" t="str" cm="1">
        <f t="array" ref="R3826">_xlfn.IFS(B3826&lt;31,"Young-Adult",B3826&lt;41,"Adult",B3826&lt;61,"Middle-aged",B3826&gt;=61,"Senior")</f>
        <v>Middle-aged</v>
      </c>
      <c r="S3826" cm="1">
        <f t="array" ref="S3826">_xlfn.IFS(Q3826 ="Fortnightly",14,Q3826="Weekly",7,Q3826="Monthly",30,Q3826="Quarterly",90,Q3826="Bi-Weekly",14,Q3826="Annually",365,Q3826="Every 3 Months",90,TRUE,"NOT FOUND")</f>
        <v>90</v>
      </c>
    </row>
    <row r="3827" spans="1:19" x14ac:dyDescent="0.35">
      <c r="A3827">
        <v>3826</v>
      </c>
      <c r="B3827">
        <v>49</v>
      </c>
      <c r="C3827" t="s">
        <v>141</v>
      </c>
      <c r="D3827" t="s">
        <v>47</v>
      </c>
      <c r="E3827" t="s">
        <v>9</v>
      </c>
      <c r="F3827">
        <v>35</v>
      </c>
      <c r="G3827" t="s">
        <v>65</v>
      </c>
      <c r="H3827" t="s">
        <v>11</v>
      </c>
      <c r="I3827" t="s">
        <v>84</v>
      </c>
      <c r="J3827" t="s">
        <v>45</v>
      </c>
      <c r="K3827">
        <v>4.0999999999999996</v>
      </c>
      <c r="L3827" t="s">
        <v>140</v>
      </c>
      <c r="M3827" t="s">
        <v>15</v>
      </c>
      <c r="N3827" t="s">
        <v>140</v>
      </c>
      <c r="O3827">
        <v>47</v>
      </c>
      <c r="P3827" t="s">
        <v>74</v>
      </c>
      <c r="Q3827" t="s">
        <v>17</v>
      </c>
      <c r="R3827" t="str" cm="1">
        <f t="array" ref="R3827">_xlfn.IFS(B3827&lt;31,"Young-Adult",B3827&lt;41,"Adult",B3827&lt;61,"Middle-aged",B3827&gt;=61,"Senior")</f>
        <v>Middle-aged</v>
      </c>
      <c r="S3827" cm="1">
        <f t="array" ref="S3827">_xlfn.IFS(Q3827 ="Fortnightly",14,Q3827="Weekly",7,Q3827="Monthly",30,Q3827="Quarterly",90,Q3827="Bi-Weekly",14,Q3827="Annually",365,Q3827="Every 3 Months",90,TRUE,"NOT FOUND")</f>
        <v>14</v>
      </c>
    </row>
    <row r="3828" spans="1:19" x14ac:dyDescent="0.35">
      <c r="A3828">
        <v>3827</v>
      </c>
      <c r="B3828">
        <v>50</v>
      </c>
      <c r="C3828" t="s">
        <v>141</v>
      </c>
      <c r="D3828" t="s">
        <v>90</v>
      </c>
      <c r="E3828" t="s">
        <v>51</v>
      </c>
      <c r="F3828">
        <v>31</v>
      </c>
      <c r="G3828" t="s">
        <v>44</v>
      </c>
      <c r="H3828" t="s">
        <v>32</v>
      </c>
      <c r="I3828" t="s">
        <v>12</v>
      </c>
      <c r="J3828" t="s">
        <v>41</v>
      </c>
      <c r="K3828">
        <v>4</v>
      </c>
      <c r="L3828" t="s">
        <v>140</v>
      </c>
      <c r="M3828" t="s">
        <v>15</v>
      </c>
      <c r="N3828" t="s">
        <v>140</v>
      </c>
      <c r="O3828">
        <v>25</v>
      </c>
      <c r="P3828" t="s">
        <v>63</v>
      </c>
      <c r="Q3828" t="s">
        <v>37</v>
      </c>
      <c r="R3828" t="str" cm="1">
        <f t="array" ref="R3828">_xlfn.IFS(B3828&lt;31,"Young-Adult",B3828&lt;41,"Adult",B3828&lt;61,"Middle-aged",B3828&gt;=61,"Senior")</f>
        <v>Middle-aged</v>
      </c>
      <c r="S3828" cm="1">
        <f t="array" ref="S3828">_xlfn.IFS(Q3828 ="Fortnightly",14,Q3828="Weekly",7,Q3828="Monthly",30,Q3828="Quarterly",90,Q3828="Bi-Weekly",14,Q3828="Annually",365,Q3828="Every 3 Months",90,TRUE,"NOT FOUND")</f>
        <v>365</v>
      </c>
    </row>
    <row r="3829" spans="1:19" x14ac:dyDescent="0.35">
      <c r="A3829">
        <v>3828</v>
      </c>
      <c r="B3829">
        <v>62</v>
      </c>
      <c r="C3829" t="s">
        <v>141</v>
      </c>
      <c r="D3829" t="s">
        <v>94</v>
      </c>
      <c r="E3829" t="s">
        <v>55</v>
      </c>
      <c r="F3829">
        <v>73</v>
      </c>
      <c r="G3829" t="s">
        <v>44</v>
      </c>
      <c r="H3829" t="s">
        <v>32</v>
      </c>
      <c r="I3829" t="s">
        <v>96</v>
      </c>
      <c r="J3829" t="s">
        <v>41</v>
      </c>
      <c r="K3829">
        <v>4.0999999999999996</v>
      </c>
      <c r="L3829" t="s">
        <v>140</v>
      </c>
      <c r="M3829" t="s">
        <v>42</v>
      </c>
      <c r="N3829" t="s">
        <v>140</v>
      </c>
      <c r="O3829">
        <v>47</v>
      </c>
      <c r="P3829" t="s">
        <v>21</v>
      </c>
      <c r="Q3829" t="s">
        <v>17</v>
      </c>
      <c r="R3829" t="str" cm="1">
        <f t="array" ref="R3829">_xlfn.IFS(B3829&lt;31,"Young-Adult",B3829&lt;41,"Adult",B3829&lt;61,"Middle-aged",B3829&gt;=61,"Senior")</f>
        <v>Senior</v>
      </c>
      <c r="S3829" cm="1">
        <f t="array" ref="S3829">_xlfn.IFS(Q3829 ="Fortnightly",14,Q3829="Weekly",7,Q3829="Monthly",30,Q3829="Quarterly",90,Q3829="Bi-Weekly",14,Q3829="Annually",365,Q3829="Every 3 Months",90,TRUE,"NOT FOUND")</f>
        <v>14</v>
      </c>
    </row>
    <row r="3830" spans="1:19" x14ac:dyDescent="0.35">
      <c r="A3830">
        <v>3829</v>
      </c>
      <c r="B3830">
        <v>42</v>
      </c>
      <c r="C3830" t="s">
        <v>141</v>
      </c>
      <c r="D3830" t="s">
        <v>8</v>
      </c>
      <c r="E3830" t="s">
        <v>9</v>
      </c>
      <c r="F3830">
        <v>82</v>
      </c>
      <c r="G3830" t="s">
        <v>79</v>
      </c>
      <c r="H3830" t="s">
        <v>32</v>
      </c>
      <c r="I3830" t="s">
        <v>49</v>
      </c>
      <c r="J3830" t="s">
        <v>25</v>
      </c>
      <c r="K3830">
        <v>3.4</v>
      </c>
      <c r="L3830" t="s">
        <v>140</v>
      </c>
      <c r="M3830" t="s">
        <v>26</v>
      </c>
      <c r="N3830" t="s">
        <v>140</v>
      </c>
      <c r="O3830">
        <v>8</v>
      </c>
      <c r="P3830" t="s">
        <v>21</v>
      </c>
      <c r="Q3830" t="s">
        <v>28</v>
      </c>
      <c r="R3830" t="str" cm="1">
        <f t="array" ref="R3830">_xlfn.IFS(B3830&lt;31,"Young-Adult",B3830&lt;41,"Adult",B3830&lt;61,"Middle-aged",B3830&gt;=61,"Senior")</f>
        <v>Middle-aged</v>
      </c>
      <c r="S3830" cm="1">
        <f t="array" ref="S3830">_xlfn.IFS(Q3830 ="Fortnightly",14,Q3830="Weekly",7,Q3830="Monthly",30,Q3830="Quarterly",90,Q3830="Bi-Weekly",14,Q3830="Annually",365,Q3830="Every 3 Months",90,TRUE,"NOT FOUND")</f>
        <v>7</v>
      </c>
    </row>
    <row r="3831" spans="1:19" x14ac:dyDescent="0.35">
      <c r="A3831">
        <v>3830</v>
      </c>
      <c r="B3831">
        <v>69</v>
      </c>
      <c r="C3831" t="s">
        <v>141</v>
      </c>
      <c r="D3831" t="s">
        <v>83</v>
      </c>
      <c r="E3831" t="s">
        <v>9</v>
      </c>
      <c r="F3831">
        <v>32</v>
      </c>
      <c r="G3831" t="s">
        <v>137</v>
      </c>
      <c r="H3831" t="s">
        <v>32</v>
      </c>
      <c r="I3831" t="s">
        <v>114</v>
      </c>
      <c r="J3831" t="s">
        <v>25</v>
      </c>
      <c r="K3831">
        <v>2.9</v>
      </c>
      <c r="L3831" t="s">
        <v>140</v>
      </c>
      <c r="M3831" t="s">
        <v>26</v>
      </c>
      <c r="N3831" t="s">
        <v>140</v>
      </c>
      <c r="O3831">
        <v>32</v>
      </c>
      <c r="P3831" t="s">
        <v>74</v>
      </c>
      <c r="Q3831" t="s">
        <v>17</v>
      </c>
      <c r="R3831" t="str" cm="1">
        <f t="array" ref="R3831">_xlfn.IFS(B3831&lt;31,"Young-Adult",B3831&lt;41,"Adult",B3831&lt;61,"Middle-aged",B3831&gt;=61,"Senior")</f>
        <v>Senior</v>
      </c>
      <c r="S3831" cm="1">
        <f t="array" ref="S3831">_xlfn.IFS(Q3831 ="Fortnightly",14,Q3831="Weekly",7,Q3831="Monthly",30,Q3831="Quarterly",90,Q3831="Bi-Weekly",14,Q3831="Annually",365,Q3831="Every 3 Months",90,TRUE,"NOT FOUND")</f>
        <v>14</v>
      </c>
    </row>
    <row r="3832" spans="1:19" x14ac:dyDescent="0.35">
      <c r="A3832">
        <v>3831</v>
      </c>
      <c r="B3832">
        <v>22</v>
      </c>
      <c r="C3832" t="s">
        <v>141</v>
      </c>
      <c r="D3832" t="s">
        <v>112</v>
      </c>
      <c r="E3832" t="s">
        <v>55</v>
      </c>
      <c r="F3832">
        <v>27</v>
      </c>
      <c r="G3832" t="s">
        <v>126</v>
      </c>
      <c r="H3832" t="s">
        <v>32</v>
      </c>
      <c r="I3832" t="s">
        <v>114</v>
      </c>
      <c r="J3832" t="s">
        <v>41</v>
      </c>
      <c r="K3832">
        <v>3</v>
      </c>
      <c r="L3832" t="s">
        <v>140</v>
      </c>
      <c r="M3832" t="s">
        <v>58</v>
      </c>
      <c r="N3832" t="s">
        <v>140</v>
      </c>
      <c r="O3832">
        <v>33</v>
      </c>
      <c r="P3832" t="s">
        <v>63</v>
      </c>
      <c r="Q3832" t="s">
        <v>85</v>
      </c>
      <c r="R3832" t="str" cm="1">
        <f t="array" ref="R3832">_xlfn.IFS(B3832&lt;31,"Young-Adult",B3832&lt;41,"Adult",B3832&lt;61,"Middle-aged",B3832&gt;=61,"Senior")</f>
        <v>Young-Adult</v>
      </c>
      <c r="S3832" cm="1">
        <f t="array" ref="S3832">_xlfn.IFS(Q3832 ="Fortnightly",14,Q3832="Weekly",7,Q3832="Monthly",30,Q3832="Quarterly",90,Q3832="Bi-Weekly",14,Q3832="Annually",365,Q3832="Every 3 Months",90,TRUE,"NOT FOUND")</f>
        <v>90</v>
      </c>
    </row>
    <row r="3833" spans="1:19" x14ac:dyDescent="0.35">
      <c r="A3833">
        <v>3832</v>
      </c>
      <c r="B3833">
        <v>36</v>
      </c>
      <c r="C3833" t="s">
        <v>141</v>
      </c>
      <c r="D3833" t="s">
        <v>120</v>
      </c>
      <c r="E3833" t="s">
        <v>55</v>
      </c>
      <c r="F3833">
        <v>86</v>
      </c>
      <c r="G3833" t="s">
        <v>95</v>
      </c>
      <c r="H3833" t="s">
        <v>11</v>
      </c>
      <c r="I3833" t="s">
        <v>53</v>
      </c>
      <c r="J3833" t="s">
        <v>25</v>
      </c>
      <c r="K3833">
        <v>4</v>
      </c>
      <c r="L3833" t="s">
        <v>140</v>
      </c>
      <c r="M3833" t="s">
        <v>33</v>
      </c>
      <c r="N3833" t="s">
        <v>140</v>
      </c>
      <c r="O3833">
        <v>16</v>
      </c>
      <c r="P3833" t="s">
        <v>74</v>
      </c>
      <c r="Q3833" t="s">
        <v>85</v>
      </c>
      <c r="R3833" t="str" cm="1">
        <f t="array" ref="R3833">_xlfn.IFS(B3833&lt;31,"Young-Adult",B3833&lt;41,"Adult",B3833&lt;61,"Middle-aged",B3833&gt;=61,"Senior")</f>
        <v>Adult</v>
      </c>
      <c r="S3833" cm="1">
        <f t="array" ref="S3833">_xlfn.IFS(Q3833 ="Fortnightly",14,Q3833="Weekly",7,Q3833="Monthly",30,Q3833="Quarterly",90,Q3833="Bi-Weekly",14,Q3833="Annually",365,Q3833="Every 3 Months",90,TRUE,"NOT FOUND")</f>
        <v>90</v>
      </c>
    </row>
    <row r="3834" spans="1:19" x14ac:dyDescent="0.35">
      <c r="A3834">
        <v>3833</v>
      </c>
      <c r="B3834">
        <v>64</v>
      </c>
      <c r="C3834" t="s">
        <v>141</v>
      </c>
      <c r="D3834" t="s">
        <v>125</v>
      </c>
      <c r="E3834" t="s">
        <v>30</v>
      </c>
      <c r="F3834">
        <v>38</v>
      </c>
      <c r="G3834" t="s">
        <v>99</v>
      </c>
      <c r="H3834" t="s">
        <v>80</v>
      </c>
      <c r="I3834" t="s">
        <v>61</v>
      </c>
      <c r="J3834" t="s">
        <v>13</v>
      </c>
      <c r="K3834">
        <v>4.8</v>
      </c>
      <c r="L3834" t="s">
        <v>140</v>
      </c>
      <c r="M3834" t="s">
        <v>58</v>
      </c>
      <c r="N3834" t="s">
        <v>140</v>
      </c>
      <c r="O3834">
        <v>27</v>
      </c>
      <c r="P3834" t="s">
        <v>21</v>
      </c>
      <c r="Q3834" t="s">
        <v>28</v>
      </c>
      <c r="R3834" t="str" cm="1">
        <f t="array" ref="R3834">_xlfn.IFS(B3834&lt;31,"Young-Adult",B3834&lt;41,"Adult",B3834&lt;61,"Middle-aged",B3834&gt;=61,"Senior")</f>
        <v>Senior</v>
      </c>
      <c r="S3834" cm="1">
        <f t="array" ref="S3834">_xlfn.IFS(Q3834 ="Fortnightly",14,Q3834="Weekly",7,Q3834="Monthly",30,Q3834="Quarterly",90,Q3834="Bi-Weekly",14,Q3834="Annually",365,Q3834="Every 3 Months",90,TRUE,"NOT FOUND")</f>
        <v>7</v>
      </c>
    </row>
    <row r="3835" spans="1:19" x14ac:dyDescent="0.35">
      <c r="A3835">
        <v>3834</v>
      </c>
      <c r="B3835">
        <v>44</v>
      </c>
      <c r="C3835" t="s">
        <v>141</v>
      </c>
      <c r="D3835" t="s">
        <v>90</v>
      </c>
      <c r="E3835" t="s">
        <v>51</v>
      </c>
      <c r="F3835">
        <v>93</v>
      </c>
      <c r="G3835" t="s">
        <v>105</v>
      </c>
      <c r="H3835" t="s">
        <v>11</v>
      </c>
      <c r="I3835" t="s">
        <v>12</v>
      </c>
      <c r="J3835" t="s">
        <v>41</v>
      </c>
      <c r="K3835">
        <v>4.5999999999999996</v>
      </c>
      <c r="L3835" t="s">
        <v>140</v>
      </c>
      <c r="M3835" t="s">
        <v>26</v>
      </c>
      <c r="N3835" t="s">
        <v>140</v>
      </c>
      <c r="O3835">
        <v>17</v>
      </c>
      <c r="P3835" t="s">
        <v>34</v>
      </c>
      <c r="Q3835" t="s">
        <v>85</v>
      </c>
      <c r="R3835" t="str" cm="1">
        <f t="array" ref="R3835">_xlfn.IFS(B3835&lt;31,"Young-Adult",B3835&lt;41,"Adult",B3835&lt;61,"Middle-aged",B3835&gt;=61,"Senior")</f>
        <v>Middle-aged</v>
      </c>
      <c r="S3835" cm="1">
        <f t="array" ref="S3835">_xlfn.IFS(Q3835 ="Fortnightly",14,Q3835="Weekly",7,Q3835="Monthly",30,Q3835="Quarterly",90,Q3835="Bi-Weekly",14,Q3835="Annually",365,Q3835="Every 3 Months",90,TRUE,"NOT FOUND")</f>
        <v>90</v>
      </c>
    </row>
    <row r="3836" spans="1:19" x14ac:dyDescent="0.35">
      <c r="A3836">
        <v>3835</v>
      </c>
      <c r="B3836">
        <v>43</v>
      </c>
      <c r="C3836" t="s">
        <v>141</v>
      </c>
      <c r="D3836" t="s">
        <v>92</v>
      </c>
      <c r="E3836" t="s">
        <v>9</v>
      </c>
      <c r="F3836">
        <v>59</v>
      </c>
      <c r="G3836" t="s">
        <v>110</v>
      </c>
      <c r="H3836" t="s">
        <v>32</v>
      </c>
      <c r="I3836" t="s">
        <v>124</v>
      </c>
      <c r="J3836" t="s">
        <v>13</v>
      </c>
      <c r="K3836">
        <v>4.0999999999999996</v>
      </c>
      <c r="L3836" t="s">
        <v>140</v>
      </c>
      <c r="M3836" t="s">
        <v>58</v>
      </c>
      <c r="N3836" t="s">
        <v>140</v>
      </c>
      <c r="O3836">
        <v>17</v>
      </c>
      <c r="P3836" t="s">
        <v>21</v>
      </c>
      <c r="Q3836" t="s">
        <v>46</v>
      </c>
      <c r="R3836" t="str" cm="1">
        <f t="array" ref="R3836">_xlfn.IFS(B3836&lt;31,"Young-Adult",B3836&lt;41,"Adult",B3836&lt;61,"Middle-aged",B3836&gt;=61,"Senior")</f>
        <v>Middle-aged</v>
      </c>
      <c r="S3836" cm="1">
        <f t="array" ref="S3836">_xlfn.IFS(Q3836 ="Fortnightly",14,Q3836="Weekly",7,Q3836="Monthly",30,Q3836="Quarterly",90,Q3836="Bi-Weekly",14,Q3836="Annually",365,Q3836="Every 3 Months",90,TRUE,"NOT FOUND")</f>
        <v>90</v>
      </c>
    </row>
    <row r="3837" spans="1:19" x14ac:dyDescent="0.35">
      <c r="A3837">
        <v>3836</v>
      </c>
      <c r="B3837">
        <v>58</v>
      </c>
      <c r="C3837" t="s">
        <v>141</v>
      </c>
      <c r="D3837" t="s">
        <v>29</v>
      </c>
      <c r="E3837" t="s">
        <v>30</v>
      </c>
      <c r="F3837">
        <v>58</v>
      </c>
      <c r="G3837" t="s">
        <v>126</v>
      </c>
      <c r="H3837" t="s">
        <v>11</v>
      </c>
      <c r="I3837" t="s">
        <v>53</v>
      </c>
      <c r="J3837" t="s">
        <v>13</v>
      </c>
      <c r="K3837">
        <v>2.6</v>
      </c>
      <c r="L3837" t="s">
        <v>140</v>
      </c>
      <c r="M3837" t="s">
        <v>15</v>
      </c>
      <c r="N3837" t="s">
        <v>140</v>
      </c>
      <c r="O3837">
        <v>28</v>
      </c>
      <c r="P3837" t="s">
        <v>34</v>
      </c>
      <c r="Q3837" t="s">
        <v>64</v>
      </c>
      <c r="R3837" t="str" cm="1">
        <f t="array" ref="R3837">_xlfn.IFS(B3837&lt;31,"Young-Adult",B3837&lt;41,"Adult",B3837&lt;61,"Middle-aged",B3837&gt;=61,"Senior")</f>
        <v>Middle-aged</v>
      </c>
      <c r="S3837" cm="1">
        <f t="array" ref="S3837">_xlfn.IFS(Q3837 ="Fortnightly",14,Q3837="Weekly",7,Q3837="Monthly",30,Q3837="Quarterly",90,Q3837="Bi-Weekly",14,Q3837="Annually",365,Q3837="Every 3 Months",90,TRUE,"NOT FOUND")</f>
        <v>14</v>
      </c>
    </row>
    <row r="3838" spans="1:19" x14ac:dyDescent="0.35">
      <c r="A3838">
        <v>3837</v>
      </c>
      <c r="B3838">
        <v>62</v>
      </c>
      <c r="C3838" t="s">
        <v>141</v>
      </c>
      <c r="D3838" t="s">
        <v>75</v>
      </c>
      <c r="E3838" t="s">
        <v>9</v>
      </c>
      <c r="F3838">
        <v>84</v>
      </c>
      <c r="G3838" t="s">
        <v>108</v>
      </c>
      <c r="H3838" t="s">
        <v>32</v>
      </c>
      <c r="I3838" t="s">
        <v>71</v>
      </c>
      <c r="J3838" t="s">
        <v>25</v>
      </c>
      <c r="K3838">
        <v>2.5</v>
      </c>
      <c r="L3838" t="s">
        <v>140</v>
      </c>
      <c r="M3838" t="s">
        <v>26</v>
      </c>
      <c r="N3838" t="s">
        <v>140</v>
      </c>
      <c r="O3838">
        <v>38</v>
      </c>
      <c r="P3838" t="s">
        <v>34</v>
      </c>
      <c r="Q3838" t="s">
        <v>17</v>
      </c>
      <c r="R3838" t="str" cm="1">
        <f t="array" ref="R3838">_xlfn.IFS(B3838&lt;31,"Young-Adult",B3838&lt;41,"Adult",B3838&lt;61,"Middle-aged",B3838&gt;=61,"Senior")</f>
        <v>Senior</v>
      </c>
      <c r="S3838" cm="1">
        <f t="array" ref="S3838">_xlfn.IFS(Q3838 ="Fortnightly",14,Q3838="Weekly",7,Q3838="Monthly",30,Q3838="Quarterly",90,Q3838="Bi-Weekly",14,Q3838="Annually",365,Q3838="Every 3 Months",90,TRUE,"NOT FOUND")</f>
        <v>14</v>
      </c>
    </row>
    <row r="3839" spans="1:19" x14ac:dyDescent="0.35">
      <c r="A3839">
        <v>3838</v>
      </c>
      <c r="B3839">
        <v>45</v>
      </c>
      <c r="C3839" t="s">
        <v>141</v>
      </c>
      <c r="D3839" t="s">
        <v>92</v>
      </c>
      <c r="E3839" t="s">
        <v>9</v>
      </c>
      <c r="F3839">
        <v>100</v>
      </c>
      <c r="G3839" t="s">
        <v>118</v>
      </c>
      <c r="H3839" t="s">
        <v>32</v>
      </c>
      <c r="I3839" t="s">
        <v>84</v>
      </c>
      <c r="J3839" t="s">
        <v>25</v>
      </c>
      <c r="K3839">
        <v>4.8</v>
      </c>
      <c r="L3839" t="s">
        <v>140</v>
      </c>
      <c r="M3839" t="s">
        <v>26</v>
      </c>
      <c r="N3839" t="s">
        <v>140</v>
      </c>
      <c r="O3839">
        <v>33</v>
      </c>
      <c r="P3839" t="s">
        <v>63</v>
      </c>
      <c r="Q3839" t="s">
        <v>17</v>
      </c>
      <c r="R3839" t="str" cm="1">
        <f t="array" ref="R3839">_xlfn.IFS(B3839&lt;31,"Young-Adult",B3839&lt;41,"Adult",B3839&lt;61,"Middle-aged",B3839&gt;=61,"Senior")</f>
        <v>Middle-aged</v>
      </c>
      <c r="S3839" cm="1">
        <f t="array" ref="S3839">_xlfn.IFS(Q3839 ="Fortnightly",14,Q3839="Weekly",7,Q3839="Monthly",30,Q3839="Quarterly",90,Q3839="Bi-Weekly",14,Q3839="Annually",365,Q3839="Every 3 Months",90,TRUE,"NOT FOUND")</f>
        <v>14</v>
      </c>
    </row>
    <row r="3840" spans="1:19" x14ac:dyDescent="0.35">
      <c r="A3840">
        <v>3839</v>
      </c>
      <c r="B3840">
        <v>47</v>
      </c>
      <c r="C3840" t="s">
        <v>141</v>
      </c>
      <c r="D3840" t="s">
        <v>69</v>
      </c>
      <c r="E3840" t="s">
        <v>9</v>
      </c>
      <c r="F3840">
        <v>25</v>
      </c>
      <c r="G3840" t="s">
        <v>31</v>
      </c>
      <c r="H3840" t="s">
        <v>11</v>
      </c>
      <c r="I3840" t="s">
        <v>84</v>
      </c>
      <c r="J3840" t="s">
        <v>41</v>
      </c>
      <c r="K3840">
        <v>4.2</v>
      </c>
      <c r="L3840" t="s">
        <v>140</v>
      </c>
      <c r="M3840" t="s">
        <v>15</v>
      </c>
      <c r="N3840" t="s">
        <v>140</v>
      </c>
      <c r="O3840">
        <v>24</v>
      </c>
      <c r="P3840" t="s">
        <v>16</v>
      </c>
      <c r="Q3840" t="s">
        <v>85</v>
      </c>
      <c r="R3840" t="str" cm="1">
        <f t="array" ref="R3840">_xlfn.IFS(B3840&lt;31,"Young-Adult",B3840&lt;41,"Adult",B3840&lt;61,"Middle-aged",B3840&gt;=61,"Senior")</f>
        <v>Middle-aged</v>
      </c>
      <c r="S3840" cm="1">
        <f t="array" ref="S3840">_xlfn.IFS(Q3840 ="Fortnightly",14,Q3840="Weekly",7,Q3840="Monthly",30,Q3840="Quarterly",90,Q3840="Bi-Weekly",14,Q3840="Annually",365,Q3840="Every 3 Months",90,TRUE,"NOT FOUND")</f>
        <v>90</v>
      </c>
    </row>
    <row r="3841" spans="1:19" x14ac:dyDescent="0.35">
      <c r="A3841">
        <v>3840</v>
      </c>
      <c r="B3841">
        <v>66</v>
      </c>
      <c r="C3841" t="s">
        <v>141</v>
      </c>
      <c r="D3841" t="s">
        <v>29</v>
      </c>
      <c r="E3841" t="s">
        <v>30</v>
      </c>
      <c r="F3841">
        <v>29</v>
      </c>
      <c r="G3841" t="s">
        <v>127</v>
      </c>
      <c r="H3841" t="s">
        <v>32</v>
      </c>
      <c r="I3841" t="s">
        <v>88</v>
      </c>
      <c r="J3841" t="s">
        <v>25</v>
      </c>
      <c r="K3841">
        <v>3.9</v>
      </c>
      <c r="L3841" t="s">
        <v>140</v>
      </c>
      <c r="M3841" t="s">
        <v>26</v>
      </c>
      <c r="N3841" t="s">
        <v>140</v>
      </c>
      <c r="O3841">
        <v>14</v>
      </c>
      <c r="P3841" t="s">
        <v>16</v>
      </c>
      <c r="Q3841" t="s">
        <v>46</v>
      </c>
      <c r="R3841" t="str" cm="1">
        <f t="array" ref="R3841">_xlfn.IFS(B3841&lt;31,"Young-Adult",B3841&lt;41,"Adult",B3841&lt;61,"Middle-aged",B3841&gt;=61,"Senior")</f>
        <v>Senior</v>
      </c>
      <c r="S3841" cm="1">
        <f t="array" ref="S3841">_xlfn.IFS(Q3841 ="Fortnightly",14,Q3841="Weekly",7,Q3841="Monthly",30,Q3841="Quarterly",90,Q3841="Bi-Weekly",14,Q3841="Annually",365,Q3841="Every 3 Months",90,TRUE,"NOT FOUND")</f>
        <v>90</v>
      </c>
    </row>
    <row r="3842" spans="1:19" x14ac:dyDescent="0.35">
      <c r="A3842">
        <v>3841</v>
      </c>
      <c r="B3842">
        <v>30</v>
      </c>
      <c r="C3842" t="s">
        <v>141</v>
      </c>
      <c r="D3842" t="s">
        <v>22</v>
      </c>
      <c r="E3842" t="s">
        <v>9</v>
      </c>
      <c r="F3842">
        <v>42</v>
      </c>
      <c r="G3842" t="s">
        <v>123</v>
      </c>
      <c r="H3842" t="s">
        <v>32</v>
      </c>
      <c r="I3842" t="s">
        <v>36</v>
      </c>
      <c r="J3842" t="s">
        <v>25</v>
      </c>
      <c r="K3842">
        <v>3.7</v>
      </c>
      <c r="L3842" t="s">
        <v>140</v>
      </c>
      <c r="M3842" t="s">
        <v>15</v>
      </c>
      <c r="N3842" t="s">
        <v>140</v>
      </c>
      <c r="O3842">
        <v>5</v>
      </c>
      <c r="P3842" t="s">
        <v>16</v>
      </c>
      <c r="Q3842" t="s">
        <v>17</v>
      </c>
      <c r="R3842" t="str" cm="1">
        <f t="array" ref="R3842">_xlfn.IFS(B3842&lt;31,"Young-Adult",B3842&lt;41,"Adult",B3842&lt;61,"Middle-aged",B3842&gt;=61,"Senior")</f>
        <v>Young-Adult</v>
      </c>
      <c r="S3842" cm="1">
        <f t="array" ref="S3842">_xlfn.IFS(Q3842 ="Fortnightly",14,Q3842="Weekly",7,Q3842="Monthly",30,Q3842="Quarterly",90,Q3842="Bi-Weekly",14,Q3842="Annually",365,Q3842="Every 3 Months",90,TRUE,"NOT FOUND")</f>
        <v>14</v>
      </c>
    </row>
    <row r="3843" spans="1:19" x14ac:dyDescent="0.35">
      <c r="A3843">
        <v>3842</v>
      </c>
      <c r="B3843">
        <v>68</v>
      </c>
      <c r="C3843" t="s">
        <v>141</v>
      </c>
      <c r="D3843" t="s">
        <v>22</v>
      </c>
      <c r="E3843" t="s">
        <v>9</v>
      </c>
      <c r="F3843">
        <v>57</v>
      </c>
      <c r="G3843" t="s">
        <v>79</v>
      </c>
      <c r="H3843" t="s">
        <v>11</v>
      </c>
      <c r="I3843" t="s">
        <v>57</v>
      </c>
      <c r="J3843" t="s">
        <v>45</v>
      </c>
      <c r="K3843">
        <v>4.2</v>
      </c>
      <c r="L3843" t="s">
        <v>140</v>
      </c>
      <c r="M3843" t="s">
        <v>58</v>
      </c>
      <c r="N3843" t="s">
        <v>140</v>
      </c>
      <c r="O3843">
        <v>8</v>
      </c>
      <c r="P3843" t="s">
        <v>63</v>
      </c>
      <c r="Q3843" t="s">
        <v>76</v>
      </c>
      <c r="R3843" t="str" cm="1">
        <f t="array" ref="R3843">_xlfn.IFS(B3843&lt;31,"Young-Adult",B3843&lt;41,"Adult",B3843&lt;61,"Middle-aged",B3843&gt;=61,"Senior")</f>
        <v>Senior</v>
      </c>
      <c r="S3843" cm="1">
        <f t="array" ref="S3843">_xlfn.IFS(Q3843 ="Fortnightly",14,Q3843="Weekly",7,Q3843="Monthly",30,Q3843="Quarterly",90,Q3843="Bi-Weekly",14,Q3843="Annually",365,Q3843="Every 3 Months",90,TRUE,"NOT FOUND")</f>
        <v>30</v>
      </c>
    </row>
    <row r="3844" spans="1:19" x14ac:dyDescent="0.35">
      <c r="A3844">
        <v>3843</v>
      </c>
      <c r="B3844">
        <v>35</v>
      </c>
      <c r="C3844" t="s">
        <v>141</v>
      </c>
      <c r="D3844" t="s">
        <v>90</v>
      </c>
      <c r="E3844" t="s">
        <v>51</v>
      </c>
      <c r="F3844">
        <v>84</v>
      </c>
      <c r="G3844" t="s">
        <v>100</v>
      </c>
      <c r="H3844" t="s">
        <v>11</v>
      </c>
      <c r="I3844" t="s">
        <v>81</v>
      </c>
      <c r="J3844" t="s">
        <v>13</v>
      </c>
      <c r="K3844">
        <v>4.2</v>
      </c>
      <c r="L3844" t="s">
        <v>140</v>
      </c>
      <c r="M3844" t="s">
        <v>33</v>
      </c>
      <c r="N3844" t="s">
        <v>140</v>
      </c>
      <c r="O3844">
        <v>42</v>
      </c>
      <c r="P3844" t="s">
        <v>74</v>
      </c>
      <c r="Q3844" t="s">
        <v>76</v>
      </c>
      <c r="R3844" t="str" cm="1">
        <f t="array" ref="R3844">_xlfn.IFS(B3844&lt;31,"Young-Adult",B3844&lt;41,"Adult",B3844&lt;61,"Middle-aged",B3844&gt;=61,"Senior")</f>
        <v>Adult</v>
      </c>
      <c r="S3844" cm="1">
        <f t="array" ref="S3844">_xlfn.IFS(Q3844 ="Fortnightly",14,Q3844="Weekly",7,Q3844="Monthly",30,Q3844="Quarterly",90,Q3844="Bi-Weekly",14,Q3844="Annually",365,Q3844="Every 3 Months",90,TRUE,"NOT FOUND")</f>
        <v>30</v>
      </c>
    </row>
    <row r="3845" spans="1:19" x14ac:dyDescent="0.35">
      <c r="A3845">
        <v>3844</v>
      </c>
      <c r="B3845">
        <v>64</v>
      </c>
      <c r="C3845" t="s">
        <v>141</v>
      </c>
      <c r="D3845" t="s">
        <v>112</v>
      </c>
      <c r="E3845" t="s">
        <v>55</v>
      </c>
      <c r="F3845">
        <v>71</v>
      </c>
      <c r="G3845" t="s">
        <v>130</v>
      </c>
      <c r="H3845" t="s">
        <v>11</v>
      </c>
      <c r="I3845" t="s">
        <v>53</v>
      </c>
      <c r="J3845" t="s">
        <v>13</v>
      </c>
      <c r="K3845">
        <v>4</v>
      </c>
      <c r="L3845" t="s">
        <v>140</v>
      </c>
      <c r="M3845" t="s">
        <v>26</v>
      </c>
      <c r="N3845" t="s">
        <v>140</v>
      </c>
      <c r="O3845">
        <v>48</v>
      </c>
      <c r="P3845" t="s">
        <v>16</v>
      </c>
      <c r="Q3845" t="s">
        <v>85</v>
      </c>
      <c r="R3845" t="str" cm="1">
        <f t="array" ref="R3845">_xlfn.IFS(B3845&lt;31,"Young-Adult",B3845&lt;41,"Adult",B3845&lt;61,"Middle-aged",B3845&gt;=61,"Senior")</f>
        <v>Senior</v>
      </c>
      <c r="S3845" cm="1">
        <f t="array" ref="S3845">_xlfn.IFS(Q3845 ="Fortnightly",14,Q3845="Weekly",7,Q3845="Monthly",30,Q3845="Quarterly",90,Q3845="Bi-Weekly",14,Q3845="Annually",365,Q3845="Every 3 Months",90,TRUE,"NOT FOUND")</f>
        <v>90</v>
      </c>
    </row>
    <row r="3846" spans="1:19" x14ac:dyDescent="0.35">
      <c r="A3846">
        <v>3845</v>
      </c>
      <c r="B3846">
        <v>30</v>
      </c>
      <c r="C3846" t="s">
        <v>141</v>
      </c>
      <c r="D3846" t="s">
        <v>47</v>
      </c>
      <c r="E3846" t="s">
        <v>9</v>
      </c>
      <c r="F3846">
        <v>87</v>
      </c>
      <c r="G3846" t="s">
        <v>44</v>
      </c>
      <c r="H3846" t="s">
        <v>24</v>
      </c>
      <c r="I3846" t="s">
        <v>97</v>
      </c>
      <c r="J3846" t="s">
        <v>45</v>
      </c>
      <c r="K3846">
        <v>5</v>
      </c>
      <c r="L3846" t="s">
        <v>140</v>
      </c>
      <c r="M3846" t="s">
        <v>33</v>
      </c>
      <c r="N3846" t="s">
        <v>140</v>
      </c>
      <c r="O3846">
        <v>40</v>
      </c>
      <c r="P3846" t="s">
        <v>16</v>
      </c>
      <c r="Q3846" t="s">
        <v>46</v>
      </c>
      <c r="R3846" t="str" cm="1">
        <f t="array" ref="R3846">_xlfn.IFS(B3846&lt;31,"Young-Adult",B3846&lt;41,"Adult",B3846&lt;61,"Middle-aged",B3846&gt;=61,"Senior")</f>
        <v>Young-Adult</v>
      </c>
      <c r="S3846" cm="1">
        <f t="array" ref="S3846">_xlfn.IFS(Q3846 ="Fortnightly",14,Q3846="Weekly",7,Q3846="Monthly",30,Q3846="Quarterly",90,Q3846="Bi-Weekly",14,Q3846="Annually",365,Q3846="Every 3 Months",90,TRUE,"NOT FOUND")</f>
        <v>90</v>
      </c>
    </row>
    <row r="3847" spans="1:19" x14ac:dyDescent="0.35">
      <c r="A3847">
        <v>3846</v>
      </c>
      <c r="B3847">
        <v>58</v>
      </c>
      <c r="C3847" t="s">
        <v>141</v>
      </c>
      <c r="D3847" t="s">
        <v>18</v>
      </c>
      <c r="E3847" t="s">
        <v>9</v>
      </c>
      <c r="F3847">
        <v>52</v>
      </c>
      <c r="G3847" t="s">
        <v>87</v>
      </c>
      <c r="H3847" t="s">
        <v>32</v>
      </c>
      <c r="I3847" t="s">
        <v>84</v>
      </c>
      <c r="J3847" t="s">
        <v>13</v>
      </c>
      <c r="K3847">
        <v>4.9000000000000004</v>
      </c>
      <c r="L3847" t="s">
        <v>140</v>
      </c>
      <c r="M3847" t="s">
        <v>42</v>
      </c>
      <c r="N3847" t="s">
        <v>140</v>
      </c>
      <c r="O3847">
        <v>46</v>
      </c>
      <c r="P3847" t="s">
        <v>16</v>
      </c>
      <c r="Q3847" t="s">
        <v>37</v>
      </c>
      <c r="R3847" t="str" cm="1">
        <f t="array" ref="R3847">_xlfn.IFS(B3847&lt;31,"Young-Adult",B3847&lt;41,"Adult",B3847&lt;61,"Middle-aged",B3847&gt;=61,"Senior")</f>
        <v>Middle-aged</v>
      </c>
      <c r="S3847" cm="1">
        <f t="array" ref="S3847">_xlfn.IFS(Q3847 ="Fortnightly",14,Q3847="Weekly",7,Q3847="Monthly",30,Q3847="Quarterly",90,Q3847="Bi-Weekly",14,Q3847="Annually",365,Q3847="Every 3 Months",90,TRUE,"NOT FOUND")</f>
        <v>365</v>
      </c>
    </row>
    <row r="3848" spans="1:19" x14ac:dyDescent="0.35">
      <c r="A3848">
        <v>3847</v>
      </c>
      <c r="B3848">
        <v>57</v>
      </c>
      <c r="C3848" t="s">
        <v>141</v>
      </c>
      <c r="D3848" t="s">
        <v>8</v>
      </c>
      <c r="E3848" t="s">
        <v>9</v>
      </c>
      <c r="F3848">
        <v>58</v>
      </c>
      <c r="G3848" t="s">
        <v>126</v>
      </c>
      <c r="H3848" t="s">
        <v>11</v>
      </c>
      <c r="I3848" t="s">
        <v>109</v>
      </c>
      <c r="J3848" t="s">
        <v>41</v>
      </c>
      <c r="K3848">
        <v>4</v>
      </c>
      <c r="L3848" t="s">
        <v>140</v>
      </c>
      <c r="M3848" t="s">
        <v>15</v>
      </c>
      <c r="N3848" t="s">
        <v>140</v>
      </c>
      <c r="O3848">
        <v>40</v>
      </c>
      <c r="P3848" t="s">
        <v>34</v>
      </c>
      <c r="Q3848" t="s">
        <v>85</v>
      </c>
      <c r="R3848" t="str" cm="1">
        <f t="array" ref="R3848">_xlfn.IFS(B3848&lt;31,"Young-Adult",B3848&lt;41,"Adult",B3848&lt;61,"Middle-aged",B3848&gt;=61,"Senior")</f>
        <v>Middle-aged</v>
      </c>
      <c r="S3848" cm="1">
        <f t="array" ref="S3848">_xlfn.IFS(Q3848 ="Fortnightly",14,Q3848="Weekly",7,Q3848="Monthly",30,Q3848="Quarterly",90,Q3848="Bi-Weekly",14,Q3848="Annually",365,Q3848="Every 3 Months",90,TRUE,"NOT FOUND")</f>
        <v>90</v>
      </c>
    </row>
    <row r="3849" spans="1:19" x14ac:dyDescent="0.35">
      <c r="A3849">
        <v>3848</v>
      </c>
      <c r="B3849">
        <v>60</v>
      </c>
      <c r="C3849" t="s">
        <v>141</v>
      </c>
      <c r="D3849" t="s">
        <v>18</v>
      </c>
      <c r="E3849" t="s">
        <v>9</v>
      </c>
      <c r="F3849">
        <v>34</v>
      </c>
      <c r="G3849" t="s">
        <v>67</v>
      </c>
      <c r="H3849" t="s">
        <v>24</v>
      </c>
      <c r="I3849" t="s">
        <v>132</v>
      </c>
      <c r="J3849" t="s">
        <v>45</v>
      </c>
      <c r="K3849">
        <v>3.2</v>
      </c>
      <c r="L3849" t="s">
        <v>140</v>
      </c>
      <c r="M3849" t="s">
        <v>58</v>
      </c>
      <c r="N3849" t="s">
        <v>140</v>
      </c>
      <c r="O3849">
        <v>31</v>
      </c>
      <c r="P3849" t="s">
        <v>34</v>
      </c>
      <c r="Q3849" t="s">
        <v>17</v>
      </c>
      <c r="R3849" t="str" cm="1">
        <f t="array" ref="R3849">_xlfn.IFS(B3849&lt;31,"Young-Adult",B3849&lt;41,"Adult",B3849&lt;61,"Middle-aged",B3849&gt;=61,"Senior")</f>
        <v>Middle-aged</v>
      </c>
      <c r="S3849" cm="1">
        <f t="array" ref="S3849">_xlfn.IFS(Q3849 ="Fortnightly",14,Q3849="Weekly",7,Q3849="Monthly",30,Q3849="Quarterly",90,Q3849="Bi-Weekly",14,Q3849="Annually",365,Q3849="Every 3 Months",90,TRUE,"NOT FOUND")</f>
        <v>14</v>
      </c>
    </row>
    <row r="3850" spans="1:19" x14ac:dyDescent="0.35">
      <c r="A3850">
        <v>3849</v>
      </c>
      <c r="B3850">
        <v>22</v>
      </c>
      <c r="C3850" t="s">
        <v>141</v>
      </c>
      <c r="D3850" t="s">
        <v>94</v>
      </c>
      <c r="E3850" t="s">
        <v>55</v>
      </c>
      <c r="F3850">
        <v>60</v>
      </c>
      <c r="G3850" t="s">
        <v>70</v>
      </c>
      <c r="H3850" t="s">
        <v>32</v>
      </c>
      <c r="I3850" t="s">
        <v>124</v>
      </c>
      <c r="J3850" t="s">
        <v>13</v>
      </c>
      <c r="K3850">
        <v>3</v>
      </c>
      <c r="L3850" t="s">
        <v>140</v>
      </c>
      <c r="M3850" t="s">
        <v>33</v>
      </c>
      <c r="N3850" t="s">
        <v>140</v>
      </c>
      <c r="O3850">
        <v>39</v>
      </c>
      <c r="P3850" t="s">
        <v>21</v>
      </c>
      <c r="Q3850" t="s">
        <v>85</v>
      </c>
      <c r="R3850" t="str" cm="1">
        <f t="array" ref="R3850">_xlfn.IFS(B3850&lt;31,"Young-Adult",B3850&lt;41,"Adult",B3850&lt;61,"Middle-aged",B3850&gt;=61,"Senior")</f>
        <v>Young-Adult</v>
      </c>
      <c r="S3850" cm="1">
        <f t="array" ref="S3850">_xlfn.IFS(Q3850 ="Fortnightly",14,Q3850="Weekly",7,Q3850="Monthly",30,Q3850="Quarterly",90,Q3850="Bi-Weekly",14,Q3850="Annually",365,Q3850="Every 3 Months",90,TRUE,"NOT FOUND")</f>
        <v>90</v>
      </c>
    </row>
    <row r="3851" spans="1:19" x14ac:dyDescent="0.35">
      <c r="A3851">
        <v>3850</v>
      </c>
      <c r="B3851">
        <v>46</v>
      </c>
      <c r="C3851" t="s">
        <v>141</v>
      </c>
      <c r="D3851" t="s">
        <v>92</v>
      </c>
      <c r="E3851" t="s">
        <v>9</v>
      </c>
      <c r="F3851">
        <v>68</v>
      </c>
      <c r="G3851" t="s">
        <v>91</v>
      </c>
      <c r="H3851" t="s">
        <v>24</v>
      </c>
      <c r="I3851" t="s">
        <v>97</v>
      </c>
      <c r="J3851" t="s">
        <v>13</v>
      </c>
      <c r="K3851">
        <v>2.6</v>
      </c>
      <c r="L3851" t="s">
        <v>140</v>
      </c>
      <c r="M3851" t="s">
        <v>15</v>
      </c>
      <c r="N3851" t="s">
        <v>140</v>
      </c>
      <c r="O3851">
        <v>36</v>
      </c>
      <c r="P3851" t="s">
        <v>34</v>
      </c>
      <c r="Q3851" t="s">
        <v>17</v>
      </c>
      <c r="R3851" t="str" cm="1">
        <f t="array" ref="R3851">_xlfn.IFS(B3851&lt;31,"Young-Adult",B3851&lt;41,"Adult",B3851&lt;61,"Middle-aged",B3851&gt;=61,"Senior")</f>
        <v>Middle-aged</v>
      </c>
      <c r="S3851" cm="1">
        <f t="array" ref="S3851">_xlfn.IFS(Q3851 ="Fortnightly",14,Q3851="Weekly",7,Q3851="Monthly",30,Q3851="Quarterly",90,Q3851="Bi-Weekly",14,Q3851="Annually",365,Q3851="Every 3 Months",90,TRUE,"NOT FOUND")</f>
        <v>14</v>
      </c>
    </row>
    <row r="3852" spans="1:19" x14ac:dyDescent="0.35">
      <c r="A3852">
        <v>3851</v>
      </c>
      <c r="B3852">
        <v>27</v>
      </c>
      <c r="C3852" t="s">
        <v>141</v>
      </c>
      <c r="D3852" t="s">
        <v>94</v>
      </c>
      <c r="E3852" t="s">
        <v>55</v>
      </c>
      <c r="F3852">
        <v>74</v>
      </c>
      <c r="G3852" t="s">
        <v>79</v>
      </c>
      <c r="H3852" t="s">
        <v>11</v>
      </c>
      <c r="I3852" t="s">
        <v>114</v>
      </c>
      <c r="J3852" t="s">
        <v>41</v>
      </c>
      <c r="K3852">
        <v>4.4000000000000004</v>
      </c>
      <c r="L3852" t="s">
        <v>140</v>
      </c>
      <c r="M3852" t="s">
        <v>58</v>
      </c>
      <c r="N3852" t="s">
        <v>140</v>
      </c>
      <c r="O3852">
        <v>25</v>
      </c>
      <c r="P3852" t="s">
        <v>74</v>
      </c>
      <c r="Q3852" t="s">
        <v>85</v>
      </c>
      <c r="R3852" t="str" cm="1">
        <f t="array" ref="R3852">_xlfn.IFS(B3852&lt;31,"Young-Adult",B3852&lt;41,"Adult",B3852&lt;61,"Middle-aged",B3852&gt;=61,"Senior")</f>
        <v>Young-Adult</v>
      </c>
      <c r="S3852" cm="1">
        <f t="array" ref="S3852">_xlfn.IFS(Q3852 ="Fortnightly",14,Q3852="Weekly",7,Q3852="Monthly",30,Q3852="Quarterly",90,Q3852="Bi-Weekly",14,Q3852="Annually",365,Q3852="Every 3 Months",90,TRUE,"NOT FOUND")</f>
        <v>90</v>
      </c>
    </row>
    <row r="3853" spans="1:19" x14ac:dyDescent="0.35">
      <c r="A3853">
        <v>3852</v>
      </c>
      <c r="B3853">
        <v>50</v>
      </c>
      <c r="C3853" t="s">
        <v>141</v>
      </c>
      <c r="D3853" t="s">
        <v>107</v>
      </c>
      <c r="E3853" t="s">
        <v>55</v>
      </c>
      <c r="F3853">
        <v>83</v>
      </c>
      <c r="G3853" t="s">
        <v>44</v>
      </c>
      <c r="H3853" t="s">
        <v>32</v>
      </c>
      <c r="I3853" t="s">
        <v>57</v>
      </c>
      <c r="J3853" t="s">
        <v>41</v>
      </c>
      <c r="K3853">
        <v>3.9</v>
      </c>
      <c r="L3853" t="s">
        <v>140</v>
      </c>
      <c r="M3853" t="s">
        <v>26</v>
      </c>
      <c r="N3853" t="s">
        <v>140</v>
      </c>
      <c r="O3853">
        <v>24</v>
      </c>
      <c r="P3853" t="s">
        <v>74</v>
      </c>
      <c r="Q3853" t="s">
        <v>37</v>
      </c>
      <c r="R3853" t="str" cm="1">
        <f t="array" ref="R3853">_xlfn.IFS(B3853&lt;31,"Young-Adult",B3853&lt;41,"Adult",B3853&lt;61,"Middle-aged",B3853&gt;=61,"Senior")</f>
        <v>Middle-aged</v>
      </c>
      <c r="S3853" cm="1">
        <f t="array" ref="S3853">_xlfn.IFS(Q3853 ="Fortnightly",14,Q3853="Weekly",7,Q3853="Monthly",30,Q3853="Quarterly",90,Q3853="Bi-Weekly",14,Q3853="Annually",365,Q3853="Every 3 Months",90,TRUE,"NOT FOUND")</f>
        <v>365</v>
      </c>
    </row>
    <row r="3854" spans="1:19" x14ac:dyDescent="0.35">
      <c r="A3854">
        <v>3853</v>
      </c>
      <c r="B3854">
        <v>65</v>
      </c>
      <c r="C3854" t="s">
        <v>141</v>
      </c>
      <c r="D3854" t="s">
        <v>112</v>
      </c>
      <c r="E3854" t="s">
        <v>55</v>
      </c>
      <c r="F3854">
        <v>79</v>
      </c>
      <c r="G3854" t="s">
        <v>79</v>
      </c>
      <c r="H3854" t="s">
        <v>32</v>
      </c>
      <c r="I3854" t="s">
        <v>88</v>
      </c>
      <c r="J3854" t="s">
        <v>45</v>
      </c>
      <c r="K3854">
        <v>4</v>
      </c>
      <c r="L3854" t="s">
        <v>140</v>
      </c>
      <c r="M3854" t="s">
        <v>58</v>
      </c>
      <c r="N3854" t="s">
        <v>140</v>
      </c>
      <c r="O3854">
        <v>19</v>
      </c>
      <c r="P3854" t="s">
        <v>34</v>
      </c>
      <c r="Q3854" t="s">
        <v>28</v>
      </c>
      <c r="R3854" t="str" cm="1">
        <f t="array" ref="R3854">_xlfn.IFS(B3854&lt;31,"Young-Adult",B3854&lt;41,"Adult",B3854&lt;61,"Middle-aged",B3854&gt;=61,"Senior")</f>
        <v>Senior</v>
      </c>
      <c r="S3854" cm="1">
        <f t="array" ref="S3854">_xlfn.IFS(Q3854 ="Fortnightly",14,Q3854="Weekly",7,Q3854="Monthly",30,Q3854="Quarterly",90,Q3854="Bi-Weekly",14,Q3854="Annually",365,Q3854="Every 3 Months",90,TRUE,"NOT FOUND")</f>
        <v>7</v>
      </c>
    </row>
    <row r="3855" spans="1:19" x14ac:dyDescent="0.35">
      <c r="A3855">
        <v>3854</v>
      </c>
      <c r="B3855">
        <v>61</v>
      </c>
      <c r="C3855" t="s">
        <v>141</v>
      </c>
      <c r="D3855" t="s">
        <v>77</v>
      </c>
      <c r="E3855" t="s">
        <v>55</v>
      </c>
      <c r="F3855">
        <v>76</v>
      </c>
      <c r="G3855" t="s">
        <v>110</v>
      </c>
      <c r="H3855" t="s">
        <v>32</v>
      </c>
      <c r="I3855" t="s">
        <v>81</v>
      </c>
      <c r="J3855" t="s">
        <v>45</v>
      </c>
      <c r="K3855">
        <v>4</v>
      </c>
      <c r="L3855" t="s">
        <v>140</v>
      </c>
      <c r="M3855" t="s">
        <v>62</v>
      </c>
      <c r="N3855" t="s">
        <v>140</v>
      </c>
      <c r="O3855">
        <v>49</v>
      </c>
      <c r="P3855" t="s">
        <v>74</v>
      </c>
      <c r="Q3855" t="s">
        <v>64</v>
      </c>
      <c r="R3855" t="str" cm="1">
        <f t="array" ref="R3855">_xlfn.IFS(B3855&lt;31,"Young-Adult",B3855&lt;41,"Adult",B3855&lt;61,"Middle-aged",B3855&gt;=61,"Senior")</f>
        <v>Senior</v>
      </c>
      <c r="S3855" cm="1">
        <f t="array" ref="S3855">_xlfn.IFS(Q3855 ="Fortnightly",14,Q3855="Weekly",7,Q3855="Monthly",30,Q3855="Quarterly",90,Q3855="Bi-Weekly",14,Q3855="Annually",365,Q3855="Every 3 Months",90,TRUE,"NOT FOUND")</f>
        <v>14</v>
      </c>
    </row>
    <row r="3856" spans="1:19" x14ac:dyDescent="0.35">
      <c r="A3856">
        <v>3855</v>
      </c>
      <c r="B3856">
        <v>57</v>
      </c>
      <c r="C3856" t="s">
        <v>141</v>
      </c>
      <c r="D3856" t="s">
        <v>101</v>
      </c>
      <c r="E3856" t="s">
        <v>9</v>
      </c>
      <c r="F3856">
        <v>20</v>
      </c>
      <c r="G3856" t="s">
        <v>91</v>
      </c>
      <c r="H3856" t="s">
        <v>32</v>
      </c>
      <c r="I3856" t="s">
        <v>82</v>
      </c>
      <c r="J3856" t="s">
        <v>25</v>
      </c>
      <c r="K3856">
        <v>4.2</v>
      </c>
      <c r="L3856" t="s">
        <v>140</v>
      </c>
      <c r="M3856" t="s">
        <v>26</v>
      </c>
      <c r="N3856" t="s">
        <v>140</v>
      </c>
      <c r="O3856">
        <v>4</v>
      </c>
      <c r="P3856" t="s">
        <v>16</v>
      </c>
      <c r="Q3856" t="s">
        <v>37</v>
      </c>
      <c r="R3856" t="str" cm="1">
        <f t="array" ref="R3856">_xlfn.IFS(B3856&lt;31,"Young-Adult",B3856&lt;41,"Adult",B3856&lt;61,"Middle-aged",B3856&gt;=61,"Senior")</f>
        <v>Middle-aged</v>
      </c>
      <c r="S3856" cm="1">
        <f t="array" ref="S3856">_xlfn.IFS(Q3856 ="Fortnightly",14,Q3856="Weekly",7,Q3856="Monthly",30,Q3856="Quarterly",90,Q3856="Bi-Weekly",14,Q3856="Annually",365,Q3856="Every 3 Months",90,TRUE,"NOT FOUND")</f>
        <v>365</v>
      </c>
    </row>
    <row r="3857" spans="1:19" x14ac:dyDescent="0.35">
      <c r="A3857">
        <v>3856</v>
      </c>
      <c r="B3857">
        <v>40</v>
      </c>
      <c r="C3857" t="s">
        <v>141</v>
      </c>
      <c r="D3857" t="s">
        <v>43</v>
      </c>
      <c r="E3857" t="s">
        <v>9</v>
      </c>
      <c r="F3857">
        <v>61</v>
      </c>
      <c r="G3857" t="s">
        <v>103</v>
      </c>
      <c r="H3857" t="s">
        <v>80</v>
      </c>
      <c r="I3857" t="s">
        <v>81</v>
      </c>
      <c r="J3857" t="s">
        <v>41</v>
      </c>
      <c r="K3857">
        <v>4.4000000000000004</v>
      </c>
      <c r="L3857" t="s">
        <v>140</v>
      </c>
      <c r="M3857" t="s">
        <v>33</v>
      </c>
      <c r="N3857" t="s">
        <v>140</v>
      </c>
      <c r="O3857">
        <v>36</v>
      </c>
      <c r="P3857" t="s">
        <v>21</v>
      </c>
      <c r="Q3857" t="s">
        <v>46</v>
      </c>
      <c r="R3857" t="str" cm="1">
        <f t="array" ref="R3857">_xlfn.IFS(B3857&lt;31,"Young-Adult",B3857&lt;41,"Adult",B3857&lt;61,"Middle-aged",B3857&gt;=61,"Senior")</f>
        <v>Adult</v>
      </c>
      <c r="S3857" cm="1">
        <f t="array" ref="S3857">_xlfn.IFS(Q3857 ="Fortnightly",14,Q3857="Weekly",7,Q3857="Monthly",30,Q3857="Quarterly",90,Q3857="Bi-Weekly",14,Q3857="Annually",365,Q3857="Every 3 Months",90,TRUE,"NOT FOUND")</f>
        <v>90</v>
      </c>
    </row>
    <row r="3858" spans="1:19" x14ac:dyDescent="0.35">
      <c r="A3858">
        <v>3857</v>
      </c>
      <c r="B3858">
        <v>39</v>
      </c>
      <c r="C3858" t="s">
        <v>141</v>
      </c>
      <c r="D3858" t="s">
        <v>29</v>
      </c>
      <c r="E3858" t="s">
        <v>30</v>
      </c>
      <c r="F3858">
        <v>78</v>
      </c>
      <c r="G3858" t="s">
        <v>129</v>
      </c>
      <c r="H3858" t="s">
        <v>24</v>
      </c>
      <c r="I3858" t="s">
        <v>98</v>
      </c>
      <c r="J3858" t="s">
        <v>41</v>
      </c>
      <c r="K3858">
        <v>2.5</v>
      </c>
      <c r="L3858" t="s">
        <v>140</v>
      </c>
      <c r="M3858" t="s">
        <v>26</v>
      </c>
      <c r="N3858" t="s">
        <v>140</v>
      </c>
      <c r="O3858">
        <v>8</v>
      </c>
      <c r="P3858" t="s">
        <v>74</v>
      </c>
      <c r="Q3858" t="s">
        <v>46</v>
      </c>
      <c r="R3858" t="str" cm="1">
        <f t="array" ref="R3858">_xlfn.IFS(B3858&lt;31,"Young-Adult",B3858&lt;41,"Adult",B3858&lt;61,"Middle-aged",B3858&gt;=61,"Senior")</f>
        <v>Adult</v>
      </c>
      <c r="S3858" cm="1">
        <f t="array" ref="S3858">_xlfn.IFS(Q3858 ="Fortnightly",14,Q3858="Weekly",7,Q3858="Monthly",30,Q3858="Quarterly",90,Q3858="Bi-Weekly",14,Q3858="Annually",365,Q3858="Every 3 Months",90,TRUE,"NOT FOUND")</f>
        <v>90</v>
      </c>
    </row>
    <row r="3859" spans="1:19" x14ac:dyDescent="0.35">
      <c r="A3859">
        <v>3858</v>
      </c>
      <c r="B3859">
        <v>42</v>
      </c>
      <c r="C3859" t="s">
        <v>141</v>
      </c>
      <c r="D3859" t="s">
        <v>112</v>
      </c>
      <c r="E3859" t="s">
        <v>55</v>
      </c>
      <c r="F3859">
        <v>21</v>
      </c>
      <c r="G3859" t="s">
        <v>93</v>
      </c>
      <c r="H3859" t="s">
        <v>24</v>
      </c>
      <c r="I3859" t="s">
        <v>122</v>
      </c>
      <c r="J3859" t="s">
        <v>41</v>
      </c>
      <c r="K3859">
        <v>3.1</v>
      </c>
      <c r="L3859" t="s">
        <v>140</v>
      </c>
      <c r="M3859" t="s">
        <v>62</v>
      </c>
      <c r="N3859" t="s">
        <v>140</v>
      </c>
      <c r="O3859">
        <v>29</v>
      </c>
      <c r="P3859" t="s">
        <v>27</v>
      </c>
      <c r="Q3859" t="s">
        <v>85</v>
      </c>
      <c r="R3859" t="str" cm="1">
        <f t="array" ref="R3859">_xlfn.IFS(B3859&lt;31,"Young-Adult",B3859&lt;41,"Adult",B3859&lt;61,"Middle-aged",B3859&gt;=61,"Senior")</f>
        <v>Middle-aged</v>
      </c>
      <c r="S3859" cm="1">
        <f t="array" ref="S3859">_xlfn.IFS(Q3859 ="Fortnightly",14,Q3859="Weekly",7,Q3859="Monthly",30,Q3859="Quarterly",90,Q3859="Bi-Weekly",14,Q3859="Annually",365,Q3859="Every 3 Months",90,TRUE,"NOT FOUND")</f>
        <v>90</v>
      </c>
    </row>
    <row r="3860" spans="1:19" x14ac:dyDescent="0.35">
      <c r="A3860">
        <v>3859</v>
      </c>
      <c r="B3860">
        <v>30</v>
      </c>
      <c r="C3860" t="s">
        <v>141</v>
      </c>
      <c r="D3860" t="s">
        <v>101</v>
      </c>
      <c r="E3860" t="s">
        <v>9</v>
      </c>
      <c r="F3860">
        <v>77</v>
      </c>
      <c r="G3860" t="s">
        <v>56</v>
      </c>
      <c r="H3860" t="s">
        <v>32</v>
      </c>
      <c r="I3860" t="s">
        <v>66</v>
      </c>
      <c r="J3860" t="s">
        <v>13</v>
      </c>
      <c r="K3860">
        <v>3.5</v>
      </c>
      <c r="L3860" t="s">
        <v>140</v>
      </c>
      <c r="M3860" t="s">
        <v>62</v>
      </c>
      <c r="N3860" t="s">
        <v>140</v>
      </c>
      <c r="O3860">
        <v>26</v>
      </c>
      <c r="P3860" t="s">
        <v>27</v>
      </c>
      <c r="Q3860" t="s">
        <v>46</v>
      </c>
      <c r="R3860" t="str" cm="1">
        <f t="array" ref="R3860">_xlfn.IFS(B3860&lt;31,"Young-Adult",B3860&lt;41,"Adult",B3860&lt;61,"Middle-aged",B3860&gt;=61,"Senior")</f>
        <v>Young-Adult</v>
      </c>
      <c r="S3860" cm="1">
        <f t="array" ref="S3860">_xlfn.IFS(Q3860 ="Fortnightly",14,Q3860="Weekly",7,Q3860="Monthly",30,Q3860="Quarterly",90,Q3860="Bi-Weekly",14,Q3860="Annually",365,Q3860="Every 3 Months",90,TRUE,"NOT FOUND")</f>
        <v>90</v>
      </c>
    </row>
    <row r="3861" spans="1:19" x14ac:dyDescent="0.35">
      <c r="A3861">
        <v>3860</v>
      </c>
      <c r="B3861">
        <v>65</v>
      </c>
      <c r="C3861" t="s">
        <v>141</v>
      </c>
      <c r="D3861" t="s">
        <v>47</v>
      </c>
      <c r="E3861" t="s">
        <v>9</v>
      </c>
      <c r="F3861">
        <v>88</v>
      </c>
      <c r="G3861" t="s">
        <v>79</v>
      </c>
      <c r="H3861" t="s">
        <v>24</v>
      </c>
      <c r="I3861" t="s">
        <v>132</v>
      </c>
      <c r="J3861" t="s">
        <v>45</v>
      </c>
      <c r="K3861">
        <v>3</v>
      </c>
      <c r="L3861" t="s">
        <v>140</v>
      </c>
      <c r="M3861" t="s">
        <v>58</v>
      </c>
      <c r="N3861" t="s">
        <v>140</v>
      </c>
      <c r="O3861">
        <v>47</v>
      </c>
      <c r="P3861" t="s">
        <v>63</v>
      </c>
      <c r="Q3861" t="s">
        <v>64</v>
      </c>
      <c r="R3861" t="str" cm="1">
        <f t="array" ref="R3861">_xlfn.IFS(B3861&lt;31,"Young-Adult",B3861&lt;41,"Adult",B3861&lt;61,"Middle-aged",B3861&gt;=61,"Senior")</f>
        <v>Senior</v>
      </c>
      <c r="S3861" cm="1">
        <f t="array" ref="S3861">_xlfn.IFS(Q3861 ="Fortnightly",14,Q3861="Weekly",7,Q3861="Monthly",30,Q3861="Quarterly",90,Q3861="Bi-Weekly",14,Q3861="Annually",365,Q3861="Every 3 Months",90,TRUE,"NOT FOUND")</f>
        <v>14</v>
      </c>
    </row>
    <row r="3862" spans="1:19" x14ac:dyDescent="0.35">
      <c r="A3862">
        <v>3861</v>
      </c>
      <c r="B3862">
        <v>57</v>
      </c>
      <c r="C3862" t="s">
        <v>141</v>
      </c>
      <c r="D3862" t="s">
        <v>77</v>
      </c>
      <c r="E3862" t="s">
        <v>55</v>
      </c>
      <c r="F3862">
        <v>64</v>
      </c>
      <c r="G3862" t="s">
        <v>126</v>
      </c>
      <c r="H3862" t="s">
        <v>32</v>
      </c>
      <c r="I3862" t="s">
        <v>36</v>
      </c>
      <c r="J3862" t="s">
        <v>41</v>
      </c>
      <c r="K3862">
        <v>4.4000000000000004</v>
      </c>
      <c r="L3862" t="s">
        <v>140</v>
      </c>
      <c r="M3862" t="s">
        <v>33</v>
      </c>
      <c r="N3862" t="s">
        <v>140</v>
      </c>
      <c r="O3862">
        <v>44</v>
      </c>
      <c r="P3862" t="s">
        <v>21</v>
      </c>
      <c r="Q3862" t="s">
        <v>37</v>
      </c>
      <c r="R3862" t="str" cm="1">
        <f t="array" ref="R3862">_xlfn.IFS(B3862&lt;31,"Young-Adult",B3862&lt;41,"Adult",B3862&lt;61,"Middle-aged",B3862&gt;=61,"Senior")</f>
        <v>Middle-aged</v>
      </c>
      <c r="S3862" cm="1">
        <f t="array" ref="S3862">_xlfn.IFS(Q3862 ="Fortnightly",14,Q3862="Weekly",7,Q3862="Monthly",30,Q3862="Quarterly",90,Q3862="Bi-Weekly",14,Q3862="Annually",365,Q3862="Every 3 Months",90,TRUE,"NOT FOUND")</f>
        <v>365</v>
      </c>
    </row>
    <row r="3863" spans="1:19" x14ac:dyDescent="0.35">
      <c r="A3863">
        <v>3862</v>
      </c>
      <c r="B3863">
        <v>64</v>
      </c>
      <c r="C3863" t="s">
        <v>141</v>
      </c>
      <c r="D3863" t="s">
        <v>90</v>
      </c>
      <c r="E3863" t="s">
        <v>51</v>
      </c>
      <c r="F3863">
        <v>57</v>
      </c>
      <c r="G3863" t="s">
        <v>39</v>
      </c>
      <c r="H3863" t="s">
        <v>32</v>
      </c>
      <c r="I3863" t="s">
        <v>122</v>
      </c>
      <c r="J3863" t="s">
        <v>25</v>
      </c>
      <c r="K3863">
        <v>4.9000000000000004</v>
      </c>
      <c r="L3863" t="s">
        <v>140</v>
      </c>
      <c r="M3863" t="s">
        <v>42</v>
      </c>
      <c r="N3863" t="s">
        <v>140</v>
      </c>
      <c r="O3863">
        <v>49</v>
      </c>
      <c r="P3863" t="s">
        <v>27</v>
      </c>
      <c r="Q3863" t="s">
        <v>76</v>
      </c>
      <c r="R3863" t="str" cm="1">
        <f t="array" ref="R3863">_xlfn.IFS(B3863&lt;31,"Young-Adult",B3863&lt;41,"Adult",B3863&lt;61,"Middle-aged",B3863&gt;=61,"Senior")</f>
        <v>Senior</v>
      </c>
      <c r="S3863" cm="1">
        <f t="array" ref="S3863">_xlfn.IFS(Q3863 ="Fortnightly",14,Q3863="Weekly",7,Q3863="Monthly",30,Q3863="Quarterly",90,Q3863="Bi-Weekly",14,Q3863="Annually",365,Q3863="Every 3 Months",90,TRUE,"NOT FOUND")</f>
        <v>30</v>
      </c>
    </row>
    <row r="3864" spans="1:19" x14ac:dyDescent="0.35">
      <c r="A3864">
        <v>3863</v>
      </c>
      <c r="B3864">
        <v>56</v>
      </c>
      <c r="C3864" t="s">
        <v>141</v>
      </c>
      <c r="D3864" t="s">
        <v>43</v>
      </c>
      <c r="E3864" t="s">
        <v>9</v>
      </c>
      <c r="F3864">
        <v>49</v>
      </c>
      <c r="G3864" t="s">
        <v>123</v>
      </c>
      <c r="H3864" t="s">
        <v>11</v>
      </c>
      <c r="I3864" t="s">
        <v>36</v>
      </c>
      <c r="J3864" t="s">
        <v>13</v>
      </c>
      <c r="K3864">
        <v>2.8</v>
      </c>
      <c r="L3864" t="s">
        <v>140</v>
      </c>
      <c r="M3864" t="s">
        <v>33</v>
      </c>
      <c r="N3864" t="s">
        <v>140</v>
      </c>
      <c r="O3864">
        <v>9</v>
      </c>
      <c r="P3864" t="s">
        <v>16</v>
      </c>
      <c r="Q3864" t="s">
        <v>76</v>
      </c>
      <c r="R3864" t="str" cm="1">
        <f t="array" ref="R3864">_xlfn.IFS(B3864&lt;31,"Young-Adult",B3864&lt;41,"Adult",B3864&lt;61,"Middle-aged",B3864&gt;=61,"Senior")</f>
        <v>Middle-aged</v>
      </c>
      <c r="S3864" cm="1">
        <f t="array" ref="S3864">_xlfn.IFS(Q3864 ="Fortnightly",14,Q3864="Weekly",7,Q3864="Monthly",30,Q3864="Quarterly",90,Q3864="Bi-Weekly",14,Q3864="Annually",365,Q3864="Every 3 Months",90,TRUE,"NOT FOUND")</f>
        <v>30</v>
      </c>
    </row>
    <row r="3865" spans="1:19" x14ac:dyDescent="0.35">
      <c r="A3865">
        <v>3864</v>
      </c>
      <c r="B3865">
        <v>40</v>
      </c>
      <c r="C3865" t="s">
        <v>141</v>
      </c>
      <c r="D3865" t="s">
        <v>107</v>
      </c>
      <c r="E3865" t="s">
        <v>55</v>
      </c>
      <c r="F3865">
        <v>35</v>
      </c>
      <c r="G3865" t="s">
        <v>70</v>
      </c>
      <c r="H3865" t="s">
        <v>32</v>
      </c>
      <c r="I3865" t="s">
        <v>109</v>
      </c>
      <c r="J3865" t="s">
        <v>41</v>
      </c>
      <c r="K3865">
        <v>3.3</v>
      </c>
      <c r="L3865" t="s">
        <v>140</v>
      </c>
      <c r="M3865" t="s">
        <v>26</v>
      </c>
      <c r="N3865" t="s">
        <v>140</v>
      </c>
      <c r="O3865">
        <v>28</v>
      </c>
      <c r="P3865" t="s">
        <v>21</v>
      </c>
      <c r="Q3865" t="s">
        <v>17</v>
      </c>
      <c r="R3865" t="str" cm="1">
        <f t="array" ref="R3865">_xlfn.IFS(B3865&lt;31,"Young-Adult",B3865&lt;41,"Adult",B3865&lt;61,"Middle-aged",B3865&gt;=61,"Senior")</f>
        <v>Adult</v>
      </c>
      <c r="S3865" cm="1">
        <f t="array" ref="S3865">_xlfn.IFS(Q3865 ="Fortnightly",14,Q3865="Weekly",7,Q3865="Monthly",30,Q3865="Quarterly",90,Q3865="Bi-Weekly",14,Q3865="Annually",365,Q3865="Every 3 Months",90,TRUE,"NOT FOUND")</f>
        <v>14</v>
      </c>
    </row>
    <row r="3866" spans="1:19" x14ac:dyDescent="0.35">
      <c r="A3866">
        <v>3865</v>
      </c>
      <c r="B3866">
        <v>55</v>
      </c>
      <c r="C3866" t="s">
        <v>141</v>
      </c>
      <c r="D3866" t="s">
        <v>101</v>
      </c>
      <c r="E3866" t="s">
        <v>9</v>
      </c>
      <c r="F3866">
        <v>99</v>
      </c>
      <c r="G3866" t="s">
        <v>39</v>
      </c>
      <c r="H3866" t="s">
        <v>24</v>
      </c>
      <c r="I3866" t="s">
        <v>132</v>
      </c>
      <c r="J3866" t="s">
        <v>13</v>
      </c>
      <c r="K3866">
        <v>4.9000000000000004</v>
      </c>
      <c r="L3866" t="s">
        <v>140</v>
      </c>
      <c r="M3866" t="s">
        <v>15</v>
      </c>
      <c r="N3866" t="s">
        <v>140</v>
      </c>
      <c r="O3866">
        <v>1</v>
      </c>
      <c r="P3866" t="s">
        <v>74</v>
      </c>
      <c r="Q3866" t="s">
        <v>17</v>
      </c>
      <c r="R3866" t="str" cm="1">
        <f t="array" ref="R3866">_xlfn.IFS(B3866&lt;31,"Young-Adult",B3866&lt;41,"Adult",B3866&lt;61,"Middle-aged",B3866&gt;=61,"Senior")</f>
        <v>Middle-aged</v>
      </c>
      <c r="S3866" cm="1">
        <f t="array" ref="S3866">_xlfn.IFS(Q3866 ="Fortnightly",14,Q3866="Weekly",7,Q3866="Monthly",30,Q3866="Quarterly",90,Q3866="Bi-Weekly",14,Q3866="Annually",365,Q3866="Every 3 Months",90,TRUE,"NOT FOUND")</f>
        <v>14</v>
      </c>
    </row>
    <row r="3867" spans="1:19" x14ac:dyDescent="0.35">
      <c r="A3867">
        <v>3866</v>
      </c>
      <c r="B3867">
        <v>25</v>
      </c>
      <c r="C3867" t="s">
        <v>141</v>
      </c>
      <c r="D3867" t="s">
        <v>47</v>
      </c>
      <c r="E3867" t="s">
        <v>9</v>
      </c>
      <c r="F3867">
        <v>42</v>
      </c>
      <c r="G3867" t="s">
        <v>133</v>
      </c>
      <c r="H3867" t="s">
        <v>32</v>
      </c>
      <c r="I3867" t="s">
        <v>66</v>
      </c>
      <c r="J3867" t="s">
        <v>25</v>
      </c>
      <c r="K3867">
        <v>4.2</v>
      </c>
      <c r="L3867" t="s">
        <v>140</v>
      </c>
      <c r="M3867" t="s">
        <v>62</v>
      </c>
      <c r="N3867" t="s">
        <v>140</v>
      </c>
      <c r="O3867">
        <v>28</v>
      </c>
      <c r="P3867" t="s">
        <v>21</v>
      </c>
      <c r="Q3867" t="s">
        <v>85</v>
      </c>
      <c r="R3867" t="str" cm="1">
        <f t="array" ref="R3867">_xlfn.IFS(B3867&lt;31,"Young-Adult",B3867&lt;41,"Adult",B3867&lt;61,"Middle-aged",B3867&gt;=61,"Senior")</f>
        <v>Young-Adult</v>
      </c>
      <c r="S3867" cm="1">
        <f t="array" ref="S3867">_xlfn.IFS(Q3867 ="Fortnightly",14,Q3867="Weekly",7,Q3867="Monthly",30,Q3867="Quarterly",90,Q3867="Bi-Weekly",14,Q3867="Annually",365,Q3867="Every 3 Months",90,TRUE,"NOT FOUND")</f>
        <v>90</v>
      </c>
    </row>
    <row r="3868" spans="1:19" x14ac:dyDescent="0.35">
      <c r="A3868">
        <v>3867</v>
      </c>
      <c r="B3868">
        <v>58</v>
      </c>
      <c r="C3868" t="s">
        <v>141</v>
      </c>
      <c r="D3868" t="s">
        <v>112</v>
      </c>
      <c r="E3868" t="s">
        <v>55</v>
      </c>
      <c r="F3868">
        <v>32</v>
      </c>
      <c r="G3868" t="s">
        <v>108</v>
      </c>
      <c r="H3868" t="s">
        <v>32</v>
      </c>
      <c r="I3868" t="s">
        <v>106</v>
      </c>
      <c r="J3868" t="s">
        <v>13</v>
      </c>
      <c r="K3868">
        <v>3.3</v>
      </c>
      <c r="L3868" t="s">
        <v>140</v>
      </c>
      <c r="M3868" t="s">
        <v>58</v>
      </c>
      <c r="N3868" t="s">
        <v>140</v>
      </c>
      <c r="O3868">
        <v>33</v>
      </c>
      <c r="P3868" t="s">
        <v>27</v>
      </c>
      <c r="Q3868" t="s">
        <v>17</v>
      </c>
      <c r="R3868" t="str" cm="1">
        <f t="array" ref="R3868">_xlfn.IFS(B3868&lt;31,"Young-Adult",B3868&lt;41,"Adult",B3868&lt;61,"Middle-aged",B3868&gt;=61,"Senior")</f>
        <v>Middle-aged</v>
      </c>
      <c r="S3868" cm="1">
        <f t="array" ref="S3868">_xlfn.IFS(Q3868 ="Fortnightly",14,Q3868="Weekly",7,Q3868="Monthly",30,Q3868="Quarterly",90,Q3868="Bi-Weekly",14,Q3868="Annually",365,Q3868="Every 3 Months",90,TRUE,"NOT FOUND")</f>
        <v>14</v>
      </c>
    </row>
    <row r="3869" spans="1:19" x14ac:dyDescent="0.35">
      <c r="A3869">
        <v>3868</v>
      </c>
      <c r="B3869">
        <v>46</v>
      </c>
      <c r="C3869" t="s">
        <v>141</v>
      </c>
      <c r="D3869" t="s">
        <v>90</v>
      </c>
      <c r="E3869" t="s">
        <v>51</v>
      </c>
      <c r="F3869">
        <v>21</v>
      </c>
      <c r="G3869" t="s">
        <v>116</v>
      </c>
      <c r="H3869" t="s">
        <v>11</v>
      </c>
      <c r="I3869" t="s">
        <v>81</v>
      </c>
      <c r="J3869" t="s">
        <v>41</v>
      </c>
      <c r="K3869">
        <v>2.7</v>
      </c>
      <c r="L3869" t="s">
        <v>140</v>
      </c>
      <c r="M3869" t="s">
        <v>42</v>
      </c>
      <c r="N3869" t="s">
        <v>140</v>
      </c>
      <c r="O3869">
        <v>28</v>
      </c>
      <c r="P3869" t="s">
        <v>27</v>
      </c>
      <c r="Q3869" t="s">
        <v>76</v>
      </c>
      <c r="R3869" t="str" cm="1">
        <f t="array" ref="R3869">_xlfn.IFS(B3869&lt;31,"Young-Adult",B3869&lt;41,"Adult",B3869&lt;61,"Middle-aged",B3869&gt;=61,"Senior")</f>
        <v>Middle-aged</v>
      </c>
      <c r="S3869" cm="1">
        <f t="array" ref="S3869">_xlfn.IFS(Q3869 ="Fortnightly",14,Q3869="Weekly",7,Q3869="Monthly",30,Q3869="Quarterly",90,Q3869="Bi-Weekly",14,Q3869="Annually",365,Q3869="Every 3 Months",90,TRUE,"NOT FOUND")</f>
        <v>30</v>
      </c>
    </row>
    <row r="3870" spans="1:19" x14ac:dyDescent="0.35">
      <c r="A3870">
        <v>3869</v>
      </c>
      <c r="B3870">
        <v>18</v>
      </c>
      <c r="C3870" t="s">
        <v>141</v>
      </c>
      <c r="D3870" t="s">
        <v>69</v>
      </c>
      <c r="E3870" t="s">
        <v>9</v>
      </c>
      <c r="F3870">
        <v>29</v>
      </c>
      <c r="G3870" t="s">
        <v>116</v>
      </c>
      <c r="H3870" t="s">
        <v>80</v>
      </c>
      <c r="I3870" t="s">
        <v>124</v>
      </c>
      <c r="J3870" t="s">
        <v>13</v>
      </c>
      <c r="K3870">
        <v>3.3</v>
      </c>
      <c r="L3870" t="s">
        <v>140</v>
      </c>
      <c r="M3870" t="s">
        <v>58</v>
      </c>
      <c r="N3870" t="s">
        <v>140</v>
      </c>
      <c r="O3870">
        <v>9</v>
      </c>
      <c r="P3870" t="s">
        <v>21</v>
      </c>
      <c r="Q3870" t="s">
        <v>37</v>
      </c>
      <c r="R3870" t="str" cm="1">
        <f t="array" ref="R3870">_xlfn.IFS(B3870&lt;31,"Young-Adult",B3870&lt;41,"Adult",B3870&lt;61,"Middle-aged",B3870&gt;=61,"Senior")</f>
        <v>Young-Adult</v>
      </c>
      <c r="S3870" cm="1">
        <f t="array" ref="S3870">_xlfn.IFS(Q3870 ="Fortnightly",14,Q3870="Weekly",7,Q3870="Monthly",30,Q3870="Quarterly",90,Q3870="Bi-Weekly",14,Q3870="Annually",365,Q3870="Every 3 Months",90,TRUE,"NOT FOUND")</f>
        <v>365</v>
      </c>
    </row>
    <row r="3871" spans="1:19" x14ac:dyDescent="0.35">
      <c r="A3871">
        <v>3870</v>
      </c>
      <c r="B3871">
        <v>26</v>
      </c>
      <c r="C3871" t="s">
        <v>141</v>
      </c>
      <c r="D3871" t="s">
        <v>50</v>
      </c>
      <c r="E3871" t="s">
        <v>51</v>
      </c>
      <c r="F3871">
        <v>64</v>
      </c>
      <c r="G3871" t="s">
        <v>105</v>
      </c>
      <c r="H3871" t="s">
        <v>11</v>
      </c>
      <c r="I3871" t="s">
        <v>97</v>
      </c>
      <c r="J3871" t="s">
        <v>25</v>
      </c>
      <c r="K3871">
        <v>3.8</v>
      </c>
      <c r="L3871" t="s">
        <v>140</v>
      </c>
      <c r="M3871" t="s">
        <v>26</v>
      </c>
      <c r="N3871" t="s">
        <v>140</v>
      </c>
      <c r="O3871">
        <v>28</v>
      </c>
      <c r="P3871" t="s">
        <v>63</v>
      </c>
      <c r="Q3871" t="s">
        <v>37</v>
      </c>
      <c r="R3871" t="str" cm="1">
        <f t="array" ref="R3871">_xlfn.IFS(B3871&lt;31,"Young-Adult",B3871&lt;41,"Adult",B3871&lt;61,"Middle-aged",B3871&gt;=61,"Senior")</f>
        <v>Young-Adult</v>
      </c>
      <c r="S3871" cm="1">
        <f t="array" ref="S3871">_xlfn.IFS(Q3871 ="Fortnightly",14,Q3871="Weekly",7,Q3871="Monthly",30,Q3871="Quarterly",90,Q3871="Bi-Weekly",14,Q3871="Annually",365,Q3871="Every 3 Months",90,TRUE,"NOT FOUND")</f>
        <v>365</v>
      </c>
    </row>
    <row r="3872" spans="1:19" x14ac:dyDescent="0.35">
      <c r="A3872">
        <v>3871</v>
      </c>
      <c r="B3872">
        <v>61</v>
      </c>
      <c r="C3872" t="s">
        <v>141</v>
      </c>
      <c r="D3872" t="s">
        <v>29</v>
      </c>
      <c r="E3872" t="s">
        <v>30</v>
      </c>
      <c r="F3872">
        <v>46</v>
      </c>
      <c r="G3872" t="s">
        <v>111</v>
      </c>
      <c r="H3872" t="s">
        <v>11</v>
      </c>
      <c r="I3872" t="s">
        <v>81</v>
      </c>
      <c r="J3872" t="s">
        <v>45</v>
      </c>
      <c r="K3872">
        <v>3.2</v>
      </c>
      <c r="L3872" t="s">
        <v>140</v>
      </c>
      <c r="M3872" t="s">
        <v>33</v>
      </c>
      <c r="N3872" t="s">
        <v>140</v>
      </c>
      <c r="O3872">
        <v>19</v>
      </c>
      <c r="P3872" t="s">
        <v>21</v>
      </c>
      <c r="Q3872" t="s">
        <v>85</v>
      </c>
      <c r="R3872" t="str" cm="1">
        <f t="array" ref="R3872">_xlfn.IFS(B3872&lt;31,"Young-Adult",B3872&lt;41,"Adult",B3872&lt;61,"Middle-aged",B3872&gt;=61,"Senior")</f>
        <v>Senior</v>
      </c>
      <c r="S3872" cm="1">
        <f t="array" ref="S3872">_xlfn.IFS(Q3872 ="Fortnightly",14,Q3872="Weekly",7,Q3872="Monthly",30,Q3872="Quarterly",90,Q3872="Bi-Weekly",14,Q3872="Annually",365,Q3872="Every 3 Months",90,TRUE,"NOT FOUND")</f>
        <v>90</v>
      </c>
    </row>
    <row r="3873" spans="1:19" x14ac:dyDescent="0.35">
      <c r="A3873">
        <v>3872</v>
      </c>
      <c r="B3873">
        <v>55</v>
      </c>
      <c r="C3873" t="s">
        <v>141</v>
      </c>
      <c r="D3873" t="s">
        <v>101</v>
      </c>
      <c r="E3873" t="s">
        <v>9</v>
      </c>
      <c r="F3873">
        <v>97</v>
      </c>
      <c r="G3873" t="s">
        <v>136</v>
      </c>
      <c r="H3873" t="s">
        <v>32</v>
      </c>
      <c r="I3873" t="s">
        <v>82</v>
      </c>
      <c r="J3873" t="s">
        <v>45</v>
      </c>
      <c r="K3873">
        <v>4.0999999999999996</v>
      </c>
      <c r="L3873" t="s">
        <v>140</v>
      </c>
      <c r="M3873" t="s">
        <v>58</v>
      </c>
      <c r="N3873" t="s">
        <v>140</v>
      </c>
      <c r="O3873">
        <v>20</v>
      </c>
      <c r="P3873" t="s">
        <v>63</v>
      </c>
      <c r="Q3873" t="s">
        <v>85</v>
      </c>
      <c r="R3873" t="str" cm="1">
        <f t="array" ref="R3873">_xlfn.IFS(B3873&lt;31,"Young-Adult",B3873&lt;41,"Adult",B3873&lt;61,"Middle-aged",B3873&gt;=61,"Senior")</f>
        <v>Middle-aged</v>
      </c>
      <c r="S3873" cm="1">
        <f t="array" ref="S3873">_xlfn.IFS(Q3873 ="Fortnightly",14,Q3873="Weekly",7,Q3873="Monthly",30,Q3873="Quarterly",90,Q3873="Bi-Weekly",14,Q3873="Annually",365,Q3873="Every 3 Months",90,TRUE,"NOT FOUND")</f>
        <v>90</v>
      </c>
    </row>
    <row r="3874" spans="1:19" x14ac:dyDescent="0.35">
      <c r="A3874">
        <v>3873</v>
      </c>
      <c r="B3874">
        <v>41</v>
      </c>
      <c r="C3874" t="s">
        <v>141</v>
      </c>
      <c r="D3874" t="s">
        <v>90</v>
      </c>
      <c r="E3874" t="s">
        <v>51</v>
      </c>
      <c r="F3874">
        <v>94</v>
      </c>
      <c r="G3874" t="s">
        <v>70</v>
      </c>
      <c r="H3874" t="s">
        <v>32</v>
      </c>
      <c r="I3874" t="s">
        <v>84</v>
      </c>
      <c r="J3874" t="s">
        <v>25</v>
      </c>
      <c r="K3874">
        <v>4.3</v>
      </c>
      <c r="L3874" t="s">
        <v>140</v>
      </c>
      <c r="M3874" t="s">
        <v>42</v>
      </c>
      <c r="N3874" t="s">
        <v>140</v>
      </c>
      <c r="O3874">
        <v>3</v>
      </c>
      <c r="P3874" t="s">
        <v>21</v>
      </c>
      <c r="Q3874" t="s">
        <v>76</v>
      </c>
      <c r="R3874" t="str" cm="1">
        <f t="array" ref="R3874">_xlfn.IFS(B3874&lt;31,"Young-Adult",B3874&lt;41,"Adult",B3874&lt;61,"Middle-aged",B3874&gt;=61,"Senior")</f>
        <v>Middle-aged</v>
      </c>
      <c r="S3874" cm="1">
        <f t="array" ref="S3874">_xlfn.IFS(Q3874 ="Fortnightly",14,Q3874="Weekly",7,Q3874="Monthly",30,Q3874="Quarterly",90,Q3874="Bi-Weekly",14,Q3874="Annually",365,Q3874="Every 3 Months",90,TRUE,"NOT FOUND")</f>
        <v>30</v>
      </c>
    </row>
    <row r="3875" spans="1:19" x14ac:dyDescent="0.35">
      <c r="A3875">
        <v>3874</v>
      </c>
      <c r="B3875">
        <v>42</v>
      </c>
      <c r="C3875" t="s">
        <v>141</v>
      </c>
      <c r="D3875" t="s">
        <v>29</v>
      </c>
      <c r="E3875" t="s">
        <v>30</v>
      </c>
      <c r="F3875">
        <v>43</v>
      </c>
      <c r="G3875" t="s">
        <v>48</v>
      </c>
      <c r="H3875" t="s">
        <v>11</v>
      </c>
      <c r="I3875" t="s">
        <v>53</v>
      </c>
      <c r="J3875" t="s">
        <v>41</v>
      </c>
      <c r="K3875">
        <v>4</v>
      </c>
      <c r="L3875" t="s">
        <v>140</v>
      </c>
      <c r="M3875" t="s">
        <v>42</v>
      </c>
      <c r="N3875" t="s">
        <v>140</v>
      </c>
      <c r="O3875">
        <v>22</v>
      </c>
      <c r="P3875" t="s">
        <v>27</v>
      </c>
      <c r="Q3875" t="s">
        <v>28</v>
      </c>
      <c r="R3875" t="str" cm="1">
        <f t="array" ref="R3875">_xlfn.IFS(B3875&lt;31,"Young-Adult",B3875&lt;41,"Adult",B3875&lt;61,"Middle-aged",B3875&gt;=61,"Senior")</f>
        <v>Middle-aged</v>
      </c>
      <c r="S3875" cm="1">
        <f t="array" ref="S3875">_xlfn.IFS(Q3875 ="Fortnightly",14,Q3875="Weekly",7,Q3875="Monthly",30,Q3875="Quarterly",90,Q3875="Bi-Weekly",14,Q3875="Annually",365,Q3875="Every 3 Months",90,TRUE,"NOT FOUND")</f>
        <v>7</v>
      </c>
    </row>
    <row r="3876" spans="1:19" x14ac:dyDescent="0.35">
      <c r="A3876">
        <v>3875</v>
      </c>
      <c r="B3876">
        <v>70</v>
      </c>
      <c r="C3876" t="s">
        <v>141</v>
      </c>
      <c r="D3876" t="s">
        <v>18</v>
      </c>
      <c r="E3876" t="s">
        <v>9</v>
      </c>
      <c r="F3876">
        <v>54</v>
      </c>
      <c r="G3876" t="s">
        <v>95</v>
      </c>
      <c r="H3876" t="s">
        <v>80</v>
      </c>
      <c r="I3876" t="s">
        <v>106</v>
      </c>
      <c r="J3876" t="s">
        <v>41</v>
      </c>
      <c r="K3876">
        <v>3.9</v>
      </c>
      <c r="L3876" t="s">
        <v>140</v>
      </c>
      <c r="M3876" t="s">
        <v>58</v>
      </c>
      <c r="N3876" t="s">
        <v>140</v>
      </c>
      <c r="O3876">
        <v>33</v>
      </c>
      <c r="P3876" t="s">
        <v>27</v>
      </c>
      <c r="Q3876" t="s">
        <v>64</v>
      </c>
      <c r="R3876" t="str" cm="1">
        <f t="array" ref="R3876">_xlfn.IFS(B3876&lt;31,"Young-Adult",B3876&lt;41,"Adult",B3876&lt;61,"Middle-aged",B3876&gt;=61,"Senior")</f>
        <v>Senior</v>
      </c>
      <c r="S3876" cm="1">
        <f t="array" ref="S3876">_xlfn.IFS(Q3876 ="Fortnightly",14,Q3876="Weekly",7,Q3876="Monthly",30,Q3876="Quarterly",90,Q3876="Bi-Weekly",14,Q3876="Annually",365,Q3876="Every 3 Months",90,TRUE,"NOT FOUND")</f>
        <v>14</v>
      </c>
    </row>
    <row r="3877" spans="1:19" x14ac:dyDescent="0.35">
      <c r="A3877">
        <v>3876</v>
      </c>
      <c r="B3877">
        <v>63</v>
      </c>
      <c r="C3877" t="s">
        <v>141</v>
      </c>
      <c r="D3877" t="s">
        <v>112</v>
      </c>
      <c r="E3877" t="s">
        <v>55</v>
      </c>
      <c r="F3877">
        <v>51</v>
      </c>
      <c r="G3877" t="s">
        <v>70</v>
      </c>
      <c r="H3877" t="s">
        <v>32</v>
      </c>
      <c r="I3877" t="s">
        <v>57</v>
      </c>
      <c r="J3877" t="s">
        <v>13</v>
      </c>
      <c r="K3877">
        <v>3.3</v>
      </c>
      <c r="L3877" t="s">
        <v>140</v>
      </c>
      <c r="M3877" t="s">
        <v>58</v>
      </c>
      <c r="N3877" t="s">
        <v>140</v>
      </c>
      <c r="O3877">
        <v>21</v>
      </c>
      <c r="P3877" t="s">
        <v>27</v>
      </c>
      <c r="Q3877" t="s">
        <v>37</v>
      </c>
      <c r="R3877" t="str" cm="1">
        <f t="array" ref="R3877">_xlfn.IFS(B3877&lt;31,"Young-Adult",B3877&lt;41,"Adult",B3877&lt;61,"Middle-aged",B3877&gt;=61,"Senior")</f>
        <v>Senior</v>
      </c>
      <c r="S3877" cm="1">
        <f t="array" ref="S3877">_xlfn.IFS(Q3877 ="Fortnightly",14,Q3877="Weekly",7,Q3877="Monthly",30,Q3877="Quarterly",90,Q3877="Bi-Weekly",14,Q3877="Annually",365,Q3877="Every 3 Months",90,TRUE,"NOT FOUND")</f>
        <v>365</v>
      </c>
    </row>
    <row r="3878" spans="1:19" x14ac:dyDescent="0.35">
      <c r="A3878">
        <v>3877</v>
      </c>
      <c r="B3878">
        <v>60</v>
      </c>
      <c r="C3878" t="s">
        <v>141</v>
      </c>
      <c r="D3878" t="s">
        <v>59</v>
      </c>
      <c r="E3878" t="s">
        <v>30</v>
      </c>
      <c r="F3878">
        <v>85</v>
      </c>
      <c r="G3878" t="s">
        <v>138</v>
      </c>
      <c r="H3878" t="s">
        <v>24</v>
      </c>
      <c r="I3878" t="s">
        <v>97</v>
      </c>
      <c r="J3878" t="s">
        <v>45</v>
      </c>
      <c r="K3878">
        <v>2.6</v>
      </c>
      <c r="L3878" t="s">
        <v>140</v>
      </c>
      <c r="M3878" t="s">
        <v>58</v>
      </c>
      <c r="N3878" t="s">
        <v>140</v>
      </c>
      <c r="O3878">
        <v>7</v>
      </c>
      <c r="P3878" t="s">
        <v>21</v>
      </c>
      <c r="Q3878" t="s">
        <v>37</v>
      </c>
      <c r="R3878" t="str" cm="1">
        <f t="array" ref="R3878">_xlfn.IFS(B3878&lt;31,"Young-Adult",B3878&lt;41,"Adult",B3878&lt;61,"Middle-aged",B3878&gt;=61,"Senior")</f>
        <v>Middle-aged</v>
      </c>
      <c r="S3878" cm="1">
        <f t="array" ref="S3878">_xlfn.IFS(Q3878 ="Fortnightly",14,Q3878="Weekly",7,Q3878="Monthly",30,Q3878="Quarterly",90,Q3878="Bi-Weekly",14,Q3878="Annually",365,Q3878="Every 3 Months",90,TRUE,"NOT FOUND")</f>
        <v>365</v>
      </c>
    </row>
    <row r="3879" spans="1:19" x14ac:dyDescent="0.35">
      <c r="A3879">
        <v>3878</v>
      </c>
      <c r="B3879">
        <v>28</v>
      </c>
      <c r="C3879" t="s">
        <v>141</v>
      </c>
      <c r="D3879" t="s">
        <v>92</v>
      </c>
      <c r="E3879" t="s">
        <v>9</v>
      </c>
      <c r="F3879">
        <v>96</v>
      </c>
      <c r="G3879" t="s">
        <v>95</v>
      </c>
      <c r="H3879" t="s">
        <v>32</v>
      </c>
      <c r="I3879" t="s">
        <v>66</v>
      </c>
      <c r="J3879" t="s">
        <v>25</v>
      </c>
      <c r="K3879">
        <v>4.2</v>
      </c>
      <c r="L3879" t="s">
        <v>140</v>
      </c>
      <c r="M3879" t="s">
        <v>33</v>
      </c>
      <c r="N3879" t="s">
        <v>140</v>
      </c>
      <c r="O3879">
        <v>46</v>
      </c>
      <c r="P3879" t="s">
        <v>74</v>
      </c>
      <c r="Q3879" t="s">
        <v>76</v>
      </c>
      <c r="R3879" t="str" cm="1">
        <f t="array" ref="R3879">_xlfn.IFS(B3879&lt;31,"Young-Adult",B3879&lt;41,"Adult",B3879&lt;61,"Middle-aged",B3879&gt;=61,"Senior")</f>
        <v>Young-Adult</v>
      </c>
      <c r="S3879" cm="1">
        <f t="array" ref="S3879">_xlfn.IFS(Q3879 ="Fortnightly",14,Q3879="Weekly",7,Q3879="Monthly",30,Q3879="Quarterly",90,Q3879="Bi-Weekly",14,Q3879="Annually",365,Q3879="Every 3 Months",90,TRUE,"NOT FOUND")</f>
        <v>30</v>
      </c>
    </row>
    <row r="3880" spans="1:19" x14ac:dyDescent="0.35">
      <c r="A3880">
        <v>3879</v>
      </c>
      <c r="B3880">
        <v>60</v>
      </c>
      <c r="C3880" t="s">
        <v>141</v>
      </c>
      <c r="D3880" t="s">
        <v>112</v>
      </c>
      <c r="E3880" t="s">
        <v>55</v>
      </c>
      <c r="F3880">
        <v>42</v>
      </c>
      <c r="G3880" t="s">
        <v>119</v>
      </c>
      <c r="H3880" t="s">
        <v>32</v>
      </c>
      <c r="I3880" t="s">
        <v>57</v>
      </c>
      <c r="J3880" t="s">
        <v>41</v>
      </c>
      <c r="K3880">
        <v>3.4</v>
      </c>
      <c r="L3880" t="s">
        <v>140</v>
      </c>
      <c r="M3880" t="s">
        <v>58</v>
      </c>
      <c r="N3880" t="s">
        <v>140</v>
      </c>
      <c r="O3880">
        <v>24</v>
      </c>
      <c r="P3880" t="s">
        <v>27</v>
      </c>
      <c r="Q3880" t="s">
        <v>37</v>
      </c>
      <c r="R3880" t="str" cm="1">
        <f t="array" ref="R3880">_xlfn.IFS(B3880&lt;31,"Young-Adult",B3880&lt;41,"Adult",B3880&lt;61,"Middle-aged",B3880&gt;=61,"Senior")</f>
        <v>Middle-aged</v>
      </c>
      <c r="S3880" cm="1">
        <f t="array" ref="S3880">_xlfn.IFS(Q3880 ="Fortnightly",14,Q3880="Weekly",7,Q3880="Monthly",30,Q3880="Quarterly",90,Q3880="Bi-Weekly",14,Q3880="Annually",365,Q3880="Every 3 Months",90,TRUE,"NOT FOUND")</f>
        <v>365</v>
      </c>
    </row>
    <row r="3881" spans="1:19" x14ac:dyDescent="0.35">
      <c r="A3881">
        <v>3880</v>
      </c>
      <c r="B3881">
        <v>26</v>
      </c>
      <c r="C3881" t="s">
        <v>141</v>
      </c>
      <c r="D3881" t="s">
        <v>75</v>
      </c>
      <c r="E3881" t="s">
        <v>9</v>
      </c>
      <c r="F3881">
        <v>63</v>
      </c>
      <c r="G3881" t="s">
        <v>91</v>
      </c>
      <c r="H3881" t="s">
        <v>11</v>
      </c>
      <c r="I3881" t="s">
        <v>20</v>
      </c>
      <c r="J3881" t="s">
        <v>13</v>
      </c>
      <c r="K3881">
        <v>4.0999999999999996</v>
      </c>
      <c r="L3881" t="s">
        <v>140</v>
      </c>
      <c r="M3881" t="s">
        <v>26</v>
      </c>
      <c r="N3881" t="s">
        <v>140</v>
      </c>
      <c r="O3881">
        <v>6</v>
      </c>
      <c r="P3881" t="s">
        <v>74</v>
      </c>
      <c r="Q3881" t="s">
        <v>46</v>
      </c>
      <c r="R3881" t="str" cm="1">
        <f t="array" ref="R3881">_xlfn.IFS(B3881&lt;31,"Young-Adult",B3881&lt;41,"Adult",B3881&lt;61,"Middle-aged",B3881&gt;=61,"Senior")</f>
        <v>Young-Adult</v>
      </c>
      <c r="S3881" cm="1">
        <f t="array" ref="S3881">_xlfn.IFS(Q3881 ="Fortnightly",14,Q3881="Weekly",7,Q3881="Monthly",30,Q3881="Quarterly",90,Q3881="Bi-Weekly",14,Q3881="Annually",365,Q3881="Every 3 Months",90,TRUE,"NOT FOUND")</f>
        <v>90</v>
      </c>
    </row>
    <row r="3882" spans="1:19" x14ac:dyDescent="0.35">
      <c r="A3882">
        <v>3881</v>
      </c>
      <c r="B3882">
        <v>42</v>
      </c>
      <c r="C3882" t="s">
        <v>141</v>
      </c>
      <c r="D3882" t="s">
        <v>43</v>
      </c>
      <c r="E3882" t="s">
        <v>9</v>
      </c>
      <c r="F3882">
        <v>20</v>
      </c>
      <c r="G3882" t="s">
        <v>23</v>
      </c>
      <c r="H3882" t="s">
        <v>32</v>
      </c>
      <c r="I3882" t="s">
        <v>96</v>
      </c>
      <c r="J3882" t="s">
        <v>13</v>
      </c>
      <c r="K3882">
        <v>3.9</v>
      </c>
      <c r="L3882" t="s">
        <v>140</v>
      </c>
      <c r="M3882" t="s">
        <v>26</v>
      </c>
      <c r="N3882" t="s">
        <v>140</v>
      </c>
      <c r="O3882">
        <v>40</v>
      </c>
      <c r="P3882" t="s">
        <v>34</v>
      </c>
      <c r="Q3882" t="s">
        <v>76</v>
      </c>
      <c r="R3882" t="str" cm="1">
        <f t="array" ref="R3882">_xlfn.IFS(B3882&lt;31,"Young-Adult",B3882&lt;41,"Adult",B3882&lt;61,"Middle-aged",B3882&gt;=61,"Senior")</f>
        <v>Middle-aged</v>
      </c>
      <c r="S3882" cm="1">
        <f t="array" ref="S3882">_xlfn.IFS(Q3882 ="Fortnightly",14,Q3882="Weekly",7,Q3882="Monthly",30,Q3882="Quarterly",90,Q3882="Bi-Weekly",14,Q3882="Annually",365,Q3882="Every 3 Months",90,TRUE,"NOT FOUND")</f>
        <v>30</v>
      </c>
    </row>
    <row r="3883" spans="1:19" x14ac:dyDescent="0.35">
      <c r="A3883">
        <v>3882</v>
      </c>
      <c r="B3883">
        <v>56</v>
      </c>
      <c r="C3883" t="s">
        <v>141</v>
      </c>
      <c r="D3883" t="s">
        <v>107</v>
      </c>
      <c r="E3883" t="s">
        <v>55</v>
      </c>
      <c r="F3883">
        <v>25</v>
      </c>
      <c r="G3883" t="s">
        <v>130</v>
      </c>
      <c r="H3883" t="s">
        <v>11</v>
      </c>
      <c r="I3883" t="s">
        <v>53</v>
      </c>
      <c r="J3883" t="s">
        <v>25</v>
      </c>
      <c r="K3883">
        <v>2.8</v>
      </c>
      <c r="L3883" t="s">
        <v>140</v>
      </c>
      <c r="M3883" t="s">
        <v>58</v>
      </c>
      <c r="N3883" t="s">
        <v>140</v>
      </c>
      <c r="O3883">
        <v>17</v>
      </c>
      <c r="P3883" t="s">
        <v>74</v>
      </c>
      <c r="Q3883" t="s">
        <v>28</v>
      </c>
      <c r="R3883" t="str" cm="1">
        <f t="array" ref="R3883">_xlfn.IFS(B3883&lt;31,"Young-Adult",B3883&lt;41,"Adult",B3883&lt;61,"Middle-aged",B3883&gt;=61,"Senior")</f>
        <v>Middle-aged</v>
      </c>
      <c r="S3883" cm="1">
        <f t="array" ref="S3883">_xlfn.IFS(Q3883 ="Fortnightly",14,Q3883="Weekly",7,Q3883="Monthly",30,Q3883="Quarterly",90,Q3883="Bi-Weekly",14,Q3883="Annually",365,Q3883="Every 3 Months",90,TRUE,"NOT FOUND")</f>
        <v>7</v>
      </c>
    </row>
    <row r="3884" spans="1:19" x14ac:dyDescent="0.35">
      <c r="A3884">
        <v>3883</v>
      </c>
      <c r="B3884">
        <v>35</v>
      </c>
      <c r="C3884" t="s">
        <v>141</v>
      </c>
      <c r="D3884" t="s">
        <v>83</v>
      </c>
      <c r="E3884" t="s">
        <v>9</v>
      </c>
      <c r="F3884">
        <v>95</v>
      </c>
      <c r="G3884" t="s">
        <v>102</v>
      </c>
      <c r="H3884" t="s">
        <v>11</v>
      </c>
      <c r="I3884" t="s">
        <v>132</v>
      </c>
      <c r="J3884" t="s">
        <v>45</v>
      </c>
      <c r="K3884">
        <v>2.6</v>
      </c>
      <c r="L3884" t="s">
        <v>140</v>
      </c>
      <c r="M3884" t="s">
        <v>26</v>
      </c>
      <c r="N3884" t="s">
        <v>140</v>
      </c>
      <c r="O3884">
        <v>24</v>
      </c>
      <c r="P3884" t="s">
        <v>21</v>
      </c>
      <c r="Q3884" t="s">
        <v>17</v>
      </c>
      <c r="R3884" t="str" cm="1">
        <f t="array" ref="R3884">_xlfn.IFS(B3884&lt;31,"Young-Adult",B3884&lt;41,"Adult",B3884&lt;61,"Middle-aged",B3884&gt;=61,"Senior")</f>
        <v>Adult</v>
      </c>
      <c r="S3884" cm="1">
        <f t="array" ref="S3884">_xlfn.IFS(Q3884 ="Fortnightly",14,Q3884="Weekly",7,Q3884="Monthly",30,Q3884="Quarterly",90,Q3884="Bi-Weekly",14,Q3884="Annually",365,Q3884="Every 3 Months",90,TRUE,"NOT FOUND")</f>
        <v>14</v>
      </c>
    </row>
    <row r="3885" spans="1:19" x14ac:dyDescent="0.35">
      <c r="A3885">
        <v>3884</v>
      </c>
      <c r="B3885">
        <v>34</v>
      </c>
      <c r="C3885" t="s">
        <v>141</v>
      </c>
      <c r="D3885" t="s">
        <v>112</v>
      </c>
      <c r="E3885" t="s">
        <v>55</v>
      </c>
      <c r="F3885">
        <v>38</v>
      </c>
      <c r="G3885" t="s">
        <v>102</v>
      </c>
      <c r="H3885" t="s">
        <v>80</v>
      </c>
      <c r="I3885" t="s">
        <v>61</v>
      </c>
      <c r="J3885" t="s">
        <v>45</v>
      </c>
      <c r="K3885">
        <v>4</v>
      </c>
      <c r="L3885" t="s">
        <v>140</v>
      </c>
      <c r="M3885" t="s">
        <v>33</v>
      </c>
      <c r="N3885" t="s">
        <v>140</v>
      </c>
      <c r="O3885">
        <v>22</v>
      </c>
      <c r="P3885" t="s">
        <v>21</v>
      </c>
      <c r="Q3885" t="s">
        <v>17</v>
      </c>
      <c r="R3885" t="str" cm="1">
        <f t="array" ref="R3885">_xlfn.IFS(B3885&lt;31,"Young-Adult",B3885&lt;41,"Adult",B3885&lt;61,"Middle-aged",B3885&gt;=61,"Senior")</f>
        <v>Adult</v>
      </c>
      <c r="S3885" cm="1">
        <f t="array" ref="S3885">_xlfn.IFS(Q3885 ="Fortnightly",14,Q3885="Weekly",7,Q3885="Monthly",30,Q3885="Quarterly",90,Q3885="Bi-Weekly",14,Q3885="Annually",365,Q3885="Every 3 Months",90,TRUE,"NOT FOUND")</f>
        <v>14</v>
      </c>
    </row>
    <row r="3886" spans="1:19" x14ac:dyDescent="0.35">
      <c r="A3886">
        <v>3885</v>
      </c>
      <c r="B3886">
        <v>47</v>
      </c>
      <c r="C3886" t="s">
        <v>141</v>
      </c>
      <c r="D3886" t="s">
        <v>29</v>
      </c>
      <c r="E3886" t="s">
        <v>30</v>
      </c>
      <c r="F3886">
        <v>29</v>
      </c>
      <c r="G3886" t="s">
        <v>116</v>
      </c>
      <c r="H3886" t="s">
        <v>32</v>
      </c>
      <c r="I3886" t="s">
        <v>98</v>
      </c>
      <c r="J3886" t="s">
        <v>45</v>
      </c>
      <c r="K3886">
        <v>4.9000000000000004</v>
      </c>
      <c r="L3886" t="s">
        <v>140</v>
      </c>
      <c r="M3886" t="s">
        <v>15</v>
      </c>
      <c r="N3886" t="s">
        <v>140</v>
      </c>
      <c r="O3886">
        <v>3</v>
      </c>
      <c r="P3886" t="s">
        <v>34</v>
      </c>
      <c r="Q3886" t="s">
        <v>28</v>
      </c>
      <c r="R3886" t="str" cm="1">
        <f t="array" ref="R3886">_xlfn.IFS(B3886&lt;31,"Young-Adult",B3886&lt;41,"Adult",B3886&lt;61,"Middle-aged",B3886&gt;=61,"Senior")</f>
        <v>Middle-aged</v>
      </c>
      <c r="S3886" cm="1">
        <f t="array" ref="S3886">_xlfn.IFS(Q3886 ="Fortnightly",14,Q3886="Weekly",7,Q3886="Monthly",30,Q3886="Quarterly",90,Q3886="Bi-Weekly",14,Q3886="Annually",365,Q3886="Every 3 Months",90,TRUE,"NOT FOUND")</f>
        <v>7</v>
      </c>
    </row>
    <row r="3887" spans="1:19" x14ac:dyDescent="0.35">
      <c r="A3887">
        <v>3886</v>
      </c>
      <c r="B3887">
        <v>49</v>
      </c>
      <c r="C3887" t="s">
        <v>141</v>
      </c>
      <c r="D3887" t="s">
        <v>113</v>
      </c>
      <c r="E3887" t="s">
        <v>9</v>
      </c>
      <c r="F3887">
        <v>64</v>
      </c>
      <c r="G3887" t="s">
        <v>118</v>
      </c>
      <c r="H3887" t="s">
        <v>11</v>
      </c>
      <c r="I3887" t="s">
        <v>61</v>
      </c>
      <c r="J3887" t="s">
        <v>13</v>
      </c>
      <c r="K3887">
        <v>3.2</v>
      </c>
      <c r="L3887" t="s">
        <v>140</v>
      </c>
      <c r="M3887" t="s">
        <v>26</v>
      </c>
      <c r="N3887" t="s">
        <v>140</v>
      </c>
      <c r="O3887">
        <v>39</v>
      </c>
      <c r="P3887" t="s">
        <v>21</v>
      </c>
      <c r="Q3887" t="s">
        <v>46</v>
      </c>
      <c r="R3887" t="str" cm="1">
        <f t="array" ref="R3887">_xlfn.IFS(B3887&lt;31,"Young-Adult",B3887&lt;41,"Adult",B3887&lt;61,"Middle-aged",B3887&gt;=61,"Senior")</f>
        <v>Middle-aged</v>
      </c>
      <c r="S3887" cm="1">
        <f t="array" ref="S3887">_xlfn.IFS(Q3887 ="Fortnightly",14,Q3887="Weekly",7,Q3887="Monthly",30,Q3887="Quarterly",90,Q3887="Bi-Weekly",14,Q3887="Annually",365,Q3887="Every 3 Months",90,TRUE,"NOT FOUND")</f>
        <v>90</v>
      </c>
    </row>
    <row r="3888" spans="1:19" x14ac:dyDescent="0.35">
      <c r="A3888">
        <v>3887</v>
      </c>
      <c r="B3888">
        <v>37</v>
      </c>
      <c r="C3888" t="s">
        <v>141</v>
      </c>
      <c r="D3888" t="s">
        <v>94</v>
      </c>
      <c r="E3888" t="s">
        <v>55</v>
      </c>
      <c r="F3888">
        <v>92</v>
      </c>
      <c r="G3888" t="s">
        <v>134</v>
      </c>
      <c r="H3888" t="s">
        <v>24</v>
      </c>
      <c r="I3888" t="s">
        <v>98</v>
      </c>
      <c r="J3888" t="s">
        <v>41</v>
      </c>
      <c r="K3888">
        <v>3.9</v>
      </c>
      <c r="L3888" t="s">
        <v>140</v>
      </c>
      <c r="M3888" t="s">
        <v>15</v>
      </c>
      <c r="N3888" t="s">
        <v>140</v>
      </c>
      <c r="O3888">
        <v>40</v>
      </c>
      <c r="P3888" t="s">
        <v>74</v>
      </c>
      <c r="Q3888" t="s">
        <v>46</v>
      </c>
      <c r="R3888" t="str" cm="1">
        <f t="array" ref="R3888">_xlfn.IFS(B3888&lt;31,"Young-Adult",B3888&lt;41,"Adult",B3888&lt;61,"Middle-aged",B3888&gt;=61,"Senior")</f>
        <v>Adult</v>
      </c>
      <c r="S3888" cm="1">
        <f t="array" ref="S3888">_xlfn.IFS(Q3888 ="Fortnightly",14,Q3888="Weekly",7,Q3888="Monthly",30,Q3888="Quarterly",90,Q3888="Bi-Weekly",14,Q3888="Annually",365,Q3888="Every 3 Months",90,TRUE,"NOT FOUND")</f>
        <v>90</v>
      </c>
    </row>
    <row r="3889" spans="1:19" x14ac:dyDescent="0.35">
      <c r="A3889">
        <v>3888</v>
      </c>
      <c r="B3889">
        <v>40</v>
      </c>
      <c r="C3889" t="s">
        <v>141</v>
      </c>
      <c r="D3889" t="s">
        <v>43</v>
      </c>
      <c r="E3889" t="s">
        <v>9</v>
      </c>
      <c r="F3889">
        <v>34</v>
      </c>
      <c r="G3889" t="s">
        <v>99</v>
      </c>
      <c r="H3889" t="s">
        <v>32</v>
      </c>
      <c r="I3889" t="s">
        <v>49</v>
      </c>
      <c r="J3889" t="s">
        <v>25</v>
      </c>
      <c r="K3889">
        <v>2.7</v>
      </c>
      <c r="L3889" t="s">
        <v>140</v>
      </c>
      <c r="M3889" t="s">
        <v>15</v>
      </c>
      <c r="N3889" t="s">
        <v>140</v>
      </c>
      <c r="O3889">
        <v>1</v>
      </c>
      <c r="P3889" t="s">
        <v>27</v>
      </c>
      <c r="Q3889" t="s">
        <v>46</v>
      </c>
      <c r="R3889" t="str" cm="1">
        <f t="array" ref="R3889">_xlfn.IFS(B3889&lt;31,"Young-Adult",B3889&lt;41,"Adult",B3889&lt;61,"Middle-aged",B3889&gt;=61,"Senior")</f>
        <v>Adult</v>
      </c>
      <c r="S3889" cm="1">
        <f t="array" ref="S3889">_xlfn.IFS(Q3889 ="Fortnightly",14,Q3889="Weekly",7,Q3889="Monthly",30,Q3889="Quarterly",90,Q3889="Bi-Weekly",14,Q3889="Annually",365,Q3889="Every 3 Months",90,TRUE,"NOT FOUND")</f>
        <v>90</v>
      </c>
    </row>
    <row r="3890" spans="1:19" x14ac:dyDescent="0.35">
      <c r="A3890">
        <v>3889</v>
      </c>
      <c r="B3890">
        <v>45</v>
      </c>
      <c r="C3890" t="s">
        <v>141</v>
      </c>
      <c r="D3890" t="s">
        <v>38</v>
      </c>
      <c r="E3890" t="s">
        <v>30</v>
      </c>
      <c r="F3890">
        <v>69</v>
      </c>
      <c r="G3890" t="s">
        <v>129</v>
      </c>
      <c r="H3890" t="s">
        <v>32</v>
      </c>
      <c r="I3890" t="s">
        <v>71</v>
      </c>
      <c r="J3890" t="s">
        <v>25</v>
      </c>
      <c r="K3890">
        <v>3.4</v>
      </c>
      <c r="L3890" t="s">
        <v>140</v>
      </c>
      <c r="M3890" t="s">
        <v>42</v>
      </c>
      <c r="N3890" t="s">
        <v>140</v>
      </c>
      <c r="O3890">
        <v>14</v>
      </c>
      <c r="P3890" t="s">
        <v>16</v>
      </c>
      <c r="Q3890" t="s">
        <v>64</v>
      </c>
      <c r="R3890" t="str" cm="1">
        <f t="array" ref="R3890">_xlfn.IFS(B3890&lt;31,"Young-Adult",B3890&lt;41,"Adult",B3890&lt;61,"Middle-aged",B3890&gt;=61,"Senior")</f>
        <v>Middle-aged</v>
      </c>
      <c r="S3890" cm="1">
        <f t="array" ref="S3890">_xlfn.IFS(Q3890 ="Fortnightly",14,Q3890="Weekly",7,Q3890="Monthly",30,Q3890="Quarterly",90,Q3890="Bi-Weekly",14,Q3890="Annually",365,Q3890="Every 3 Months",90,TRUE,"NOT FOUND")</f>
        <v>14</v>
      </c>
    </row>
    <row r="3891" spans="1:19" x14ac:dyDescent="0.35">
      <c r="A3891">
        <v>3890</v>
      </c>
      <c r="B3891">
        <v>57</v>
      </c>
      <c r="C3891" t="s">
        <v>141</v>
      </c>
      <c r="D3891" t="s">
        <v>69</v>
      </c>
      <c r="E3891" t="s">
        <v>9</v>
      </c>
      <c r="F3891">
        <v>65</v>
      </c>
      <c r="G3891" t="s">
        <v>108</v>
      </c>
      <c r="H3891" t="s">
        <v>24</v>
      </c>
      <c r="I3891" t="s">
        <v>122</v>
      </c>
      <c r="J3891" t="s">
        <v>25</v>
      </c>
      <c r="K3891">
        <v>3.5</v>
      </c>
      <c r="L3891" t="s">
        <v>140</v>
      </c>
      <c r="M3891" t="s">
        <v>15</v>
      </c>
      <c r="N3891" t="s">
        <v>140</v>
      </c>
      <c r="O3891">
        <v>49</v>
      </c>
      <c r="P3891" t="s">
        <v>63</v>
      </c>
      <c r="Q3891" t="s">
        <v>37</v>
      </c>
      <c r="R3891" t="str" cm="1">
        <f t="array" ref="R3891">_xlfn.IFS(B3891&lt;31,"Young-Adult",B3891&lt;41,"Adult",B3891&lt;61,"Middle-aged",B3891&gt;=61,"Senior")</f>
        <v>Middle-aged</v>
      </c>
      <c r="S3891" cm="1">
        <f t="array" ref="S3891">_xlfn.IFS(Q3891 ="Fortnightly",14,Q3891="Weekly",7,Q3891="Monthly",30,Q3891="Quarterly",90,Q3891="Bi-Weekly",14,Q3891="Annually",365,Q3891="Every 3 Months",90,TRUE,"NOT FOUND")</f>
        <v>365</v>
      </c>
    </row>
    <row r="3892" spans="1:19" x14ac:dyDescent="0.35">
      <c r="A3892">
        <v>3891</v>
      </c>
      <c r="B3892">
        <v>35</v>
      </c>
      <c r="C3892" t="s">
        <v>141</v>
      </c>
      <c r="D3892" t="s">
        <v>43</v>
      </c>
      <c r="E3892" t="s">
        <v>9</v>
      </c>
      <c r="F3892">
        <v>81</v>
      </c>
      <c r="G3892" t="s">
        <v>133</v>
      </c>
      <c r="H3892" t="s">
        <v>80</v>
      </c>
      <c r="I3892" t="s">
        <v>84</v>
      </c>
      <c r="J3892" t="s">
        <v>13</v>
      </c>
      <c r="K3892">
        <v>2.6</v>
      </c>
      <c r="L3892" t="s">
        <v>140</v>
      </c>
      <c r="M3892" t="s">
        <v>42</v>
      </c>
      <c r="N3892" t="s">
        <v>140</v>
      </c>
      <c r="O3892">
        <v>33</v>
      </c>
      <c r="P3892" t="s">
        <v>74</v>
      </c>
      <c r="Q3892" t="s">
        <v>37</v>
      </c>
      <c r="R3892" t="str" cm="1">
        <f t="array" ref="R3892">_xlfn.IFS(B3892&lt;31,"Young-Adult",B3892&lt;41,"Adult",B3892&lt;61,"Middle-aged",B3892&gt;=61,"Senior")</f>
        <v>Adult</v>
      </c>
      <c r="S3892" cm="1">
        <f t="array" ref="S3892">_xlfn.IFS(Q3892 ="Fortnightly",14,Q3892="Weekly",7,Q3892="Monthly",30,Q3892="Quarterly",90,Q3892="Bi-Weekly",14,Q3892="Annually",365,Q3892="Every 3 Months",90,TRUE,"NOT FOUND")</f>
        <v>365</v>
      </c>
    </row>
    <row r="3893" spans="1:19" x14ac:dyDescent="0.35">
      <c r="A3893">
        <v>3892</v>
      </c>
      <c r="B3893">
        <v>36</v>
      </c>
      <c r="C3893" t="s">
        <v>141</v>
      </c>
      <c r="D3893" t="s">
        <v>69</v>
      </c>
      <c r="E3893" t="s">
        <v>9</v>
      </c>
      <c r="F3893">
        <v>30</v>
      </c>
      <c r="G3893" t="s">
        <v>100</v>
      </c>
      <c r="H3893" t="s">
        <v>11</v>
      </c>
      <c r="I3893" t="s">
        <v>88</v>
      </c>
      <c r="J3893" t="s">
        <v>13</v>
      </c>
      <c r="K3893">
        <v>4.7</v>
      </c>
      <c r="L3893" t="s">
        <v>140</v>
      </c>
      <c r="M3893" t="s">
        <v>26</v>
      </c>
      <c r="N3893" t="s">
        <v>140</v>
      </c>
      <c r="O3893">
        <v>6</v>
      </c>
      <c r="P3893" t="s">
        <v>63</v>
      </c>
      <c r="Q3893" t="s">
        <v>46</v>
      </c>
      <c r="R3893" t="str" cm="1">
        <f t="array" ref="R3893">_xlfn.IFS(B3893&lt;31,"Young-Adult",B3893&lt;41,"Adult",B3893&lt;61,"Middle-aged",B3893&gt;=61,"Senior")</f>
        <v>Adult</v>
      </c>
      <c r="S3893" cm="1">
        <f t="array" ref="S3893">_xlfn.IFS(Q3893 ="Fortnightly",14,Q3893="Weekly",7,Q3893="Monthly",30,Q3893="Quarterly",90,Q3893="Bi-Weekly",14,Q3893="Annually",365,Q3893="Every 3 Months",90,TRUE,"NOT FOUND")</f>
        <v>90</v>
      </c>
    </row>
    <row r="3894" spans="1:19" x14ac:dyDescent="0.35">
      <c r="A3894">
        <v>3893</v>
      </c>
      <c r="B3894">
        <v>35</v>
      </c>
      <c r="C3894" t="s">
        <v>141</v>
      </c>
      <c r="D3894" t="s">
        <v>94</v>
      </c>
      <c r="E3894" t="s">
        <v>55</v>
      </c>
      <c r="F3894">
        <v>86</v>
      </c>
      <c r="G3894" t="s">
        <v>139</v>
      </c>
      <c r="H3894" t="s">
        <v>11</v>
      </c>
      <c r="I3894" t="s">
        <v>114</v>
      </c>
      <c r="J3894" t="s">
        <v>41</v>
      </c>
      <c r="K3894">
        <v>3.5</v>
      </c>
      <c r="L3894" t="s">
        <v>140</v>
      </c>
      <c r="M3894" t="s">
        <v>42</v>
      </c>
      <c r="N3894" t="s">
        <v>140</v>
      </c>
      <c r="O3894">
        <v>5</v>
      </c>
      <c r="P3894" t="s">
        <v>34</v>
      </c>
      <c r="Q3894" t="s">
        <v>17</v>
      </c>
      <c r="R3894" t="str" cm="1">
        <f t="array" ref="R3894">_xlfn.IFS(B3894&lt;31,"Young-Adult",B3894&lt;41,"Adult",B3894&lt;61,"Middle-aged",B3894&gt;=61,"Senior")</f>
        <v>Adult</v>
      </c>
      <c r="S3894" cm="1">
        <f t="array" ref="S3894">_xlfn.IFS(Q3894 ="Fortnightly",14,Q3894="Weekly",7,Q3894="Monthly",30,Q3894="Quarterly",90,Q3894="Bi-Weekly",14,Q3894="Annually",365,Q3894="Every 3 Months",90,TRUE,"NOT FOUND")</f>
        <v>14</v>
      </c>
    </row>
    <row r="3895" spans="1:19" x14ac:dyDescent="0.35">
      <c r="A3895">
        <v>3894</v>
      </c>
      <c r="B3895">
        <v>21</v>
      </c>
      <c r="C3895" t="s">
        <v>141</v>
      </c>
      <c r="D3895" t="s">
        <v>112</v>
      </c>
      <c r="E3895" t="s">
        <v>55</v>
      </c>
      <c r="F3895">
        <v>64</v>
      </c>
      <c r="G3895" t="s">
        <v>23</v>
      </c>
      <c r="H3895" t="s">
        <v>11</v>
      </c>
      <c r="I3895" t="s">
        <v>40</v>
      </c>
      <c r="J3895" t="s">
        <v>45</v>
      </c>
      <c r="K3895">
        <v>3.3</v>
      </c>
      <c r="L3895" t="s">
        <v>140</v>
      </c>
      <c r="M3895" t="s">
        <v>62</v>
      </c>
      <c r="N3895" t="s">
        <v>140</v>
      </c>
      <c r="O3895">
        <v>29</v>
      </c>
      <c r="P3895" t="s">
        <v>63</v>
      </c>
      <c r="Q3895" t="s">
        <v>64</v>
      </c>
      <c r="R3895" t="str" cm="1">
        <f t="array" ref="R3895">_xlfn.IFS(B3895&lt;31,"Young-Adult",B3895&lt;41,"Adult",B3895&lt;61,"Middle-aged",B3895&gt;=61,"Senior")</f>
        <v>Young-Adult</v>
      </c>
      <c r="S3895" cm="1">
        <f t="array" ref="S3895">_xlfn.IFS(Q3895 ="Fortnightly",14,Q3895="Weekly",7,Q3895="Monthly",30,Q3895="Quarterly",90,Q3895="Bi-Weekly",14,Q3895="Annually",365,Q3895="Every 3 Months",90,TRUE,"NOT FOUND")</f>
        <v>14</v>
      </c>
    </row>
    <row r="3896" spans="1:19" x14ac:dyDescent="0.35">
      <c r="A3896">
        <v>3895</v>
      </c>
      <c r="B3896">
        <v>66</v>
      </c>
      <c r="C3896" t="s">
        <v>141</v>
      </c>
      <c r="D3896" t="s">
        <v>75</v>
      </c>
      <c r="E3896" t="s">
        <v>9</v>
      </c>
      <c r="F3896">
        <v>78</v>
      </c>
      <c r="G3896" t="s">
        <v>127</v>
      </c>
      <c r="H3896" t="s">
        <v>11</v>
      </c>
      <c r="I3896" t="s">
        <v>40</v>
      </c>
      <c r="J3896" t="s">
        <v>25</v>
      </c>
      <c r="K3896">
        <v>3.9</v>
      </c>
      <c r="L3896" t="s">
        <v>140</v>
      </c>
      <c r="M3896" t="s">
        <v>58</v>
      </c>
      <c r="N3896" t="s">
        <v>140</v>
      </c>
      <c r="O3896">
        <v>44</v>
      </c>
      <c r="P3896" t="s">
        <v>27</v>
      </c>
      <c r="Q3896" t="s">
        <v>85</v>
      </c>
      <c r="R3896" t="str" cm="1">
        <f t="array" ref="R3896">_xlfn.IFS(B3896&lt;31,"Young-Adult",B3896&lt;41,"Adult",B3896&lt;61,"Middle-aged",B3896&gt;=61,"Senior")</f>
        <v>Senior</v>
      </c>
      <c r="S3896" cm="1">
        <f t="array" ref="S3896">_xlfn.IFS(Q3896 ="Fortnightly",14,Q3896="Weekly",7,Q3896="Monthly",30,Q3896="Quarterly",90,Q3896="Bi-Weekly",14,Q3896="Annually",365,Q3896="Every 3 Months",90,TRUE,"NOT FOUND")</f>
        <v>90</v>
      </c>
    </row>
    <row r="3897" spans="1:19" x14ac:dyDescent="0.35">
      <c r="A3897">
        <v>3896</v>
      </c>
      <c r="B3897">
        <v>40</v>
      </c>
      <c r="C3897" t="s">
        <v>141</v>
      </c>
      <c r="D3897" t="s">
        <v>92</v>
      </c>
      <c r="E3897" t="s">
        <v>9</v>
      </c>
      <c r="F3897">
        <v>28</v>
      </c>
      <c r="G3897" t="s">
        <v>129</v>
      </c>
      <c r="H3897" t="s">
        <v>11</v>
      </c>
      <c r="I3897" t="s">
        <v>36</v>
      </c>
      <c r="J3897" t="s">
        <v>41</v>
      </c>
      <c r="K3897">
        <v>4.2</v>
      </c>
      <c r="L3897" t="s">
        <v>140</v>
      </c>
      <c r="M3897" t="s">
        <v>58</v>
      </c>
      <c r="N3897" t="s">
        <v>140</v>
      </c>
      <c r="O3897">
        <v>32</v>
      </c>
      <c r="P3897" t="s">
        <v>16</v>
      </c>
      <c r="Q3897" t="s">
        <v>28</v>
      </c>
      <c r="R3897" t="str" cm="1">
        <f t="array" ref="R3897">_xlfn.IFS(B3897&lt;31,"Young-Adult",B3897&lt;41,"Adult",B3897&lt;61,"Middle-aged",B3897&gt;=61,"Senior")</f>
        <v>Adult</v>
      </c>
      <c r="S3897" cm="1">
        <f t="array" ref="S3897">_xlfn.IFS(Q3897 ="Fortnightly",14,Q3897="Weekly",7,Q3897="Monthly",30,Q3897="Quarterly",90,Q3897="Bi-Weekly",14,Q3897="Annually",365,Q3897="Every 3 Months",90,TRUE,"NOT FOUND")</f>
        <v>7</v>
      </c>
    </row>
    <row r="3898" spans="1:19" x14ac:dyDescent="0.35">
      <c r="A3898">
        <v>3897</v>
      </c>
      <c r="B3898">
        <v>52</v>
      </c>
      <c r="C3898" t="s">
        <v>141</v>
      </c>
      <c r="D3898" t="s">
        <v>120</v>
      </c>
      <c r="E3898" t="s">
        <v>55</v>
      </c>
      <c r="F3898">
        <v>49</v>
      </c>
      <c r="G3898" t="s">
        <v>134</v>
      </c>
      <c r="H3898" t="s">
        <v>11</v>
      </c>
      <c r="I3898" t="s">
        <v>40</v>
      </c>
      <c r="J3898" t="s">
        <v>25</v>
      </c>
      <c r="K3898">
        <v>4.5</v>
      </c>
      <c r="L3898" t="s">
        <v>140</v>
      </c>
      <c r="M3898" t="s">
        <v>62</v>
      </c>
      <c r="N3898" t="s">
        <v>140</v>
      </c>
      <c r="O3898">
        <v>41</v>
      </c>
      <c r="P3898" t="s">
        <v>63</v>
      </c>
      <c r="Q3898" t="s">
        <v>64</v>
      </c>
      <c r="R3898" t="str" cm="1">
        <f t="array" ref="R3898">_xlfn.IFS(B3898&lt;31,"Young-Adult",B3898&lt;41,"Adult",B3898&lt;61,"Middle-aged",B3898&gt;=61,"Senior")</f>
        <v>Middle-aged</v>
      </c>
      <c r="S3898" cm="1">
        <f t="array" ref="S3898">_xlfn.IFS(Q3898 ="Fortnightly",14,Q3898="Weekly",7,Q3898="Monthly",30,Q3898="Quarterly",90,Q3898="Bi-Weekly",14,Q3898="Annually",365,Q3898="Every 3 Months",90,TRUE,"NOT FOUND")</f>
        <v>14</v>
      </c>
    </row>
    <row r="3899" spans="1:19" x14ac:dyDescent="0.35">
      <c r="A3899">
        <v>3898</v>
      </c>
      <c r="B3899">
        <v>46</v>
      </c>
      <c r="C3899" t="s">
        <v>141</v>
      </c>
      <c r="D3899" t="s">
        <v>121</v>
      </c>
      <c r="E3899" t="s">
        <v>55</v>
      </c>
      <c r="F3899">
        <v>33</v>
      </c>
      <c r="G3899" t="s">
        <v>115</v>
      </c>
      <c r="H3899" t="s">
        <v>11</v>
      </c>
      <c r="I3899" t="s">
        <v>84</v>
      </c>
      <c r="J3899" t="s">
        <v>25</v>
      </c>
      <c r="K3899">
        <v>2.9</v>
      </c>
      <c r="L3899" t="s">
        <v>140</v>
      </c>
      <c r="M3899" t="s">
        <v>42</v>
      </c>
      <c r="N3899" t="s">
        <v>140</v>
      </c>
      <c r="O3899">
        <v>24</v>
      </c>
      <c r="P3899" t="s">
        <v>16</v>
      </c>
      <c r="Q3899" t="s">
        <v>46</v>
      </c>
      <c r="R3899" t="str" cm="1">
        <f t="array" ref="R3899">_xlfn.IFS(B3899&lt;31,"Young-Adult",B3899&lt;41,"Adult",B3899&lt;61,"Middle-aged",B3899&gt;=61,"Senior")</f>
        <v>Middle-aged</v>
      </c>
      <c r="S3899" cm="1">
        <f t="array" ref="S3899">_xlfn.IFS(Q3899 ="Fortnightly",14,Q3899="Weekly",7,Q3899="Monthly",30,Q3899="Quarterly",90,Q3899="Bi-Weekly",14,Q3899="Annually",365,Q3899="Every 3 Months",90,TRUE,"NOT FOUND")</f>
        <v>90</v>
      </c>
    </row>
    <row r="3900" spans="1:19" x14ac:dyDescent="0.35">
      <c r="A3900">
        <v>3899</v>
      </c>
      <c r="B3900">
        <v>44</v>
      </c>
      <c r="C3900" t="s">
        <v>141</v>
      </c>
      <c r="D3900" t="s">
        <v>59</v>
      </c>
      <c r="E3900" t="s">
        <v>30</v>
      </c>
      <c r="F3900">
        <v>77</v>
      </c>
      <c r="G3900" t="s">
        <v>136</v>
      </c>
      <c r="H3900" t="s">
        <v>24</v>
      </c>
      <c r="I3900" t="s">
        <v>98</v>
      </c>
      <c r="J3900" t="s">
        <v>41</v>
      </c>
      <c r="K3900">
        <v>3.8</v>
      </c>
      <c r="L3900" t="s">
        <v>140</v>
      </c>
      <c r="M3900" t="s">
        <v>15</v>
      </c>
      <c r="N3900" t="s">
        <v>140</v>
      </c>
      <c r="O3900">
        <v>24</v>
      </c>
      <c r="P3900" t="s">
        <v>16</v>
      </c>
      <c r="Q3900" t="s">
        <v>28</v>
      </c>
      <c r="R3900" t="str" cm="1">
        <f t="array" ref="R3900">_xlfn.IFS(B3900&lt;31,"Young-Adult",B3900&lt;41,"Adult",B3900&lt;61,"Middle-aged",B3900&gt;=61,"Senior")</f>
        <v>Middle-aged</v>
      </c>
      <c r="S3900" cm="1">
        <f t="array" ref="S3900">_xlfn.IFS(Q3900 ="Fortnightly",14,Q3900="Weekly",7,Q3900="Monthly",30,Q3900="Quarterly",90,Q3900="Bi-Weekly",14,Q3900="Annually",365,Q3900="Every 3 Months",90,TRUE,"NOT FOUND")</f>
        <v>7</v>
      </c>
    </row>
    <row r="3901" spans="1:19" x14ac:dyDescent="0.35">
      <c r="A3901">
        <v>3900</v>
      </c>
      <c r="B3901">
        <v>52</v>
      </c>
      <c r="C3901" t="s">
        <v>141</v>
      </c>
      <c r="D3901" t="s">
        <v>54</v>
      </c>
      <c r="E3901" t="s">
        <v>55</v>
      </c>
      <c r="F3901">
        <v>81</v>
      </c>
      <c r="G3901" t="s">
        <v>87</v>
      </c>
      <c r="H3901" t="s">
        <v>32</v>
      </c>
      <c r="I3901" t="s">
        <v>106</v>
      </c>
      <c r="J3901" t="s">
        <v>25</v>
      </c>
      <c r="K3901">
        <v>3.1</v>
      </c>
      <c r="L3901" t="s">
        <v>140</v>
      </c>
      <c r="M3901" t="s">
        <v>62</v>
      </c>
      <c r="N3901" t="s">
        <v>140</v>
      </c>
      <c r="O3901">
        <v>33</v>
      </c>
      <c r="P3901" t="s">
        <v>16</v>
      </c>
      <c r="Q3901" t="s">
        <v>46</v>
      </c>
      <c r="R3901" t="str" cm="1">
        <f t="array" ref="R3901">_xlfn.IFS(B3901&lt;31,"Young-Adult",B3901&lt;41,"Adult",B3901&lt;61,"Middle-aged",B3901&gt;=61,"Senior")</f>
        <v>Middle-aged</v>
      </c>
      <c r="S3901" cm="1">
        <f t="array" ref="S3901">_xlfn.IFS(Q3901 ="Fortnightly",14,Q3901="Weekly",7,Q3901="Monthly",30,Q3901="Quarterly",90,Q3901="Bi-Weekly",14,Q3901="Annually",365,Q3901="Every 3 Months",90,TRUE,"NOT FOUND")</f>
        <v>90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2026-07-29T06:40:28Z</dcterms:created>
  <dcterms:modified xsi:type="dcterms:W3CDTF">2026-07-29T08:28:47Z</dcterms:modified>
</cp:coreProperties>
</file>